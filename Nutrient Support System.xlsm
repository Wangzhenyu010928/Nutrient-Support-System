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enyu Wang\Desktop\"/>
    </mc:Choice>
  </mc:AlternateContent>
  <xr:revisionPtr revIDLastSave="0" documentId="13_ncr:1_{AF1C0A53-7BCD-49D1-B0D0-1174DD40BE6B}" xr6:coauthVersionLast="47" xr6:coauthVersionMax="47" xr10:uidLastSave="{00000000-0000-0000-0000-000000000000}"/>
  <bookViews>
    <workbookView xWindow="-120" yWindow="-120" windowWidth="38640" windowHeight="21120" tabRatio="807" xr2:uid="{70A6715A-A312-524D-9570-1A236195A80A}"/>
  </bookViews>
  <sheets>
    <sheet name="Model" sheetId="3" r:id="rId1"/>
    <sheet name="Actual Value" sheetId="2" r:id="rId2"/>
    <sheet name="Dairy and Egg Products" sheetId="28" r:id="rId3"/>
    <sheet name="Spices and Herbs" sheetId="4" r:id="rId4"/>
    <sheet name="Baby Foods" sheetId="5" r:id="rId5"/>
    <sheet name="Fats and Oils" sheetId="6" r:id="rId6"/>
    <sheet name="Poultry Products" sheetId="7" r:id="rId7"/>
    <sheet name="Soups, Sauces, and Gravies" sheetId="8" r:id="rId8"/>
    <sheet name="Sausages and Luncheon Meats" sheetId="9" r:id="rId9"/>
    <sheet name="Breakfast Cereals" sheetId="10" r:id="rId10"/>
    <sheet name="Fruits and Fruit Juices" sheetId="11" r:id="rId11"/>
    <sheet name="Pork Products" sheetId="12" r:id="rId12"/>
    <sheet name="Vegetables and Vegetable Produc" sheetId="13" r:id="rId13"/>
    <sheet name="Nut and Seed Products" sheetId="14" r:id="rId14"/>
    <sheet name="Beef Products" sheetId="15" r:id="rId15"/>
    <sheet name="Beverages" sheetId="16" r:id="rId16"/>
    <sheet name="Finfish and Shellfish Products" sheetId="17" r:id="rId17"/>
    <sheet name="Legumes and Legume Products" sheetId="18" r:id="rId18"/>
    <sheet name="Lamb, Veal, and Game Products" sheetId="19" r:id="rId19"/>
    <sheet name="Baked Products" sheetId="20" r:id="rId20"/>
    <sheet name="Sweets" sheetId="21" r:id="rId21"/>
    <sheet name="Cereal Grains and Pasta" sheetId="22" r:id="rId22"/>
    <sheet name="Fast Foods" sheetId="23" r:id="rId23"/>
    <sheet name="Meals, Entrees, and Side Dishes" sheetId="24" r:id="rId24"/>
    <sheet name="Snacks" sheetId="25" r:id="rId25"/>
    <sheet name="American Indian Alaska Native F" sheetId="26" r:id="rId26"/>
    <sheet name="Restaurant Foods" sheetId="27" r:id="rId27"/>
  </sheets>
  <definedNames>
    <definedName name="_xlnm._FilterDatabase" localSheetId="0" hidden="1">Model!$A$10:$JV$10</definedName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1" hidden="1">'Actual Value'!$A$6,'Actual Value'!$A$7,'Actual Value'!$A$11:$A$208</definedName>
    <definedName name="solver_adj" localSheetId="2" hidden="1">'Dairy and Egg Products'!$A$6,'Dairy and Egg Products'!$A$7,'Dairy and Egg Products'!$A$11:$A$208</definedName>
    <definedName name="solver_adj" localSheetId="0" hidden="1">Model!$A$6,Model!$A$7,Model!$A$11:$A$208</definedName>
    <definedName name="solver_adj" localSheetId="26" hidden="1">'Restaurant Foods'!$A$6,'Restaurant Foods'!$A$7,'Restaurant Foods'!$A$11:$A$119</definedName>
    <definedName name="solver_adj" localSheetId="3" hidden="1">'Spices and Herbs'!$A$6,'Spices and Herbs'!$A$7,'Spices and Herbs'!$A$11:$A$208</definedName>
    <definedName name="solver_cvg" localSheetId="0" hidden="1">0.0001</definedName>
    <definedName name="solver_drv" localSheetId="0" hidden="1">1</definedName>
    <definedName name="solver_eng" localSheetId="1" hidden="1">2</definedName>
    <definedName name="solver_eng" localSheetId="2" hidden="1">2</definedName>
    <definedName name="solver_eng" localSheetId="0" hidden="1">2</definedName>
    <definedName name="solver_eng" localSheetId="26" hidden="1">2</definedName>
    <definedName name="solver_eng" localSheetId="3" hidden="1">2</definedName>
    <definedName name="solver_est" localSheetId="0" hidden="1">1</definedName>
    <definedName name="solver_itr" localSheetId="0" hidden="1">2147483647</definedName>
    <definedName name="solver_lhs1" localSheetId="1" hidden="1">'Actual Value'!$A$8</definedName>
    <definedName name="solver_lhs1" localSheetId="2" hidden="1">'Dairy and Egg Products'!$A$8</definedName>
    <definedName name="solver_lhs1" localSheetId="0" hidden="1">Model!$A$8</definedName>
    <definedName name="solver_lhs1" localSheetId="26" hidden="1">'Restaurant Foods'!$A$8</definedName>
    <definedName name="solver_lhs1" localSheetId="3" hidden="1">'Spices and Herbs'!$A$8</definedName>
    <definedName name="solver_lhs10" localSheetId="0" hidden="1">Model!$H$4</definedName>
    <definedName name="solver_lhs11" localSheetId="0" hidden="1">Model!$I$4</definedName>
    <definedName name="solver_lhs12" localSheetId="0" hidden="1">Model!$J$4</definedName>
    <definedName name="solver_lhs2" localSheetId="1" hidden="1">'Actual Value'!$A$9</definedName>
    <definedName name="solver_lhs2" localSheetId="2" hidden="1">'Dairy and Egg Products'!$A$9</definedName>
    <definedName name="solver_lhs2" localSheetId="0" hidden="1">Model!$A$9</definedName>
    <definedName name="solver_lhs2" localSheetId="26" hidden="1">'Restaurant Foods'!$A$9</definedName>
    <definedName name="solver_lhs2" localSheetId="3" hidden="1">'Spices and Herbs'!$A$9</definedName>
    <definedName name="solver_lhs3" localSheetId="1" hidden="1">'Actual Value'!$D$4</definedName>
    <definedName name="solver_lhs3" localSheetId="0" hidden="1">Model!$D$4</definedName>
    <definedName name="solver_lhs3" localSheetId="26" hidden="1">'Restaurant Foods'!$D$4</definedName>
    <definedName name="solver_lhs4" localSheetId="1" hidden="1">'Actual Value'!$E$4</definedName>
    <definedName name="solver_lhs4" localSheetId="0" hidden="1">Model!$E$4</definedName>
    <definedName name="solver_lhs4" localSheetId="26" hidden="1">'Restaurant Foods'!$E$4</definedName>
    <definedName name="solver_lhs5" localSheetId="1" hidden="1">'Actual Value'!$H$4</definedName>
    <definedName name="solver_lhs5" localSheetId="0" hidden="1">Model!$H$4</definedName>
    <definedName name="solver_lhs5" localSheetId="26" hidden="1">'Restaurant Foods'!$H$4</definedName>
    <definedName name="solver_lhs6" localSheetId="1" hidden="1">'Actual Value'!$I$4</definedName>
    <definedName name="solver_lhs6" localSheetId="0" hidden="1">Model!$I$4</definedName>
    <definedName name="solver_lhs6" localSheetId="26" hidden="1">'Restaurant Foods'!$I$4</definedName>
    <definedName name="solver_lhs7" localSheetId="1" hidden="1">'Actual Value'!$J$4</definedName>
    <definedName name="solver_lhs7" localSheetId="0" hidden="1">Model!$J$4</definedName>
    <definedName name="solver_lhs7" localSheetId="26" hidden="1">'Restaurant Foods'!$J$4</definedName>
    <definedName name="solver_lhs8" localSheetId="0" hidden="1">Model!$D$4</definedName>
    <definedName name="solver_lhs9" localSheetId="0" hidden="1">Model!$E$4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eg" localSheetId="26" hidden="1">1</definedName>
    <definedName name="solver_neg" localSheetId="3" hidden="1">1</definedName>
    <definedName name="solver_nod" localSheetId="0" hidden="1">2147483647</definedName>
    <definedName name="solver_num" localSheetId="1" hidden="1">7</definedName>
    <definedName name="solver_num" localSheetId="2" hidden="1">2</definedName>
    <definedName name="solver_num" localSheetId="0" hidden="1">7</definedName>
    <definedName name="solver_num" localSheetId="26" hidden="1">7</definedName>
    <definedName name="solver_num" localSheetId="3" hidden="1">2</definedName>
    <definedName name="solver_nwt" localSheetId="0" hidden="1">1</definedName>
    <definedName name="solver_opt" localSheetId="1" hidden="1">'Actual Value'!$A$5</definedName>
    <definedName name="solver_opt" localSheetId="2" hidden="1">'Dairy and Egg Products'!$A$5</definedName>
    <definedName name="solver_opt" localSheetId="0" hidden="1">Model!$A$5</definedName>
    <definedName name="solver_opt" localSheetId="26" hidden="1">'Restaurant Foods'!$A$5</definedName>
    <definedName name="solver_opt" localSheetId="3" hidden="1">'Spices and Herbs'!$A$5</definedName>
    <definedName name="solver_pre" localSheetId="0" hidden="1">0.000001</definedName>
    <definedName name="solver_rbv" localSheetId="0" hidden="1">1</definedName>
    <definedName name="solver_rel1" localSheetId="1" hidden="1">2</definedName>
    <definedName name="solver_rel1" localSheetId="2" hidden="1">2</definedName>
    <definedName name="solver_rel1" localSheetId="0" hidden="1">2</definedName>
    <definedName name="solver_rel1" localSheetId="26" hidden="1">2</definedName>
    <definedName name="solver_rel1" localSheetId="3" hidden="1">2</definedName>
    <definedName name="solver_rel10" localSheetId="0" hidden="1">1</definedName>
    <definedName name="solver_rel11" localSheetId="0" hidden="1">1</definedName>
    <definedName name="solver_rel12" localSheetId="0" hidden="1">3</definedName>
    <definedName name="solver_rel2" localSheetId="1" hidden="1">2</definedName>
    <definedName name="solver_rel2" localSheetId="2" hidden="1">2</definedName>
    <definedName name="solver_rel2" localSheetId="0" hidden="1">2</definedName>
    <definedName name="solver_rel2" localSheetId="26" hidden="1">2</definedName>
    <definedName name="solver_rel2" localSheetId="3" hidden="1">2</definedName>
    <definedName name="solver_rel3" localSheetId="1" hidden="1">1</definedName>
    <definedName name="solver_rel3" localSheetId="0" hidden="1">1</definedName>
    <definedName name="solver_rel3" localSheetId="26" hidden="1">1</definedName>
    <definedName name="solver_rel4" localSheetId="1" hidden="1">3</definedName>
    <definedName name="solver_rel4" localSheetId="0" hidden="1">3</definedName>
    <definedName name="solver_rel4" localSheetId="26" hidden="1">3</definedName>
    <definedName name="solver_rel5" localSheetId="1" hidden="1">1</definedName>
    <definedName name="solver_rel5" localSheetId="0" hidden="1">1</definedName>
    <definedName name="solver_rel5" localSheetId="26" hidden="1">1</definedName>
    <definedName name="solver_rel6" localSheetId="1" hidden="1">1</definedName>
    <definedName name="solver_rel6" localSheetId="0" hidden="1">1</definedName>
    <definedName name="solver_rel6" localSheetId="26" hidden="1">1</definedName>
    <definedName name="solver_rel7" localSheetId="1" hidden="1">3</definedName>
    <definedName name="solver_rel7" localSheetId="0" hidden="1">3</definedName>
    <definedName name="solver_rel7" localSheetId="26" hidden="1">3</definedName>
    <definedName name="solver_rel8" localSheetId="0" hidden="1">1</definedName>
    <definedName name="solver_rel9" localSheetId="0" hidden="1">3</definedName>
    <definedName name="solver_rhs1" localSheetId="1" hidden="1">2</definedName>
    <definedName name="solver_rhs1" localSheetId="2" hidden="1">2</definedName>
    <definedName name="solver_rhs1" localSheetId="0" hidden="1">2</definedName>
    <definedName name="solver_rhs1" localSheetId="26" hidden="1">2</definedName>
    <definedName name="solver_rhs1" localSheetId="3" hidden="1">2</definedName>
    <definedName name="solver_rhs10" localSheetId="0" hidden="1">Model!$H$6</definedName>
    <definedName name="solver_rhs11" localSheetId="0" hidden="1">Model!$I$6</definedName>
    <definedName name="solver_rhs12" localSheetId="0" hidden="1">Model!$J$6</definedName>
    <definedName name="solver_rhs2" localSheetId="1" hidden="1">1</definedName>
    <definedName name="solver_rhs2" localSheetId="2" hidden="1">1</definedName>
    <definedName name="solver_rhs2" localSheetId="0" hidden="1">1</definedName>
    <definedName name="solver_rhs2" localSheetId="26" hidden="1">1</definedName>
    <definedName name="solver_rhs2" localSheetId="3" hidden="1">1</definedName>
    <definedName name="solver_rhs3" localSheetId="1" hidden="1">'Actual Value'!$D$6</definedName>
    <definedName name="solver_rhs3" localSheetId="0" hidden="1">Model!$D$6</definedName>
    <definedName name="solver_rhs3" localSheetId="26" hidden="1">'Restaurant Foods'!$D$6</definedName>
    <definedName name="solver_rhs4" localSheetId="1" hidden="1">'Actual Value'!$E$6</definedName>
    <definedName name="solver_rhs4" localSheetId="0" hidden="1">Model!$E$6</definedName>
    <definedName name="solver_rhs4" localSheetId="26" hidden="1">'Restaurant Foods'!$E$6</definedName>
    <definedName name="solver_rhs5" localSheetId="1" hidden="1">'Actual Value'!$H$6</definedName>
    <definedName name="solver_rhs5" localSheetId="0" hidden="1">Model!$H$6</definedName>
    <definedName name="solver_rhs5" localSheetId="26" hidden="1">'Restaurant Foods'!$H$6</definedName>
    <definedName name="solver_rhs6" localSheetId="1" hidden="1">'Actual Value'!$I$6</definedName>
    <definedName name="solver_rhs6" localSheetId="0" hidden="1">Model!$I$6</definedName>
    <definedName name="solver_rhs6" localSheetId="26" hidden="1">'Restaurant Foods'!$I$6</definedName>
    <definedName name="solver_rhs7" localSheetId="1" hidden="1">'Actual Value'!$J$6</definedName>
    <definedName name="solver_rhs7" localSheetId="0" hidden="1">Model!$J$6</definedName>
    <definedName name="solver_rhs7" localSheetId="26" hidden="1">'Restaurant Foods'!$J$6</definedName>
    <definedName name="solver_rhs8" localSheetId="0" hidden="1">Model!$D$6</definedName>
    <definedName name="solver_rhs9" localSheetId="0" hidden="1">Model!$E$6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1" hidden="1">1</definedName>
    <definedName name="solver_typ" localSheetId="2" hidden="1">1</definedName>
    <definedName name="solver_typ" localSheetId="0" hidden="1">1</definedName>
    <definedName name="solver_typ" localSheetId="26" hidden="1">1</definedName>
    <definedName name="solver_typ" localSheetId="3" hidden="1">1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al" localSheetId="26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0" hidden="1">3</definedName>
    <definedName name="solver_ver" localSheetId="26" hidden="1">3</definedName>
    <definedName name="solver_ver" localSheetId="3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E3" i="2"/>
  <c r="F3" i="2"/>
  <c r="G3" i="2"/>
  <c r="H3" i="2"/>
  <c r="I3" i="2"/>
  <c r="J3" i="2"/>
  <c r="K3" i="2"/>
  <c r="D3" i="2"/>
  <c r="D2" i="2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11" i="3"/>
  <c r="A9" i="28"/>
  <c r="A8" i="28"/>
  <c r="A5" i="28"/>
  <c r="K4" i="28"/>
  <c r="K7" i="28" s="1"/>
  <c r="J4" i="28"/>
  <c r="J7" i="28" s="1"/>
  <c r="I4" i="28"/>
  <c r="I7" i="28" s="1"/>
  <c r="H4" i="28"/>
  <c r="G4" i="28"/>
  <c r="F4" i="28"/>
  <c r="E4" i="28"/>
  <c r="D4" i="28"/>
  <c r="D7" i="28" s="1"/>
  <c r="K3" i="28" a="1"/>
  <c r="K3" i="28" s="1"/>
  <c r="K6" i="28" s="1"/>
  <c r="J3" i="28" a="1"/>
  <c r="J3" i="28" s="1"/>
  <c r="J6" i="28" s="1"/>
  <c r="I3" i="28" a="1"/>
  <c r="I3" i="28" s="1"/>
  <c r="I6" i="28" s="1"/>
  <c r="H3" i="28" a="1"/>
  <c r="H3" i="28" s="1"/>
  <c r="H6" i="28" s="1"/>
  <c r="G3" i="28" a="1"/>
  <c r="G3" i="28" s="1"/>
  <c r="G6" i="28" s="1"/>
  <c r="F3" i="28" a="1"/>
  <c r="F3" i="28" s="1"/>
  <c r="F6" i="28" s="1"/>
  <c r="E3" i="28" a="1"/>
  <c r="E3" i="28" s="1"/>
  <c r="E6" i="28" s="1"/>
  <c r="D3" i="28" a="1"/>
  <c r="D3" i="28" s="1"/>
  <c r="D6" i="28" s="1"/>
  <c r="C3" i="28" a="1"/>
  <c r="C3" i="28" s="1"/>
  <c r="B3" i="28" a="1"/>
  <c r="B3" i="28" s="1"/>
  <c r="E7" i="28" l="1"/>
  <c r="F7" i="28"/>
  <c r="G7" i="28"/>
  <c r="H7" i="28"/>
  <c r="A9" i="27"/>
  <c r="A8" i="27"/>
  <c r="A5" i="27"/>
  <c r="K4" i="27"/>
  <c r="J4" i="27"/>
  <c r="I4" i="27"/>
  <c r="H4" i="27"/>
  <c r="G4" i="27"/>
  <c r="G7" i="27" s="1"/>
  <c r="F4" i="27"/>
  <c r="E4" i="27"/>
  <c r="D4" i="27"/>
  <c r="K3" i="27" a="1"/>
  <c r="K3" i="27" s="1"/>
  <c r="K6" i="27" s="1"/>
  <c r="J3" i="27" a="1"/>
  <c r="J3" i="27" s="1"/>
  <c r="J6" i="27" s="1"/>
  <c r="I3" i="27" a="1"/>
  <c r="I3" i="27" s="1"/>
  <c r="I6" i="27" s="1"/>
  <c r="H3" i="27" a="1"/>
  <c r="H3" i="27" s="1"/>
  <c r="H6" i="27" s="1"/>
  <c r="G3" i="27" a="1"/>
  <c r="G3" i="27" s="1"/>
  <c r="G6" i="27" s="1"/>
  <c r="F3" i="27" a="1"/>
  <c r="F3" i="27" s="1"/>
  <c r="E3" i="27" a="1"/>
  <c r="E3" i="27" s="1"/>
  <c r="E6" i="27" s="1"/>
  <c r="D3" i="27" a="1"/>
  <c r="D3" i="27" s="1"/>
  <c r="D6" i="27" s="1"/>
  <c r="C3" i="27" a="1"/>
  <c r="C3" i="27" s="1"/>
  <c r="B3" i="27" a="1"/>
  <c r="B3" i="27" s="1"/>
  <c r="A9" i="26"/>
  <c r="A8" i="26"/>
  <c r="A5" i="26"/>
  <c r="K4" i="26"/>
  <c r="J4" i="26"/>
  <c r="I4" i="26"/>
  <c r="H4" i="26"/>
  <c r="H7" i="26" s="1"/>
  <c r="G4" i="26"/>
  <c r="F4" i="26"/>
  <c r="E4" i="26"/>
  <c r="D4" i="26"/>
  <c r="K3" i="26" a="1"/>
  <c r="K3" i="26" s="1"/>
  <c r="K6" i="26" s="1"/>
  <c r="J3" i="26" a="1"/>
  <c r="J3" i="26" s="1"/>
  <c r="J6" i="26" s="1"/>
  <c r="I3" i="26" a="1"/>
  <c r="I3" i="26" s="1"/>
  <c r="I6" i="26" s="1"/>
  <c r="H3" i="26" a="1"/>
  <c r="H3" i="26" s="1"/>
  <c r="H6" i="26" s="1"/>
  <c r="G3" i="26" a="1"/>
  <c r="G3" i="26" s="1"/>
  <c r="G6" i="26" s="1"/>
  <c r="F3" i="26" a="1"/>
  <c r="F3" i="26" s="1"/>
  <c r="E3" i="26" a="1"/>
  <c r="E3" i="26" s="1"/>
  <c r="E6" i="26" s="1"/>
  <c r="D3" i="26" a="1"/>
  <c r="D3" i="26" s="1"/>
  <c r="D6" i="26" s="1"/>
  <c r="C3" i="26" a="1"/>
  <c r="C3" i="26" s="1"/>
  <c r="B3" i="26" a="1"/>
  <c r="B3" i="26" s="1"/>
  <c r="A9" i="25"/>
  <c r="A8" i="25"/>
  <c r="A5" i="25"/>
  <c r="K4" i="25"/>
  <c r="J4" i="25"/>
  <c r="I4" i="25"/>
  <c r="H4" i="25"/>
  <c r="G4" i="25"/>
  <c r="G7" i="25" s="1"/>
  <c r="F4" i="25"/>
  <c r="E4" i="25"/>
  <c r="D4" i="25"/>
  <c r="K3" i="25" a="1"/>
  <c r="K3" i="25" s="1"/>
  <c r="J3" i="25" a="1"/>
  <c r="J3" i="25" s="1"/>
  <c r="J6" i="25" s="1"/>
  <c r="I3" i="25" a="1"/>
  <c r="I3" i="25" s="1"/>
  <c r="I6" i="25" s="1"/>
  <c r="H3" i="25" a="1"/>
  <c r="H3" i="25" s="1"/>
  <c r="H6" i="25" s="1"/>
  <c r="G3" i="25" a="1"/>
  <c r="G3" i="25" s="1"/>
  <c r="G6" i="25" s="1"/>
  <c r="F3" i="25" a="1"/>
  <c r="F3" i="25" s="1"/>
  <c r="E3" i="25" a="1"/>
  <c r="E3" i="25" s="1"/>
  <c r="E6" i="25" s="1"/>
  <c r="D3" i="25" a="1"/>
  <c r="D3" i="25" s="1"/>
  <c r="D6" i="25" s="1"/>
  <c r="C3" i="25" a="1"/>
  <c r="C3" i="25" s="1"/>
  <c r="B3" i="25" a="1"/>
  <c r="B3" i="25" s="1"/>
  <c r="A9" i="24"/>
  <c r="A8" i="24"/>
  <c r="A5" i="24"/>
  <c r="K4" i="24"/>
  <c r="J4" i="24"/>
  <c r="I4" i="24"/>
  <c r="H4" i="24"/>
  <c r="G4" i="24"/>
  <c r="G7" i="24" s="1"/>
  <c r="F4" i="24"/>
  <c r="E4" i="24"/>
  <c r="E7" i="24" s="1"/>
  <c r="D4" i="24"/>
  <c r="K3" i="24" a="1"/>
  <c r="K3" i="24" s="1"/>
  <c r="K6" i="24" s="1"/>
  <c r="J3" i="24" a="1"/>
  <c r="J3" i="24" s="1"/>
  <c r="J6" i="24" s="1"/>
  <c r="I3" i="24" a="1"/>
  <c r="I3" i="24" s="1"/>
  <c r="I6" i="24" s="1"/>
  <c r="H3" i="24" a="1"/>
  <c r="H3" i="24" s="1"/>
  <c r="H6" i="24" s="1"/>
  <c r="G3" i="24" a="1"/>
  <c r="G3" i="24" s="1"/>
  <c r="G6" i="24" s="1"/>
  <c r="F3" i="24" a="1"/>
  <c r="F3" i="24" s="1"/>
  <c r="E3" i="24"/>
  <c r="E6" i="24" s="1"/>
  <c r="E3" i="24" a="1"/>
  <c r="D3" i="24" a="1"/>
  <c r="D3" i="24" s="1"/>
  <c r="D6" i="24" s="1"/>
  <c r="C3" i="24" a="1"/>
  <c r="C3" i="24" s="1"/>
  <c r="B3" i="24" a="1"/>
  <c r="B3" i="24" s="1"/>
  <c r="A9" i="23"/>
  <c r="A8" i="23"/>
  <c r="A5" i="23"/>
  <c r="K4" i="23"/>
  <c r="J4" i="23"/>
  <c r="I4" i="23"/>
  <c r="H4" i="23"/>
  <c r="G4" i="23"/>
  <c r="F4" i="23"/>
  <c r="E4" i="23"/>
  <c r="D4" i="23"/>
  <c r="K3" i="23" a="1"/>
  <c r="K3" i="23" s="1"/>
  <c r="K6" i="23" s="1"/>
  <c r="J3" i="23" a="1"/>
  <c r="J3" i="23" s="1"/>
  <c r="J6" i="23" s="1"/>
  <c r="I3" i="23" a="1"/>
  <c r="I3" i="23" s="1"/>
  <c r="I6" i="23" s="1"/>
  <c r="H3" i="23" a="1"/>
  <c r="H3" i="23" s="1"/>
  <c r="H6" i="23" s="1"/>
  <c r="G3" i="23" a="1"/>
  <c r="G3" i="23" s="1"/>
  <c r="G6" i="23" s="1"/>
  <c r="F3" i="23" a="1"/>
  <c r="F3" i="23" s="1"/>
  <c r="F6" i="23" s="1"/>
  <c r="E3" i="23" a="1"/>
  <c r="E3" i="23" s="1"/>
  <c r="E6" i="23" s="1"/>
  <c r="D3" i="23" a="1"/>
  <c r="D3" i="23" s="1"/>
  <c r="D6" i="23" s="1"/>
  <c r="C3" i="23" a="1"/>
  <c r="C3" i="23" s="1"/>
  <c r="B3" i="23" a="1"/>
  <c r="B3" i="23" s="1"/>
  <c r="A9" i="22"/>
  <c r="A8" i="22"/>
  <c r="A5" i="22"/>
  <c r="K4" i="22"/>
  <c r="K7" i="22" s="1"/>
  <c r="J4" i="22"/>
  <c r="J7" i="22" s="1"/>
  <c r="I4" i="22"/>
  <c r="I7" i="22" s="1"/>
  <c r="H4" i="22"/>
  <c r="G4" i="22"/>
  <c r="G7" i="22" s="1"/>
  <c r="F4" i="22"/>
  <c r="E4" i="22"/>
  <c r="E7" i="22" s="1"/>
  <c r="D4" i="22"/>
  <c r="K3" i="22" a="1"/>
  <c r="K3" i="22" s="1"/>
  <c r="K6" i="22" s="1"/>
  <c r="J3" i="22" a="1"/>
  <c r="J3" i="22" s="1"/>
  <c r="J6" i="22" s="1"/>
  <c r="I3" i="22"/>
  <c r="I6" i="22" s="1"/>
  <c r="I3" i="22" a="1"/>
  <c r="H3" i="22" a="1"/>
  <c r="H3" i="22" s="1"/>
  <c r="H6" i="22" s="1"/>
  <c r="G3" i="22" a="1"/>
  <c r="G3" i="22" s="1"/>
  <c r="G6" i="22" s="1"/>
  <c r="F3" i="22" a="1"/>
  <c r="F3" i="22" s="1"/>
  <c r="E3" i="22"/>
  <c r="E6" i="22" s="1"/>
  <c r="E3" i="22" a="1"/>
  <c r="D3" i="22" a="1"/>
  <c r="D3" i="22" s="1"/>
  <c r="D6" i="22" s="1"/>
  <c r="C3" i="22" a="1"/>
  <c r="C3" i="22" s="1"/>
  <c r="B3" i="22" a="1"/>
  <c r="B3" i="22" s="1"/>
  <c r="A9" i="21"/>
  <c r="A8" i="21"/>
  <c r="A5" i="21"/>
  <c r="K4" i="21"/>
  <c r="J4" i="21"/>
  <c r="I4" i="21"/>
  <c r="H4" i="21"/>
  <c r="G4" i="21"/>
  <c r="F4" i="21"/>
  <c r="E4" i="21"/>
  <c r="D4" i="21"/>
  <c r="K3" i="21" a="1"/>
  <c r="K3" i="21" s="1"/>
  <c r="K6" i="21" s="1"/>
  <c r="J3" i="21" a="1"/>
  <c r="J3" i="21" s="1"/>
  <c r="J6" i="21" s="1"/>
  <c r="I3" i="21"/>
  <c r="I6" i="21" s="1"/>
  <c r="I3" i="21" a="1"/>
  <c r="H3" i="21" a="1"/>
  <c r="H3" i="21" s="1"/>
  <c r="H6" i="21" s="1"/>
  <c r="G3" i="21" a="1"/>
  <c r="G3" i="21" s="1"/>
  <c r="G6" i="21" s="1"/>
  <c r="F3" i="21" a="1"/>
  <c r="F3" i="21" s="1"/>
  <c r="E3" i="21"/>
  <c r="E6" i="21" s="1"/>
  <c r="E3" i="21" a="1"/>
  <c r="D3" i="21"/>
  <c r="D3" i="21" a="1"/>
  <c r="C3" i="21" a="1"/>
  <c r="C3" i="21" s="1"/>
  <c r="B3" i="21" a="1"/>
  <c r="B3" i="21" s="1"/>
  <c r="A9" i="20"/>
  <c r="A8" i="20"/>
  <c r="A5" i="20"/>
  <c r="K4" i="20"/>
  <c r="J4" i="20"/>
  <c r="I4" i="20"/>
  <c r="H4" i="20"/>
  <c r="G4" i="20"/>
  <c r="F4" i="20"/>
  <c r="E4" i="20"/>
  <c r="D4" i="20"/>
  <c r="K3" i="20" a="1"/>
  <c r="K3" i="20" s="1"/>
  <c r="K6" i="20" s="1"/>
  <c r="J3" i="20" a="1"/>
  <c r="J3" i="20" s="1"/>
  <c r="J6" i="20" s="1"/>
  <c r="I3" i="20" a="1"/>
  <c r="I3" i="20" s="1"/>
  <c r="I6" i="20" s="1"/>
  <c r="H3" i="20" a="1"/>
  <c r="H3" i="20" s="1"/>
  <c r="H6" i="20" s="1"/>
  <c r="G3" i="20" a="1"/>
  <c r="G3" i="20" s="1"/>
  <c r="G6" i="20" s="1"/>
  <c r="F3" i="20" a="1"/>
  <c r="F3" i="20" s="1"/>
  <c r="E3" i="20" a="1"/>
  <c r="E3" i="20" s="1"/>
  <c r="E6" i="20" s="1"/>
  <c r="D3" i="20" a="1"/>
  <c r="D3" i="20" s="1"/>
  <c r="D6" i="20" s="1"/>
  <c r="C3" i="20" a="1"/>
  <c r="C3" i="20" s="1"/>
  <c r="B3" i="20" a="1"/>
  <c r="B3" i="20" s="1"/>
  <c r="A9" i="19"/>
  <c r="A8" i="19"/>
  <c r="A5" i="19"/>
  <c r="K4" i="19"/>
  <c r="K7" i="19" s="1"/>
  <c r="J4" i="19"/>
  <c r="I4" i="19"/>
  <c r="H4" i="19"/>
  <c r="G4" i="19"/>
  <c r="F4" i="19"/>
  <c r="E4" i="19"/>
  <c r="D4" i="19"/>
  <c r="K3" i="19" a="1"/>
  <c r="K3" i="19" s="1"/>
  <c r="K6" i="19" s="1"/>
  <c r="J3" i="19" a="1"/>
  <c r="J3" i="19" s="1"/>
  <c r="J6" i="19" s="1"/>
  <c r="I3" i="19" a="1"/>
  <c r="I3" i="19" s="1"/>
  <c r="I6" i="19" s="1"/>
  <c r="H3" i="19"/>
  <c r="H6" i="19" s="1"/>
  <c r="H3" i="19" a="1"/>
  <c r="G3" i="19" a="1"/>
  <c r="G3" i="19" s="1"/>
  <c r="G6" i="19" s="1"/>
  <c r="F3" i="19" a="1"/>
  <c r="F3" i="19" s="1"/>
  <c r="E3" i="19"/>
  <c r="E6" i="19" s="1"/>
  <c r="E3" i="19" a="1"/>
  <c r="D3" i="19" a="1"/>
  <c r="D3" i="19" s="1"/>
  <c r="D7" i="19" s="1"/>
  <c r="C3" i="19" a="1"/>
  <c r="C3" i="19" s="1"/>
  <c r="B3" i="19" a="1"/>
  <c r="B3" i="19" s="1"/>
  <c r="A9" i="18"/>
  <c r="A8" i="18"/>
  <c r="A5" i="18"/>
  <c r="K4" i="18"/>
  <c r="J4" i="18"/>
  <c r="I4" i="18"/>
  <c r="H4" i="18"/>
  <c r="G4" i="18"/>
  <c r="F4" i="18"/>
  <c r="E4" i="18"/>
  <c r="D4" i="18"/>
  <c r="K3" i="18" a="1"/>
  <c r="K3" i="18" s="1"/>
  <c r="K6" i="18" s="1"/>
  <c r="J3" i="18" a="1"/>
  <c r="J3" i="18" s="1"/>
  <c r="J6" i="18" s="1"/>
  <c r="I3" i="18" a="1"/>
  <c r="I3" i="18" s="1"/>
  <c r="I6" i="18" s="1"/>
  <c r="H3" i="18" a="1"/>
  <c r="H3" i="18" s="1"/>
  <c r="H6" i="18" s="1"/>
  <c r="G3" i="18" a="1"/>
  <c r="G3" i="18" s="1"/>
  <c r="G6" i="18" s="1"/>
  <c r="F3" i="18" a="1"/>
  <c r="F3" i="18" s="1"/>
  <c r="F6" i="18" s="1"/>
  <c r="E3" i="18" a="1"/>
  <c r="E3" i="18" s="1"/>
  <c r="E6" i="18" s="1"/>
  <c r="D3" i="18" a="1"/>
  <c r="D3" i="18" s="1"/>
  <c r="D6" i="18" s="1"/>
  <c r="C3" i="18" a="1"/>
  <c r="C3" i="18" s="1"/>
  <c r="B3" i="18" a="1"/>
  <c r="B3" i="18" s="1"/>
  <c r="A9" i="15"/>
  <c r="A8" i="15"/>
  <c r="A5" i="15"/>
  <c r="K4" i="15"/>
  <c r="J4" i="15"/>
  <c r="J7" i="15" s="1"/>
  <c r="I4" i="15"/>
  <c r="H4" i="15"/>
  <c r="G4" i="15"/>
  <c r="G7" i="15" s="1"/>
  <c r="F4" i="15"/>
  <c r="E4" i="15"/>
  <c r="D4" i="15"/>
  <c r="K3" i="15" a="1"/>
  <c r="K3" i="15" s="1"/>
  <c r="K6" i="15" s="1"/>
  <c r="J3" i="15" a="1"/>
  <c r="J3" i="15" s="1"/>
  <c r="J6" i="15" s="1"/>
  <c r="I3" i="15" a="1"/>
  <c r="I3" i="15" s="1"/>
  <c r="I6" i="15" s="1"/>
  <c r="H3" i="15" a="1"/>
  <c r="H3" i="15" s="1"/>
  <c r="H6" i="15" s="1"/>
  <c r="G3" i="15" a="1"/>
  <c r="G3" i="15" s="1"/>
  <c r="G6" i="15" s="1"/>
  <c r="F3" i="15" a="1"/>
  <c r="F3" i="15" s="1"/>
  <c r="E3" i="15" a="1"/>
  <c r="E3" i="15" s="1"/>
  <c r="E6" i="15" s="1"/>
  <c r="D3" i="15" a="1"/>
  <c r="D3" i="15" s="1"/>
  <c r="D6" i="15" s="1"/>
  <c r="C3" i="15" a="1"/>
  <c r="C3" i="15" s="1"/>
  <c r="B3" i="15" a="1"/>
  <c r="B3" i="15" s="1"/>
  <c r="A9" i="16"/>
  <c r="A8" i="16"/>
  <c r="A5" i="16"/>
  <c r="K4" i="16"/>
  <c r="K7" i="16" s="1"/>
  <c r="J4" i="16"/>
  <c r="I4" i="16"/>
  <c r="H4" i="16"/>
  <c r="H7" i="16" s="1"/>
  <c r="G4" i="16"/>
  <c r="F4" i="16"/>
  <c r="E4" i="16"/>
  <c r="D4" i="16"/>
  <c r="K3" i="16" a="1"/>
  <c r="K3" i="16" s="1"/>
  <c r="K6" i="16" s="1"/>
  <c r="J3" i="16" a="1"/>
  <c r="J3" i="16" s="1"/>
  <c r="J6" i="16" s="1"/>
  <c r="I3" i="16" a="1"/>
  <c r="I3" i="16" s="1"/>
  <c r="I6" i="16" s="1"/>
  <c r="H3" i="16" a="1"/>
  <c r="H3" i="16" s="1"/>
  <c r="H6" i="16" s="1"/>
  <c r="G3" i="16" a="1"/>
  <c r="G3" i="16" s="1"/>
  <c r="G6" i="16" s="1"/>
  <c r="F3" i="16" a="1"/>
  <c r="F3" i="16" s="1"/>
  <c r="E3" i="16" a="1"/>
  <c r="E3" i="16" s="1"/>
  <c r="E6" i="16" s="1"/>
  <c r="D3" i="16" a="1"/>
  <c r="D3" i="16" s="1"/>
  <c r="D6" i="16" s="1"/>
  <c r="C3" i="16" a="1"/>
  <c r="C3" i="16" s="1"/>
  <c r="B3" i="16" a="1"/>
  <c r="B3" i="16" s="1"/>
  <c r="A9" i="17"/>
  <c r="A8" i="17"/>
  <c r="A5" i="17"/>
  <c r="K4" i="17"/>
  <c r="J4" i="17"/>
  <c r="I4" i="17"/>
  <c r="H4" i="17"/>
  <c r="G4" i="17"/>
  <c r="F4" i="17"/>
  <c r="E4" i="17"/>
  <c r="D4" i="17"/>
  <c r="K3" i="17" a="1"/>
  <c r="K3" i="17" s="1"/>
  <c r="K6" i="17" s="1"/>
  <c r="J3" i="17" a="1"/>
  <c r="J3" i="17" s="1"/>
  <c r="J6" i="17" s="1"/>
  <c r="I3" i="17" a="1"/>
  <c r="I3" i="17" s="1"/>
  <c r="I6" i="17" s="1"/>
  <c r="H3" i="17" a="1"/>
  <c r="H3" i="17" s="1"/>
  <c r="H6" i="17" s="1"/>
  <c r="G3" i="17" a="1"/>
  <c r="G3" i="17" s="1"/>
  <c r="G6" i="17" s="1"/>
  <c r="F3" i="17" a="1"/>
  <c r="F3" i="17" s="1"/>
  <c r="E3" i="17"/>
  <c r="E6" i="17" s="1"/>
  <c r="E3" i="17" a="1"/>
  <c r="D3" i="17" a="1"/>
  <c r="D3" i="17" s="1"/>
  <c r="D7" i="17" s="1"/>
  <c r="C3" i="17" a="1"/>
  <c r="C3" i="17" s="1"/>
  <c r="B3" i="17" a="1"/>
  <c r="B3" i="17" s="1"/>
  <c r="A9" i="14"/>
  <c r="A8" i="14"/>
  <c r="A5" i="14"/>
  <c r="K4" i="14"/>
  <c r="K7" i="14" s="1"/>
  <c r="J4" i="14"/>
  <c r="J7" i="14" s="1"/>
  <c r="I4" i="14"/>
  <c r="I7" i="14" s="1"/>
  <c r="H4" i="14"/>
  <c r="H7" i="14" s="1"/>
  <c r="G4" i="14"/>
  <c r="F4" i="14"/>
  <c r="E4" i="14"/>
  <c r="D4" i="14"/>
  <c r="K3" i="14" a="1"/>
  <c r="K3" i="14" s="1"/>
  <c r="K6" i="14" s="1"/>
  <c r="J3" i="14" a="1"/>
  <c r="J3" i="14" s="1"/>
  <c r="J6" i="14" s="1"/>
  <c r="I3" i="14" a="1"/>
  <c r="I3" i="14" s="1"/>
  <c r="I6" i="14" s="1"/>
  <c r="H3" i="14" a="1"/>
  <c r="H3" i="14" s="1"/>
  <c r="H6" i="14" s="1"/>
  <c r="G3" i="14" a="1"/>
  <c r="G3" i="14" s="1"/>
  <c r="G6" i="14" s="1"/>
  <c r="F3" i="14" a="1"/>
  <c r="F3" i="14" s="1"/>
  <c r="E3" i="14" a="1"/>
  <c r="E3" i="14" s="1"/>
  <c r="E6" i="14" s="1"/>
  <c r="D3" i="14" a="1"/>
  <c r="D3" i="14" s="1"/>
  <c r="D6" i="14" s="1"/>
  <c r="C3" i="14" a="1"/>
  <c r="C3" i="14" s="1"/>
  <c r="B3" i="14" a="1"/>
  <c r="B3" i="14" s="1"/>
  <c r="A9" i="13"/>
  <c r="A8" i="13"/>
  <c r="H6" i="13"/>
  <c r="A5" i="13"/>
  <c r="K4" i="13"/>
  <c r="K7" i="13" s="1"/>
  <c r="J4" i="13"/>
  <c r="J7" i="13" s="1"/>
  <c r="I4" i="13"/>
  <c r="I7" i="13" s="1"/>
  <c r="H4" i="13"/>
  <c r="H7" i="13" s="1"/>
  <c r="G4" i="13"/>
  <c r="F4" i="13"/>
  <c r="E4" i="13"/>
  <c r="D4" i="13"/>
  <c r="D7" i="13" s="1"/>
  <c r="K3" i="13" a="1"/>
  <c r="K3" i="13" s="1"/>
  <c r="K6" i="13" s="1"/>
  <c r="J3" i="13" a="1"/>
  <c r="J3" i="13" s="1"/>
  <c r="J6" i="13" s="1"/>
  <c r="I3" i="13"/>
  <c r="I6" i="13" s="1"/>
  <c r="I3" i="13" a="1"/>
  <c r="H3" i="13"/>
  <c r="H3" i="13" a="1"/>
  <c r="G3" i="13" a="1"/>
  <c r="G3" i="13" s="1"/>
  <c r="G6" i="13" s="1"/>
  <c r="F3" i="13" a="1"/>
  <c r="F3" i="13" s="1"/>
  <c r="E3" i="13"/>
  <c r="E7" i="13" s="1"/>
  <c r="E3" i="13" a="1"/>
  <c r="D3" i="13"/>
  <c r="D6" i="13" s="1"/>
  <c r="D3" i="13" a="1"/>
  <c r="C3" i="13" a="1"/>
  <c r="C3" i="13" s="1"/>
  <c r="B3" i="13" a="1"/>
  <c r="B3" i="13" s="1"/>
  <c r="A9" i="12"/>
  <c r="A8" i="12"/>
  <c r="A5" i="12"/>
  <c r="K4" i="12"/>
  <c r="K7" i="12" s="1"/>
  <c r="J4" i="12"/>
  <c r="I4" i="12"/>
  <c r="I7" i="12" s="1"/>
  <c r="H4" i="12"/>
  <c r="H7" i="12" s="1"/>
  <c r="G4" i="12"/>
  <c r="G7" i="12" s="1"/>
  <c r="F4" i="12"/>
  <c r="E4" i="12"/>
  <c r="D4" i="12"/>
  <c r="K3" i="12" a="1"/>
  <c r="K3" i="12" s="1"/>
  <c r="K6" i="12" s="1"/>
  <c r="J3" i="12" a="1"/>
  <c r="J3" i="12" s="1"/>
  <c r="J6" i="12" s="1"/>
  <c r="I3" i="12"/>
  <c r="I6" i="12" s="1"/>
  <c r="I3" i="12" a="1"/>
  <c r="H3" i="12" a="1"/>
  <c r="H3" i="12" s="1"/>
  <c r="H6" i="12" s="1"/>
  <c r="G3" i="12" a="1"/>
  <c r="G3" i="12" s="1"/>
  <c r="G6" i="12" s="1"/>
  <c r="F3" i="12" a="1"/>
  <c r="F3" i="12" s="1"/>
  <c r="E3" i="12"/>
  <c r="E7" i="12" s="1"/>
  <c r="E3" i="12" a="1"/>
  <c r="D3" i="12" a="1"/>
  <c r="D3" i="12" s="1"/>
  <c r="D6" i="12" s="1"/>
  <c r="C3" i="12" a="1"/>
  <c r="C3" i="12" s="1"/>
  <c r="B3" i="12" a="1"/>
  <c r="B3" i="12" s="1"/>
  <c r="A9" i="11"/>
  <c r="A8" i="11"/>
  <c r="A5" i="11"/>
  <c r="K4" i="11"/>
  <c r="J4" i="11"/>
  <c r="I4" i="11"/>
  <c r="H4" i="11"/>
  <c r="G4" i="11"/>
  <c r="F4" i="11"/>
  <c r="E4" i="11"/>
  <c r="D4" i="11"/>
  <c r="K3" i="11" a="1"/>
  <c r="K3" i="11" s="1"/>
  <c r="K6" i="11" s="1"/>
  <c r="J3" i="11" a="1"/>
  <c r="J3" i="11" s="1"/>
  <c r="J6" i="11" s="1"/>
  <c r="I3" i="11" a="1"/>
  <c r="I3" i="11" s="1"/>
  <c r="I6" i="11" s="1"/>
  <c r="H3" i="11" a="1"/>
  <c r="H3" i="11" s="1"/>
  <c r="H6" i="11" s="1"/>
  <c r="G3" i="11" a="1"/>
  <c r="G3" i="11" s="1"/>
  <c r="G6" i="11" s="1"/>
  <c r="F3" i="11" a="1"/>
  <c r="F3" i="11" s="1"/>
  <c r="E3" i="11" a="1"/>
  <c r="E3" i="11" s="1"/>
  <c r="E6" i="11" s="1"/>
  <c r="D3" i="11" a="1"/>
  <c r="D3" i="11" s="1"/>
  <c r="D7" i="11" s="1"/>
  <c r="C3" i="11" a="1"/>
  <c r="C3" i="11" s="1"/>
  <c r="B3" i="11" a="1"/>
  <c r="B3" i="11" s="1"/>
  <c r="A9" i="10"/>
  <c r="A8" i="10"/>
  <c r="A5" i="10"/>
  <c r="K4" i="10"/>
  <c r="K7" i="10" s="1"/>
  <c r="J4" i="10"/>
  <c r="I4" i="10"/>
  <c r="H4" i="10"/>
  <c r="G4" i="10"/>
  <c r="F4" i="10"/>
  <c r="E4" i="10"/>
  <c r="D4" i="10"/>
  <c r="K3" i="10" a="1"/>
  <c r="K3" i="10" s="1"/>
  <c r="K6" i="10" s="1"/>
  <c r="J3" i="10" a="1"/>
  <c r="J3" i="10" s="1"/>
  <c r="J6" i="10" s="1"/>
  <c r="I3" i="10" a="1"/>
  <c r="I3" i="10" s="1"/>
  <c r="I6" i="10" s="1"/>
  <c r="H3" i="10" a="1"/>
  <c r="H3" i="10" s="1"/>
  <c r="H6" i="10" s="1"/>
  <c r="G3" i="10" a="1"/>
  <c r="G3" i="10" s="1"/>
  <c r="G6" i="10" s="1"/>
  <c r="F3" i="10" a="1"/>
  <c r="F3" i="10" s="1"/>
  <c r="E3" i="10" a="1"/>
  <c r="E3" i="10" s="1"/>
  <c r="E6" i="10" s="1"/>
  <c r="D3" i="10" a="1"/>
  <c r="D3" i="10" s="1"/>
  <c r="D6" i="10" s="1"/>
  <c r="C3" i="10" a="1"/>
  <c r="C3" i="10" s="1"/>
  <c r="B3" i="10" a="1"/>
  <c r="B3" i="10" s="1"/>
  <c r="A9" i="9"/>
  <c r="A8" i="9"/>
  <c r="A5" i="9"/>
  <c r="K4" i="9"/>
  <c r="J4" i="9"/>
  <c r="J7" i="9" s="1"/>
  <c r="I4" i="9"/>
  <c r="H4" i="9"/>
  <c r="G4" i="9"/>
  <c r="G7" i="9" s="1"/>
  <c r="F4" i="9"/>
  <c r="E4" i="9"/>
  <c r="D4" i="9"/>
  <c r="K3" i="9" a="1"/>
  <c r="K3" i="9" s="1"/>
  <c r="K6" i="9" s="1"/>
  <c r="J3" i="9" a="1"/>
  <c r="J3" i="9" s="1"/>
  <c r="J6" i="9" s="1"/>
  <c r="I3" i="9" a="1"/>
  <c r="I3" i="9" s="1"/>
  <c r="I6" i="9" s="1"/>
  <c r="H3" i="9" a="1"/>
  <c r="H3" i="9" s="1"/>
  <c r="H6" i="9" s="1"/>
  <c r="G3" i="9" a="1"/>
  <c r="G3" i="9" s="1"/>
  <c r="G6" i="9" s="1"/>
  <c r="F3" i="9" a="1"/>
  <c r="F3" i="9" s="1"/>
  <c r="E3" i="9" a="1"/>
  <c r="E3" i="9" s="1"/>
  <c r="E6" i="9" s="1"/>
  <c r="D3" i="9" a="1"/>
  <c r="D3" i="9" s="1"/>
  <c r="D6" i="9" s="1"/>
  <c r="C3" i="9" a="1"/>
  <c r="C3" i="9" s="1"/>
  <c r="B3" i="9" a="1"/>
  <c r="B3" i="9" s="1"/>
  <c r="A9" i="8"/>
  <c r="A8" i="8"/>
  <c r="A5" i="8"/>
  <c r="K4" i="8"/>
  <c r="J4" i="8"/>
  <c r="I4" i="8"/>
  <c r="H4" i="8"/>
  <c r="G4" i="8"/>
  <c r="G7" i="8" s="1"/>
  <c r="F4" i="8"/>
  <c r="E4" i="8"/>
  <c r="D4" i="8"/>
  <c r="K3" i="8" a="1"/>
  <c r="K3" i="8" s="1"/>
  <c r="K6" i="8" s="1"/>
  <c r="J3" i="8" a="1"/>
  <c r="J3" i="8" s="1"/>
  <c r="J6" i="8" s="1"/>
  <c r="I3" i="8" a="1"/>
  <c r="I3" i="8" s="1"/>
  <c r="I6" i="8" s="1"/>
  <c r="H3" i="8" a="1"/>
  <c r="H3" i="8" s="1"/>
  <c r="H6" i="8" s="1"/>
  <c r="G3" i="8" a="1"/>
  <c r="G3" i="8" s="1"/>
  <c r="G6" i="8" s="1"/>
  <c r="F3" i="8" a="1"/>
  <c r="F3" i="8" s="1"/>
  <c r="E3" i="8" a="1"/>
  <c r="E3" i="8" s="1"/>
  <c r="E6" i="8" s="1"/>
  <c r="D3" i="8" a="1"/>
  <c r="D3" i="8" s="1"/>
  <c r="D6" i="8" s="1"/>
  <c r="C3" i="8" a="1"/>
  <c r="C3" i="8" s="1"/>
  <c r="B3" i="8" a="1"/>
  <c r="B3" i="8" s="1"/>
  <c r="A9" i="7"/>
  <c r="A8" i="7"/>
  <c r="A5" i="7"/>
  <c r="K4" i="7"/>
  <c r="J4" i="7"/>
  <c r="I4" i="7"/>
  <c r="H4" i="7"/>
  <c r="G4" i="7"/>
  <c r="G7" i="7" s="1"/>
  <c r="F4" i="7"/>
  <c r="E4" i="7"/>
  <c r="D4" i="7"/>
  <c r="K3" i="7" a="1"/>
  <c r="K3" i="7" s="1"/>
  <c r="K6" i="7" s="1"/>
  <c r="J3" i="7" a="1"/>
  <c r="J3" i="7" s="1"/>
  <c r="J6" i="7" s="1"/>
  <c r="I3" i="7" a="1"/>
  <c r="I3" i="7" s="1"/>
  <c r="I6" i="7" s="1"/>
  <c r="H3" i="7" a="1"/>
  <c r="H3" i="7" s="1"/>
  <c r="H6" i="7" s="1"/>
  <c r="G3" i="7" a="1"/>
  <c r="G3" i="7" s="1"/>
  <c r="G6" i="7" s="1"/>
  <c r="F3" i="7" a="1"/>
  <c r="F3" i="7" s="1"/>
  <c r="E3" i="7" a="1"/>
  <c r="E3" i="7" s="1"/>
  <c r="E6" i="7" s="1"/>
  <c r="D3" i="7" a="1"/>
  <c r="D3" i="7" s="1"/>
  <c r="D6" i="7" s="1"/>
  <c r="C3" i="7" a="1"/>
  <c r="C3" i="7" s="1"/>
  <c r="B3" i="7" a="1"/>
  <c r="B3" i="7" s="1"/>
  <c r="A9" i="6"/>
  <c r="A8" i="6"/>
  <c r="A5" i="6"/>
  <c r="K4" i="6"/>
  <c r="J4" i="6"/>
  <c r="J7" i="6" s="1"/>
  <c r="I4" i="6"/>
  <c r="I7" i="6" s="1"/>
  <c r="H4" i="6"/>
  <c r="G4" i="6"/>
  <c r="F4" i="6"/>
  <c r="E4" i="6"/>
  <c r="D4" i="6"/>
  <c r="K3" i="6" a="1"/>
  <c r="K3" i="6" s="1"/>
  <c r="K6" i="6" s="1"/>
  <c r="J3" i="6" a="1"/>
  <c r="J3" i="6" s="1"/>
  <c r="J6" i="6" s="1"/>
  <c r="I3" i="6"/>
  <c r="I6" i="6" s="1"/>
  <c r="I3" i="6" a="1"/>
  <c r="H3" i="6" a="1"/>
  <c r="H3" i="6" s="1"/>
  <c r="H6" i="6" s="1"/>
  <c r="G3" i="6" a="1"/>
  <c r="G3" i="6" s="1"/>
  <c r="G6" i="6" s="1"/>
  <c r="F3" i="6" a="1"/>
  <c r="F3" i="6" s="1"/>
  <c r="E3" i="6" a="1"/>
  <c r="E3" i="6" s="1"/>
  <c r="E6" i="6" s="1"/>
  <c r="D3" i="6" a="1"/>
  <c r="D3" i="6" s="1"/>
  <c r="D6" i="6" s="1"/>
  <c r="C3" i="6" a="1"/>
  <c r="C3" i="6" s="1"/>
  <c r="B3" i="6" a="1"/>
  <c r="B3" i="6" s="1"/>
  <c r="A9" i="5"/>
  <c r="A8" i="5"/>
  <c r="A5" i="5"/>
  <c r="K4" i="5"/>
  <c r="K7" i="5" s="1"/>
  <c r="J4" i="5"/>
  <c r="J7" i="5" s="1"/>
  <c r="I4" i="5"/>
  <c r="H4" i="5"/>
  <c r="G4" i="5"/>
  <c r="F4" i="5"/>
  <c r="E4" i="5"/>
  <c r="D4" i="5"/>
  <c r="K3" i="5" a="1"/>
  <c r="K3" i="5" s="1"/>
  <c r="K6" i="5" s="1"/>
  <c r="J3" i="5" a="1"/>
  <c r="J3" i="5" s="1"/>
  <c r="J6" i="5" s="1"/>
  <c r="I3" i="5" a="1"/>
  <c r="I3" i="5" s="1"/>
  <c r="I6" i="5" s="1"/>
  <c r="H3" i="5" a="1"/>
  <c r="H3" i="5" s="1"/>
  <c r="H6" i="5" s="1"/>
  <c r="G3" i="5" a="1"/>
  <c r="G3" i="5" s="1"/>
  <c r="G6" i="5" s="1"/>
  <c r="F3" i="5" a="1"/>
  <c r="F3" i="5" s="1"/>
  <c r="E3" i="5" a="1"/>
  <c r="E3" i="5" s="1"/>
  <c r="E6" i="5" s="1"/>
  <c r="D3" i="5" a="1"/>
  <c r="D3" i="5" s="1"/>
  <c r="D6" i="5" s="1"/>
  <c r="C3" i="5" a="1"/>
  <c r="C3" i="5" s="1"/>
  <c r="B3" i="5" a="1"/>
  <c r="B3" i="5" s="1"/>
  <c r="F4" i="4"/>
  <c r="E4" i="4"/>
  <c r="K3" i="4" a="1"/>
  <c r="K3" i="4" s="1"/>
  <c r="K6" i="4" s="1"/>
  <c r="J3" i="4" a="1"/>
  <c r="J3" i="4" s="1"/>
  <c r="J6" i="4" s="1"/>
  <c r="I3" i="4" a="1"/>
  <c r="I3" i="4" s="1"/>
  <c r="I6" i="4" s="1"/>
  <c r="H3" i="4" a="1"/>
  <c r="H3" i="4" s="1"/>
  <c r="H6" i="4" s="1"/>
  <c r="G3" i="4" a="1"/>
  <c r="G3" i="4" s="1"/>
  <c r="G6" i="4" s="1"/>
  <c r="F3" i="4" a="1"/>
  <c r="F3" i="4" s="1"/>
  <c r="F6" i="4" s="1"/>
  <c r="D3" i="4" a="1"/>
  <c r="D3" i="4" s="1"/>
  <c r="D6" i="4" s="1"/>
  <c r="E3" i="4" a="1"/>
  <c r="E3" i="4"/>
  <c r="D4" i="4"/>
  <c r="A9" i="4"/>
  <c r="A8" i="4"/>
  <c r="A5" i="4"/>
  <c r="K4" i="4"/>
  <c r="J4" i="4"/>
  <c r="I4" i="4"/>
  <c r="H4" i="4"/>
  <c r="G4" i="4"/>
  <c r="E6" i="4"/>
  <c r="C3" i="4" a="1"/>
  <c r="C3" i="4" s="1"/>
  <c r="B3" i="4" a="1"/>
  <c r="B3" i="4" s="1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N7" i="3"/>
  <c r="N6" i="3"/>
  <c r="N5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X3" i="3"/>
  <c r="Y3" i="3"/>
  <c r="Z3" i="3"/>
  <c r="AA3" i="3"/>
  <c r="AB3" i="3"/>
  <c r="AC3" i="3"/>
  <c r="AD3" i="3"/>
  <c r="AE3" i="3"/>
  <c r="O3" i="3"/>
  <c r="P3" i="3"/>
  <c r="Q3" i="3"/>
  <c r="R3" i="3"/>
  <c r="S3" i="3"/>
  <c r="T3" i="3"/>
  <c r="U3" i="3"/>
  <c r="V3" i="3"/>
  <c r="W3" i="3"/>
  <c r="N3" i="3"/>
  <c r="E2" i="2"/>
  <c r="F2" i="2"/>
  <c r="G2" i="2"/>
  <c r="H2" i="2"/>
  <c r="I2" i="2"/>
  <c r="J2" i="2"/>
  <c r="K2" i="2"/>
  <c r="E4" i="2"/>
  <c r="F4" i="2"/>
  <c r="G4" i="2"/>
  <c r="H4" i="2"/>
  <c r="I4" i="2"/>
  <c r="J4" i="2"/>
  <c r="K4" i="2"/>
  <c r="E5" i="2"/>
  <c r="F5" i="2"/>
  <c r="G5" i="2"/>
  <c r="H5" i="2"/>
  <c r="I5" i="2"/>
  <c r="J5" i="2"/>
  <c r="K5" i="2"/>
  <c r="E6" i="2"/>
  <c r="F6" i="2"/>
  <c r="G6" i="2"/>
  <c r="H6" i="2"/>
  <c r="I6" i="2"/>
  <c r="J6" i="2"/>
  <c r="K6" i="2"/>
  <c r="D5" i="2"/>
  <c r="D4" i="2"/>
  <c r="B3" i="3" a="1"/>
  <c r="B3" i="3" s="1"/>
  <c r="D4" i="3"/>
  <c r="I7" i="27" l="1"/>
  <c r="E7" i="27"/>
  <c r="G7" i="26"/>
  <c r="J7" i="26"/>
  <c r="I7" i="26"/>
  <c r="E7" i="26"/>
  <c r="E7" i="25"/>
  <c r="I7" i="25"/>
  <c r="J7" i="25"/>
  <c r="H7" i="24"/>
  <c r="I7" i="24"/>
  <c r="I7" i="23"/>
  <c r="J7" i="23"/>
  <c r="H7" i="27"/>
  <c r="J7" i="27"/>
  <c r="K7" i="27"/>
  <c r="D7" i="27"/>
  <c r="F6" i="27"/>
  <c r="F7" i="27"/>
  <c r="D7" i="26"/>
  <c r="F7" i="26"/>
  <c r="F6" i="26"/>
  <c r="K7" i="26"/>
  <c r="H7" i="25"/>
  <c r="D7" i="25"/>
  <c r="F7" i="25"/>
  <c r="F6" i="25"/>
  <c r="K7" i="25"/>
  <c r="K6" i="25"/>
  <c r="D7" i="24"/>
  <c r="F7" i="24"/>
  <c r="F6" i="24"/>
  <c r="J7" i="24"/>
  <c r="K7" i="24"/>
  <c r="G7" i="23"/>
  <c r="D7" i="23"/>
  <c r="K7" i="23"/>
  <c r="E7" i="23"/>
  <c r="H7" i="23"/>
  <c r="F7" i="23"/>
  <c r="H7" i="22"/>
  <c r="D7" i="22"/>
  <c r="F7" i="22"/>
  <c r="F6" i="22"/>
  <c r="E7" i="21"/>
  <c r="H7" i="21"/>
  <c r="D7" i="21"/>
  <c r="I7" i="21"/>
  <c r="G7" i="20"/>
  <c r="I7" i="20"/>
  <c r="E7" i="20"/>
  <c r="J7" i="20"/>
  <c r="E7" i="19"/>
  <c r="I7" i="19"/>
  <c r="H7" i="19"/>
  <c r="J7" i="19"/>
  <c r="H7" i="18"/>
  <c r="I7" i="18"/>
  <c r="J7" i="18"/>
  <c r="K7" i="18"/>
  <c r="K7" i="21"/>
  <c r="F7" i="21"/>
  <c r="F6" i="21"/>
  <c r="J7" i="21"/>
  <c r="G7" i="21"/>
  <c r="D6" i="21"/>
  <c r="H7" i="20"/>
  <c r="D7" i="20"/>
  <c r="F7" i="20"/>
  <c r="F6" i="20"/>
  <c r="K7" i="20"/>
  <c r="F7" i="19"/>
  <c r="F6" i="19"/>
  <c r="G7" i="19"/>
  <c r="D6" i="19"/>
  <c r="G7" i="18"/>
  <c r="D7" i="18"/>
  <c r="E7" i="18"/>
  <c r="F7" i="18"/>
  <c r="H7" i="17"/>
  <c r="I7" i="17"/>
  <c r="E7" i="17"/>
  <c r="J7" i="17"/>
  <c r="I7" i="16"/>
  <c r="E7" i="16"/>
  <c r="E7" i="15"/>
  <c r="I7" i="15"/>
  <c r="H7" i="15"/>
  <c r="D7" i="15"/>
  <c r="F7" i="15"/>
  <c r="F6" i="15"/>
  <c r="K7" i="15"/>
  <c r="J7" i="16"/>
  <c r="F7" i="16"/>
  <c r="F6" i="16"/>
  <c r="D7" i="16"/>
  <c r="G7" i="16"/>
  <c r="K7" i="17"/>
  <c r="F7" i="17"/>
  <c r="F6" i="17"/>
  <c r="G7" i="17"/>
  <c r="D6" i="17"/>
  <c r="E7" i="14"/>
  <c r="F6" i="14"/>
  <c r="F7" i="14"/>
  <c r="D7" i="14"/>
  <c r="G7" i="14"/>
  <c r="F7" i="13"/>
  <c r="F6" i="13"/>
  <c r="G7" i="13"/>
  <c r="E6" i="13"/>
  <c r="J7" i="12"/>
  <c r="D7" i="12"/>
  <c r="F6" i="12"/>
  <c r="F7" i="12"/>
  <c r="E6" i="12"/>
  <c r="E7" i="11"/>
  <c r="I7" i="11"/>
  <c r="H7" i="11"/>
  <c r="H7" i="10"/>
  <c r="D7" i="10"/>
  <c r="I7" i="10"/>
  <c r="E7" i="10"/>
  <c r="J7" i="11"/>
  <c r="K7" i="11"/>
  <c r="F7" i="11"/>
  <c r="F6" i="11"/>
  <c r="G7" i="11"/>
  <c r="D6" i="11"/>
  <c r="J7" i="10"/>
  <c r="F6" i="10"/>
  <c r="F7" i="10"/>
  <c r="G7" i="10"/>
  <c r="I7" i="9"/>
  <c r="E7" i="9"/>
  <c r="H7" i="9"/>
  <c r="D7" i="9"/>
  <c r="F7" i="9"/>
  <c r="F6" i="9"/>
  <c r="K7" i="9"/>
  <c r="G7" i="5"/>
  <c r="J7" i="7"/>
  <c r="K7" i="7"/>
  <c r="J7" i="8"/>
  <c r="K7" i="8"/>
  <c r="E7" i="8"/>
  <c r="I7" i="8"/>
  <c r="D7" i="8"/>
  <c r="F6" i="8"/>
  <c r="F7" i="8"/>
  <c r="H7" i="8"/>
  <c r="I7" i="7"/>
  <c r="E7" i="7"/>
  <c r="D7" i="7"/>
  <c r="F7" i="7"/>
  <c r="F6" i="7"/>
  <c r="H7" i="7"/>
  <c r="E7" i="6"/>
  <c r="G7" i="6"/>
  <c r="H7" i="6"/>
  <c r="D7" i="6"/>
  <c r="F7" i="6"/>
  <c r="F6" i="6"/>
  <c r="K7" i="6"/>
  <c r="I7" i="5"/>
  <c r="E7" i="5"/>
  <c r="H7" i="5"/>
  <c r="D7" i="5"/>
  <c r="F7" i="5"/>
  <c r="F6" i="5"/>
  <c r="I7" i="4"/>
  <c r="E7" i="4"/>
  <c r="G7" i="4"/>
  <c r="H7" i="4"/>
  <c r="J7" i="4"/>
  <c r="K7" i="4"/>
  <c r="D7" i="4"/>
  <c r="F7" i="4"/>
  <c r="D3" i="3" a="1"/>
  <c r="D3" i="3" s="1"/>
  <c r="D6" i="3" s="1"/>
  <c r="E3" i="3" a="1"/>
  <c r="E3" i="3" s="1"/>
  <c r="E6" i="3" s="1"/>
  <c r="E4" i="3"/>
  <c r="F4" i="3"/>
  <c r="G4" i="3"/>
  <c r="H4" i="3"/>
  <c r="I4" i="3"/>
  <c r="J4" i="3"/>
  <c r="K4" i="3"/>
  <c r="K3" i="3" a="1"/>
  <c r="K3" i="3" s="1"/>
  <c r="K6" i="3" s="1"/>
  <c r="J3" i="3" a="1"/>
  <c r="J3" i="3" s="1"/>
  <c r="J6" i="3" s="1"/>
  <c r="I3" i="3" a="1"/>
  <c r="I3" i="3" s="1"/>
  <c r="I6" i="3" s="1"/>
  <c r="H3" i="3" a="1"/>
  <c r="H3" i="3" s="1"/>
  <c r="H6" i="3" s="1"/>
  <c r="G3" i="3" a="1"/>
  <c r="G3" i="3" s="1"/>
  <c r="G6" i="3" s="1"/>
  <c r="F3" i="3" a="1"/>
  <c r="F3" i="3" s="1"/>
  <c r="F6" i="3" s="1"/>
  <c r="C3" i="3" a="1"/>
  <c r="C3" i="3" s="1"/>
  <c r="G7" i="3" l="1"/>
  <c r="D7" i="3"/>
  <c r="E7" i="3"/>
  <c r="A9" i="3"/>
  <c r="A8" i="3"/>
  <c r="A5" i="3"/>
  <c r="F7" i="3" l="1"/>
  <c r="I7" i="3"/>
  <c r="J7" i="3"/>
  <c r="H7" i="3"/>
  <c r="K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<sst xmlns="http://schemas.openxmlformats.org/spreadsheetml/2006/main" count="10517" uniqueCount="8684">
  <si>
    <t>NDB_No</t>
  </si>
  <si>
    <t>Shrt_Desc</t>
  </si>
  <si>
    <t>FA_Sat_(g)</t>
  </si>
  <si>
    <t>Protein_(g)</t>
  </si>
  <si>
    <t>Carbohydrt_(g)</t>
  </si>
  <si>
    <t>Fiber_TD_(g)</t>
  </si>
  <si>
    <t>Sugar_Tot_(g)</t>
  </si>
  <si>
    <t>Sodium_(mg)</t>
  </si>
  <si>
    <t>FA_Mono_(g)</t>
  </si>
  <si>
    <t>FA_Poly_(g)</t>
  </si>
  <si>
    <t>01001</t>
  </si>
  <si>
    <t>BUTTER,WITH SALT</t>
  </si>
  <si>
    <t>01002</t>
  </si>
  <si>
    <t>BUTTER,WHIPPED,W/ SALT</t>
  </si>
  <si>
    <t>01003</t>
  </si>
  <si>
    <t>BUTTER OIL,ANHYDROUS</t>
  </si>
  <si>
    <t>01004</t>
  </si>
  <si>
    <t>CHEESE,BLUE</t>
  </si>
  <si>
    <t>01006</t>
  </si>
  <si>
    <t>CHEESE,BRIE</t>
  </si>
  <si>
    <t>01007</t>
  </si>
  <si>
    <t>CHEESE,CAMEMBERT</t>
  </si>
  <si>
    <t>01008</t>
  </si>
  <si>
    <t>CHEESE,CARAWAY</t>
  </si>
  <si>
    <t>01009</t>
  </si>
  <si>
    <t>CHEESE,CHEDDAR</t>
  </si>
  <si>
    <t>01012</t>
  </si>
  <si>
    <t>CHEESE,COTTAGE,CRMD,LRG OR SML CURD</t>
  </si>
  <si>
    <t>01013</t>
  </si>
  <si>
    <t>CHEESE,COTTAGE,CRMD,W/FRUIT</t>
  </si>
  <si>
    <t>01014</t>
  </si>
  <si>
    <t>CHEESE,COTTAGE,NONFAT,UNCRMD,DRY,LRG OR SML CURD</t>
  </si>
  <si>
    <t>01015</t>
  </si>
  <si>
    <t>CHEESE,COTTAGE,LOWFAT,2% MILKFAT</t>
  </si>
  <si>
    <t>01016</t>
  </si>
  <si>
    <t>CHEESE,COTTAGE,LOWFAT,1% MILKFAT</t>
  </si>
  <si>
    <t>01017</t>
  </si>
  <si>
    <t>CHEESE,CREAM</t>
  </si>
  <si>
    <t>01018</t>
  </si>
  <si>
    <t>CHEESE,EDAM</t>
  </si>
  <si>
    <t>01019</t>
  </si>
  <si>
    <t>CHEESE,FETA</t>
  </si>
  <si>
    <t>01020</t>
  </si>
  <si>
    <t>CHEESE,FONTINA</t>
  </si>
  <si>
    <t>01022</t>
  </si>
  <si>
    <t>CHEESE,GOUDA</t>
  </si>
  <si>
    <t>01023</t>
  </si>
  <si>
    <t>CHEESE,GRUYERE</t>
  </si>
  <si>
    <t>01024</t>
  </si>
  <si>
    <t>CHEESE,LIMBURGER</t>
  </si>
  <si>
    <t>01025</t>
  </si>
  <si>
    <t>CHEESE,MONTEREY</t>
  </si>
  <si>
    <t>01026</t>
  </si>
  <si>
    <t>CHEESE,MOZZARELLA,WHL MILK</t>
  </si>
  <si>
    <t>01027</t>
  </si>
  <si>
    <t>CHEESE,MOZZARELLA,WHL MILK,LO MOIST</t>
  </si>
  <si>
    <t>01028</t>
  </si>
  <si>
    <t>CHEESE,MOZZARELLA,PART SKIM MILK</t>
  </si>
  <si>
    <t>01029</t>
  </si>
  <si>
    <t>CHEESE,MOZZARELLA,LO MOIST,PART-SKIM</t>
  </si>
  <si>
    <t>01030</t>
  </si>
  <si>
    <t>CHEESE,MUENSTER</t>
  </si>
  <si>
    <t>01031</t>
  </si>
  <si>
    <t>CHEESE,NEUFCHATEL</t>
  </si>
  <si>
    <t>01033</t>
  </si>
  <si>
    <t>CHEESE,PARMESAN,HARD</t>
  </si>
  <si>
    <t>01035</t>
  </si>
  <si>
    <t>CHEESE,PROVOLONE</t>
  </si>
  <si>
    <t>01036</t>
  </si>
  <si>
    <t>CHEESE,RICOTTA,WHOLE MILK</t>
  </si>
  <si>
    <t>01037</t>
  </si>
  <si>
    <t>CHEESE,RICOTTA,PART SKIM MILK</t>
  </si>
  <si>
    <t>01038</t>
  </si>
  <si>
    <t>CHEESE,ROMANO</t>
  </si>
  <si>
    <t>01040</t>
  </si>
  <si>
    <t>CHEESE,SWISS</t>
  </si>
  <si>
    <t>01041</t>
  </si>
  <si>
    <t>CHEESE,TILSIT</t>
  </si>
  <si>
    <t>01042</t>
  </si>
  <si>
    <t>CHEESE,PAST PROCESS,AMERICAN,FORT W/ VITAMIN D</t>
  </si>
  <si>
    <t>01043</t>
  </si>
  <si>
    <t>CHEESE,PAST PROCESS,PIMENTO</t>
  </si>
  <si>
    <t>01044</t>
  </si>
  <si>
    <t>CHEESE,PAST PROCESS,SWISS</t>
  </si>
  <si>
    <t>01045</t>
  </si>
  <si>
    <t>CHEESE FD,COLD PK,AMERICAN</t>
  </si>
  <si>
    <t>01047</t>
  </si>
  <si>
    <t>CHEESE FD,PAST PROCESS,SWISS</t>
  </si>
  <si>
    <t>01048</t>
  </si>
  <si>
    <t>CHEESE SPRD,PAST PROCESS,AMERICAN</t>
  </si>
  <si>
    <t>01049</t>
  </si>
  <si>
    <t>CREAM,FLUID,HALF AND HALF</t>
  </si>
  <si>
    <t>01052</t>
  </si>
  <si>
    <t>CREAM,FLUID,LT WHIPPING</t>
  </si>
  <si>
    <t>01054</t>
  </si>
  <si>
    <t>CREAM,WHIPPED,CRM TOPPING,PRESSURIZED</t>
  </si>
  <si>
    <t>01055</t>
  </si>
  <si>
    <t>CREAM,SOUR,RED FAT,CULTURED</t>
  </si>
  <si>
    <t>01056</t>
  </si>
  <si>
    <t>CREAM,SOUR,CULTURED</t>
  </si>
  <si>
    <t>01057</t>
  </si>
  <si>
    <t>EGGNOG</t>
  </si>
  <si>
    <t>01058</t>
  </si>
  <si>
    <t>SOUR DRSNG,NON-BUTTERFAT,CULTURED,FILLED CREAM-TYPE</t>
  </si>
  <si>
    <t>01059</t>
  </si>
  <si>
    <t>MILK,FILLED,FLUID,W/BLEND OF HYDR VEG OILS</t>
  </si>
  <si>
    <t>01060</t>
  </si>
  <si>
    <t>MILK,FILLED,FLUID,W/LAURIC ACID OIL</t>
  </si>
  <si>
    <t>01061</t>
  </si>
  <si>
    <t>CHEESE,AMERICAN,NONFAT OR FAT FREE</t>
  </si>
  <si>
    <t>01068</t>
  </si>
  <si>
    <t>CREAM SUB,LIQ,W/LAURIC ACID OIL&amp;NA CASEINATE</t>
  </si>
  <si>
    <t>01069</t>
  </si>
  <si>
    <t>CREAM SUBSTITUTE,POWDERED</t>
  </si>
  <si>
    <t>01070</t>
  </si>
  <si>
    <t>DESSERT TOPPING,POWDERED</t>
  </si>
  <si>
    <t>01071</t>
  </si>
  <si>
    <t>DESSERT TOPPING,PDR,1.5 OZ PREP W/1/2 CUP MILK</t>
  </si>
  <si>
    <t>01072</t>
  </si>
  <si>
    <t>DESSERT TOPPING,PRESSURIZED</t>
  </si>
  <si>
    <t>01073</t>
  </si>
  <si>
    <t>DESSERT TOPPING,SEMI SOLID,FRZ</t>
  </si>
  <si>
    <t>01074</t>
  </si>
  <si>
    <t>SOUR CRM,IMITN,CULTURED</t>
  </si>
  <si>
    <t>01076</t>
  </si>
  <si>
    <t>MILK SUBSTITUTES,FLUID,W/LAURIC ACID OIL</t>
  </si>
  <si>
    <t>01080</t>
  </si>
  <si>
    <t>MILK,RED FAT,FLUID,2% MILKFAT,W/ ADDED NFMS, VIT A &amp; VIT D</t>
  </si>
  <si>
    <t>01081</t>
  </si>
  <si>
    <t>MILK,RED FAT,FLUID,2% MILKFAT,PROT FORT,W/ ADDED VIT A &amp; D</t>
  </si>
  <si>
    <t>01083</t>
  </si>
  <si>
    <t>MILK,LOWFAT,FLUID,1% MILKFAT,W/ ADD NONFAT MILK SOL,VIT A/ D</t>
  </si>
  <si>
    <t>01084</t>
  </si>
  <si>
    <t>MILK,LOWFAT,FLUID,1% MILKFAT,PROT FORT,W/ ADDED VIT A &amp; D</t>
  </si>
  <si>
    <t>01086</t>
  </si>
  <si>
    <t>MILK,NONFAT,FLUID,W/ ADDED NONFAT MILK SOL,VIT A &amp; VIT D</t>
  </si>
  <si>
    <t>01087</t>
  </si>
  <si>
    <t>MILK,NONFAT,FLUID,PROT FORT,W/ ADD VIT A &amp; D (FAT FREE/SKIM)</t>
  </si>
  <si>
    <t>01088</t>
  </si>
  <si>
    <t>MILK,BTTRMLK,FLUID,CULTURED,LOWFAT</t>
  </si>
  <si>
    <t>01089</t>
  </si>
  <si>
    <t>MILK,LO NA,FLUID</t>
  </si>
  <si>
    <t>01090</t>
  </si>
  <si>
    <t>MILK,DRY,WHL,W/ ADDED VITAMIN D</t>
  </si>
  <si>
    <t>01091</t>
  </si>
  <si>
    <t>MILK,DRY,NONFAT,REG,WO/ ADDED VIT A &amp; VITAMIN D</t>
  </si>
  <si>
    <t>01092</t>
  </si>
  <si>
    <t>MILK,DRY,NONFAT,INST,W/ ADDED VIT A &amp; VITAMIN D</t>
  </si>
  <si>
    <t>01093</t>
  </si>
  <si>
    <t>MILK,DRY,NONFAT,CA RED</t>
  </si>
  <si>
    <t>01094</t>
  </si>
  <si>
    <t>MILK,BUTTERMILK,DRIED</t>
  </si>
  <si>
    <t>01096</t>
  </si>
  <si>
    <t>MILK,CND,EVAP,W/ ADDED VITAMIN D &amp; WO/ ADDED VIT A</t>
  </si>
  <si>
    <t>01102</t>
  </si>
  <si>
    <t>MILK,CHOC,FLUID,COMM,WHL,W/ ADDED VIT A &amp; VITAMIN D</t>
  </si>
  <si>
    <t>01103</t>
  </si>
  <si>
    <t>MILK,CHOC,FLUID,COMM,RED FAT</t>
  </si>
  <si>
    <t>01105</t>
  </si>
  <si>
    <t>MILK,CHOC BEV,HOT COCOA,HOMEMADE</t>
  </si>
  <si>
    <t>01106</t>
  </si>
  <si>
    <t>MILK,GOAT,FLUID,W/ ADDED VITAMIN D</t>
  </si>
  <si>
    <t>01107</t>
  </si>
  <si>
    <t>MILK,HUMAN,MATURE,FLUID</t>
  </si>
  <si>
    <t>01108</t>
  </si>
  <si>
    <t>MILK,INDIAN BUFFALO,FLUID</t>
  </si>
  <si>
    <t>01109</t>
  </si>
  <si>
    <t>MILK,SHEEP,FLUID</t>
  </si>
  <si>
    <t>01110</t>
  </si>
  <si>
    <t>MILK SHAKES,THICK CHOC</t>
  </si>
  <si>
    <t>01111</t>
  </si>
  <si>
    <t>MILK SHAKES,THICK VANILLA</t>
  </si>
  <si>
    <t>01113</t>
  </si>
  <si>
    <t>WHEY,ACID,DRIED</t>
  </si>
  <si>
    <t>01114</t>
  </si>
  <si>
    <t>WHEY,SWEET,FLUID</t>
  </si>
  <si>
    <t>01115</t>
  </si>
  <si>
    <t>WHEY,SWEET,DRIED</t>
  </si>
  <si>
    <t>01117</t>
  </si>
  <si>
    <t>YOGURT,PLN,LOFAT,12 GRAMS PROT PER 8 OZ</t>
  </si>
  <si>
    <t>01118</t>
  </si>
  <si>
    <t>YOGURT,PLN,SKIM MILK,13 GRAMS PROT PER 8 OZ</t>
  </si>
  <si>
    <t>01119</t>
  </si>
  <si>
    <t>YOGURT,VANILLA,LOFAT,11 GRAMS PROT PER 8 OZ</t>
  </si>
  <si>
    <t>01120</t>
  </si>
  <si>
    <t>YOGURT,FRUIT,LOFAT,9 GRAMS PROT PER 8 OZ</t>
  </si>
  <si>
    <t>01121</t>
  </si>
  <si>
    <t>YOGURT,FRUIT,LOFAT,10 GRAMS PROT PER 8 OZ</t>
  </si>
  <si>
    <t>01122</t>
  </si>
  <si>
    <t>YOGURT,FRUIT,LOFAT,11 GRAMS PROT PER 8 OZ</t>
  </si>
  <si>
    <t>01123</t>
  </si>
  <si>
    <t>EGG,WHL,RAW,FRSH</t>
  </si>
  <si>
    <t>01125</t>
  </si>
  <si>
    <t>EGG,YOLK,RAW,FRSH</t>
  </si>
  <si>
    <t>01126</t>
  </si>
  <si>
    <t>EGG,YOLK,RAW,FRZ,PAST</t>
  </si>
  <si>
    <t>01128</t>
  </si>
  <si>
    <t>EGG,WHL,CKD,FRIED</t>
  </si>
  <si>
    <t>01130</t>
  </si>
  <si>
    <t>EGG,WHOLE,COOKED,OMELET</t>
  </si>
  <si>
    <t>01132</t>
  </si>
  <si>
    <t>EGG,WHL,CKD,SCRMBLD</t>
  </si>
  <si>
    <t>01133</t>
  </si>
  <si>
    <t>EGG,WHL,DRIED</t>
  </si>
  <si>
    <t>01134</t>
  </si>
  <si>
    <t>EGG,WHL,DRIED,STABILIZED,GLUCOSE RED</t>
  </si>
  <si>
    <t>01135</t>
  </si>
  <si>
    <t>EGG,WHITE,DRIED,FLAKES,STABILIZED,GLUCOSE RED</t>
  </si>
  <si>
    <t>01138</t>
  </si>
  <si>
    <t>EGG,DUCK,WHOLE,FRESH,RAW</t>
  </si>
  <si>
    <t>01139</t>
  </si>
  <si>
    <t>EGG,GOOSE,WHOLE,FRESH,RAW</t>
  </si>
  <si>
    <t>01140</t>
  </si>
  <si>
    <t>EGG,QUAIL,WHOLE,FRESH,RAW</t>
  </si>
  <si>
    <t>01144</t>
  </si>
  <si>
    <t>EGG SUBSTITUTE,POWDER</t>
  </si>
  <si>
    <t>01145</t>
  </si>
  <si>
    <t>BUTTER,WITHOUT SALT</t>
  </si>
  <si>
    <t>01146</t>
  </si>
  <si>
    <t>CHEESE,PARMESAN,SHREDDED</t>
  </si>
  <si>
    <t>01151</t>
  </si>
  <si>
    <t>MILK,NONFAT,FLUID,WO/ ADDED VIT A &amp; VIT D (FAT FREE OR SKIM)</t>
  </si>
  <si>
    <t>01152</t>
  </si>
  <si>
    <t>MILK,RED FAT,FLUID,2% MILKFAT,W/ NONFAT MILK SOL,WO/ VIT A</t>
  </si>
  <si>
    <t>01153</t>
  </si>
  <si>
    <t>MILK,CND,EVAP,W/ VIT A</t>
  </si>
  <si>
    <t>01154</t>
  </si>
  <si>
    <t>MILK,DRY,NONFAT,REG,W/ ADDED VIT A &amp; VITAMIN D</t>
  </si>
  <si>
    <t>01155</t>
  </si>
  <si>
    <t>MILK,DRY,NONFAT,INST,WO/ ADDED VIT A &amp; VITAMIN D</t>
  </si>
  <si>
    <t>01156</t>
  </si>
  <si>
    <t>CHEESE,GOAT,HARD TYPE</t>
  </si>
  <si>
    <t>01157</t>
  </si>
  <si>
    <t>CHEESE,GOAT,SEMISOFT TYPE</t>
  </si>
  <si>
    <t>01160</t>
  </si>
  <si>
    <t>EGG,YOLK,RAW,FRZ,SALTED,PAST</t>
  </si>
  <si>
    <t>01161</t>
  </si>
  <si>
    <t>CHEESE SUB,MOZZARELLA</t>
  </si>
  <si>
    <t>01164</t>
  </si>
  <si>
    <t>CHEESE SAU,PREP FROM RECIPE</t>
  </si>
  <si>
    <t>01165</t>
  </si>
  <si>
    <t>CHEESE,MEXICAN,QUESO ANEJO</t>
  </si>
  <si>
    <t>01166</t>
  </si>
  <si>
    <t>CHEESE,MEXICAN,QUESO ASADERO</t>
  </si>
  <si>
    <t>01168</t>
  </si>
  <si>
    <t>CHEESE,LOFAT,CHEDDAR OR COLBY</t>
  </si>
  <si>
    <t>01169</t>
  </si>
  <si>
    <t>CHEESE,LOW-SODIUM,CHEDDAR OR COLBY</t>
  </si>
  <si>
    <t>01171</t>
  </si>
  <si>
    <t>EGG,WHL,RAW,FRZ,PAST</t>
  </si>
  <si>
    <t>01178</t>
  </si>
  <si>
    <t>SOUR CREAM,REDUCED FAT</t>
  </si>
  <si>
    <t>01179</t>
  </si>
  <si>
    <t>SOUR CREAM,LIGHT</t>
  </si>
  <si>
    <t>01180</t>
  </si>
  <si>
    <t>SOUR CREAM,FAT FREE</t>
  </si>
  <si>
    <t>01182</t>
  </si>
  <si>
    <t>USDA COMMODITY,CHS,CHEDDAR,RED FAT</t>
  </si>
  <si>
    <t>01184</t>
  </si>
  <si>
    <t>YOGURT,VAN OR LEM FLAV,NONFAT MILK,SWTND W/LOW-CALORIE SWTNR</t>
  </si>
  <si>
    <t>01185</t>
  </si>
  <si>
    <t>PARMESAN CHS TOPPING,FAT FREE</t>
  </si>
  <si>
    <t>01186</t>
  </si>
  <si>
    <t>CHEESE,CREAM,FAT FREE</t>
  </si>
  <si>
    <t>01187</t>
  </si>
  <si>
    <t>YOGURT,CHOC,NONFAT MILK</t>
  </si>
  <si>
    <t>01188</t>
  </si>
  <si>
    <t>KRAFT CHEEZ WHIZ PAST PROCESS CHS SAU</t>
  </si>
  <si>
    <t>01189</t>
  </si>
  <si>
    <t>KRAFT CHEEZ WHIZ LT PAST PROCESS CHS PRODUCT</t>
  </si>
  <si>
    <t>01190</t>
  </si>
  <si>
    <t>KRAFT FREE SINGLES AMERICAN NONFAT PAST PROCESS CHS PRODUCT</t>
  </si>
  <si>
    <t>01191</t>
  </si>
  <si>
    <t>KRAFT VELVEETA PAST PROCESS CHS SPRD</t>
  </si>
  <si>
    <t>01194</t>
  </si>
  <si>
    <t>KRAFT BREAKSTONE'S FREE FAT FREE SOUR CRM</t>
  </si>
  <si>
    <t>01199</t>
  </si>
  <si>
    <t>CREAM,HALF &amp; HALF,FAT FREE</t>
  </si>
  <si>
    <t>01200</t>
  </si>
  <si>
    <t>REDDI WIP FAT FREE WHIPPED TOPPING</t>
  </si>
  <si>
    <t>01204</t>
  </si>
  <si>
    <t>CHEESE,PARMESAN,DRY GRATED,RED FAT</t>
  </si>
  <si>
    <t>01205</t>
  </si>
  <si>
    <t>CREAM SUB,FLAV,LIQ</t>
  </si>
  <si>
    <t>01206</t>
  </si>
  <si>
    <t>CREAM SUB,FLAV,PDR</t>
  </si>
  <si>
    <t>01208</t>
  </si>
  <si>
    <t>CHEESE,PROVOLONE,RED FAT</t>
  </si>
  <si>
    <t>01210</t>
  </si>
  <si>
    <t>EGG MIX,USDA CMDTY</t>
  </si>
  <si>
    <t>01211</t>
  </si>
  <si>
    <t>MILK,WHL,3.25% MILKFAT,WO/ ADDED VIT A &amp; VITAMIN D</t>
  </si>
  <si>
    <t>01212</t>
  </si>
  <si>
    <t>MILK,DRY,WHL,WO/ ADDED VITAMIN D</t>
  </si>
  <si>
    <t>01214</t>
  </si>
  <si>
    <t>MILK,CND,EVAP,WO/ ADDED VIT A &amp; VITAMIN D</t>
  </si>
  <si>
    <t>01215</t>
  </si>
  <si>
    <t>CHEESE PRODUCT,PAST PROCESS,AMERICAN,RED FAT,FORT W/ VIT D</t>
  </si>
  <si>
    <t>01216</t>
  </si>
  <si>
    <t>YOGURT,FRUIT,LOFAT,9 GRAMS PROT PER 8 OZ,FORT W/ VITAMIN D</t>
  </si>
  <si>
    <t>01217</t>
  </si>
  <si>
    <t>YOGURT,FRUIT,LOFAT,10 GRAMS PROT PER 8 OZ,FORT W/ VITAMIN D</t>
  </si>
  <si>
    <t>01218</t>
  </si>
  <si>
    <t>YOGURT,FRUIT VAR,NONFAT,FORT W/ VITAMIN D</t>
  </si>
  <si>
    <t>01219</t>
  </si>
  <si>
    <t>YOGURT,FRUIT,LOWFAT,W/ LO CAL SWTNR,FORT W/ VITAMIN D</t>
  </si>
  <si>
    <t>01220</t>
  </si>
  <si>
    <t>YOGURT,VANILLA,LOFAT,11 GRAMS PROT PER 8 OZ,FORT W/ VIT D</t>
  </si>
  <si>
    <t>01221</t>
  </si>
  <si>
    <t>YOGURT,VAN/LEM FLAV,NONFAT MILK,W/ LO-CAL SWTNR,FORT W/VIT D</t>
  </si>
  <si>
    <t>01222</t>
  </si>
  <si>
    <t>YOGURT,CHOC,NONFAT MILK,FORT W/ VITAMIN D</t>
  </si>
  <si>
    <t>01223</t>
  </si>
  <si>
    <t>PROTEIN SUPP,MILK BSD,MUSCLE MILK,PDR</t>
  </si>
  <si>
    <t>01224</t>
  </si>
  <si>
    <t>PROTEIN SUPP,MILK BSD,MUSCLE MILK LT,PDR</t>
  </si>
  <si>
    <t>01225</t>
  </si>
  <si>
    <t>DULCE DE LECHE</t>
  </si>
  <si>
    <t>01227</t>
  </si>
  <si>
    <t>CHEESE,DRY WHITE,QUESO SECO</t>
  </si>
  <si>
    <t>01228</t>
  </si>
  <si>
    <t>CHEESE,FRSH,QUESO FRESCO</t>
  </si>
  <si>
    <t>01229</t>
  </si>
  <si>
    <t>CHEESE,WHITE,QUESO BLANCO</t>
  </si>
  <si>
    <t>01230</t>
  </si>
  <si>
    <t>MILK,BTTRMLK,FLUID,WHL</t>
  </si>
  <si>
    <t>01231</t>
  </si>
  <si>
    <t>YOGURT,VANILLA FLAVOR,LOWFAT MILK,SWTND W/ LO CAL SWTNR</t>
  </si>
  <si>
    <t>01235</t>
  </si>
  <si>
    <t>YOGURT,FRZ,FLAVORS NOT CHOC,NONFAT MILK,W/ LOW-CALORIE SWTNR</t>
  </si>
  <si>
    <t>01236</t>
  </si>
  <si>
    <t>ICE CRM,SOFT SERVE,CHOC</t>
  </si>
  <si>
    <t>01237</t>
  </si>
  <si>
    <t>ICE CRM,BAR OR STK,CHOC COVERED</t>
  </si>
  <si>
    <t>01238</t>
  </si>
  <si>
    <t>ICE CRM SNDWCH</t>
  </si>
  <si>
    <t>01239</t>
  </si>
  <si>
    <t>ICE CRM COOKIE SNDWCH</t>
  </si>
  <si>
    <t>01240</t>
  </si>
  <si>
    <t>ICE CRM CONE,CHOC COVERED,W/ NUTS,FLAVORS OTHER THAN CHOC</t>
  </si>
  <si>
    <t>01241</t>
  </si>
  <si>
    <t>ICE CRM SNDWCH,MADE W/ LT ICE CRM,VANILLA</t>
  </si>
  <si>
    <t>01242</t>
  </si>
  <si>
    <t>ICE CRM SNDWCH,VANILLA,LT,NO SUGAR ADDED</t>
  </si>
  <si>
    <t>01250</t>
  </si>
  <si>
    <t>NUTRITIONAL SUPP FOR PEOPLE W/ DIABETES,LIQ</t>
  </si>
  <si>
    <t>01251</t>
  </si>
  <si>
    <t>CHEESE,MEXICAN BLEND</t>
  </si>
  <si>
    <t>01252</t>
  </si>
  <si>
    <t>CHEESE PRODUCT,PAST PROCESS,AMERICAN,VITAMIN D FORT</t>
  </si>
  <si>
    <t>01254</t>
  </si>
  <si>
    <t>CHEESE FD,PAST PROCESS,AMERICAN,WO/ ADDED VITAMIN D</t>
  </si>
  <si>
    <t>01255</t>
  </si>
  <si>
    <t>EGG,WHL,RAW,FRZ,SALTED,PAST</t>
  </si>
  <si>
    <t>01256</t>
  </si>
  <si>
    <t>YOGURT,GREEK,PLN,NONFAT</t>
  </si>
  <si>
    <t>01258</t>
  </si>
  <si>
    <t>EGG,WHITE,DRIED,STABILIZED,GLUCOSE RED</t>
  </si>
  <si>
    <t>01259</t>
  </si>
  <si>
    <t>CHEESE SPRD,AMERICAN OR CHEDDAR CHS BASE,RED FAT</t>
  </si>
  <si>
    <t>01260</t>
  </si>
  <si>
    <t>CHEESE,CHEDDAR,RED FAT</t>
  </si>
  <si>
    <t>01263</t>
  </si>
  <si>
    <t>ICE CRM,LT,SOFT SERVE,CHOC</t>
  </si>
  <si>
    <t>01264</t>
  </si>
  <si>
    <t>ICE CRM BAR,STK OR NUGGET,W/ CRUNCH COATING</t>
  </si>
  <si>
    <t>01265</t>
  </si>
  <si>
    <t>CHEESE,CHEDDAR,NONFAT OR FAT FREE</t>
  </si>
  <si>
    <t>01271</t>
  </si>
  <si>
    <t>CHEESE,MOZZARELLA,LO MOIST,PART-SKIM,SHREDDED</t>
  </si>
  <si>
    <t>01275</t>
  </si>
  <si>
    <t>YOGURT,GREEK,NONFAT,VANILLA,CHOBANI</t>
  </si>
  <si>
    <t>01276</t>
  </si>
  <si>
    <t>YOGURT,GREEK,STRAWBERRY,DANNON OIKOS</t>
  </si>
  <si>
    <t>01280</t>
  </si>
  <si>
    <t>YOGURT,GREEK,NONFAT,STRAWBERRY,DANNON OIKOS</t>
  </si>
  <si>
    <t>01281</t>
  </si>
  <si>
    <t>YOGURT,GREEK,NONFAT,STRAWBERRY,CHOBANI</t>
  </si>
  <si>
    <t>01284</t>
  </si>
  <si>
    <t>YOGURT,GREEK,STRAWBERRY,LOWFAT</t>
  </si>
  <si>
    <t>01285</t>
  </si>
  <si>
    <t>YOGURT,GREEK,STRAWBERRY,NONFAT</t>
  </si>
  <si>
    <t>01286</t>
  </si>
  <si>
    <t>YOGURT,GREEK,VANILLA,NONFAT</t>
  </si>
  <si>
    <t>01287</t>
  </si>
  <si>
    <t>YOGURT,GREEK,PLN,LOWFAT</t>
  </si>
  <si>
    <t>01289</t>
  </si>
  <si>
    <t>KEFIR,LOWFAT,PLN,LIFEWAY</t>
  </si>
  <si>
    <t>01290</t>
  </si>
  <si>
    <t>KEFIR,LOWFAT,STRAWBERRY,LIFEWAY</t>
  </si>
  <si>
    <t>01293</t>
  </si>
  <si>
    <t>YOGURT,GREEK,PLN,WHL MILK</t>
  </si>
  <si>
    <t>01294</t>
  </si>
  <si>
    <t>YOGURT,GREEK,FRUIT,WHL MILK</t>
  </si>
  <si>
    <t>01295</t>
  </si>
  <si>
    <t>YOGURT,VANILLA,NON-FAT</t>
  </si>
  <si>
    <t>01297</t>
  </si>
  <si>
    <t>YOGURT,GREEK,VANILLA,LOWFAT</t>
  </si>
  <si>
    <t>01300</t>
  </si>
  <si>
    <t>ICE CRM BAR,COVERED W/ CHOC &amp; NUTS</t>
  </si>
  <si>
    <t>01301</t>
  </si>
  <si>
    <t>ICE CRM SUNDAE CONE</t>
  </si>
  <si>
    <t>01302</t>
  </si>
  <si>
    <t>LIGHT ICE CRM,CREAMSICLE</t>
  </si>
  <si>
    <t>01303</t>
  </si>
  <si>
    <t>CREAM,HALF &amp; HALF,LOWFAT</t>
  </si>
  <si>
    <t>Target</t>
  </si>
  <si>
    <r>
      <t>=</t>
    </r>
    <r>
      <rPr>
        <sz val="11"/>
        <color theme="1"/>
        <rFont val="Calibri"/>
        <family val="2"/>
      </rPr>
      <t>θ-</t>
    </r>
    <r>
      <rPr>
        <sz val="12"/>
        <color theme="1"/>
        <rFont val="Calibri"/>
        <family val="2"/>
      </rPr>
      <t>E</t>
    </r>
  </si>
  <si>
    <t>&lt;=</t>
    <phoneticPr fontId="5" type="noConversion"/>
  </si>
  <si>
    <t>&gt;=</t>
    <phoneticPr fontId="5" type="noConversion"/>
  </si>
  <si>
    <t>&lt;=</t>
  </si>
  <si>
    <t>≥</t>
  </si>
  <si>
    <r>
      <rPr>
        <sz val="12"/>
        <color theme="1"/>
        <rFont val="等线"/>
        <family val="2"/>
      </rPr>
      <t>≤</t>
    </r>
  </si>
  <si>
    <t>=E</t>
  </si>
  <si>
    <t>RHS</t>
  </si>
  <si>
    <r>
      <t>=</t>
    </r>
    <r>
      <rPr>
        <sz val="11"/>
        <color theme="1"/>
        <rFont val="Calibri"/>
        <family val="2"/>
      </rPr>
      <t>θ</t>
    </r>
  </si>
  <si>
    <t>Factor</t>
  </si>
  <si>
    <r>
      <t>=</t>
    </r>
    <r>
      <rPr>
        <sz val="11"/>
        <color theme="1"/>
        <rFont val="Calibri"/>
        <family val="2"/>
      </rPr>
      <t>θ</t>
    </r>
    <r>
      <rPr>
        <sz val="12"/>
        <color theme="1"/>
        <rFont val="Calibri"/>
        <family val="2"/>
      </rPr>
      <t>+E</t>
    </r>
  </si>
  <si>
    <r>
      <t>=</t>
    </r>
    <r>
      <rPr>
        <sz val="11"/>
        <color theme="1"/>
        <rFont val="Calibri"/>
        <family val="2"/>
      </rPr>
      <t>Σ</t>
    </r>
    <r>
      <rPr>
        <sz val="12"/>
        <color theme="1"/>
        <rFont val="Calibri"/>
        <family val="2"/>
      </rPr>
      <t xml:space="preserve"> λ</t>
    </r>
  </si>
  <si>
    <t>λ</t>
  </si>
  <si>
    <t>Carbohydrt_(g)</t>
    <phoneticPr fontId="5" type="noConversion"/>
  </si>
  <si>
    <t>FA_Mono_(g)</t>
    <phoneticPr fontId="5" type="noConversion"/>
  </si>
  <si>
    <t>Average</t>
  </si>
  <si>
    <t>Min</t>
  </si>
  <si>
    <t>Max</t>
  </si>
  <si>
    <t>Std Dev</t>
  </si>
  <si>
    <t>Median</t>
  </si>
  <si>
    <t>Actual</t>
  </si>
  <si>
    <t>E</t>
    <phoneticPr fontId="5" type="noConversion"/>
  </si>
  <si>
    <t>θ</t>
    <phoneticPr fontId="5" type="noConversion"/>
  </si>
  <si>
    <t>Actual Value</t>
    <phoneticPr fontId="5" type="noConversion"/>
  </si>
  <si>
    <t>Factor Value</t>
    <phoneticPr fontId="5" type="noConversion"/>
  </si>
  <si>
    <t>Target Value</t>
    <phoneticPr fontId="5" type="noConversion"/>
  </si>
  <si>
    <t>02010</t>
  </si>
  <si>
    <t>CINNAMON,GROUND</t>
  </si>
  <si>
    <t>02011</t>
  </si>
  <si>
    <t>CLOVES,GROUND</t>
  </si>
  <si>
    <t>02012</t>
  </si>
  <si>
    <t>CORIANDER LEAF,DRIED</t>
  </si>
  <si>
    <t>02013</t>
  </si>
  <si>
    <t>CORIANDER SEED</t>
  </si>
  <si>
    <t>02014</t>
  </si>
  <si>
    <t>CUMIN SEED</t>
  </si>
  <si>
    <t>02015</t>
  </si>
  <si>
    <t>CURRY POWDER</t>
  </si>
  <si>
    <t>02016</t>
  </si>
  <si>
    <t>DILL SEED</t>
  </si>
  <si>
    <t>02017</t>
  </si>
  <si>
    <t>DILL WEED,DRIED</t>
  </si>
  <si>
    <t>02018</t>
  </si>
  <si>
    <t>FENNEL SEED</t>
  </si>
  <si>
    <t>02019</t>
  </si>
  <si>
    <t>FENUGREEK SEED</t>
  </si>
  <si>
    <t>02020</t>
  </si>
  <si>
    <t>GARLIC POWDER</t>
  </si>
  <si>
    <t>02021</t>
  </si>
  <si>
    <t>GINGER,GROUND</t>
  </si>
  <si>
    <t>02022</t>
  </si>
  <si>
    <t>MACE,GROUND</t>
  </si>
  <si>
    <t>02023</t>
  </si>
  <si>
    <t>MARJORAM,DRIED</t>
  </si>
  <si>
    <t>02024</t>
  </si>
  <si>
    <t>SPICES,MUSTARD SD,GROUND</t>
  </si>
  <si>
    <t>02025</t>
  </si>
  <si>
    <t>NUTMEG,GROUND</t>
  </si>
  <si>
    <t>02026</t>
  </si>
  <si>
    <t>ONION POWDER</t>
  </si>
  <si>
    <t>02027</t>
  </si>
  <si>
    <t>SPICES,OREGANO,DRIED</t>
  </si>
  <si>
    <t>02028</t>
  </si>
  <si>
    <t>PAPRIKA</t>
  </si>
  <si>
    <t>02029</t>
  </si>
  <si>
    <t>PARSLEY,DRIED</t>
  </si>
  <si>
    <t>02030</t>
  </si>
  <si>
    <t>PEPPER,BLACK</t>
  </si>
  <si>
    <t>02031</t>
  </si>
  <si>
    <t>PEPPER,RED OR CAYENNE</t>
  </si>
  <si>
    <t>02032</t>
  </si>
  <si>
    <t>PEPPER,WHITE</t>
  </si>
  <si>
    <t>02033</t>
  </si>
  <si>
    <t>POPPY SEED</t>
  </si>
  <si>
    <t>02034</t>
  </si>
  <si>
    <t>POULTRY SEASONING</t>
  </si>
  <si>
    <t>02035</t>
  </si>
  <si>
    <t>PUMPKIN PIE SPICE</t>
  </si>
  <si>
    <t>02036</t>
  </si>
  <si>
    <t>ROSEMARY,DRIED</t>
  </si>
  <si>
    <t>02037</t>
  </si>
  <si>
    <t>SAFFRON</t>
  </si>
  <si>
    <t>02038</t>
  </si>
  <si>
    <t>SAGE,GROUND</t>
  </si>
  <si>
    <t>02039</t>
  </si>
  <si>
    <t>SAVORY,GROUND</t>
  </si>
  <si>
    <t>02041</t>
  </si>
  <si>
    <t>SPICES,TARRAGON,DRIED</t>
  </si>
  <si>
    <t>02042</t>
  </si>
  <si>
    <t>SPICES,THYME,DRIED</t>
  </si>
  <si>
    <t>02043</t>
  </si>
  <si>
    <t>TURMERIC,GROUND</t>
  </si>
  <si>
    <t>02044</t>
  </si>
  <si>
    <t>BASIL,FRESH</t>
  </si>
  <si>
    <t>02045</t>
  </si>
  <si>
    <t>DILL WEED,FRSH</t>
  </si>
  <si>
    <t>02046</t>
  </si>
  <si>
    <t>MUSTARD,PREPARED,YELLOW</t>
  </si>
  <si>
    <t>02047</t>
  </si>
  <si>
    <t>SALT,TABLE</t>
  </si>
  <si>
    <t>02048</t>
  </si>
  <si>
    <t>VINEGAR,CIDER</t>
  </si>
  <si>
    <t>02049</t>
  </si>
  <si>
    <t>THYME,FRSH</t>
  </si>
  <si>
    <t>02050</t>
  </si>
  <si>
    <t>VANILLA EXTRACT</t>
  </si>
  <si>
    <t>02051</t>
  </si>
  <si>
    <t>VANILLA EXTRACT,IMITN,ALCOHOL</t>
  </si>
  <si>
    <t>02052</t>
  </si>
  <si>
    <t>VANILLA EXTRACT,IMITN,NO ALCOHOL</t>
  </si>
  <si>
    <t>02053</t>
  </si>
  <si>
    <t>VINEGAR,DISTILLED</t>
  </si>
  <si>
    <t>02054</t>
  </si>
  <si>
    <t>CAPERS,CANNED</t>
  </si>
  <si>
    <t>02055</t>
  </si>
  <si>
    <t>HORSERADISH,PREPARED</t>
  </si>
  <si>
    <t>02063</t>
  </si>
  <si>
    <t>ROSEMARY,FRESH</t>
  </si>
  <si>
    <t>02064</t>
  </si>
  <si>
    <t>PEPPERMINT,FRESH</t>
  </si>
  <si>
    <t>02065</t>
  </si>
  <si>
    <t>SPEARMINT,FRESH</t>
  </si>
  <si>
    <t>02066</t>
  </si>
  <si>
    <t>SPEARMINT,DRIED</t>
  </si>
  <si>
    <t>02068</t>
  </si>
  <si>
    <t>VINEGAR,RED WINE</t>
  </si>
  <si>
    <t>02069</t>
  </si>
  <si>
    <t>VINEGAR,BALSAMIC</t>
  </si>
  <si>
    <t>02073</t>
  </si>
  <si>
    <t>PACE,DRY TACO SEAS MIX</t>
  </si>
  <si>
    <t>02074</t>
  </si>
  <si>
    <t>SEASONING MIX,DRY,SAZON,CORIANDER &amp; ANNATTO</t>
  </si>
  <si>
    <t>02075</t>
  </si>
  <si>
    <t>SEASONING MIX,DRY,TACO,ORIGINAL</t>
  </si>
  <si>
    <t>02076</t>
  </si>
  <si>
    <t>SEASONING MIX,DRY,CHILI,ORIGINAL</t>
  </si>
  <si>
    <t>02001</t>
  </si>
  <si>
    <t>ALLSPICE,GROUND</t>
  </si>
  <si>
    <t>02002</t>
  </si>
  <si>
    <t>ANISE SEED</t>
  </si>
  <si>
    <t>02003</t>
  </si>
  <si>
    <t>SPICES,BASIL,DRIED</t>
  </si>
  <si>
    <t>02004</t>
  </si>
  <si>
    <t>SPICES,BAY LEAF</t>
  </si>
  <si>
    <t>02005</t>
  </si>
  <si>
    <t>CARAWAY SEED</t>
  </si>
  <si>
    <t>02006</t>
  </si>
  <si>
    <t>SPICES,CARDAMOM</t>
  </si>
  <si>
    <t>02007</t>
  </si>
  <si>
    <t>CELERY SEED</t>
  </si>
  <si>
    <t>02008</t>
  </si>
  <si>
    <t>CHERVIL,DRIED</t>
  </si>
  <si>
    <t>02009</t>
  </si>
  <si>
    <t>CHILI POWDER</t>
  </si>
  <si>
    <t>03000</t>
  </si>
  <si>
    <t>CLIF Z BAR</t>
  </si>
  <si>
    <t>03001</t>
  </si>
  <si>
    <t>BABYFOOD,JUC TREATS,FRUIT MEDLEY,TODD</t>
  </si>
  <si>
    <t>03002</t>
  </si>
  <si>
    <t>BABYFOOD,MEAT,BF,STR</t>
  </si>
  <si>
    <t>03003</t>
  </si>
  <si>
    <t>BABYFOOD,MEAT,BF,JR</t>
  </si>
  <si>
    <t>03005</t>
  </si>
  <si>
    <t>BABYFOOD,MEAT,VEAL,STR</t>
  </si>
  <si>
    <t>03007</t>
  </si>
  <si>
    <t>BABYFOOD,MEAT,PORK,STR</t>
  </si>
  <si>
    <t>03008</t>
  </si>
  <si>
    <t>BABYFOOD,MEAT,HAM,STR</t>
  </si>
  <si>
    <t>03009</t>
  </si>
  <si>
    <t>BABYFOOD,MEAT,HAM,JUNIOR</t>
  </si>
  <si>
    <t>03010</t>
  </si>
  <si>
    <t>BABYFOOD,MEAT,LAMB,STR</t>
  </si>
  <si>
    <t>03011</t>
  </si>
  <si>
    <t>BABYFOOD,MEAT,LAMB,JUNIOR</t>
  </si>
  <si>
    <t>03012</t>
  </si>
  <si>
    <t>BABYFOOD,MEAT,CHICK,STR</t>
  </si>
  <si>
    <t>03013</t>
  </si>
  <si>
    <t>BABYFOOD,MEAT,CHICK,JR</t>
  </si>
  <si>
    <t>03014</t>
  </si>
  <si>
    <t>BABYFOOD,MEAT,CHICK STKS,JR</t>
  </si>
  <si>
    <t>03015</t>
  </si>
  <si>
    <t>BABYFOOD,MEAT,TURKEY,STR</t>
  </si>
  <si>
    <t>03016</t>
  </si>
  <si>
    <t>BABYFOOD,MEAT,TURKEY,JR</t>
  </si>
  <si>
    <t>03017</t>
  </si>
  <si>
    <t>Babyfood, meat, turkey sticks, junior</t>
  </si>
  <si>
    <t>03019</t>
  </si>
  <si>
    <t>BABYFOOD,SNACK,GERBER GRADUATE FRUIT STRIPS,REAL FRUIT BARS</t>
  </si>
  <si>
    <t>03021</t>
  </si>
  <si>
    <t>BABYFOOD,MEAT,MEAT STKS,JR</t>
  </si>
  <si>
    <t>03022</t>
  </si>
  <si>
    <t>BABYFOOD,GERBER,2ND FOODS,APPL,CARROT &amp; SQUASH,ORGANIC</t>
  </si>
  <si>
    <t>03023</t>
  </si>
  <si>
    <t>BABYFOOD,FINGER SNACKS,GERBER,GRADUATES,PUFFS,APPL &amp; CINN</t>
  </si>
  <si>
    <t>03024</t>
  </si>
  <si>
    <t>BABYFOOD,H2O,BTLD,GERBER,WO/ ADDED FLUORIDE.</t>
  </si>
  <si>
    <t>03025</t>
  </si>
  <si>
    <t>BABYFOOD,GERBER,3RD FOODS,APPL,MANGO &amp; KIWI</t>
  </si>
  <si>
    <t>03026</t>
  </si>
  <si>
    <t>BABYFOOD,TROPICAL FRUIT MEDLEY</t>
  </si>
  <si>
    <t>03041</t>
  </si>
  <si>
    <t>BABYFOOD,DINNER,VEG&amp;DUMPLINGS&amp;BF,STR</t>
  </si>
  <si>
    <t>03042</t>
  </si>
  <si>
    <t>BABYFOOD,DINNER,VEG&amp;DUMPLINGS&amp;BF,JR</t>
  </si>
  <si>
    <t>03043</t>
  </si>
  <si>
    <t>BABYFOOD,DINNER,BF LASAGNA,TODD</t>
  </si>
  <si>
    <t>03044</t>
  </si>
  <si>
    <t>BABYFOOD,DINNER,MACARONI&amp;TOMATO&amp;BF,STR</t>
  </si>
  <si>
    <t>03045</t>
  </si>
  <si>
    <t>BABYFOOD,DINNER,MACARONI&amp;TOMATO&amp;BF,JR</t>
  </si>
  <si>
    <t>03046</t>
  </si>
  <si>
    <t>BABYFOOD,RAVIOLI,CHS FILLED,W/TOMATO SAU</t>
  </si>
  <si>
    <t>03047</t>
  </si>
  <si>
    <t>BABYFOOD,DINNER,BF NOODLE,STR</t>
  </si>
  <si>
    <t>03048</t>
  </si>
  <si>
    <t>BABYFOOD,MACARONI&amp;CHS,TODD</t>
  </si>
  <si>
    <t>03049</t>
  </si>
  <si>
    <t>BABYFOOD,DINNER,BF&amp;RICE,TODD</t>
  </si>
  <si>
    <t>03050</t>
  </si>
  <si>
    <t>BABYFOOD,DINNER,SPAGHETTI&amp;TOMATO&amp;MEAT,JR</t>
  </si>
  <si>
    <t>03051</t>
  </si>
  <si>
    <t>BABYFOOD,DINNER,SPAGHETTI&amp;TOMATO&amp;MEAT,TODD</t>
  </si>
  <si>
    <t>03052</t>
  </si>
  <si>
    <t>BABYFOOD,DINNER,BF STEW,TODD</t>
  </si>
  <si>
    <t>03053</t>
  </si>
  <si>
    <t>BABYFOOD,DINNER,VEG&amp;BF,STR</t>
  </si>
  <si>
    <t>03054</t>
  </si>
  <si>
    <t>BABYFOOD,DINNER,VEG&amp;BF,JR</t>
  </si>
  <si>
    <t>03055</t>
  </si>
  <si>
    <t>BABYFOOD,DINNER,BF W/VEG</t>
  </si>
  <si>
    <t>03059</t>
  </si>
  <si>
    <t>BABYFOOD,DINNER,VEG&amp;BACON,STR</t>
  </si>
  <si>
    <t>03061</t>
  </si>
  <si>
    <t>BABYFOOD,DINNER,VEG&amp;HAM,STR</t>
  </si>
  <si>
    <t>03062</t>
  </si>
  <si>
    <t>BABYFOOD,DINNER,VEG&amp;HAM,JR</t>
  </si>
  <si>
    <t>03066</t>
  </si>
  <si>
    <t>BABYFOOD,DINNER,VEG&amp;LAMB,STR</t>
  </si>
  <si>
    <t>03067</t>
  </si>
  <si>
    <t>BABYFOOD,DINNER,VEG&amp;LAMB,JR</t>
  </si>
  <si>
    <t>03068</t>
  </si>
  <si>
    <t>BABYFOOD,DINNER,CHICK NOODLE,STR</t>
  </si>
  <si>
    <t>03069</t>
  </si>
  <si>
    <t>BABYFOOD,DINNER,CHICK NOODLE,JR</t>
  </si>
  <si>
    <t>03070</t>
  </si>
  <si>
    <t>BABYFOOD,DINNER,CHICK SOUP,STR</t>
  </si>
  <si>
    <t>03072</t>
  </si>
  <si>
    <t>BABYFOOD  DINNER  CHICK STEW  TODD</t>
  </si>
  <si>
    <t>03073</t>
  </si>
  <si>
    <t>BABYFOOD,DINNER,VEG CHICK,STR</t>
  </si>
  <si>
    <t>03075</t>
  </si>
  <si>
    <t>BABYFOOD,DINNER,VEG,NOODLES&amp;CHICK,STR</t>
  </si>
  <si>
    <t>03076</t>
  </si>
  <si>
    <t>BABYFOOD,DINNER,VEG,NOODLES&amp;CHICK,JR</t>
  </si>
  <si>
    <t>03077</t>
  </si>
  <si>
    <t>BABYFOOD,DINNER,PASTA W/VEG</t>
  </si>
  <si>
    <t>03079</t>
  </si>
  <si>
    <t>BABYFOOD,DINNER,VEG&amp;NOODLES&amp;TURKEY,STR</t>
  </si>
  <si>
    <t>03081</t>
  </si>
  <si>
    <t>BABYFOOD,DINNER,VEG&amp;NOODLES&amp;TURKEY,JR</t>
  </si>
  <si>
    <t>03082</t>
  </si>
  <si>
    <t>BABYFOOD,DINNER,TURKEY&amp;RICE,STR</t>
  </si>
  <si>
    <t>03083</t>
  </si>
  <si>
    <t>BABYFOOD,DINNER,TURKEY &amp; RICE,JR</t>
  </si>
  <si>
    <t>03084</t>
  </si>
  <si>
    <t>BABYFOOD,DINNER,VEG&amp;TURKEY,STR</t>
  </si>
  <si>
    <t>03085</t>
  </si>
  <si>
    <t>BABYFOOD,DINNER,VEG&amp;TURKEY,JR</t>
  </si>
  <si>
    <t>03089</t>
  </si>
  <si>
    <t>BABYFOOD,DINNER,MACARONI&amp;CHS,STR</t>
  </si>
  <si>
    <t>03090</t>
  </si>
  <si>
    <t>BABYFOOD,DINNER,MACARONI&amp;CHS,JR</t>
  </si>
  <si>
    <t>03091</t>
  </si>
  <si>
    <t>BABYFOOD,VEG,GRN BNS,STR</t>
  </si>
  <si>
    <t>03092</t>
  </si>
  <si>
    <t>BABYFOOD,VEG,GRN BNS,JR</t>
  </si>
  <si>
    <t>03093</t>
  </si>
  <si>
    <t>BABYFOOD,GRN BNS,DICES,TODD</t>
  </si>
  <si>
    <t>03096</t>
  </si>
  <si>
    <t>BABYFOOD,VEG,GRN BNS&amp;POTATOES</t>
  </si>
  <si>
    <t>03098</t>
  </si>
  <si>
    <t>BABYFOOD,VEG,BEETS,STR</t>
  </si>
  <si>
    <t>03099</t>
  </si>
  <si>
    <t>BABYFOOD,VEG,CARROTS,STR</t>
  </si>
  <si>
    <t>03100</t>
  </si>
  <si>
    <t>BABYFOOD,VEG,CARROTS,JR</t>
  </si>
  <si>
    <t>03104</t>
  </si>
  <si>
    <t>BABYFOOD,VEG,SQUASH,STR</t>
  </si>
  <si>
    <t>03105</t>
  </si>
  <si>
    <t>BABYFOOD,VEG,SQUASH,JR</t>
  </si>
  <si>
    <t>03108</t>
  </si>
  <si>
    <t>BABYFOOD,VEG,SWT POTATOES,STR</t>
  </si>
  <si>
    <t>03109</t>
  </si>
  <si>
    <t>BABYFOOD,VEG,SWT POTATOES,JR</t>
  </si>
  <si>
    <t>03112</t>
  </si>
  <si>
    <t>BABYFOOD,POTATOES,TODDLER</t>
  </si>
  <si>
    <t>03114</t>
  </si>
  <si>
    <t>BABYFOOD,VEG,BUTTERNUT SQUASH&amp;CORN</t>
  </si>
  <si>
    <t>03115</t>
  </si>
  <si>
    <t>BABYFOOD,APPLS,DICES,TODD</t>
  </si>
  <si>
    <t>03116</t>
  </si>
  <si>
    <t>BABYFOOD,FRUIT,APPLSAUC,STR</t>
  </si>
  <si>
    <t>03117</t>
  </si>
  <si>
    <t>BABYFOOD,FRUIT,APPLSAUC,JR</t>
  </si>
  <si>
    <t>03118</t>
  </si>
  <si>
    <t>BABYFOOD,FRUIT,APRICOT W/TAPIOCA,STR</t>
  </si>
  <si>
    <t>03119</t>
  </si>
  <si>
    <t>BABYFOOD,VEG,CORN,CRMD,STR</t>
  </si>
  <si>
    <t>03120</t>
  </si>
  <si>
    <t>BABYFOOD,VEG,CORN,CRMD,JR</t>
  </si>
  <si>
    <t>03121</t>
  </si>
  <si>
    <t>BABYFOOD,VEG,PEAS,STR</t>
  </si>
  <si>
    <t>03122</t>
  </si>
  <si>
    <t>BABYFOOD,PEAS,DICES,TODD</t>
  </si>
  <si>
    <t>03127</t>
  </si>
  <si>
    <t>BABYFOOD,VEG,SPINACH,CRMD,STR</t>
  </si>
  <si>
    <t>03128</t>
  </si>
  <si>
    <t>BABYFOOD,FRUIT,APRICOT W/TAPIOCA,JR</t>
  </si>
  <si>
    <t>03129</t>
  </si>
  <si>
    <t>BABYFOOD,FRUIT,BANANAS W/TAPIOCA,STR</t>
  </si>
  <si>
    <t>03130</t>
  </si>
  <si>
    <t>BABYFOOD,FRUIT,PEACHES,STR</t>
  </si>
  <si>
    <t>03131</t>
  </si>
  <si>
    <t>BABYFOOD,FRUIT,PEACHES,JR</t>
  </si>
  <si>
    <t>03132</t>
  </si>
  <si>
    <t>BABYFOOD,FRUIT,PEARS,STR</t>
  </si>
  <si>
    <t>03133</t>
  </si>
  <si>
    <t>BABYFOOD,FRUIT,PEARS,JR</t>
  </si>
  <si>
    <t>03134</t>
  </si>
  <si>
    <t>BABYFOOD,FRUIT,PLUMS W/TAPIOCA,WO/VIT C,STR</t>
  </si>
  <si>
    <t>03135</t>
  </si>
  <si>
    <t>BABYFOOD,FRUIT,PLUMS W/TAPIOCA,WO/VIT C,JR</t>
  </si>
  <si>
    <t>03136</t>
  </si>
  <si>
    <t>BABYFOOD,FRUIT,PRUNES W/TAPIOCA,WO/VIT C,STR</t>
  </si>
  <si>
    <t>03137</t>
  </si>
  <si>
    <t>BABYFOOD,FRUIT,PRUNES W/TAPIOCA,WO/VIT C,JR</t>
  </si>
  <si>
    <t>03139</t>
  </si>
  <si>
    <t>BABYFOOD,PRUNES,WO/VIT C,STR</t>
  </si>
  <si>
    <t>03140</t>
  </si>
  <si>
    <t>BABYFOOD,FRUIT DSSRT,MANGO W/ TAPIOCA</t>
  </si>
  <si>
    <t>03141</t>
  </si>
  <si>
    <t>BABYFOOD,PEARS,DICES,TODD</t>
  </si>
  <si>
    <t>03142</t>
  </si>
  <si>
    <t>BABYFOOD,FRUIT,APPLSAUC&amp;APRICOTS,STR</t>
  </si>
  <si>
    <t>03143</t>
  </si>
  <si>
    <t>BABYFOOD,FRUIT,APPLSAUC&amp;APRICOTS,JR</t>
  </si>
  <si>
    <t>03144</t>
  </si>
  <si>
    <t>BABYFOOD,FRUIT,APPLSAUC&amp;CHERRIES,STR</t>
  </si>
  <si>
    <t>03145</t>
  </si>
  <si>
    <t>BABYFOOD,FRUIT,APPLSAUC &amp; CHERRIES,JR</t>
  </si>
  <si>
    <t>03147</t>
  </si>
  <si>
    <t>BABYFOOD,FRUIT,APPLSAUC W/BANANA,JR</t>
  </si>
  <si>
    <t>03150</t>
  </si>
  <si>
    <t>BABYFOOD,FRUIT,APPLSAUC&amp;PNAPPL,STR</t>
  </si>
  <si>
    <t>03151</t>
  </si>
  <si>
    <t>BABYFOOD,FRUIT,APPLSAUC&amp;PNAPPL,JR</t>
  </si>
  <si>
    <t>03152</t>
  </si>
  <si>
    <t>BABYFOOD,FRUIT,APPL &amp; RASPBERRY,STR</t>
  </si>
  <si>
    <t>03153</t>
  </si>
  <si>
    <t>BABYFOOD,FRUIT,APPL &amp; RASPBERRY,JR</t>
  </si>
  <si>
    <t>03154</t>
  </si>
  <si>
    <t>BABYFOOD,FRUIT &amp; VEG,APPL &amp; SWT POTATO</t>
  </si>
  <si>
    <t>03156</t>
  </si>
  <si>
    <t>BABYFOOD,FRUIT,BANANAS&amp;PNAPPL W/TAPIOCA,JR</t>
  </si>
  <si>
    <t>03157</t>
  </si>
  <si>
    <t>BABYFOOD,FRUIT,BANANAS&amp;PNAPPL W/TAPIOCA,STR</t>
  </si>
  <si>
    <t>03158</t>
  </si>
  <si>
    <t>BABYFOOD,FRUIT,PEARS&amp;PNAPPL,STR</t>
  </si>
  <si>
    <t>03159</t>
  </si>
  <si>
    <t>BABYFOOD,FRUIT,PEARS&amp;PNAPPL,JR</t>
  </si>
  <si>
    <t>03160</t>
  </si>
  <si>
    <t>BABYFOOD,FRUIT,GUAVA&amp;PAPAYA W/TAPIOCA,STR</t>
  </si>
  <si>
    <t>03161</t>
  </si>
  <si>
    <t>BABYFOOD,PEACHES,DICES,TODD</t>
  </si>
  <si>
    <t>03162</t>
  </si>
  <si>
    <t>BABYFOOD,FRUIT,PAPAYA&amp;APPLSAUC W/TAPIOCA,STR</t>
  </si>
  <si>
    <t>03163</t>
  </si>
  <si>
    <t>BABYFOOD,FRUIT,BANANAS W/APPLS&amp;PEARS,STR</t>
  </si>
  <si>
    <t>03164</t>
  </si>
  <si>
    <t>BABYFOOD,FRUIT,APPL&amp;BLUEBERRY,STR</t>
  </si>
  <si>
    <t>03165</t>
  </si>
  <si>
    <t>BABYFOOD,FRUIT,APPL&amp;BLUEBERRY,JR</t>
  </si>
  <si>
    <t>03166</t>
  </si>
  <si>
    <t>BABYFOOD,JUICE,APPLE</t>
  </si>
  <si>
    <t>03167</t>
  </si>
  <si>
    <t>BABYFOOD,APPLE-BANANA JUC</t>
  </si>
  <si>
    <t>03168</t>
  </si>
  <si>
    <t>BABYFOOD,JUC,APPL&amp;PEACH</t>
  </si>
  <si>
    <t>03169</t>
  </si>
  <si>
    <t>BABYFOOD,APPLE-CRANBERRY JUC</t>
  </si>
  <si>
    <t>03170</t>
  </si>
  <si>
    <t>BABYFOOD,JUC,APPL&amp;PLUM</t>
  </si>
  <si>
    <t>03171</t>
  </si>
  <si>
    <t>BABYFOOD,JUC,APPL&amp;PRUNE</t>
  </si>
  <si>
    <t>03172</t>
  </si>
  <si>
    <t>BABYFOOD,JUICE,ORANGE</t>
  </si>
  <si>
    <t>03173</t>
  </si>
  <si>
    <t>BABYFOOD,JUC,ORANGE&amp;APPL</t>
  </si>
  <si>
    <t>03174</t>
  </si>
  <si>
    <t>BABYFOOD,JUC,ORANGE&amp;APPL&amp;BANANA</t>
  </si>
  <si>
    <t>03175</t>
  </si>
  <si>
    <t>BABYFOOD,JUC,ORANGE&amp;APRICOT</t>
  </si>
  <si>
    <t>03176</t>
  </si>
  <si>
    <t>BABYFOOD,JUC,ORANGE&amp;BANANA</t>
  </si>
  <si>
    <t>03177</t>
  </si>
  <si>
    <t>BABYFOOD,JUC,ORANGE&amp;PNAPPL</t>
  </si>
  <si>
    <t>03178</t>
  </si>
  <si>
    <t>BABYFOOD,JUC,PRUNE&amp;ORANGE</t>
  </si>
  <si>
    <t>03179</t>
  </si>
  <si>
    <t>BABYFOOD,JUC,MXD FRUIT</t>
  </si>
  <si>
    <t>03181</t>
  </si>
  <si>
    <t>BABYFOOD,CRL,BARLEY,DRY FORT</t>
  </si>
  <si>
    <t>03184</t>
  </si>
  <si>
    <t>BABYFOOD,CRL,WHL WHEAT,W/ APPLS,DRY FORT</t>
  </si>
  <si>
    <t>03185</t>
  </si>
  <si>
    <t>BABYFOOD,CRL,MXD,DRY FORT</t>
  </si>
  <si>
    <t>03186</t>
  </si>
  <si>
    <t>BABYFOOD,CRL,MXD,W/ BANANAS,DRY</t>
  </si>
  <si>
    <t>03187</t>
  </si>
  <si>
    <t>BABYFOOD,CRL,MXD,W/ APPLSAUC &amp; BANANAS,STR</t>
  </si>
  <si>
    <t>03188</t>
  </si>
  <si>
    <t>BABYFOOD,CRL,MXD,W/ APPLSAUC &amp; BANANAS,JR,FORT</t>
  </si>
  <si>
    <t>03189</t>
  </si>
  <si>
    <t>BABYFOOD,CRL,OATMEAL,DRY FORT</t>
  </si>
  <si>
    <t>03190</t>
  </si>
  <si>
    <t>BABYFOOD,CRL,OATMEAL,W/ BANANAS,DRY</t>
  </si>
  <si>
    <t>03191</t>
  </si>
  <si>
    <t>BABYFOOD,CRL,OATMEAL,W/ APPLSAUC &amp; BANANAS,STR</t>
  </si>
  <si>
    <t>03192</t>
  </si>
  <si>
    <t>BABYFOOD,CRL,OATMEAL,W/ APPLSAUC &amp; BANANAS,JR,FORT</t>
  </si>
  <si>
    <t>03193</t>
  </si>
  <si>
    <t>BABYFOOD,CRL,OATMEAL,W/HONEY,DRY</t>
  </si>
  <si>
    <t>03194</t>
  </si>
  <si>
    <t>BABYFOOD,CRL,RICE,DRY,FORT</t>
  </si>
  <si>
    <t>03195</t>
  </si>
  <si>
    <t>BABYFOOD,CRL,RICE,W/ APPLSAUC &amp; BANANAS,STR</t>
  </si>
  <si>
    <t>03197</t>
  </si>
  <si>
    <t>BABYFOOD,CRL,W/EGG YOLKS,STR</t>
  </si>
  <si>
    <t>03198</t>
  </si>
  <si>
    <t>BABYFOOD,CRL,W/EGG YOLKS,JR</t>
  </si>
  <si>
    <t>03199</t>
  </si>
  <si>
    <t>BABYFOOD,CRL,W/EGGS,STR</t>
  </si>
  <si>
    <t>03201</t>
  </si>
  <si>
    <t>BABYFOOD,CRL,EGG YOLKS&amp;BACON,JR</t>
  </si>
  <si>
    <t>03205</t>
  </si>
  <si>
    <t>BABYFOOD,OATMEAL CRL W/ FRUIT,DRY,INST,TODD FORT</t>
  </si>
  <si>
    <t>03206</t>
  </si>
  <si>
    <t>BABYFOOD,COOKIE,BABY,FRUIT</t>
  </si>
  <si>
    <t>03209</t>
  </si>
  <si>
    <t>BABYFOOD,CRACKERS,VEG</t>
  </si>
  <si>
    <t>03211</t>
  </si>
  <si>
    <t>BABYFOOD,CRL,HI PROT,W/APPL&amp;ORANGE,DRY</t>
  </si>
  <si>
    <t>03212</t>
  </si>
  <si>
    <t>BABYFOOD,CRL,RICE,W/ BANANAS,DRY</t>
  </si>
  <si>
    <t>03213</t>
  </si>
  <si>
    <t>BABYFOOD,COOKIES</t>
  </si>
  <si>
    <t>03214</t>
  </si>
  <si>
    <t>BABYFOOD,COOKIES,ARROWROOT</t>
  </si>
  <si>
    <t>03215</t>
  </si>
  <si>
    <t>BABYFOOD,PRETZELS</t>
  </si>
  <si>
    <t>03216</t>
  </si>
  <si>
    <t>BABYFOOD,TEETHING BISCUITS</t>
  </si>
  <si>
    <t>03217</t>
  </si>
  <si>
    <t>ZWIEBACK</t>
  </si>
  <si>
    <t>03220</t>
  </si>
  <si>
    <t>BABYFOOD,DSSRT,DUTCH APPL,STR</t>
  </si>
  <si>
    <t>03221</t>
  </si>
  <si>
    <t>BABYFOOD,DSSRT,DUTCH APPL,JR</t>
  </si>
  <si>
    <t>03222</t>
  </si>
  <si>
    <t>BABYFOOD,CHERRY COBBLER,JR</t>
  </si>
  <si>
    <t>03224</t>
  </si>
  <si>
    <t>BABYFOOD,DSSRT,CHERRY VANILLA PUDD,STR</t>
  </si>
  <si>
    <t>03225</t>
  </si>
  <si>
    <t>BABYFOOD,DSSRT,CHERRY VANILLA PUDD,JR</t>
  </si>
  <si>
    <t>03226</t>
  </si>
  <si>
    <t>BABYFOOD,DSSRT,FRUIT PUDD,ORANGE,STR</t>
  </si>
  <si>
    <t>03227</t>
  </si>
  <si>
    <t>BABYFOOD,DSSRT,PEACH COBBLER,STR</t>
  </si>
  <si>
    <t>03228</t>
  </si>
  <si>
    <t>BABYFOOD,DSSRT,PEACH COBBLER,JR</t>
  </si>
  <si>
    <t>03229</t>
  </si>
  <si>
    <t>BABYFOOD,DSSRT,PEACH MELBA,STR</t>
  </si>
  <si>
    <t>03230</t>
  </si>
  <si>
    <t>BABYFOOD,DSSRT,PEACH MELBA,JR</t>
  </si>
  <si>
    <t>03233</t>
  </si>
  <si>
    <t>BABYFOOD,DSSRT,FRUIT PUDD,PNAPPL,STR</t>
  </si>
  <si>
    <t>03235</t>
  </si>
  <si>
    <t>BABYFOOD,DSSRT,FRUIT DSSRT,WO/VIT C,STR</t>
  </si>
  <si>
    <t>03236</t>
  </si>
  <si>
    <t>BABYFOOD,DSSRT,FRUIT DSSRT,WO/VIT C,JR</t>
  </si>
  <si>
    <t>03238</t>
  </si>
  <si>
    <t>BABYFOOD,DSSRT,TROPICAL FRUIT,JR</t>
  </si>
  <si>
    <t>03245</t>
  </si>
  <si>
    <t>BABYFOOD,DSSRT,CUSTARD PUDD,VANILLA,STR</t>
  </si>
  <si>
    <t>03246</t>
  </si>
  <si>
    <t>BABYFOOD,DSSRT,CUSTARD PUDD,VANILLA,JR</t>
  </si>
  <si>
    <t>03265</t>
  </si>
  <si>
    <t>BABYFOOD,JUC,APPL&amp;GRAPE</t>
  </si>
  <si>
    <t>03267</t>
  </si>
  <si>
    <t>BABYFOOD,JUC,FRUIT PUNCH,W/CA</t>
  </si>
  <si>
    <t>03268</t>
  </si>
  <si>
    <t>BABYFOOD,JUC,APPL&amp;CHERRY</t>
  </si>
  <si>
    <t>03269</t>
  </si>
  <si>
    <t>BABYFOOD,JUC,APPL,W/CA</t>
  </si>
  <si>
    <t>03274</t>
  </si>
  <si>
    <t>BABYFOOD,DINNER,VEG&amp;CHICK,JR</t>
  </si>
  <si>
    <t>03278</t>
  </si>
  <si>
    <t>BABYFOOD,DINNER,MXD VEG,STR</t>
  </si>
  <si>
    <t>03279</t>
  </si>
  <si>
    <t>BABYFOOD,DINNER,MXD VEG,JR</t>
  </si>
  <si>
    <t>03280</t>
  </si>
  <si>
    <t>BABYFOOD,FRUIT,BANANAS W/TAPIOCA,JR</t>
  </si>
  <si>
    <t>03282</t>
  </si>
  <si>
    <t>BABYFOOD,VEG,MIX VEG JR</t>
  </si>
  <si>
    <t>03283</t>
  </si>
  <si>
    <t>BABYFOOD,VEG,GARDEN VEG,STR</t>
  </si>
  <si>
    <t>03286</t>
  </si>
  <si>
    <t>BABYFOOD,VEG,MIX VEG STR</t>
  </si>
  <si>
    <t>03287</t>
  </si>
  <si>
    <t>BABYFOOD,DINNER,BF NOODLE,JR</t>
  </si>
  <si>
    <t>03289</t>
  </si>
  <si>
    <t>BABYFOOD,APPLS W/HAM,STR</t>
  </si>
  <si>
    <t>03290</t>
  </si>
  <si>
    <t>BABYFOOD,CARROTS&amp;BF,STR</t>
  </si>
  <si>
    <t>03293</t>
  </si>
  <si>
    <t>BABYFOOD,PLUMS,BANANAS&amp;RICE,STR</t>
  </si>
  <si>
    <t>03296</t>
  </si>
  <si>
    <t>BABYFOOD,TURKEY,RICE&amp;VEG,TODD</t>
  </si>
  <si>
    <t>03297</t>
  </si>
  <si>
    <t>BABYFOOD,DINNER,APPLS&amp;CHICK,STR</t>
  </si>
  <si>
    <t>03298</t>
  </si>
  <si>
    <t>BABYFOOD,DINNER,BROCCOLI &amp; CHICK,JR</t>
  </si>
  <si>
    <t>03301</t>
  </si>
  <si>
    <t>Babyfood, beverage, GERBER GRADUATE FRUIT SPLASHERS</t>
  </si>
  <si>
    <t>03302</t>
  </si>
  <si>
    <t>BABYFOOD,SNACK,GERBER,GRADUATES,YOGURT MELTS</t>
  </si>
  <si>
    <t>03303</t>
  </si>
  <si>
    <t>BABYFOOD,DINNER,SWT POTATOES&amp;CHICK,STR</t>
  </si>
  <si>
    <t>03304</t>
  </si>
  <si>
    <t>BABYFOOD,DINNER,POTATOES W/CHS&amp;HAM,TODD</t>
  </si>
  <si>
    <t>03681</t>
  </si>
  <si>
    <t>BABYFOOD,CRL,BARLEY,PREP W/WHL MILK</t>
  </si>
  <si>
    <t>03682</t>
  </si>
  <si>
    <t>BABYFOOD,CRL,HI PROT,PREP W/WHL MILK</t>
  </si>
  <si>
    <t>03685</t>
  </si>
  <si>
    <t>BABYFOOD,CRL,MXD,PREP W/WHL MILK</t>
  </si>
  <si>
    <t>03686</t>
  </si>
  <si>
    <t>BABYFOOD,CRL,MXD,W/BANANAS,PREP W/WHL MILK</t>
  </si>
  <si>
    <t>03689</t>
  </si>
  <si>
    <t>BABYFOOD,CRL,OATMEAL,PREP W/WHL MILK</t>
  </si>
  <si>
    <t>04001</t>
  </si>
  <si>
    <t>FAT,BEEF TALLOW</t>
  </si>
  <si>
    <t>04002</t>
  </si>
  <si>
    <t>LARD</t>
  </si>
  <si>
    <t>04011</t>
  </si>
  <si>
    <t>SALAD DRSNG,KRAFT MAYO LT MAYO</t>
  </si>
  <si>
    <t>04013</t>
  </si>
  <si>
    <t>SALAD DRSNG,KRAFT MAYO FAT FREE MAYO DRSNG</t>
  </si>
  <si>
    <t>04014</t>
  </si>
  <si>
    <t>SALAD DRSNG,KRAFT MIRACLE WHIP FREE NONFAT DRSNG</t>
  </si>
  <si>
    <t>04015</t>
  </si>
  <si>
    <t>SALAD DRSNG,RUSSIAN DRSNG</t>
  </si>
  <si>
    <t>04016</t>
  </si>
  <si>
    <t>SALAD DRSNG,SESAME SD DRSNG,REG</t>
  </si>
  <si>
    <t>04017</t>
  </si>
  <si>
    <t>SALAD DRSNG,1000 ISLAND,COMM,REG</t>
  </si>
  <si>
    <t>04018</t>
  </si>
  <si>
    <t>SALAD DRSNG,MAYO TYPE,REG,W/SALT</t>
  </si>
  <si>
    <t>04020</t>
  </si>
  <si>
    <t>SALAD DRSNG,FRENCH DRSNG,RED FAT</t>
  </si>
  <si>
    <t>04021</t>
  </si>
  <si>
    <t>SALAD DRSNG,ITALIAN DRSNG,COMM,RED FAT</t>
  </si>
  <si>
    <t>04022</t>
  </si>
  <si>
    <t>SALAD DRSNG,RUSSIAN DRSNG,LO CAL</t>
  </si>
  <si>
    <t>04023</t>
  </si>
  <si>
    <t>SALAD DRSNG,1000 ISLAND DRSNG,RED FAT</t>
  </si>
  <si>
    <t>04025</t>
  </si>
  <si>
    <t>SALAD DRSNG,MAYO,REG</t>
  </si>
  <si>
    <t>04026</t>
  </si>
  <si>
    <t>SALAD DRSNG,MAYO,SOYBN&amp;SAFFLOWER OIL,W/SALT</t>
  </si>
  <si>
    <t>04027</t>
  </si>
  <si>
    <t>SALAD DRSNG,MAYO,IMITN,SOYBN</t>
  </si>
  <si>
    <t>04028</t>
  </si>
  <si>
    <t>SALAD DRSNG,MAYO,IMITN,MILK CRM</t>
  </si>
  <si>
    <t>04029</t>
  </si>
  <si>
    <t>SALAD DRSNG,MAYO,IMITN,SOYBN WO/CHOL</t>
  </si>
  <si>
    <t>04030</t>
  </si>
  <si>
    <t>SANDWICH SPRD,W/CHOPD PICKLE,REG,UNSPEC OILS</t>
  </si>
  <si>
    <t>04031</t>
  </si>
  <si>
    <t>SHORTENING,HOUSEHOLD,PARTIALLY HYDROG SOYBN -COTTONSEED</t>
  </si>
  <si>
    <t>04034</t>
  </si>
  <si>
    <t>OIL,SOYBN,SALAD OR COOKING,(PARTIALLY HYDROGENATED)</t>
  </si>
  <si>
    <t>04037</t>
  </si>
  <si>
    <t>OIL,RICE BRAN</t>
  </si>
  <si>
    <t>04038</t>
  </si>
  <si>
    <t>OIL,WHEAT GERM</t>
  </si>
  <si>
    <t>04042</t>
  </si>
  <si>
    <t>OIL,PNUT,SALAD OR COOKING</t>
  </si>
  <si>
    <t>04044</t>
  </si>
  <si>
    <t>OIL,SOYBN,SALAD OR COOKING</t>
  </si>
  <si>
    <t>04047</t>
  </si>
  <si>
    <t>OIL,COCNT</t>
  </si>
  <si>
    <t>04053</t>
  </si>
  <si>
    <t>OIL,OLIVE,SALAD OR COOKING</t>
  </si>
  <si>
    <t>04055</t>
  </si>
  <si>
    <t>OIL,PALM</t>
  </si>
  <si>
    <t>04058</t>
  </si>
  <si>
    <t>OIL,SESAME,SALAD OR COOKING</t>
  </si>
  <si>
    <t>04060</t>
  </si>
  <si>
    <t>OIL,SUNFLOWER,LINOLEIC (LESS THAN 60%)</t>
  </si>
  <si>
    <t>04073</t>
  </si>
  <si>
    <t>MARGARINE,REG,HARD,SOYBN (HYDR)</t>
  </si>
  <si>
    <t>04114</t>
  </si>
  <si>
    <t>SALAD DRSNG,ITALIAN DRSNG,COMM,REG</t>
  </si>
  <si>
    <t>04120</t>
  </si>
  <si>
    <t>SALAD DRSNG,FRENCH DRSNG,COMM,REG</t>
  </si>
  <si>
    <t>04128</t>
  </si>
  <si>
    <t>VEG OIL SPRD,UNSPEC OILS,APPROX 37% FAT,W/ SALT</t>
  </si>
  <si>
    <t>04133</t>
  </si>
  <si>
    <t>SALAD DRSNG,FRENCH,HOME RECIPE</t>
  </si>
  <si>
    <t>04135</t>
  </si>
  <si>
    <t>SALAD DRSNG,HOME RECIPE,VINEGAR&amp;OIL</t>
  </si>
  <si>
    <t>04141</t>
  </si>
  <si>
    <t>SALAD DRSNG,FRENCH DRSNG,COMM,REG,WO/ SALT</t>
  </si>
  <si>
    <t>04142</t>
  </si>
  <si>
    <t>SALAD DRSNG,FRENCH DRSNG,RED FAT,WO/ SALT</t>
  </si>
  <si>
    <t>04143</t>
  </si>
  <si>
    <t>SALAD DRSNG,ITALIAN DRSNG,COMM,REG,WO/ SALT</t>
  </si>
  <si>
    <t>04144</t>
  </si>
  <si>
    <t>SALAD DRSNG,ITALIAN DRSNG,RED FAT,WO/ SALT</t>
  </si>
  <si>
    <t>04145</t>
  </si>
  <si>
    <t>SALAD DRSNG,MAYO,SOYBN OIL,WO/SALT</t>
  </si>
  <si>
    <t>04146</t>
  </si>
  <si>
    <t>SALAD DRSNG,FRENCH,CTTNSD,OIL,HOME RECIPE</t>
  </si>
  <si>
    <t>04367</t>
  </si>
  <si>
    <t>SALAD DRSNG,FRENCH DRSNG,FAT-FREE</t>
  </si>
  <si>
    <t>04501</t>
  </si>
  <si>
    <t>OIL,COCOA BUTTER</t>
  </si>
  <si>
    <t>04502</t>
  </si>
  <si>
    <t>OIL,CTTNSD,SALAD OR COOKING</t>
  </si>
  <si>
    <t>04506</t>
  </si>
  <si>
    <t>OIL,SUNFLOWER,LINOLEIC,(APPROX. 65%)</t>
  </si>
  <si>
    <t>04510</t>
  </si>
  <si>
    <t>OIL,SAFFLOWER,SALAD OR COOKING,LINOLEIC,(OVER 70%)</t>
  </si>
  <si>
    <t>04511</t>
  </si>
  <si>
    <t>OIL,SAFFLOWER,SALAD OR COOKING,HI OLEIC</t>
  </si>
  <si>
    <t>04513</t>
  </si>
  <si>
    <t>VEGETABLE OIL,PALM KERNEL</t>
  </si>
  <si>
    <t>04514</t>
  </si>
  <si>
    <t>OIL,POPPYSEED</t>
  </si>
  <si>
    <t>04515</t>
  </si>
  <si>
    <t>OIL,TOMATOSEED</t>
  </si>
  <si>
    <t>04516</t>
  </si>
  <si>
    <t>OIL,TEASEED</t>
  </si>
  <si>
    <t>04517</t>
  </si>
  <si>
    <t>OIL,GRAPESEED</t>
  </si>
  <si>
    <t>04518</t>
  </si>
  <si>
    <t>OIL,CORN,INDUSTRIAL &amp; RTL,ALLPURP SALAD OR COOKING</t>
  </si>
  <si>
    <t>04520</t>
  </si>
  <si>
    <t>FAT,MUTTON TALLOW</t>
  </si>
  <si>
    <t>04528</t>
  </si>
  <si>
    <t>OIL,WALNUT</t>
  </si>
  <si>
    <t>04529</t>
  </si>
  <si>
    <t>OIL,ALMOND</t>
  </si>
  <si>
    <t>04530</t>
  </si>
  <si>
    <t>OIL,APRICOT KERNEL</t>
  </si>
  <si>
    <t>04531</t>
  </si>
  <si>
    <t>OIL,SOYBN LECITHIN</t>
  </si>
  <si>
    <t>04532</t>
  </si>
  <si>
    <t>OIL,HAZELNUT</t>
  </si>
  <si>
    <t>04534</t>
  </si>
  <si>
    <t>OIL,BABASSU</t>
  </si>
  <si>
    <t>04536</t>
  </si>
  <si>
    <t>OIL,SHEANUT</t>
  </si>
  <si>
    <t>04539</t>
  </si>
  <si>
    <t>SALAD DRSNG,BLUE OR ROQUEFORT CHS DRSNG,COMM,REG</t>
  </si>
  <si>
    <t>04541</t>
  </si>
  <si>
    <t>OIL,CUPU ASSU</t>
  </si>
  <si>
    <t>04542</t>
  </si>
  <si>
    <t>FAT,CHICKEN</t>
  </si>
  <si>
    <t>04543</t>
  </si>
  <si>
    <t>OIL,SOYBN,SALAD OR COOKING,(PARTIALLY HYDROGENATED) &amp; CTTNSD</t>
  </si>
  <si>
    <t>04544</t>
  </si>
  <si>
    <t>SHORTENING,HOUSEHOLD,LARD&amp;VEG OIL</t>
  </si>
  <si>
    <t>04545</t>
  </si>
  <si>
    <t>OIL,SUNFLOWER,LINOLEIC,(PARTIALLY HYDROGENATED)</t>
  </si>
  <si>
    <t>04546</t>
  </si>
  <si>
    <t>SHORTENING BREAD,SOYBN (HYDR)&amp;CTTNSD</t>
  </si>
  <si>
    <t>04548</t>
  </si>
  <si>
    <t>SHORTENING CAKE MIX,SOYBN (HYDR)&amp;CTTNSD (HYDR)</t>
  </si>
  <si>
    <t>04549</t>
  </si>
  <si>
    <t>SHORTENING INDUSTRIAL,LARD&amp;VEG OIL</t>
  </si>
  <si>
    <t>04550</t>
  </si>
  <si>
    <t>SHORTENING FRYING (HVY DUTY),BF TALLOW&amp;CTTNSD</t>
  </si>
  <si>
    <t>04551</t>
  </si>
  <si>
    <t>SHORTENING CONFECTIONERY,COCNT (HYDR)&amp;OR PALM KERNEL (HYDR)</t>
  </si>
  <si>
    <t>04554</t>
  </si>
  <si>
    <t>SHORTENING INDUSTRIAL,SOYBN (HYDR)&amp;CTTNSD</t>
  </si>
  <si>
    <t>04556</t>
  </si>
  <si>
    <t>SHORTENING FRYING (HVY DUTY),PALM (HYDR)</t>
  </si>
  <si>
    <t>04559</t>
  </si>
  <si>
    <t>SHORTENING HOUSEHOLD SOYBN (HYDR)&amp;PALM</t>
  </si>
  <si>
    <t>04560</t>
  </si>
  <si>
    <t>SHORTENING FRYING HVY DUTY,SOYBN HYDR,LINOLEIC (LESS THAN 1%</t>
  </si>
  <si>
    <t>04570</t>
  </si>
  <si>
    <t>SHORTENING,CONFECTIONERY,FRACTIONATED PALM</t>
  </si>
  <si>
    <t>04572</t>
  </si>
  <si>
    <t>OIL,NUTMEG BUTTER</t>
  </si>
  <si>
    <t>04573</t>
  </si>
  <si>
    <t>OIL,UCUHUBA BUTTER</t>
  </si>
  <si>
    <t>04574</t>
  </si>
  <si>
    <t>FAT,DUCK</t>
  </si>
  <si>
    <t>04575</t>
  </si>
  <si>
    <t>FAT,TURKEY</t>
  </si>
  <si>
    <t>04576</t>
  </si>
  <si>
    <t>FAT,GOOSE</t>
  </si>
  <si>
    <t>04581</t>
  </si>
  <si>
    <t>OIL,AVOCADO</t>
  </si>
  <si>
    <t>04582</t>
  </si>
  <si>
    <t>OIL,CANOLA</t>
  </si>
  <si>
    <t>04583</t>
  </si>
  <si>
    <t>OIL,MUSTARD</t>
  </si>
  <si>
    <t>04584</t>
  </si>
  <si>
    <t>OIL,SUNFLOWER,HI OLEIC (70% &amp; OVER)</t>
  </si>
  <si>
    <t>04585</t>
  </si>
  <si>
    <t>MARGARINE-LIKE,MARGARINE-BUTTER BLEND,SOYBN OIL &amp; BUTTER</t>
  </si>
  <si>
    <t>04586</t>
  </si>
  <si>
    <t>SHORTENING,SPL PURPOSE FOR CAKES&amp;FROSTINGS,SOYBN (HYDR)</t>
  </si>
  <si>
    <t>04587</t>
  </si>
  <si>
    <t>SHORTENING,SPL PURPOSE FOR BAKING,SOYBN (HYDR) PALM&amp;CTTNSD</t>
  </si>
  <si>
    <t>04588</t>
  </si>
  <si>
    <t>OIL,OAT</t>
  </si>
  <si>
    <t>04589</t>
  </si>
  <si>
    <t>FISH OIL,COD LIVER</t>
  </si>
  <si>
    <t>04590</t>
  </si>
  <si>
    <t>FISH OIL,HERRING</t>
  </si>
  <si>
    <t>04591</t>
  </si>
  <si>
    <t>FISH OIL,MENHADEN</t>
  </si>
  <si>
    <t>04592</t>
  </si>
  <si>
    <t>FISH OIL,MENHADEN,FULLY HYDR</t>
  </si>
  <si>
    <t>04593</t>
  </si>
  <si>
    <t>FISH OIL,SALMON</t>
  </si>
  <si>
    <t>04594</t>
  </si>
  <si>
    <t>FISH OIL,SARDINE</t>
  </si>
  <si>
    <t>04595</t>
  </si>
  <si>
    <t>SHORTENING,MULTIPURPOSE,SOYBN (HYDR)&amp;PALM (HYDR)</t>
  </si>
  <si>
    <t>04600</t>
  </si>
  <si>
    <t>MARGARINE-LIKE,VEG OIL-BUTTER SPRD,TUB,W/ SALT</t>
  </si>
  <si>
    <t>04601</t>
  </si>
  <si>
    <t>BUTTER,LT,STK,W/SALT</t>
  </si>
  <si>
    <t>04602</t>
  </si>
  <si>
    <t>BUTTER,LT,STK,WO/SALT</t>
  </si>
  <si>
    <t>04606</t>
  </si>
  <si>
    <t>MEAT DRIPPINGS (LARD,BF TALLOW,MUTTON TALLOW)</t>
  </si>
  <si>
    <t>04609</t>
  </si>
  <si>
    <t>ANIMAL FAT,BACON GREASE</t>
  </si>
  <si>
    <t>04610</t>
  </si>
  <si>
    <t>MARGARINE,REG,80% FAT,COMP,STK,W/ SALT</t>
  </si>
  <si>
    <t>04611</t>
  </si>
  <si>
    <t>MARGARINE,REG,80% FAT,COMP,TUB,W/ SALT</t>
  </si>
  <si>
    <t>04612</t>
  </si>
  <si>
    <t>MARGARINE-LIKE,VEG OIL SPRD,60% FAT,STK,W/ SALT</t>
  </si>
  <si>
    <t>04613</t>
  </si>
  <si>
    <t>MARGARINE-LIKE,VEG OIL SPRD,60% FAT,TUB,W/ SALT</t>
  </si>
  <si>
    <t>04614</t>
  </si>
  <si>
    <t>MARGARINE-LIKE,VEG OIL SPRD,60% FAT,STICK/TUB/BOTTLE,W/ SALT</t>
  </si>
  <si>
    <t>04615</t>
  </si>
  <si>
    <t>SHORTENING,VEG,HOUSEHOLD,COMP</t>
  </si>
  <si>
    <t>04617</t>
  </si>
  <si>
    <t>MARGARINE,REG,80% FAT,COMP,STK,WO/ SALT</t>
  </si>
  <si>
    <t>04618</t>
  </si>
  <si>
    <t>MARGARINE,REG,80% FAT,COMP,TUB,WO/ SALT</t>
  </si>
  <si>
    <t>04620</t>
  </si>
  <si>
    <t>VEG OIL SPRD,60% FAT,STICK/TUB/BOTTLE,WO/ SALT</t>
  </si>
  <si>
    <t>04624</t>
  </si>
  <si>
    <t>MARGARINE-LIKE,VEG OIL SPRD,FAT FREE,LIQ,W/ SALT</t>
  </si>
  <si>
    <t>04626</t>
  </si>
  <si>
    <t>MARGARINE-LIKE SPRD W/ YOGURT,70% FAT,STK,W/ SALT</t>
  </si>
  <si>
    <t>04627</t>
  </si>
  <si>
    <t>MARGARINE-LIKE SPRD W/ YOGURT,APPROX 40% FAT,TUB,W/ SALT</t>
  </si>
  <si>
    <t>04628</t>
  </si>
  <si>
    <t>MARGARINE,80% FAT,STK,INCL REG &amp; HYDR CORN &amp; SOYBN OILS</t>
  </si>
  <si>
    <t>04629</t>
  </si>
  <si>
    <t>MARGARINE, VEG OIL SPRD,70% FAT,SOYBN &amp; PART HYDR SOYBN,STK</t>
  </si>
  <si>
    <t>04630</t>
  </si>
  <si>
    <t>MARGARINE SPRD,APPROX 48% FAT,TUB</t>
  </si>
  <si>
    <t>04631</t>
  </si>
  <si>
    <t>MARGARINE-LIKE,VEG OIL SPRD,FAT-FREE,TUB</t>
  </si>
  <si>
    <t>04633</t>
  </si>
  <si>
    <t>MARGARINE-LIKE,VEG OIL SPRD,20% FAT,W/ SALT</t>
  </si>
  <si>
    <t>04634</t>
  </si>
  <si>
    <t>MARGARINE-LIKE,VEG OIL SPRD,20% FAT,WO/ SALT</t>
  </si>
  <si>
    <t>04635</t>
  </si>
  <si>
    <t>SALAD DRSNG,1000 ISLAND DRSNG,FAT-FREE</t>
  </si>
  <si>
    <t>04636</t>
  </si>
  <si>
    <t>SALAD DRSNG,ITALIAN DRSNG,FAT-FREE</t>
  </si>
  <si>
    <t>04638</t>
  </si>
  <si>
    <t>SALAD DRSNG,RANCH DRSNG,FAT-FREE</t>
  </si>
  <si>
    <t>04639</t>
  </si>
  <si>
    <t>SALAD DRSNG,RANCH DRSNG,REG</t>
  </si>
  <si>
    <t>04640</t>
  </si>
  <si>
    <t>SALAD DRSNG,RANCH DRSNG,RED FAT</t>
  </si>
  <si>
    <t>04641</t>
  </si>
  <si>
    <t>SALAD DRSNG,MAYO,LT</t>
  </si>
  <si>
    <t>04642</t>
  </si>
  <si>
    <t>OIL,INDUSTRIAL,MID-OLEIC,SUNFLOWER</t>
  </si>
  <si>
    <t>04643</t>
  </si>
  <si>
    <t>OIL,INDUSTRIAL,CANOLA W/ ANTIFOAMING AGENT</t>
  </si>
  <si>
    <t>04644</t>
  </si>
  <si>
    <t>OIL,INDUSTRIAL,CANOLA FOR SALADS,WOKS &amp; LT FRYING</t>
  </si>
  <si>
    <t>04645</t>
  </si>
  <si>
    <t>OIL,INDUS,CANOLA (PART HYDROG) OIL FOR DEEP FAT FRYING</t>
  </si>
  <si>
    <t>04646</t>
  </si>
  <si>
    <t>OIL,INDUSTRIAL,COCNT</t>
  </si>
  <si>
    <t>04648</t>
  </si>
  <si>
    <t>OIL,INDUSTRIAL,SOY (PART HYDR),FOR POPCORN &amp; FLAVORING VEG</t>
  </si>
  <si>
    <t>04649</t>
  </si>
  <si>
    <t>SHORTENING,INDUS,SOY (PART HYDROG),POURABLE LIQ FRY</t>
  </si>
  <si>
    <t>04650</t>
  </si>
  <si>
    <t>OIL,INDUSTRIAL,SOY,REFINED,FOR WOKS &amp; LT FRYING</t>
  </si>
  <si>
    <t>04651</t>
  </si>
  <si>
    <t>OIL,INDUSTRIAL,SOY (PART HYDR),FOR NON-DAIRY BUTTER FLAVOR</t>
  </si>
  <si>
    <t>04652</t>
  </si>
  <si>
    <t>OIL,INDUSTRIAL,SOY ( PART HYDROGENATED),ALLPURP</t>
  </si>
  <si>
    <t>04653</t>
  </si>
  <si>
    <t>OIL,INDUSTRIAL,SOY (PART HYDR ) &amp; SOY,POURABLE FRY</t>
  </si>
  <si>
    <t>04654</t>
  </si>
  <si>
    <t>OIL,INDUS,SOY (PART HYDROG) &amp; CTTNSD,TORTILLA SHORTENING</t>
  </si>
  <si>
    <t>04655</t>
  </si>
  <si>
    <t>MARGARINE-LIKE SHORTENING,INDUS,SOY(PART  HYDR),CTTNSD,&amp; SOY</t>
  </si>
  <si>
    <t>04656</t>
  </si>
  <si>
    <t>OIL,INDUSTRIAL,PALM KERNEL,CONFECTION FAT</t>
  </si>
  <si>
    <t>04657</t>
  </si>
  <si>
    <t>OIL,INDUSTRIAL,PALM KERNEL (HYDROGENATED),CONFECTION FAT</t>
  </si>
  <si>
    <t>04658</t>
  </si>
  <si>
    <t>04659</t>
  </si>
  <si>
    <t>OIL,INDUSTRIAL,COCNT,CONFECTION FAT,ICE CRM COATINGS</t>
  </si>
  <si>
    <t>04660</t>
  </si>
  <si>
    <t>OIL,INDUSTRIAL,PALM KERNEL (HYDROG) FOR WHIPPED TOPPINGS</t>
  </si>
  <si>
    <t>04661</t>
  </si>
  <si>
    <t>OIL,INDUSTRIAL,COCNT (HYDROGENATED),FOR TOPPINGS &amp; WHITENERS</t>
  </si>
  <si>
    <t>04662</t>
  </si>
  <si>
    <t>OIL,INDUSTRIAL,PALM &amp; PALM KERNEL,FILLING FAT (NON-HYDROG)</t>
  </si>
  <si>
    <t>04663</t>
  </si>
  <si>
    <t>OIL,INDUSTRIAL,PALM KERNEL (HYDROGENATED),FILLING FAT</t>
  </si>
  <si>
    <t>04664</t>
  </si>
  <si>
    <t>OIL,INDUSTRIAL,SOY (PARTHYDR ),PALM, ICINGS &amp; FILLINGS</t>
  </si>
  <si>
    <t>04665</t>
  </si>
  <si>
    <t>MARGARINE,INDUS,NON-DAIRY,CTTNSD,SOY OIL (PART HYDR )</t>
  </si>
  <si>
    <t>04666</t>
  </si>
  <si>
    <t>SHORTENING,INDUSTRIAL,SOY (PARTIALLY HYDR )&amp;CORN FOR FRYING</t>
  </si>
  <si>
    <t>04667</t>
  </si>
  <si>
    <t>SHORTENING,INDUS,SOY (PART HYDR ) FOR BAKING &amp; CONFECTIONS</t>
  </si>
  <si>
    <t>04668</t>
  </si>
  <si>
    <t>MARGARINE,INDUS,SOY &amp; PART HYDR SOY OIL,BAKING,SAUCES,CANDY</t>
  </si>
  <si>
    <t>04669</t>
  </si>
  <si>
    <t>USDA CMDTY FD,OIL,VEG,SOYBN,REFINED</t>
  </si>
  <si>
    <t>04670</t>
  </si>
  <si>
    <t>USDA CMDTY FD,OIL,VEG,LO SATURATED FAT</t>
  </si>
  <si>
    <t>04673</t>
  </si>
  <si>
    <t>MARGARINE-LIKE SPRD,SMART BALANCE REG BUTTERY SPRD</t>
  </si>
  <si>
    <t>04674</t>
  </si>
  <si>
    <t>MARGARINE-LIKE SPRD,SMART BALANCE LT BUTTERY SPRD</t>
  </si>
  <si>
    <t>04675</t>
  </si>
  <si>
    <t>MARGARINE-LIKE SPRD,SMART BEAT SUPER LT WO/ SATURATED FAT</t>
  </si>
  <si>
    <t>04676</t>
  </si>
  <si>
    <t>MARGARINE-LIKE SPRD,SMART BEAT SMART SQUEEZE</t>
  </si>
  <si>
    <t>04677</t>
  </si>
  <si>
    <t>MARGARINE-LIKE SPRD,SMART BALANCE OMEGA PLUS SPRD</t>
  </si>
  <si>
    <t>04678</t>
  </si>
  <si>
    <t>OIL,VEG,NATREON CANOLA,HI STABILITY,NON TRANS,HI OLEIC (70%)</t>
  </si>
  <si>
    <t>04679</t>
  </si>
  <si>
    <t>OIL,PAM COOKING SPRAY,ORIGINAL</t>
  </si>
  <si>
    <t>04683</t>
  </si>
  <si>
    <t>MARGARINE,MARGARINE-LIKE VEG OIL SPRD,67-70% FAT,TUB</t>
  </si>
  <si>
    <t>04684</t>
  </si>
  <si>
    <t>MARGARINE,80% FAT,TUB,CANOLA HARVEST SOFT SPRD</t>
  </si>
  <si>
    <t>04685</t>
  </si>
  <si>
    <t>OIL,COOKING &amp; SALAD,ENOVA,80% DIGLYCERIDES</t>
  </si>
  <si>
    <t>04686</t>
  </si>
  <si>
    <t>SALAD DRSNG,HONEY MUSTARD DRSNG,RED CAL</t>
  </si>
  <si>
    <t>04687</t>
  </si>
  <si>
    <t>MARGARINE-LIKE SPRD,BENECOL LT SPRD</t>
  </si>
  <si>
    <t>04688</t>
  </si>
  <si>
    <t>SALAD DRSNG,SPRAY-STYLE DRSNG,ASSORTED FLAVORS</t>
  </si>
  <si>
    <t>04689</t>
  </si>
  <si>
    <t>SALAD DRSNG,MAYO,LT,SMART BALANCE,OMEGA PLUS LT</t>
  </si>
  <si>
    <t>04690</t>
  </si>
  <si>
    <t>VEG OIL SPRD,37% FAT,UNSPEC OILS,W/ SALT,W/ ADDED VITAMIN D</t>
  </si>
  <si>
    <t>04691</t>
  </si>
  <si>
    <t>MARGARINE,REG,80% FAT,COMP,STK,W/ SALT,W/ ADDED VITAMIN D</t>
  </si>
  <si>
    <t>04692</t>
  </si>
  <si>
    <t>MARGARINE,REG,80% FAT,COMP,TUB,W/ SALT,W/ ADDED VITAMIN D</t>
  </si>
  <si>
    <t>04693</t>
  </si>
  <si>
    <t>VEG OIL SPRD,60% FAT,STK,W/ SALT,W/ ADDED VITAMIN D</t>
  </si>
  <si>
    <t>04694</t>
  </si>
  <si>
    <t>VEG OIL SPRD,60% FAT,TUB,W/ SALT,W/ ADDED VITAMIN D</t>
  </si>
  <si>
    <t>04695</t>
  </si>
  <si>
    <t>VEG-OIL SPRD,STICK/TUB/BOTTLE,60% FAT,W/ ADDED VITAMIN D</t>
  </si>
  <si>
    <t>04696</t>
  </si>
  <si>
    <t>MARGARINE,REG,80% FAT,COMP,STK,WO/ SALT,W/ ADDED VITAMIN D</t>
  </si>
  <si>
    <t>04697</t>
  </si>
  <si>
    <t>VEG OIL SPRD,60% FAT,STICK/TUB/BOTTLE,WO/ SALT,W/VIT D</t>
  </si>
  <si>
    <t>04698</t>
  </si>
  <si>
    <t>OIL,INDUSTRIAL,CANOLA,HI OLEIC</t>
  </si>
  <si>
    <t>04699</t>
  </si>
  <si>
    <t>OIL,INDUSTRIAL,SOY,LO LINOLENIC</t>
  </si>
  <si>
    <t>04700</t>
  </si>
  <si>
    <t>OIL,INDUSTRIAL,SOY,ULTRA LO LINOLENIC</t>
  </si>
  <si>
    <t>04701</t>
  </si>
  <si>
    <t>OIL,INDUSTRIAL,SOY,FULLY HYDR</t>
  </si>
  <si>
    <t>04702</t>
  </si>
  <si>
    <t>OIL,INDUSTRIAL,CTTNSD,FULLY HYDR</t>
  </si>
  <si>
    <t>04703</t>
  </si>
  <si>
    <t>SALAD DRSNG,HONEY MUSTARD,REG</t>
  </si>
  <si>
    <t>04704</t>
  </si>
  <si>
    <t>SALAD DRSNG,POPPYSEED,CREAMY</t>
  </si>
  <si>
    <t>04705</t>
  </si>
  <si>
    <t>SALAD DRSNG,CAESAR,FAT-FREE</t>
  </si>
  <si>
    <t>04706</t>
  </si>
  <si>
    <t>DRESSING,HONEY MUSTARD,FAT-FREE</t>
  </si>
  <si>
    <t>04707</t>
  </si>
  <si>
    <t>OIL,FLAXSEED,CONTAINS ADDED SLICED FLAXSEED</t>
  </si>
  <si>
    <t>04708</t>
  </si>
  <si>
    <t>MAYONNAISE,RED FAT,W/ OLIVE OIL</t>
  </si>
  <si>
    <t>04709</t>
  </si>
  <si>
    <t>SALAD DRSNG,MAYONNAISE-TYPE,LT</t>
  </si>
  <si>
    <t>05000</t>
  </si>
  <si>
    <t>CHICKEN,BROILER,ROTISSERIE,BBQ,BREAST MEAT ONLY</t>
  </si>
  <si>
    <t>05001</t>
  </si>
  <si>
    <t>CHICKEN,BROILERS OR FRYERS,MEAT&amp;SKN&amp;GIBLETS&amp;NECK,RAW</t>
  </si>
  <si>
    <t>05002</t>
  </si>
  <si>
    <t>CHICKEN,BROILER OR FRYER,MEAT&amp;SKN&amp;GIBLETS&amp;NECK,FRIED,BATTER</t>
  </si>
  <si>
    <t>05003</t>
  </si>
  <si>
    <t>CHICKEN,BROILERS OR FRYERS,MEAT&amp;SKN&amp;GIBLETS&amp;NECK,FRIED,FLR</t>
  </si>
  <si>
    <t>05004</t>
  </si>
  <si>
    <t>CHICKEN,BROILERS OR FRYERS,MEAT&amp;SKN&amp;GIBLETS&amp;NECK,RSTD</t>
  </si>
  <si>
    <t>05005</t>
  </si>
  <si>
    <t>CHICKEN,BROILERS OR FRYERS,MEAT&amp;SKN&amp;GIBLETS&amp;NECK,STWD</t>
  </si>
  <si>
    <t>05006</t>
  </si>
  <si>
    <t>CHICKEN,BROILERS OR FRYERS,MEAT &amp; SKN,RAW</t>
  </si>
  <si>
    <t>05007</t>
  </si>
  <si>
    <t>CHICKEN,BROILERS OR FRYERS,MEAT&amp;SKN,CKD,FRIED,BATTER</t>
  </si>
  <si>
    <t>05008</t>
  </si>
  <si>
    <t>CHICKEN,BROILERS OR FRYERS,MEAT&amp;SKN,CKD,FRIED,FLR</t>
  </si>
  <si>
    <t>05009</t>
  </si>
  <si>
    <t>CHICKEN,BROILERS OR FRYERS,MEAT&amp;SKN,CKD,RSTD</t>
  </si>
  <si>
    <t>05010</t>
  </si>
  <si>
    <t>CHICKEN,BROILERS OR FRYERS,MEAT&amp;SKN,CKD,STWD</t>
  </si>
  <si>
    <t>05011</t>
  </si>
  <si>
    <t>CHICKEN,BROILERS OR FRYERS,MEAT ONLY,RAW</t>
  </si>
  <si>
    <t>05012</t>
  </si>
  <si>
    <t>CHICKEN,BROILERS OR FRYERS,MEAT ONLY,CKD,FRIED</t>
  </si>
  <si>
    <t>05013</t>
  </si>
  <si>
    <t>CHICKEN,BROILERS OR FRYERS,MEAT ONLY,RSTD</t>
  </si>
  <si>
    <t>05014</t>
  </si>
  <si>
    <t>CHICKEN,BROILERS OR FRYERS,MEAT ONLY,STWD</t>
  </si>
  <si>
    <t>05015</t>
  </si>
  <si>
    <t>CHICKEN,BROILERS OR FRYERS,SKN ONLY,RAW</t>
  </si>
  <si>
    <t>05016</t>
  </si>
  <si>
    <t>CHICKEN,BROILERS OR FRYERS,SKN ONLY,CKD,FRIED,BATTER</t>
  </si>
  <si>
    <t>05017</t>
  </si>
  <si>
    <t>CHICKEN,BROILERS OR FRYERS,SKN ONLY,CKD,FRIED,FLR</t>
  </si>
  <si>
    <t>05018</t>
  </si>
  <si>
    <t>CHICKEN,BROILERS OR FRYERS,SKN ONLY,CKD,RSTD</t>
  </si>
  <si>
    <t>05019</t>
  </si>
  <si>
    <t>CHICKEN,BROILERS OR FRYERS,SKN ONLY,CKD,STWD</t>
  </si>
  <si>
    <t>05020</t>
  </si>
  <si>
    <t>CHICKEN,BROILERS OR FRYERS,GIBLETS,RAW</t>
  </si>
  <si>
    <t>05021</t>
  </si>
  <si>
    <t>CHICKEN,BROILERS OR FRYERS,GIBLETS,CKD,FRIED</t>
  </si>
  <si>
    <t>05022</t>
  </si>
  <si>
    <t>CHICKEN,BROILERS OR FRYERS,GIBLETS,CKD,SIMMRD</t>
  </si>
  <si>
    <t>05023</t>
  </si>
  <si>
    <t>CHICKEN,GIZZARD,ALL CLASSES,RAW</t>
  </si>
  <si>
    <t>05024</t>
  </si>
  <si>
    <t>CHICKEN,GIZZARD,ALL CLASSES,CKD,SIMMRD</t>
  </si>
  <si>
    <t>05025</t>
  </si>
  <si>
    <t>CHICKEN,HEART,ALL CLASSES,RAW</t>
  </si>
  <si>
    <t>05026</t>
  </si>
  <si>
    <t>CHICKEN,HEART,ALL CLASSES,CKD,SIMMRD</t>
  </si>
  <si>
    <t>05027</t>
  </si>
  <si>
    <t>CHICKEN,LIVER,ALL CLASSES,RAW</t>
  </si>
  <si>
    <t>05028</t>
  </si>
  <si>
    <t>CHICKEN,LIVER,ALL CLASSES,CKD,SIMMRD</t>
  </si>
  <si>
    <t>05029</t>
  </si>
  <si>
    <t>CHICKEN,BROILERS OR FRYERS,LT MEAT,MEAT &amp; SKN,RAW</t>
  </si>
  <si>
    <t>05030</t>
  </si>
  <si>
    <t>CHICKEN,BROILERS OR FRYERS,LT MEAT,MEAT&amp;SKN,CKD,FRIED,BATTER</t>
  </si>
  <si>
    <t>05031</t>
  </si>
  <si>
    <t>CHICKEN,BROILERS OR FRYERS,LT MEAT,MEAT&amp;SKN,CKD,FRIED,FLR</t>
  </si>
  <si>
    <t>05032</t>
  </si>
  <si>
    <t>CHICKEN,BROILERS OR FRYERS,LT MEAT,MEAT&amp;SKN,CKD,RSTD</t>
  </si>
  <si>
    <t>05033</t>
  </si>
  <si>
    <t>CHICKEN,BROILERS OR FRYERS,LT MEAT,MEAT&amp;SKN,CKD,STWD</t>
  </si>
  <si>
    <t>05034</t>
  </si>
  <si>
    <t>CHICKEN,BROILERS OR FRYERS,DK MEAT,MEAT &amp; SKN,RAW</t>
  </si>
  <si>
    <t>05035</t>
  </si>
  <si>
    <t>CHICKEN,BROILERS OR FRYERS,DK MEAT,MEAT&amp;SKN,CKD,FRIED,BATTER</t>
  </si>
  <si>
    <t>05036</t>
  </si>
  <si>
    <t>CHICKEN,BROILERS OR FRYERS,DK MEAT,MEAT&amp;SKN,CKD,FRIED,FLR</t>
  </si>
  <si>
    <t>05037</t>
  </si>
  <si>
    <t>CHICKEN,BROILERS OR FRYERS,DK MEAT,MEAT&amp;SKN,CKD,RSTD</t>
  </si>
  <si>
    <t>05038</t>
  </si>
  <si>
    <t>CHICKEN,BROILERS OR FRYERS,DK MEAT,MEAT&amp;SKN,CKD,STWD</t>
  </si>
  <si>
    <t>05039</t>
  </si>
  <si>
    <t>CHICKEN,BROILERS OR FRYERS,LT MEAT,MEAT ONLY,RAW</t>
  </si>
  <si>
    <t>05040</t>
  </si>
  <si>
    <t>CHICKEN,BROILERS OR FRYERS,LT MEAT,MEAT ONLY,CKD,FRIED</t>
  </si>
  <si>
    <t>05041</t>
  </si>
  <si>
    <t>CHICKEN,BROILERS OR FRYERS,LT MEAT,MEAT ONLY,CKD,RSTD</t>
  </si>
  <si>
    <t>05042</t>
  </si>
  <si>
    <t>CHICKEN,BROILERS OR FRYERS,LT MEAT,MEAT ONLY,CKD,STWD</t>
  </si>
  <si>
    <t>05043</t>
  </si>
  <si>
    <t>CHICKEN,BROILERS OR FRYERS,DK MEAT,MEAT ONLY,RAW</t>
  </si>
  <si>
    <t>05044</t>
  </si>
  <si>
    <t>CHICKEN,BROILERS OR FRYERS,DK MEAT,MEAT ONLY,CKD,FRIED</t>
  </si>
  <si>
    <t>05045</t>
  </si>
  <si>
    <t>CHICKEN,BROILERS OR FRYERS,DK MEAT,MEAT ONLY,CKD,RSTD</t>
  </si>
  <si>
    <t>05046</t>
  </si>
  <si>
    <t>CHICKEN,BROILERS OR FRYERS,DK MEAT,MEAT ONLY,CKD,STWD</t>
  </si>
  <si>
    <t>05047</t>
  </si>
  <si>
    <t>CHICKEN,BROILERS OR FRYERS,FAT,RAW</t>
  </si>
  <si>
    <t>05048</t>
  </si>
  <si>
    <t>CHICKEN,BROILERS OR FRYERS,BACK,MEAT&amp;SKN,RAW</t>
  </si>
  <si>
    <t>05049</t>
  </si>
  <si>
    <t>CHICKEN,BROILERS OR FRYERS,BACK,MEAT&amp;SKN,CKD,FRIED,BATTER</t>
  </si>
  <si>
    <t>05050</t>
  </si>
  <si>
    <t>CHICKEN,BROILERS OR FRYERS,BACK,MEAT&amp;SKN,CKD,FRIED,FLR</t>
  </si>
  <si>
    <t>05051</t>
  </si>
  <si>
    <t>CHICKEN,BROILERS OR FRYERS,BACK,MEAT&amp;SKN,CKD,RSTD</t>
  </si>
  <si>
    <t>05052</t>
  </si>
  <si>
    <t>CHICKEN,BROILERS OR FRYERS,BACK,MEAT&amp;SKN,CKD,STWD</t>
  </si>
  <si>
    <t>05053</t>
  </si>
  <si>
    <t>CHICKEN,BROILERS OR FRYERS,BACK,MEAT ONLY,RAW</t>
  </si>
  <si>
    <t>05054</t>
  </si>
  <si>
    <t>CHICKEN,BROILERS OR FRYERS,BACK,MEAT ONLY,CKD,FRIED</t>
  </si>
  <si>
    <t>05055</t>
  </si>
  <si>
    <t>CHICKEN,BROILERS OR FRYERS,BACK,MEAT ONLY,CKD,RSTD</t>
  </si>
  <si>
    <t>05056</t>
  </si>
  <si>
    <t>CHICKEN,BROILERS OR FRYERS,BACK,MEAT ONLY,CKD,STWD</t>
  </si>
  <si>
    <t>05057</t>
  </si>
  <si>
    <t>CHICKEN,BROILERS OR FRYERS,BREAST,MEAT&amp;SKN,RAW</t>
  </si>
  <si>
    <t>05058</t>
  </si>
  <si>
    <t>CHICKEN,BROILERS OR FRYERS,BREAST,MEAT&amp;SKN,CKD,FRIED,BATTER</t>
  </si>
  <si>
    <t>05059</t>
  </si>
  <si>
    <t>CHICKEN,BROILERS OR FRYERS,BREAST,MEAT&amp;SKN,CKD,FRIED,FLR</t>
  </si>
  <si>
    <t>05060</t>
  </si>
  <si>
    <t>CHICKEN,BROILERS OR FRYERS,BREAST,MEAT&amp;SKN,CKD,RSTD</t>
  </si>
  <si>
    <t>05061</t>
  </si>
  <si>
    <t>CHICKEN,BROILERS OR FRYERS,BREAST,MEAT&amp;SKN,CKD,STWD</t>
  </si>
  <si>
    <t>05062</t>
  </si>
  <si>
    <t>CHICKEN,BROILER OR FRYERS,BRST,SKINLESS,BNLESS,MEAT ONLY,RAW</t>
  </si>
  <si>
    <t>05063</t>
  </si>
  <si>
    <t>CHICKEN,BROILERS OR FRYERS,BREAST,MEAT ONLY,CKD,FRIED</t>
  </si>
  <si>
    <t>05064</t>
  </si>
  <si>
    <t>CHICKEN,BROILERS OR FRYERS,BREAST,MEAT ONLY,CKD,RSTD</t>
  </si>
  <si>
    <t>05065</t>
  </si>
  <si>
    <t>CHICKEN,BROILERS OR FRYERS,BREAST,MEAT ONLY,CKD,STWD</t>
  </si>
  <si>
    <t>05066</t>
  </si>
  <si>
    <t>CHICKEN,BROILERS OR FRYERS,DRUMSTK,MEAT&amp;SKN,RAW</t>
  </si>
  <si>
    <t>05067</t>
  </si>
  <si>
    <t>CHICKEN,BROILERS OR FRYERS,DRUMSTK,MEAT&amp;SKN,CKD,FRIED,BATTER</t>
  </si>
  <si>
    <t>05068</t>
  </si>
  <si>
    <t>CHICKEN,BROILERS OR FRYERS,DRUMSTK,MEAT&amp;SKN,CKD,FRIED,FLR</t>
  </si>
  <si>
    <t>05069</t>
  </si>
  <si>
    <t>CHICKEN,BROILERS OR FRYERS,DRUMSTK,MEAT&amp;SKN,CKD,RSTD</t>
  </si>
  <si>
    <t>05070</t>
  </si>
  <si>
    <t>CHICKEN,BROILERS OR FRYERS,DRUMSTK,MEAT&amp;SKN,CKD,STWD</t>
  </si>
  <si>
    <t>05071</t>
  </si>
  <si>
    <t>CHICKEN,BROILERS OR FRYERS,DK MEAT,DRUMSTK,MEAT ONLY,RAW</t>
  </si>
  <si>
    <t>05072</t>
  </si>
  <si>
    <t>CHICKEN,BROILERS OR FRYERS,DRUMSTK,MEAT ONLY,CKD,FRIED</t>
  </si>
  <si>
    <t>05073</t>
  </si>
  <si>
    <t>CHICKEN,BROILERS OR FRYERS,DK MEAT,DRUMSTK,MEAT ONLY,CKD,RST</t>
  </si>
  <si>
    <t>05074</t>
  </si>
  <si>
    <t>CHICKEN,BROILERS OR FRYERS,DRUMSTK,MEAT ONLY,CKD,STWD</t>
  </si>
  <si>
    <t>05075</t>
  </si>
  <si>
    <t>CHICKEN,BROILERS OR FRYERS,LEG,MEAT&amp;SKN,RAW</t>
  </si>
  <si>
    <t>05076</t>
  </si>
  <si>
    <t>CHICKEN,BROILERS OR FRYERS,LEG,MEAT&amp;SKN,CKD,FRIED,BATTER</t>
  </si>
  <si>
    <t>05077</t>
  </si>
  <si>
    <t>CHICKEN,BROILERS OR FRYERS,LEG,MEAT&amp;SKN,CKD,FRIED,FLR</t>
  </si>
  <si>
    <t>05078</t>
  </si>
  <si>
    <t>CHICKEN,BROILERS OR FRYERS,LEG,MEAT&amp;SKN,CKD,RSTD</t>
  </si>
  <si>
    <t>05079</t>
  </si>
  <si>
    <t>CHICKEN,BROILERS OR FRYERS,LEG,MEAT&amp;SKN,CKD,STWD</t>
  </si>
  <si>
    <t>05080</t>
  </si>
  <si>
    <t>CHICKEN,BROILERS OR FRYERS,LEG,MEAT ONLY,RAW</t>
  </si>
  <si>
    <t>05081</t>
  </si>
  <si>
    <t>CHICKEN,BROILERS OR FRYERS,LEG,MEAT ONLY,CKD,FRIED</t>
  </si>
  <si>
    <t>05082</t>
  </si>
  <si>
    <t>CHICKEN,BROILERS OR FRYERS,LEG,MEAT ONLY,CKD,RSTD</t>
  </si>
  <si>
    <t>05083</t>
  </si>
  <si>
    <t>CHICKEN,BROILERS OR FRYERS,LEG,MEAT ONLY,CKD,STWD</t>
  </si>
  <si>
    <t>05084</t>
  </si>
  <si>
    <t>CHICKEN,BROILERS OR FRYERS,NECK,MEAT&amp;SKN,RAW</t>
  </si>
  <si>
    <t>05085</t>
  </si>
  <si>
    <t>CHICKEN,BROILERS OR FRYERS,NECK,MEAT&amp;SKN,CKD,FRIED,BATTER</t>
  </si>
  <si>
    <t>05086</t>
  </si>
  <si>
    <t>CHICKEN,BROILERS OR FRYERS,NECK,MEAT&amp;SKN,CKD,FRIED,FLR</t>
  </si>
  <si>
    <t>05087</t>
  </si>
  <si>
    <t>CHICKEN,BROILERS OR FRYERS,NECK,MEAT&amp;SKN,CKD SIMMRD</t>
  </si>
  <si>
    <t>05088</t>
  </si>
  <si>
    <t>CHICKEN,BROILERS OR FRYERS,NECK,MEAT ONLY,RAW</t>
  </si>
  <si>
    <t>05089</t>
  </si>
  <si>
    <t>CHICKEN,BROILERS OR FRYERS,NECK,MEAT ONLY,CKD,FRIED</t>
  </si>
  <si>
    <t>05090</t>
  </si>
  <si>
    <t>CHICKEN,BROILERS OR FRYERS,NECK,MEAT ONLY,CKD,SIMMRD</t>
  </si>
  <si>
    <t>05091</t>
  </si>
  <si>
    <t>CHICKEN,BROILERS OR FRYERS,THIGH,MEAT&amp;SKN,RAW</t>
  </si>
  <si>
    <t>05092</t>
  </si>
  <si>
    <t>CHICKEN,BROILERS OR FRYERS,THIGH,MEAT&amp;SKN,CKD,FRIED,BATTER</t>
  </si>
  <si>
    <t>05093</t>
  </si>
  <si>
    <t>CHICKEN,BROILERS OR FRYERS,THIGH,MEAT&amp;SKN,CKD,FRIED,FLR</t>
  </si>
  <si>
    <t>05094</t>
  </si>
  <si>
    <t>CHICKEN,BROILERS OR FRYERS,THIGH,MEAT&amp;SKN,CKD,RSTD</t>
  </si>
  <si>
    <t>05095</t>
  </si>
  <si>
    <t>CHICKEN,BROILERS OR FRYERS,THIGH,MEAT&amp;SKN,CKD,STWD</t>
  </si>
  <si>
    <t>05096</t>
  </si>
  <si>
    <t>CHICKEN,BROILERS OR FRYERS,DK MEAT,THIGH,MEAT ONLY,RAW</t>
  </si>
  <si>
    <t>05097</t>
  </si>
  <si>
    <t>CHICKEN,BROILERS OR FRYERS,THIGH,MEAT ONLY,CKD,FRIED</t>
  </si>
  <si>
    <t>05098</t>
  </si>
  <si>
    <t>CHICKEN,BROILERS OR FRYERS,THIGH,MEAT ONLY,CKD,RSTD</t>
  </si>
  <si>
    <t>05099</t>
  </si>
  <si>
    <t>CHICKEN,BROILERS OR FRYERS,THIGH,MEAT ONLY,CKD,STWD</t>
  </si>
  <si>
    <t>05100</t>
  </si>
  <si>
    <t>CHICKEN,BROILERS OR FRYERS,WING,MEAT&amp;SKN,RAW</t>
  </si>
  <si>
    <t>05101</t>
  </si>
  <si>
    <t>CHICKEN,BROILERS OR FRYERS,WING,MEAT&amp;SKN,CKD,FRIED,BATTER</t>
  </si>
  <si>
    <t>05102</t>
  </si>
  <si>
    <t>CHICKEN,BROILERS OR FRYERS,WING,MEAT&amp;SKN,CKD,FRIED,FLR</t>
  </si>
  <si>
    <t>05103</t>
  </si>
  <si>
    <t>CHICKEN,BROILERS OR FRYERS,WING,MEAT&amp;SKN,CKD,RSTD</t>
  </si>
  <si>
    <t>05104</t>
  </si>
  <si>
    <t>CHICKEN,BROILERS OR FRYERS,WING,MEAT&amp;SKN,CKD,STWD</t>
  </si>
  <si>
    <t>05105</t>
  </si>
  <si>
    <t>CHICKEN,BROILERS OR FRYERS,WING,MEAT ONLY,RAW</t>
  </si>
  <si>
    <t>05106</t>
  </si>
  <si>
    <t>CHICKEN,BROILERS OR FRYERS,WING,MEAT ONLY,CKD,FRIED</t>
  </si>
  <si>
    <t>05107</t>
  </si>
  <si>
    <t>CHICKEN,BROILERS OR FRYERS,WING,MEAT ONLY,CKD,RSTD</t>
  </si>
  <si>
    <t>05108</t>
  </si>
  <si>
    <t>CHICKEN,BROILERS OR FRYERS,WING,MEAT ONLY,CKD,STWD</t>
  </si>
  <si>
    <t>05109</t>
  </si>
  <si>
    <t>CHICKEN,ROASTING,MEAT&amp;SKN&amp;GIBLETS&amp;NECK,RAW</t>
  </si>
  <si>
    <t>05110</t>
  </si>
  <si>
    <t>CHICKEN,ROASTING,MEAT&amp;SKN&amp;GIBLETS&amp;NECK,CKD,RSTD</t>
  </si>
  <si>
    <t>05111</t>
  </si>
  <si>
    <t>CANADA GOOSE,BREAST MEAT,SKINLESS,RAW</t>
  </si>
  <si>
    <t>05112</t>
  </si>
  <si>
    <t>CHICKEN,ROASTING,MEAT&amp;SKN,CKD,RSTD</t>
  </si>
  <si>
    <t>05113</t>
  </si>
  <si>
    <t>CHICKEN,ROASTING,MEAT ONLY,RAW</t>
  </si>
  <si>
    <t>05114</t>
  </si>
  <si>
    <t>CHICKEN,ROASTING,MEAT ONLY,CKD,RSTD</t>
  </si>
  <si>
    <t>05115</t>
  </si>
  <si>
    <t>CHICKEN,ROASTING,GIBLETS,RAW</t>
  </si>
  <si>
    <t>05116</t>
  </si>
  <si>
    <t>CHICKEN,ROASTING,GIBLETS,CKD,SIMMRD</t>
  </si>
  <si>
    <t>05117</t>
  </si>
  <si>
    <t>CHICKEN,ROASTING,LT MEAT,MEAT ONLY,RAW</t>
  </si>
  <si>
    <t>05118</t>
  </si>
  <si>
    <t>CHICKEN,ROASTING,LT MEAT,MEAT ONLY,CKD,RSTD</t>
  </si>
  <si>
    <t>05119</t>
  </si>
  <si>
    <t>CHICKEN,ROASTING,DK MEAT,MEAT ONLY,RAW</t>
  </si>
  <si>
    <t>05120</t>
  </si>
  <si>
    <t>CHICKEN,ROASTING,DK MEAT,MEAT ONLY,CKD,RSTD</t>
  </si>
  <si>
    <t>05121</t>
  </si>
  <si>
    <t>CHICKEN,STEWING,MEAT&amp;SKN,&amp;GIBLETS&amp;NECK,RAW</t>
  </si>
  <si>
    <t>05122</t>
  </si>
  <si>
    <t>CHICKEN,STEWING,MEAT &amp; SKN,&amp; GIBLETS &amp; NECK,CKD,STWD</t>
  </si>
  <si>
    <t>05123</t>
  </si>
  <si>
    <t>CHICKEN,STEWING,MEAT&amp;SKN,RAW</t>
  </si>
  <si>
    <t>05124</t>
  </si>
  <si>
    <t>CHICKEN,STEWING,MEAT&amp;SKN,CKD,STWD</t>
  </si>
  <si>
    <t>05125</t>
  </si>
  <si>
    <t>CHICKEN,STEWING,MEAT ONLY,RAW</t>
  </si>
  <si>
    <t>05126</t>
  </si>
  <si>
    <t>CHICKEN,STEWING,MEAT ONLY,CKD,STWD</t>
  </si>
  <si>
    <t>05127</t>
  </si>
  <si>
    <t>CHICKEN,STEWING,GIBLETS,RAW</t>
  </si>
  <si>
    <t>05128</t>
  </si>
  <si>
    <t>CHICKEN,STEWING,GIBLETS,CKD,SIMMRD</t>
  </si>
  <si>
    <t>05129</t>
  </si>
  <si>
    <t>CHICKEN,STEWING,LT MEAT,MEAT ONLY,RAW</t>
  </si>
  <si>
    <t>05130</t>
  </si>
  <si>
    <t>CHICKEN,STEWING,LT MEAT,MEAT ONLY,CKD,STWD</t>
  </si>
  <si>
    <t>05131</t>
  </si>
  <si>
    <t>CHICKEN,STEWING,DK MEAT,MEAT ONLY,RAW</t>
  </si>
  <si>
    <t>05132</t>
  </si>
  <si>
    <t>CHICKEN,STEWING,DK MEAT,MEAT ONLY,CKD,STWD</t>
  </si>
  <si>
    <t>05133</t>
  </si>
  <si>
    <t>CHICKEN,CAPONS,MEAT&amp;SKN&amp;GIBLETS&amp;NECK,RAW</t>
  </si>
  <si>
    <t>05134</t>
  </si>
  <si>
    <t>CHICKEN,CAPONS,MEAT&amp;SKN&amp;GIBLETS&amp;NECK,CKD,RSTD</t>
  </si>
  <si>
    <t>05135</t>
  </si>
  <si>
    <t>CHICKEN,CAPONS,MEAT&amp;SKN,RAW</t>
  </si>
  <si>
    <t>05136</t>
  </si>
  <si>
    <t>CHICKEN,CAPONS,MEAT&amp;SKN,CKD,RSTD</t>
  </si>
  <si>
    <t>05137</t>
  </si>
  <si>
    <t>CHICKEN,CAPONS,GIBLETS,RAW</t>
  </si>
  <si>
    <t>05138</t>
  </si>
  <si>
    <t>CHICKEN,CAPONS,GIBLETS,CKD,SIMMRD</t>
  </si>
  <si>
    <t>05139</t>
  </si>
  <si>
    <t>DUCK,DOMESTICATED,MEAT&amp;SKN,RAW</t>
  </si>
  <si>
    <t>05140</t>
  </si>
  <si>
    <t>DUCK,DOMESTICATED,MEAT&amp;SKN,CKD,RSTD</t>
  </si>
  <si>
    <t>05141</t>
  </si>
  <si>
    <t>DUCK,DOMESTICATED,MEAT ONLY,RAW</t>
  </si>
  <si>
    <t>05142</t>
  </si>
  <si>
    <t>DUCK,DOMESTICATED,MEAT ONLY,CKD,RSTD</t>
  </si>
  <si>
    <t>05143</t>
  </si>
  <si>
    <t>DUCK,DOMESTICATED,LIVER,RAW</t>
  </si>
  <si>
    <t>05144</t>
  </si>
  <si>
    <t>DUCK,WILD,MEAT&amp;SKN,RAW</t>
  </si>
  <si>
    <t>05145</t>
  </si>
  <si>
    <t>DUCK,WILD,BREAST,MEAT ONLY,RAW</t>
  </si>
  <si>
    <t>05146</t>
  </si>
  <si>
    <t>GOOSE,DOMESTICATED,MEAT&amp;SKN,RAW</t>
  </si>
  <si>
    <t>05147</t>
  </si>
  <si>
    <t>GOOSE,DOMESTICATED,MEAT&amp;SKN,CKD,RSTD</t>
  </si>
  <si>
    <t>05148</t>
  </si>
  <si>
    <t>GOOSE,DOMESTICATED,MEAT ONLY,RAW</t>
  </si>
  <si>
    <t>05149</t>
  </si>
  <si>
    <t>GOOSE,DOMESTICATED,MEAT ONLY,CKD,RSTD</t>
  </si>
  <si>
    <t>05150</t>
  </si>
  <si>
    <t>GOOSE,LIVER,RAW</t>
  </si>
  <si>
    <t>05151</t>
  </si>
  <si>
    <t>GUINEA HEN,MEAT&amp;SKN,RAW</t>
  </si>
  <si>
    <t>05152</t>
  </si>
  <si>
    <t>GUINEA HEN,MEAT ONLY,RAW</t>
  </si>
  <si>
    <t>05153</t>
  </si>
  <si>
    <t>PHEASANT,RAW,MEAT&amp;SKN</t>
  </si>
  <si>
    <t>05154</t>
  </si>
  <si>
    <t>PHEASANT,RAW,MEAT ONLY</t>
  </si>
  <si>
    <t>05155</t>
  </si>
  <si>
    <t>PHEASANT,BREAST,MEAT ONLY,RAW</t>
  </si>
  <si>
    <t>05156</t>
  </si>
  <si>
    <t>PHEASANT,LEG,MEAT ONLY,RAW</t>
  </si>
  <si>
    <t>05157</t>
  </si>
  <si>
    <t>QUAIL,MEAT AND SKIN,RAW</t>
  </si>
  <si>
    <t>05158</t>
  </si>
  <si>
    <t>QUAIL,MEAT ONLY,RAW</t>
  </si>
  <si>
    <t>05159</t>
  </si>
  <si>
    <t>QUAIL,BREAST,MEAT ONLY,RAW</t>
  </si>
  <si>
    <t>05160</t>
  </si>
  <si>
    <t>SQUAB,(PIGEON),MEAT&amp;SKN,RAW</t>
  </si>
  <si>
    <t>05161</t>
  </si>
  <si>
    <t>SQUAB,(PIGEON),MEAT ONLY,RAW</t>
  </si>
  <si>
    <t>05162</t>
  </si>
  <si>
    <t>SQUAB,(PIGEON),LT MEAT WO/SKN,RAW</t>
  </si>
  <si>
    <t>05165</t>
  </si>
  <si>
    <t>TURKEY,WHL,MEAT &amp; SKN,RAW</t>
  </si>
  <si>
    <t>05166</t>
  </si>
  <si>
    <t>TURKEY,WHL,MEAT &amp; SKN,CKD,RSTD</t>
  </si>
  <si>
    <t>05167</t>
  </si>
  <si>
    <t>TURKEY,WHL,MEAT ONLY,RAW</t>
  </si>
  <si>
    <t>05168</t>
  </si>
  <si>
    <t>TURKEY,WHL,MEAT ONLY,CKD,RSTD</t>
  </si>
  <si>
    <t>05169</t>
  </si>
  <si>
    <t>TURKEY,SKN FROM WHL,(LIGHT &amp; DARK),RAW</t>
  </si>
  <si>
    <t>05170</t>
  </si>
  <si>
    <t>TURKEY,SKN FROM WHL (LIGHT &amp; DARK),RSTD</t>
  </si>
  <si>
    <t>05171</t>
  </si>
  <si>
    <t>TURKEY,WHL,GIBLETS,RAW</t>
  </si>
  <si>
    <t>05172</t>
  </si>
  <si>
    <t>TURKEY,WHL,GIBLETS,CKD,SIMMRD</t>
  </si>
  <si>
    <t>05173</t>
  </si>
  <si>
    <t>TURKEY,GIZZARD,ALL CLASSES,RAW</t>
  </si>
  <si>
    <t>05174</t>
  </si>
  <si>
    <t>TURKEY,GIZZARD,ALL CLASSES,CKD,SIMMRD</t>
  </si>
  <si>
    <t>05175</t>
  </si>
  <si>
    <t>TURKEY,HEART,ALL CLASSES,RAW</t>
  </si>
  <si>
    <t>05176</t>
  </si>
  <si>
    <t>TURKEY,HEART,ALL CLASSES,CKD,SIMMRD</t>
  </si>
  <si>
    <t>05177</t>
  </si>
  <si>
    <t>TURKEY,LIVER,ALL CLASSES,RAW</t>
  </si>
  <si>
    <t>05178</t>
  </si>
  <si>
    <t>TURKEY,LIVER,ALL CLASSES,CKD,SIMMRD</t>
  </si>
  <si>
    <t>05179</t>
  </si>
  <si>
    <t>TURKEY FROM WHL,NECK,MEAT ONLY,RAW</t>
  </si>
  <si>
    <t>05180</t>
  </si>
  <si>
    <t>TURKEY FROM WHL,NECK,MEAT ONLY,CKD,SIMMRD</t>
  </si>
  <si>
    <t>05181</t>
  </si>
  <si>
    <t>TURKEY FROM WHL,LT MEAT,MEAT &amp; SKN,RAW</t>
  </si>
  <si>
    <t>05182</t>
  </si>
  <si>
    <t>TURKEY FROM WHL,LT MEAT,MEAT &amp; SKN,CKD,RSTD</t>
  </si>
  <si>
    <t>05183</t>
  </si>
  <si>
    <t>TURKEY,DK MEAT,MEAT &amp; SKN,RAW</t>
  </si>
  <si>
    <t>05184</t>
  </si>
  <si>
    <t>TURKEY,DK MEAT FROM WHL,MEAT &amp; SKN,CKD,RSTD</t>
  </si>
  <si>
    <t>05185</t>
  </si>
  <si>
    <t>TURKEY FROM WHL,LT MEAT,RAW</t>
  </si>
  <si>
    <t>05186</t>
  </si>
  <si>
    <t>TURKEY,ALL CLASSES,LT MEAT,CKD,RSTD</t>
  </si>
  <si>
    <t>05187</t>
  </si>
  <si>
    <t>Turkey from whole, dark meat, meat only, raw</t>
  </si>
  <si>
    <t>05188</t>
  </si>
  <si>
    <t>TURKEY,FROM WHL,DK MEAT,CKD,RSTD</t>
  </si>
  <si>
    <t>05190</t>
  </si>
  <si>
    <t>TURKEY,ALL CLASSES,BACK,MEAT&amp;SKN,CKD,RSTD</t>
  </si>
  <si>
    <t>05191</t>
  </si>
  <si>
    <t>TURKEY,ALL CLASSES,BREAST,MEAT&amp;SKN,RAW</t>
  </si>
  <si>
    <t>05192</t>
  </si>
  <si>
    <t>TURKEY,ALL CLASSES,BREAST,MEAT&amp;SKN,CKD,RSTD</t>
  </si>
  <si>
    <t>05193</t>
  </si>
  <si>
    <t>TURKEY,ALL CLASSES,LEG,MEAT&amp;SKN,RAW</t>
  </si>
  <si>
    <t>05194</t>
  </si>
  <si>
    <t>TURKEY,ALL CLASSES,LEG,MEAT&amp;SKN,CKD,RSTD</t>
  </si>
  <si>
    <t>05195</t>
  </si>
  <si>
    <t>TURKEY,ALL CLASSES,WING,MEAT&amp;SKN,RAW</t>
  </si>
  <si>
    <t>05196</t>
  </si>
  <si>
    <t>TURKEY,ALL CLASSES,WING,MEAT&amp;SKN,CKD,RSTD</t>
  </si>
  <si>
    <t>05200</t>
  </si>
  <si>
    <t>TURKEY,FRYER-ROASTERS,MEAT&amp;SKN,CKD,RSTD</t>
  </si>
  <si>
    <t>05215</t>
  </si>
  <si>
    <t>TURKEY,BACK FROM WHL BIRD,MEAT ONLY,RAW</t>
  </si>
  <si>
    <t>05216</t>
  </si>
  <si>
    <t>TURKEY,BACK,FROM WHL BIRD,MEAT ONLY,RSTD</t>
  </si>
  <si>
    <t>05219</t>
  </si>
  <si>
    <t>TURKEY,BREAST,FROM WHL BIRD,MEAT ONLY,RAW</t>
  </si>
  <si>
    <t>06001</t>
  </si>
  <si>
    <t>SOUP,CRM OF ASPARAGUS,CND,COND</t>
  </si>
  <si>
    <t>06002</t>
  </si>
  <si>
    <t>SOUP,BLACK BEAN,CND,COND</t>
  </si>
  <si>
    <t>06003</t>
  </si>
  <si>
    <t>CAMPBELL'S RED &amp; WHITE,BEEFY MUSHROOM SOUP,COND</t>
  </si>
  <si>
    <t>06004</t>
  </si>
  <si>
    <t>SOUP,BEAN W/ PORK,CND,COND</t>
  </si>
  <si>
    <t>06006</t>
  </si>
  <si>
    <t>SOUP,BEAN W/ FRANKFURTERS,CND,COND</t>
  </si>
  <si>
    <t>06007</t>
  </si>
  <si>
    <t>SOUP,BEAN W/ HAM,CND,CHUNKY,RTS</t>
  </si>
  <si>
    <t>06008</t>
  </si>
  <si>
    <t>SOUP,BF BROTH OR BOUILLON CND,RTS</t>
  </si>
  <si>
    <t>06009</t>
  </si>
  <si>
    <t>SOUP,BF NOODLE,CND,COND</t>
  </si>
  <si>
    <t>06010</t>
  </si>
  <si>
    <t>SOUP,CRM OF CELERY,CND,COND</t>
  </si>
  <si>
    <t>06011</t>
  </si>
  <si>
    <t>SOUP,CHS,CND,COND</t>
  </si>
  <si>
    <t>06013</t>
  </si>
  <si>
    <t>SOUP,CHICK BROTH,CND,COND</t>
  </si>
  <si>
    <t>06014</t>
  </si>
  <si>
    <t>CAMPBELL'S RED &amp; WHITE,BROCCOLI CHS SOUP,COND</t>
  </si>
  <si>
    <t>06015</t>
  </si>
  <si>
    <t>SOUP,CHICK,CND,CHUNKY,RTS</t>
  </si>
  <si>
    <t>06016</t>
  </si>
  <si>
    <t>SOUP,CRM OF CHICK,CND,COND</t>
  </si>
  <si>
    <t>06017</t>
  </si>
  <si>
    <t>SOUP,CHICK GUMBO,CND,COND</t>
  </si>
  <si>
    <t>06018</t>
  </si>
  <si>
    <t>SOUP,CHUNKY CHICK NOODLE,CND,RTS</t>
  </si>
  <si>
    <t>06019</t>
  </si>
  <si>
    <t>SOUP,CHICK NOODLE,CND,COND</t>
  </si>
  <si>
    <t>06022</t>
  </si>
  <si>
    <t>SOUP,CHICK RICE,CND,CHUNKY,RTS</t>
  </si>
  <si>
    <t>06023</t>
  </si>
  <si>
    <t>SOUP,CHICK W/ RICE,CND,COND</t>
  </si>
  <si>
    <t>06024</t>
  </si>
  <si>
    <t>SOUP,CHICK &amp; VEG,CND,RTS</t>
  </si>
  <si>
    <t>06025</t>
  </si>
  <si>
    <t>SOUP,CHICK VEG,CND,COND</t>
  </si>
  <si>
    <t>06026</t>
  </si>
  <si>
    <t>SOUP,CHILI BF,CND,COND</t>
  </si>
  <si>
    <t>06027</t>
  </si>
  <si>
    <t>SOUP,CLAM CHOWDER,MANHATTAN STYLE,CND,CHUNKY,RTS</t>
  </si>
  <si>
    <t>06028</t>
  </si>
  <si>
    <t>SOUP,CLAM CHOWDER,MANHATTAN,CND,COND</t>
  </si>
  <si>
    <t>06029</t>
  </si>
  <si>
    <t>CAMPBELL'S,HEALTHY REQUEST,CHICK W/ RICE,COND</t>
  </si>
  <si>
    <t>06030</t>
  </si>
  <si>
    <t>SOUP,CLAM CHOWDER,NEW ENGLAND,CND,COND</t>
  </si>
  <si>
    <t>06032</t>
  </si>
  <si>
    <t>SOUP,BF BROTH BOUILLON &amp; CONSOMME,CND,COND</t>
  </si>
  <si>
    <t>06037</t>
  </si>
  <si>
    <t>SOUP,LENTIL W/HAM,CND,RTS</t>
  </si>
  <si>
    <t>06038</t>
  </si>
  <si>
    <t>CAMPBELL'S,CHEDDAR CHS SOUP,COND</t>
  </si>
  <si>
    <t>06039</t>
  </si>
  <si>
    <t>SOUP,MINESTRONE,CND,CHUNKY,RTS</t>
  </si>
  <si>
    <t>06040</t>
  </si>
  <si>
    <t>SOUP,MINESTRONE,CND,COND</t>
  </si>
  <si>
    <t>06041</t>
  </si>
  <si>
    <t>CAMPBELL'S RED&amp;WHITE,CHICK &amp; DUMPLINGS SOUP,COND</t>
  </si>
  <si>
    <t>06042</t>
  </si>
  <si>
    <t>SOUP,MUSHROOM BARLEY,CND,COND</t>
  </si>
  <si>
    <t>06043</t>
  </si>
  <si>
    <t>SOUP,CRM OF MUSHROOM,CND,COND</t>
  </si>
  <si>
    <t>06044</t>
  </si>
  <si>
    <t>SOUP,MUSHROOM W/ BF STOCK,CND,COND</t>
  </si>
  <si>
    <t>06045</t>
  </si>
  <si>
    <t>SOUP,ONION,CND,COND</t>
  </si>
  <si>
    <t>06046</t>
  </si>
  <si>
    <t>SOUP,CRM OF ONION,CND,COND</t>
  </si>
  <si>
    <t>06047</t>
  </si>
  <si>
    <t>CAMPBELL'S RED &amp; WHITE,CHICK &amp; STARS SOUP,COND</t>
  </si>
  <si>
    <t>06048</t>
  </si>
  <si>
    <t>SOUP,OYSTER STEW,CND,COND</t>
  </si>
  <si>
    <t>06049</t>
  </si>
  <si>
    <t>SOUP,PEA,GRN,CND,COND</t>
  </si>
  <si>
    <t>06050</t>
  </si>
  <si>
    <t>SOUP,PEA,SPLIT W/HAM,CND,CHUNKY,RTS</t>
  </si>
  <si>
    <t>06051</t>
  </si>
  <si>
    <t>SOUP,PEA,SPLIT W/ HAM,CND,COND</t>
  </si>
  <si>
    <t>06053</t>
  </si>
  <si>
    <t>SOUP,CRM OF POTATO,CND,COND</t>
  </si>
  <si>
    <t>06054</t>
  </si>
  <si>
    <t>CAMPBELL'S RED &amp; WHITE,CHICK ALPHABET SOUP,COND</t>
  </si>
  <si>
    <t>06056</t>
  </si>
  <si>
    <t>SOUP,CRM OF SHRIMP,CND,COND</t>
  </si>
  <si>
    <t>06057</t>
  </si>
  <si>
    <t>CAMPBELL'S RED&amp;WHITE,CHICK BROTH,COND</t>
  </si>
  <si>
    <t>06058</t>
  </si>
  <si>
    <t>CAMPBELL'S RED &amp; WHITE,CHICK GUMBO SOUP,COND</t>
  </si>
  <si>
    <t>06061</t>
  </si>
  <si>
    <t>SOUP,TOMATO BF W/ NOODLE,CND,COND</t>
  </si>
  <si>
    <t>06062</t>
  </si>
  <si>
    <t>CAMPBELL'S,RED &amp; WHITE,CHICK NOODLE SOUP,COND</t>
  </si>
  <si>
    <t>06063</t>
  </si>
  <si>
    <t>SOUP,TOMATO RICE,CND,COND</t>
  </si>
  <si>
    <t>06064</t>
  </si>
  <si>
    <t>SOUP,TURKEY,CHUNKY,CND,RTS</t>
  </si>
  <si>
    <t>06067</t>
  </si>
  <si>
    <t>SOUP,CHUNKY VEG,CND,RTS</t>
  </si>
  <si>
    <t>06068</t>
  </si>
  <si>
    <t>SOUP,VEGETARIAN VEG,CND,COND</t>
  </si>
  <si>
    <t>06070</t>
  </si>
  <si>
    <t>SOUP,CHUNKY BF,CND,RTS</t>
  </si>
  <si>
    <t>06071</t>
  </si>
  <si>
    <t>SOUP,VEG BF,CND,COND</t>
  </si>
  <si>
    <t>06072</t>
  </si>
  <si>
    <t>SOUP,VEG W/ BF BROTH,CND,COND</t>
  </si>
  <si>
    <t>06075</t>
  </si>
  <si>
    <t>SOUP,BF BROTH OR BOUILLON,PDR,DRY</t>
  </si>
  <si>
    <t>06076</t>
  </si>
  <si>
    <t>SOUP,BEEF BROTH,CUBED,DRY</t>
  </si>
  <si>
    <t>06080</t>
  </si>
  <si>
    <t>SOUP,CHICK BROTH OR BOUILLON,DRY</t>
  </si>
  <si>
    <t>06081</t>
  </si>
  <si>
    <t>SOUP,CHICK BROTH CUBES,DRY</t>
  </si>
  <si>
    <t>06082</t>
  </si>
  <si>
    <t>CAMPBELL'S RED &amp; WHITE,CHICK NOODLEO'S SOUP,COND</t>
  </si>
  <si>
    <t>06084</t>
  </si>
  <si>
    <t>CAMPBELL'S RED &amp; WHITE,CHICK VEG SOUP,COND</t>
  </si>
  <si>
    <t>06091</t>
  </si>
  <si>
    <t>CAMPBELL'S RED &amp; WHITE,BF BROTH,COND</t>
  </si>
  <si>
    <t>06094</t>
  </si>
  <si>
    <t>SOUP,ONION,DRY,MIX</t>
  </si>
  <si>
    <t>06097</t>
  </si>
  <si>
    <t>CAMPBELLS RED &amp; WHITE,BF CONSOMME,COND</t>
  </si>
  <si>
    <t>06101</t>
  </si>
  <si>
    <t>SOUP,CRM OF VEG,DRY,PDR</t>
  </si>
  <si>
    <t>06112</t>
  </si>
  <si>
    <t>SAUCE,TERIYAKI,RTS</t>
  </si>
  <si>
    <t>06114</t>
  </si>
  <si>
    <t>GRAVY,AU JUS,CANNED</t>
  </si>
  <si>
    <t>06115</t>
  </si>
  <si>
    <t>GRAVY,AU JUS,DRY</t>
  </si>
  <si>
    <t>06116</t>
  </si>
  <si>
    <t>GRAVY,BF,CND,RTS</t>
  </si>
  <si>
    <t>06117</t>
  </si>
  <si>
    <t>CAMPBELL'S RED &amp; WHITE,BEAN W/ BACON SOUP,COND</t>
  </si>
  <si>
    <t>06118</t>
  </si>
  <si>
    <t>GRAVY,BROWN,DRY</t>
  </si>
  <si>
    <t>06119</t>
  </si>
  <si>
    <t>GRVY, CHCKN, CNND BTTLD, RTS</t>
  </si>
  <si>
    <t>06120</t>
  </si>
  <si>
    <t>GRAVY,CHICKEN,DRY</t>
  </si>
  <si>
    <t>06121</t>
  </si>
  <si>
    <t>GRAVY,MUSHROOM,CANNED</t>
  </si>
  <si>
    <t>06122</t>
  </si>
  <si>
    <t>GRAVY,MUSHROOM,DRY,PDR</t>
  </si>
  <si>
    <t>06123</t>
  </si>
  <si>
    <t>GRAVY,ONION,DRY,MIX</t>
  </si>
  <si>
    <t>06124</t>
  </si>
  <si>
    <t>GRAVY,PORK,DRY,PDR</t>
  </si>
  <si>
    <t>06125</t>
  </si>
  <si>
    <t>GRAVY,TURKEY,CND,RTS</t>
  </si>
  <si>
    <t>06126</t>
  </si>
  <si>
    <t>GRAVY,TURKEY,DRY</t>
  </si>
  <si>
    <t>06127</t>
  </si>
  <si>
    <t>GRAVY,UNSPEC TYPE,DRY</t>
  </si>
  <si>
    <t>06128</t>
  </si>
  <si>
    <t>SOUP,CHICK NOODLE,DRY,MIX</t>
  </si>
  <si>
    <t>06142</t>
  </si>
  <si>
    <t>SAUCE,SOFRITO,PREP FROM RECIPE</t>
  </si>
  <si>
    <t>06143</t>
  </si>
  <si>
    <t>USDA COMMODITY,SPAGHETTI SAU,MEATLESS,CND</t>
  </si>
  <si>
    <t>06145</t>
  </si>
  <si>
    <t>CAMPBELL'S RED &amp; WHITE,BF NOODLE SOUP,COND</t>
  </si>
  <si>
    <t>06146</t>
  </si>
  <si>
    <t>CAMPBELL'S RED &amp; WHITE,BF W/ VEG &amp; BARLEY SOUP,COND</t>
  </si>
  <si>
    <t>06147</t>
  </si>
  <si>
    <t>SOUP,BF MUSHROOM,CND,COND</t>
  </si>
  <si>
    <t>06149</t>
  </si>
  <si>
    <t>SOUP,CHICK MUSHROOM,CND,COND</t>
  </si>
  <si>
    <t>06150</t>
  </si>
  <si>
    <t>SAUCE,BARBECUE</t>
  </si>
  <si>
    <t>06151</t>
  </si>
  <si>
    <t>SAUCE,PLUM,READY-TO-SERVE</t>
  </si>
  <si>
    <t>06152</t>
  </si>
  <si>
    <t>SAUCE,PIZZA,CND,RTS</t>
  </si>
  <si>
    <t>06158</t>
  </si>
  <si>
    <t>SOUP,TOMATO BISQUE,CND,COND</t>
  </si>
  <si>
    <t>06159</t>
  </si>
  <si>
    <t>SOUP,TOMATO,CND,COND</t>
  </si>
  <si>
    <t>06164</t>
  </si>
  <si>
    <t>SAUCE,SALSA,RTS</t>
  </si>
  <si>
    <t>06165</t>
  </si>
  <si>
    <t>SAUCE,HOMEMADE,WHITE,THIN</t>
  </si>
  <si>
    <t>06166</t>
  </si>
  <si>
    <t>SAUCE,HOMEMADE,WHITE,MED</t>
  </si>
  <si>
    <t>06167</t>
  </si>
  <si>
    <t>SAUCE,HOMEMADE,WHITE,THICK</t>
  </si>
  <si>
    <t>06168</t>
  </si>
  <si>
    <t>SAUCE,RTS,PEPPER OR HOT</t>
  </si>
  <si>
    <t>06169</t>
  </si>
  <si>
    <t>SAUCE,RTS,PEPPER,TABASCO</t>
  </si>
  <si>
    <t>06170</t>
  </si>
  <si>
    <t>SOUP,STOCK,BEEF,HOME-PREPARED</t>
  </si>
  <si>
    <t>06172</t>
  </si>
  <si>
    <t>SOUP,STOCK,CHICK,HOME-PREPARED</t>
  </si>
  <si>
    <t>06174</t>
  </si>
  <si>
    <t>SOUP,STOCK,FISH,HOME-PREPARED</t>
  </si>
  <si>
    <t>06175</t>
  </si>
  <si>
    <t>SAUCE,HOISIN,RTS</t>
  </si>
  <si>
    <t>06176</t>
  </si>
  <si>
    <t>SAUCE,OYSTER,RTS</t>
  </si>
  <si>
    <t>06177</t>
  </si>
  <si>
    <t>SOUP,MINESTRONE,CND,RED NA,RTS</t>
  </si>
  <si>
    <t>06178</t>
  </si>
  <si>
    <t>USDA COMMODITY,SALSA</t>
  </si>
  <si>
    <t>06179</t>
  </si>
  <si>
    <t>SAUCE,FISH,READY-TO-SERVE</t>
  </si>
  <si>
    <t>06180</t>
  </si>
  <si>
    <t>SOUP,SHARK FIN,REST-PREP</t>
  </si>
  <si>
    <t>06182</t>
  </si>
  <si>
    <t>SOUP,CRM OF MUSHROOM,CND,COND,RED NA</t>
  </si>
  <si>
    <t>06183</t>
  </si>
  <si>
    <t>SOUP,CHICK BROTH,LESS/REDUCED NA,READY TO SERVE</t>
  </si>
  <si>
    <t>06188</t>
  </si>
  <si>
    <t>SOUP,BF BROTH,LESS/REDUCED NA,READY TO SERVE</t>
  </si>
  <si>
    <t>06189</t>
  </si>
  <si>
    <t>SAUCE,TERIYAKI,RTS,RED NA</t>
  </si>
  <si>
    <t>06190</t>
  </si>
  <si>
    <t>SOUP,BEAN&amp;HAM,CND,RED NA,PREP W/H2O OR RTS</t>
  </si>
  <si>
    <t>06192</t>
  </si>
  <si>
    <t>SPLIT PEA SOUP,CND,RED NA,PREP W/ H2O OR READY-TO SERVE</t>
  </si>
  <si>
    <t>06193</t>
  </si>
  <si>
    <t>SPLIT PEA W/ HAM SOUP,CND,RED NA,PREP W/ H2O OR RTS</t>
  </si>
  <si>
    <t>06194</t>
  </si>
  <si>
    <t>SOUP,CHICK BROTH,RTS</t>
  </si>
  <si>
    <t>06195</t>
  </si>
  <si>
    <t>CAMPBELL'S,HEALTHY REQUEST,CRM OF CHICK SOUP,COND</t>
  </si>
  <si>
    <t>06201</t>
  </si>
  <si>
    <t>SOUP,CRM OF ASPARAGUS,CND,PREP W/ EQ VOLUME MILK</t>
  </si>
  <si>
    <t>06208</t>
  </si>
  <si>
    <t>SOUP,CHICK VEG W/POTATO&amp;CHS,CHUNKY,RTS</t>
  </si>
  <si>
    <t>06209</t>
  </si>
  <si>
    <t>CAMPBELL'S,98% FAT FREE CRM OF BROCCOLI SOUP,COND</t>
  </si>
  <si>
    <t>06210</t>
  </si>
  <si>
    <t>SOUP,CRM OF CELERY,CND,PREP W/ EQ VOLUME MILK</t>
  </si>
  <si>
    <t>06211</t>
  </si>
  <si>
    <t>SOUP,CHS,CND,PREP W/ EQ VOLUME MILK</t>
  </si>
  <si>
    <t>06212</t>
  </si>
  <si>
    <t>CAMPBELL'S,25% LESS NA CHICK NOODLE SOUP,COND</t>
  </si>
  <si>
    <t>06213</t>
  </si>
  <si>
    <t>CAMPBELL'S RED&amp;WHITE,25% LESS NA TOMATO SOUP,COND</t>
  </si>
  <si>
    <t>06214</t>
  </si>
  <si>
    <t>CAMPBELL'S,25% LESS NA CRM OF MUSHROOM SOUP,COND</t>
  </si>
  <si>
    <t>06215</t>
  </si>
  <si>
    <t>CAMPBELL'S,98% FAT FREE BROCCOLI CHS SOUP,COND</t>
  </si>
  <si>
    <t>06216</t>
  </si>
  <si>
    <t>SOUP,CRM OF CHICK,CND,PREP W/ EQ VOLUME MILK</t>
  </si>
  <si>
    <t>06217</t>
  </si>
  <si>
    <t>SOUP,VEG,CND,LO NA,COND</t>
  </si>
  <si>
    <t>06218</t>
  </si>
  <si>
    <t>CAMPBELL'S,98% FAT FREE CRM OF CELERY SOUP,COND</t>
  </si>
  <si>
    <t>06219</t>
  </si>
  <si>
    <t>CAMPBELL'S,98% FAT FREE CRM OF CHICK SOUP,COND</t>
  </si>
  <si>
    <t>06220</t>
  </si>
  <si>
    <t>PREGO PASTA,CHNKY GRD MSHRM &amp; GRN PPPR ITAL SAU,RTS</t>
  </si>
  <si>
    <t>06221</t>
  </si>
  <si>
    <t>PREGO PASTA,CHUNKY GARDEN MUSHROOM ITALIAN SAU,RTS</t>
  </si>
  <si>
    <t>06222</t>
  </si>
  <si>
    <t>PREGO PASTA,DICED ONION &amp; GARLIC ITAL SAU,RTS</t>
  </si>
  <si>
    <t>06223</t>
  </si>
  <si>
    <t>PREGO PASTA,FLAV W/ MEAT ITAL SAU,RTS</t>
  </si>
  <si>
    <t>06224</t>
  </si>
  <si>
    <t>PREGO PASTA,FRSH MUSHROOM ITAL SAU,RTS</t>
  </si>
  <si>
    <t>06225</t>
  </si>
  <si>
    <t>PREGO PASTA,GARLIC SUPREME ITAL SAU,RTS</t>
  </si>
  <si>
    <t>06226</t>
  </si>
  <si>
    <t>PREGO PASTA,ITAL SAUSGE &amp; GARLIC ITAL SAU,RTS</t>
  </si>
  <si>
    <t>06228</t>
  </si>
  <si>
    <t>PREGO PASTA,MINI MEATBALL ITAL SAU,RTS</t>
  </si>
  <si>
    <t>06229</t>
  </si>
  <si>
    <t>PREGO PASTA,MUSHRM &amp; GRLIC ITAL SAU,RTS</t>
  </si>
  <si>
    <t>06230</t>
  </si>
  <si>
    <t>SOUP,CLAM CHOWDER,NEW ENG,CND,PREP W/ EQ VLM LOFAT (2%) MILK</t>
  </si>
  <si>
    <t>06231</t>
  </si>
  <si>
    <t>PREGO PASTA,MUSHRM &amp; PARMESAN ITALIAN SAU,RTS</t>
  </si>
  <si>
    <t>06232</t>
  </si>
  <si>
    <t>PREGO PASTA,ORGANIC MUSHROOM ITALIAN SAU,RTS</t>
  </si>
  <si>
    <t>06233</t>
  </si>
  <si>
    <t>PREGO PASTA,ORGNIC TOMATO &amp; BASIL ITAL SAU,RTS</t>
  </si>
  <si>
    <t>06234</t>
  </si>
  <si>
    <t>PREGO PASTA,HEART SMRT- RICOTTA PMESAN ITLN SAU,RTS</t>
  </si>
  <si>
    <t>06235</t>
  </si>
  <si>
    <t>PREGO PASTA,RSTD GARLIC &amp; HERB ITAL SAU,RTS</t>
  </si>
  <si>
    <t>06236</t>
  </si>
  <si>
    <t>PREGO PASTA,RSTD GARLIC PARMESAN ITAL SAU,RTS</t>
  </si>
  <si>
    <t>06237</t>
  </si>
  <si>
    <t>PREGO PASTA,H ST- RSTD RED PR GRLIC ITLIAN SAU,RTS</t>
  </si>
  <si>
    <t>06239</t>
  </si>
  <si>
    <t>PREGO PASTA,TOMATO,BASIL &amp; GARLIC ITAL SAU,RTS</t>
  </si>
  <si>
    <t>06240</t>
  </si>
  <si>
    <t>PREGO PASTA,ZESTY MUSHROOM ITALIAN SAU,RTS</t>
  </si>
  <si>
    <t>06241</t>
  </si>
  <si>
    <t>CAMPBELL'S,CHNKY MICRO BOWLS,BF W/ CONTRY VEG,RTS</t>
  </si>
  <si>
    <t>06242</t>
  </si>
  <si>
    <t>CAMPBELL'S CHUNKY MICROWAVABLE BWLS,CHCK DMPLINGS SOUP</t>
  </si>
  <si>
    <t>06243</t>
  </si>
  <si>
    <t>SOUP,CRM OF MUSHROOM,CND,PREP W/ EQ VOLUME LOFAT (2%) MILK</t>
  </si>
  <si>
    <t>06244</t>
  </si>
  <si>
    <t>CAMPBELL'S, CHNKY MICRO BOWLS,CLSSC CHIC NOODL,RTS</t>
  </si>
  <si>
    <t>06245</t>
  </si>
  <si>
    <t>CAMPBELL'S, CHNKY MICRO BOWL,GRLLD CHIC&amp;SAUS GMBO,RTS</t>
  </si>
  <si>
    <t>06246</t>
  </si>
  <si>
    <t>SOUP,CRM OF ONION,CND,PREP W/ EQ VOLUME MILK</t>
  </si>
  <si>
    <t>06248</t>
  </si>
  <si>
    <t>SOUP,OYSTER STEW,CND,PREP W/ EQ VOLUME MILK</t>
  </si>
  <si>
    <t>06249</t>
  </si>
  <si>
    <t>SOUP,PEA,GRN,CND,PREP W/ EQ VOLUME MILK</t>
  </si>
  <si>
    <t>06250</t>
  </si>
  <si>
    <t>CAMPBELL'S, CHNKY MICRO BOWL,NEW ENGL CLM CHOW,RTS</t>
  </si>
  <si>
    <t>06251</t>
  </si>
  <si>
    <t>CAMPBELL'S,CHUNKY MICRO BOWLS,OLD FASH VEG BF,RTS</t>
  </si>
  <si>
    <t>06252</t>
  </si>
  <si>
    <t>CAMPBELL'S,CHUNKY MICRO BOWLS,SIRL BRGER W/CNTRY VEG,RTS</t>
  </si>
  <si>
    <t>06253</t>
  </si>
  <si>
    <t>SOUP,CRM OF POTATO,CND,PREP W/ EQ VOLUME MILK</t>
  </si>
  <si>
    <t>06256</t>
  </si>
  <si>
    <t>SOUP,CRM OF SHRIMP,CND,PREP W/ EQ VOLUME LOFAT (2%) MILK</t>
  </si>
  <si>
    <t>06264</t>
  </si>
  <si>
    <t>SAUCE,WHITE,THIN,PREPARED-FROM-RECIPE,W/ BUTTER</t>
  </si>
  <si>
    <t>06285</t>
  </si>
  <si>
    <t>SAUCE,SWT &amp; SOUR,PREPARED-FROM-RECIPE</t>
  </si>
  <si>
    <t>06307</t>
  </si>
  <si>
    <t>SAUCE,BARBECUE,KRAFT,ORIGINAL</t>
  </si>
  <si>
    <t>06309</t>
  </si>
  <si>
    <t>CAMPBELL'S,CHICK W/ RICE SOUP,COND</t>
  </si>
  <si>
    <t>06311</t>
  </si>
  <si>
    <t>CAMPBELL'S RED&amp;WHITE,CHICK WON TON SOUP,COND</t>
  </si>
  <si>
    <t>06312</t>
  </si>
  <si>
    <t>CAMPBELL'S RED &amp; WHITE,CRM OF ASPARAGUS SOUP,COND</t>
  </si>
  <si>
    <t>06314</t>
  </si>
  <si>
    <t>SOUP,HEALTHY CHOIC CHICK NOODLE SOUP,CND</t>
  </si>
  <si>
    <t>06315</t>
  </si>
  <si>
    <t>SOUP,HEALTHY CHOIC CHICK &amp; RICE SOUP,CND</t>
  </si>
  <si>
    <t>06316</t>
  </si>
  <si>
    <t>SOUP,HEALTHY CHOIC GARDEN VEG SOUP,CND</t>
  </si>
  <si>
    <t>06317</t>
  </si>
  <si>
    <t>GRAVY,CAMPBELL'S,BF,FAT FREE</t>
  </si>
  <si>
    <t>06318</t>
  </si>
  <si>
    <t>GRAVY,CAMPBELL'S,COUNTRY STYLE CRM</t>
  </si>
  <si>
    <t>06319</t>
  </si>
  <si>
    <t>GRAVY,CAMPBELL'S,COUNTRY STYLE SAUSAGE</t>
  </si>
  <si>
    <t>06320</t>
  </si>
  <si>
    <t>GRAVY,CAMPBELL'S,CHICK,FAT FREE</t>
  </si>
  <si>
    <t>06321</t>
  </si>
  <si>
    <t>GRAVY,CAMPBELL'S,GOLDEN PORK</t>
  </si>
  <si>
    <t>06322</t>
  </si>
  <si>
    <t>GRAVY,CAMPBELL'S,MUSHROOM</t>
  </si>
  <si>
    <t>06323</t>
  </si>
  <si>
    <t>GRAVY,CAMPBELL'S,TURKEY,FAT FREE</t>
  </si>
  <si>
    <t>06324</t>
  </si>
  <si>
    <t>GRAVY,CAMPBELL'S,BF,MICROWAVABLE</t>
  </si>
  <si>
    <t>06325</t>
  </si>
  <si>
    <t>GRAVY,CAMPBELL'S,CHICK,MICROWAVABLE</t>
  </si>
  <si>
    <t>06326</t>
  </si>
  <si>
    <t>GRAVY,CAMPBELL'S,TURKEY</t>
  </si>
  <si>
    <t>06327</t>
  </si>
  <si>
    <t>GRAVY,FRANCO-AMERICAN,BF,SLOW RST,FAT FREE</t>
  </si>
  <si>
    <t>06328</t>
  </si>
  <si>
    <t>GRAVY,FRANCO-AMERICAN,CHICK,SLOW RST,FAT FREE</t>
  </si>
  <si>
    <t>06329</t>
  </si>
  <si>
    <t>GRAVY,FRANCO-AMERICAN,BF,SLOW RST</t>
  </si>
  <si>
    <t>06330</t>
  </si>
  <si>
    <t>GRAVY,FRANCO-AMERICAN,CHICK,SLOW RST</t>
  </si>
  <si>
    <t>06331</t>
  </si>
  <si>
    <t>GRAVY,FRANCO-AMERICAN,TURKEY,SLOW RST</t>
  </si>
  <si>
    <t>06332</t>
  </si>
  <si>
    <t>GRAVY,CAMPBELL'S,TURKEY,MICROWAVABLE</t>
  </si>
  <si>
    <t>06333</t>
  </si>
  <si>
    <t>CAMPBELL'S RED &amp; WHITE,CRM OF BROCCOLI SOUP,COND</t>
  </si>
  <si>
    <t>06334</t>
  </si>
  <si>
    <t>CAMPBELL'S RED &amp; WHITE,CRM OF CELERY SOUP,COND</t>
  </si>
  <si>
    <t>06336</t>
  </si>
  <si>
    <t>CAMPBELL'S,CRM OF CHICK SOUP,COND</t>
  </si>
  <si>
    <t>06337</t>
  </si>
  <si>
    <t>CAMPBELL'S,CRM OF CHICK W/ HERBS SOUP,COND</t>
  </si>
  <si>
    <t>06338</t>
  </si>
  <si>
    <t>CAMPBELL'S,CRM OF MUSHROOM SOUP,COND</t>
  </si>
  <si>
    <t>06339</t>
  </si>
  <si>
    <t>CAMPBELL'S,CRM OF MUSHROOM W/ RSTD GARLIC SOUP,COND</t>
  </si>
  <si>
    <t>06340</t>
  </si>
  <si>
    <t>CAMPBELL'S RED &amp; WHITE,CRM OF ONION SOUP,COND</t>
  </si>
  <si>
    <t>06341</t>
  </si>
  <si>
    <t>CAMPBELL'S,CRM OF POTATO SOUP,COND</t>
  </si>
  <si>
    <t>06342</t>
  </si>
  <si>
    <t>CAMPBELL'S RED &amp; WHITE,CRM OF SHRIMP SOUP,COND</t>
  </si>
  <si>
    <t>06343</t>
  </si>
  <si>
    <t>CAMPBELL'S RED&amp;WHITE,CREAMY CHICK NOODLE SOUP,COND</t>
  </si>
  <si>
    <t>06349</t>
  </si>
  <si>
    <t>CAMPBELL'S RED &amp; WHITE,SCOOBY-DOO SOUP,COND</t>
  </si>
  <si>
    <t>07001</t>
  </si>
  <si>
    <t>BARBECUE LOAF,PORK,BEEF</t>
  </si>
  <si>
    <t>07002</t>
  </si>
  <si>
    <t>BEERWURST,BEER SALAMI,PORK &amp; BF</t>
  </si>
  <si>
    <t>07003</t>
  </si>
  <si>
    <t>BEERWURST,BEER SALAMI,PORK</t>
  </si>
  <si>
    <t>07004</t>
  </si>
  <si>
    <t>SAUSAGE  BERLINER  PORK  BF</t>
  </si>
  <si>
    <t>07005</t>
  </si>
  <si>
    <t>BLOOD SAUSAGE</t>
  </si>
  <si>
    <t>07006</t>
  </si>
  <si>
    <t>BOCKWURST  PORK  VEAL  RAW</t>
  </si>
  <si>
    <t>07007</t>
  </si>
  <si>
    <t>BOLOGNA,BF</t>
  </si>
  <si>
    <t>07008</t>
  </si>
  <si>
    <t>BOLOGNA,BF &amp; PORK</t>
  </si>
  <si>
    <t>07010</t>
  </si>
  <si>
    <t>BOLOGNA,PORK</t>
  </si>
  <si>
    <t>07011</t>
  </si>
  <si>
    <t>BOLOGNA  TURKEY</t>
  </si>
  <si>
    <t>07013</t>
  </si>
  <si>
    <t>BRATWURST,PORK,CKD</t>
  </si>
  <si>
    <t>07014</t>
  </si>
  <si>
    <t>BRAUNSCHWEIGER (A LIVER SAUSAGE),PORK</t>
  </si>
  <si>
    <t>07015</t>
  </si>
  <si>
    <t>BROTWURST,PORK,BF,LINK</t>
  </si>
  <si>
    <t>07016</t>
  </si>
  <si>
    <t>CHEESEFURTER,CHS SMOKIE,PORK,BF</t>
  </si>
  <si>
    <t>07018</t>
  </si>
  <si>
    <t>CHICKEN SPRD</t>
  </si>
  <si>
    <t>07019</t>
  </si>
  <si>
    <t>CHORIZO,PORK AND BEEF</t>
  </si>
  <si>
    <t>07020</t>
  </si>
  <si>
    <t>CORNED BEEF LOAF,JELLIED</t>
  </si>
  <si>
    <t>07021</t>
  </si>
  <si>
    <t>DUTCH BRAND LOAF,CHICK,PORK &amp; BF</t>
  </si>
  <si>
    <t>07022</t>
  </si>
  <si>
    <t>FRANKFURTER,BF,UNHTD</t>
  </si>
  <si>
    <t>07024</t>
  </si>
  <si>
    <t>FRANKFURTER,CHICKEN</t>
  </si>
  <si>
    <t>07025</t>
  </si>
  <si>
    <t>FRANKFURTER,TURKEY</t>
  </si>
  <si>
    <t>07026</t>
  </si>
  <si>
    <t>HAM,CHOPPED,CANNED</t>
  </si>
  <si>
    <t>07027</t>
  </si>
  <si>
    <t>HAM,CHOPPED,NOT CANNED</t>
  </si>
  <si>
    <t>07028</t>
  </si>
  <si>
    <t>HAM,SLICED,PRE-PACKAGED,DELI MEAT (96%FAT FREE,H2O ADDED)</t>
  </si>
  <si>
    <t>07029</t>
  </si>
  <si>
    <t>HAM,SLICED,REG (APPROX 11% FAT)</t>
  </si>
  <si>
    <t>07030</t>
  </si>
  <si>
    <t>HAM,MINCED</t>
  </si>
  <si>
    <t>07031</t>
  </si>
  <si>
    <t>HAM SALAD SPREAD</t>
  </si>
  <si>
    <t>07032</t>
  </si>
  <si>
    <t>HAM&amp;CHS LOAF OR ROLL</t>
  </si>
  <si>
    <t>07033</t>
  </si>
  <si>
    <t>HAM AND CHEESE SPREAD</t>
  </si>
  <si>
    <t>07034</t>
  </si>
  <si>
    <t>HEADCHEESE,PORK</t>
  </si>
  <si>
    <t>07036</t>
  </si>
  <si>
    <t>SAUSAGE,ITALIAN,PORK,RAW</t>
  </si>
  <si>
    <t>07038</t>
  </si>
  <si>
    <t>KNACKWURST  KNOCKWURST  PORK  BF</t>
  </si>
  <si>
    <t>07039</t>
  </si>
  <si>
    <t>LEBANON BOLOGNA  BF</t>
  </si>
  <si>
    <t>07040</t>
  </si>
  <si>
    <t>LIVER CHEESE,PORK</t>
  </si>
  <si>
    <t>07041</t>
  </si>
  <si>
    <t>LIVER SAUSAGE,LIVERWURST,PORK</t>
  </si>
  <si>
    <t>07043</t>
  </si>
  <si>
    <t>ROAST BF,DELI STYLE,PREPACKAGED,SLICED</t>
  </si>
  <si>
    <t>07044</t>
  </si>
  <si>
    <t>USDA CMDTY,LUNCHEON MEAT,CND</t>
  </si>
  <si>
    <t>07045</t>
  </si>
  <si>
    <t>LUNCHEON MEAT,PORK,CANNED</t>
  </si>
  <si>
    <t>07046</t>
  </si>
  <si>
    <t>TURKEY BREAST,LO SALT,PREPACKAGED OR DELI,LUNCHEON MEAT</t>
  </si>
  <si>
    <t>07050</t>
  </si>
  <si>
    <t>MORTADELLA,BEEF,PORK</t>
  </si>
  <si>
    <t>07051</t>
  </si>
  <si>
    <t>OLIVE LOAF,PORK</t>
  </si>
  <si>
    <t>07052</t>
  </si>
  <si>
    <t>PASTRAMI,TURKEY</t>
  </si>
  <si>
    <t>07053</t>
  </si>
  <si>
    <t>PATE,CHICKEN LIVER,CANNED</t>
  </si>
  <si>
    <t>07054</t>
  </si>
  <si>
    <t>PATE,GOOSE LIVER,SMOKED,CND</t>
  </si>
  <si>
    <t>07055</t>
  </si>
  <si>
    <t>PATE,LIVER,NOT SPECIFIED,CND</t>
  </si>
  <si>
    <t>07056</t>
  </si>
  <si>
    <t>PEPPERED LOAF  PORK  BF</t>
  </si>
  <si>
    <t>07057</t>
  </si>
  <si>
    <t>PEPPERONI,BF &amp; PORK,SLICED</t>
  </si>
  <si>
    <t>07058</t>
  </si>
  <si>
    <t>PICKLE&amp;PIMIENTO LOAF,PORK</t>
  </si>
  <si>
    <t>07059</t>
  </si>
  <si>
    <t>POLISH SAUSAGE,PORK</t>
  </si>
  <si>
    <t>07060</t>
  </si>
  <si>
    <t>LUXURY LOAF,PORK</t>
  </si>
  <si>
    <t>07061</t>
  </si>
  <si>
    <t>MOTHER'S LOAF,PORK</t>
  </si>
  <si>
    <t>07062</t>
  </si>
  <si>
    <t>PICNIC LOAF,PORK,BEEF</t>
  </si>
  <si>
    <t>07063</t>
  </si>
  <si>
    <t>PORK SAUSAGE,LINK/PATTY,UNPREP</t>
  </si>
  <si>
    <t>07064</t>
  </si>
  <si>
    <t>PORK SAUSAGE,LINK/PATTY,CKD,PAN-FRIED</t>
  </si>
  <si>
    <t>07065</t>
  </si>
  <si>
    <t>PORK&amp;BF SAUSAGE,FRSH,CKD</t>
  </si>
  <si>
    <t>07066</t>
  </si>
  <si>
    <t>TURKEY SAUSAGE,RED FAT,BROWN&amp;SERVE,CKD</t>
  </si>
  <si>
    <t>07067</t>
  </si>
  <si>
    <t>POULTRY SALAD SNDWCH SPRD</t>
  </si>
  <si>
    <t>07068</t>
  </si>
  <si>
    <t>SALAMI  CKD  BF</t>
  </si>
  <si>
    <t>07069</t>
  </si>
  <si>
    <t>SALAMI,CKD,BF&amp;PORK</t>
  </si>
  <si>
    <t>07070</t>
  </si>
  <si>
    <t>SALAMI,COOKED,TURKEY</t>
  </si>
  <si>
    <t>07071</t>
  </si>
  <si>
    <t>SALAMI,DRY OR HARD,PORK</t>
  </si>
  <si>
    <t>07072</t>
  </si>
  <si>
    <t>SALAMI,DRY OR HARD,PORK,BF</t>
  </si>
  <si>
    <t>07073</t>
  </si>
  <si>
    <t>SANDWICH SPREAD,PORK,BEEF</t>
  </si>
  <si>
    <t>07074</t>
  </si>
  <si>
    <t>SMOKED LINK SAUSAGE,PORK</t>
  </si>
  <si>
    <t>07075</t>
  </si>
  <si>
    <t>SAUSAGE,SMOKED LINK SAUSAGE,PORK &amp; BF</t>
  </si>
  <si>
    <t>07077</t>
  </si>
  <si>
    <t>SMOKED LINK SAUSAGE,PORK&amp;BF,NONFAT DRY MILK</t>
  </si>
  <si>
    <t>07078</t>
  </si>
  <si>
    <t>THURINGER,CERVELAT,SMMR SAUSAGE,BF,PORK</t>
  </si>
  <si>
    <t>07081</t>
  </si>
  <si>
    <t>TURKEY BREAST,SLICED,PREPACKAGED</t>
  </si>
  <si>
    <t>07083</t>
  </si>
  <si>
    <t>SAUSAGE,VIENNA,CND,CHICK,BF,PORK</t>
  </si>
  <si>
    <t>07088</t>
  </si>
  <si>
    <t>HONEY ROLL SAUSAGE,BEEF</t>
  </si>
  <si>
    <t>07089</t>
  </si>
  <si>
    <t>SAUSAGE,ITALIAN,PORK,CKD</t>
  </si>
  <si>
    <t>07090</t>
  </si>
  <si>
    <t>LUNCHEON SAUSAGE,PORK&amp;BF</t>
  </si>
  <si>
    <t>07091</t>
  </si>
  <si>
    <t>NEW ENGLAND BRAND SAUSAGE,PORK,BF</t>
  </si>
  <si>
    <t>07201</t>
  </si>
  <si>
    <t>OSCAR MAYER,BOLOGNA (BEEF)</t>
  </si>
  <si>
    <t>07207</t>
  </si>
  <si>
    <t>OSCAR MAYER,BRAUNSCHWEIGER LIVER SAUSAGE (SLICED)</t>
  </si>
  <si>
    <t>07209</t>
  </si>
  <si>
    <t>OSCAR MAYER  CHICKEN BREAST (HONEY GLAZED)</t>
  </si>
  <si>
    <t>07212</t>
  </si>
  <si>
    <t>OSCAR MAYER,HAM (CHOPPED W/ NAT JUICE)</t>
  </si>
  <si>
    <t>07230</t>
  </si>
  <si>
    <t>OSCAR MAYER,SALAMI (HARD)</t>
  </si>
  <si>
    <t>07236</t>
  </si>
  <si>
    <t>OSCAR MAYER,SMOKIES SAUSAGE LITTLE CHS (PORK,TURKEY)</t>
  </si>
  <si>
    <t>07241</t>
  </si>
  <si>
    <t>OSCAR MAYER,WIENERS (BEEF FRANKS)</t>
  </si>
  <si>
    <t>07254</t>
  </si>
  <si>
    <t>TURKEY BACON,UNPREP</t>
  </si>
  <si>
    <t>07278</t>
  </si>
  <si>
    <t>HORMEL PILLOW PAK SLICED TURKEY PEPPERONI</t>
  </si>
  <si>
    <t>07900</t>
  </si>
  <si>
    <t>TURKEY,PORK,&amp;BF SAUSAGE,LOFAT,SMOKED</t>
  </si>
  <si>
    <t>07901</t>
  </si>
  <si>
    <t>USDA COMMODITY,PORK,SAUSAGE,BULK/LINKS/PATTIES,FRZ,CKD</t>
  </si>
  <si>
    <t>07905</t>
  </si>
  <si>
    <t>FRANKFURTER,BF,PORK,&amp; TURKEY,FAT FREE</t>
  </si>
  <si>
    <t>07906</t>
  </si>
  <si>
    <t>LUNCHEON MEAT,PORK,HAM,&amp;CHICK,MINCD,CND,RED NA,VIT C, (SPAM)</t>
  </si>
  <si>
    <t>07907</t>
  </si>
  <si>
    <t>USDA COMMODITY,PORK SAUSAGE,BULK/LINKS/PATTIES,FRZ,RAW</t>
  </si>
  <si>
    <t>07908</t>
  </si>
  <si>
    <t>LUNCHEON MEAT,PORK W/HAM,MINCED,CND,INCL SPAM (HORMEL)</t>
  </si>
  <si>
    <t>07909</t>
  </si>
  <si>
    <t>LUNCHEON MEAT,PORK&amp;CHICK,MINCED,CND,INCL SPAM LITE</t>
  </si>
  <si>
    <t>07910</t>
  </si>
  <si>
    <t>BRATWURST  VEAL  CKD</t>
  </si>
  <si>
    <t>07911</t>
  </si>
  <si>
    <t>LIVERWURST SPRD</t>
  </si>
  <si>
    <t>07912</t>
  </si>
  <si>
    <t>ROAST BF SPRD</t>
  </si>
  <si>
    <t>07913</t>
  </si>
  <si>
    <t>SALAMI  PORK  BF  LESS NA</t>
  </si>
  <si>
    <t>07914</t>
  </si>
  <si>
    <t>SAUSAGE  ITALIAN  SWT  LINKS</t>
  </si>
  <si>
    <t>07915</t>
  </si>
  <si>
    <t>SAUSAGE  POLISH  BF W/ CHICK  HOT</t>
  </si>
  <si>
    <t>07916</t>
  </si>
  <si>
    <t>SAUSAGE  POLISH  PORK &amp; BF  SMOKED</t>
  </si>
  <si>
    <t>07917</t>
  </si>
  <si>
    <t>SAUSAGE  PORK &amp; BF  W/ CHEDDAR CHS  SMOKED</t>
  </si>
  <si>
    <t>07918</t>
  </si>
  <si>
    <t>SAUSAGE  SMMR  PORK &amp; BF  STKS  W/ CHEDDAR CHS</t>
  </si>
  <si>
    <t>07919</t>
  </si>
  <si>
    <t>SAUSAGE  TURKEY  BRKFST LINKS  MILD</t>
  </si>
  <si>
    <t>07920</t>
  </si>
  <si>
    <t>SWISSWURST  PORK &amp; BF  W/ SWISS CHS  SMOKED</t>
  </si>
  <si>
    <t>07921</t>
  </si>
  <si>
    <t>BACON &amp; BF STKS</t>
  </si>
  <si>
    <t>07922</t>
  </si>
  <si>
    <t>BRATWURST  BF &amp; PORK  SMOKED</t>
  </si>
  <si>
    <t>07923</t>
  </si>
  <si>
    <t>BRATWURST,CHICK,CKD</t>
  </si>
  <si>
    <t>07924</t>
  </si>
  <si>
    <t>BRATWURST  PORK  BF &amp; TURKEY  LITE  SMOKED</t>
  </si>
  <si>
    <t>07925</t>
  </si>
  <si>
    <t>PASTRAMI  BF  98% FAT-FREE</t>
  </si>
  <si>
    <t>07926</t>
  </si>
  <si>
    <t>SALAMI  ITALIAN  PORK</t>
  </si>
  <si>
    <t>07927</t>
  </si>
  <si>
    <t>SAUSAGE  ITALIAN  TURKEY  SMOKED</t>
  </si>
  <si>
    <t>07928</t>
  </si>
  <si>
    <t>SAUSAGE  CHICK  BF  PORK  SKINLESS  SMOKED</t>
  </si>
  <si>
    <t>07929</t>
  </si>
  <si>
    <t>SAUSAGE  TURKEY  HOT  SMOKED</t>
  </si>
  <si>
    <t>07930</t>
  </si>
  <si>
    <t>YACHTWURST,W/ PISTACHIO NUTS,CKD</t>
  </si>
  <si>
    <t>07931</t>
  </si>
  <si>
    <t>BEERWURST  PORK &amp; BF</t>
  </si>
  <si>
    <t>07932</t>
  </si>
  <si>
    <t>CHICKEN BREAST  FAT-FREE  MESQ FLAVOR  SLICED</t>
  </si>
  <si>
    <t>07933</t>
  </si>
  <si>
    <t>CHICKEN BREAST  OVEN-ROASTED  FAT-FREE  SLICED</t>
  </si>
  <si>
    <t>07934</t>
  </si>
  <si>
    <t>KIELBASA,POLISH,TURKEY &amp; BF,SMOKED</t>
  </si>
  <si>
    <t>07935</t>
  </si>
  <si>
    <t>OVEN-ROASTED CHICK BREAST ROLL</t>
  </si>
  <si>
    <t>07936</t>
  </si>
  <si>
    <t>BOLOGNA  PORK &amp; TURKEY  LITE</t>
  </si>
  <si>
    <t>07937</t>
  </si>
  <si>
    <t>BOLOGNA  PORK  TURKEY &amp; BF</t>
  </si>
  <si>
    <t>07938</t>
  </si>
  <si>
    <t>HAM  HONEY  SMOKED  CKD</t>
  </si>
  <si>
    <t>07939</t>
  </si>
  <si>
    <t>FRANKFURTER,PORK</t>
  </si>
  <si>
    <t>07940</t>
  </si>
  <si>
    <t>MACARONI &amp; CHS LOAF  CHICK  PORK &amp; BF</t>
  </si>
  <si>
    <t>07941</t>
  </si>
  <si>
    <t>SALAMI  ITALIAN  PORK &amp; BF  DRY  SLICED  50% LESS NA</t>
  </si>
  <si>
    <t>07942</t>
  </si>
  <si>
    <t>PATE  TRUFFLE FLAVOR</t>
  </si>
  <si>
    <t>07943</t>
  </si>
  <si>
    <t>TURKEY,BREAST,SMOKED,LEMON PEPPER FLAVOR,97% FAT-FREE</t>
  </si>
  <si>
    <t>07944</t>
  </si>
  <si>
    <t>TURKEY  WHITE  ROTISSERIE  DELI CUT</t>
  </si>
  <si>
    <t>07945</t>
  </si>
  <si>
    <t>FRANKFURTER  BF  HTD</t>
  </si>
  <si>
    <t>07949</t>
  </si>
  <si>
    <t>FRANKFURTER  MEAT  HTD</t>
  </si>
  <si>
    <t>07950</t>
  </si>
  <si>
    <t>FRANKFURTER  MEAT</t>
  </si>
  <si>
    <t>07951</t>
  </si>
  <si>
    <t>SCRAPPLE,PORK</t>
  </si>
  <si>
    <t>07952</t>
  </si>
  <si>
    <t>BOLOGNA,CHICK,TURKEY,PORK</t>
  </si>
  <si>
    <t>07953</t>
  </si>
  <si>
    <t>PORK SAUSAGE,LINK/PATTY,FULLY CKD,MICROWAVED</t>
  </si>
  <si>
    <t>07954</t>
  </si>
  <si>
    <t>BEEF SAUSAGE,PRE-COOKED</t>
  </si>
  <si>
    <t>07955</t>
  </si>
  <si>
    <t>TURKEY SAUSAGE,FRSH,RAW</t>
  </si>
  <si>
    <t>07956</t>
  </si>
  <si>
    <t>BEEF SAUSAGE,FRSH,CKD</t>
  </si>
  <si>
    <t>07957</t>
  </si>
  <si>
    <t>PORK &amp; TURKEY SAUSAGE,PRE-COOKED</t>
  </si>
  <si>
    <t>07958</t>
  </si>
  <si>
    <t>TURKEY SAUSAGE,FRSH,CKD</t>
  </si>
  <si>
    <t>07959</t>
  </si>
  <si>
    <t>BOLOGNA,CHICK,PORK,BF</t>
  </si>
  <si>
    <t>07960</t>
  </si>
  <si>
    <t>BOLOGNA,CHICK,PORK</t>
  </si>
  <si>
    <t>07961</t>
  </si>
  <si>
    <t>CHICKEN BREAST,DELI,ROTISSERIE SEASONED,SLICED,PREPACKAGED</t>
  </si>
  <si>
    <t>07962</t>
  </si>
  <si>
    <t>Frankfurter, meat and poultry, unheated</t>
  </si>
  <si>
    <t>07963</t>
  </si>
  <si>
    <t>Frankfurter, meat and poultry, cooked, boiled</t>
  </si>
  <si>
    <t>07964</t>
  </si>
  <si>
    <t>Frankfurter, meat and poultry, cooked, grilled</t>
  </si>
  <si>
    <t>07965</t>
  </si>
  <si>
    <t>PORK SAUSAGE,LINK/PATTY,RED FAT,UNPREP</t>
  </si>
  <si>
    <t>07966</t>
  </si>
  <si>
    <t>PORK SAUSAGE,LINK/PATTY,RED FAT,CKD,PAN-FRIED</t>
  </si>
  <si>
    <t>07967</t>
  </si>
  <si>
    <t>PORK SAUSAGE,LINK/PATTY,FULLY CKD,UNHTD</t>
  </si>
  <si>
    <t>07968</t>
  </si>
  <si>
    <t>KIELBASA,FULLY CKD,GRILLED</t>
  </si>
  <si>
    <t>07969</t>
  </si>
  <si>
    <t>KIELBASA,FULLY CKD,PAN-FRIED</t>
  </si>
  <si>
    <t>07970</t>
  </si>
  <si>
    <t>KIELBASA,FULLY CKD,UNHTD</t>
  </si>
  <si>
    <t>07971</t>
  </si>
  <si>
    <t>BOLOGNA,MEAT &amp; POULTRY</t>
  </si>
  <si>
    <t>07972</t>
  </si>
  <si>
    <t>MEATBALLS,FRZ,ITALIAN STYLE</t>
  </si>
  <si>
    <t>07973</t>
  </si>
  <si>
    <t>TURKEY BACON,MICROWAVED</t>
  </si>
  <si>
    <t>07974</t>
  </si>
  <si>
    <t>BACON,TURKEY,LO NA</t>
  </si>
  <si>
    <t>07976</t>
  </si>
  <si>
    <t>SAUSAGE,CHICK OR TURKEY,ITALIAN STYLE,LOWER NA</t>
  </si>
  <si>
    <t>07977</t>
  </si>
  <si>
    <t>HAM,SMOKED,EX LN,LO NA</t>
  </si>
  <si>
    <t>07978</t>
  </si>
  <si>
    <t>PORK SAUSAGE,RED NA,CKD</t>
  </si>
  <si>
    <t>07979</t>
  </si>
  <si>
    <t>SAUSAGE,PORK,TURKEY,&amp; BF,RED NA</t>
  </si>
  <si>
    <t>08001</t>
  </si>
  <si>
    <t>CEREALS RTE,KELLOGG,KELLOGG'S ALL-BRAN ORIGINAL</t>
  </si>
  <si>
    <t>08002</t>
  </si>
  <si>
    <t>CEREALS RTE,POST,ALPHA-BITS</t>
  </si>
  <si>
    <t>08003</t>
  </si>
  <si>
    <t>CEREALS RTE,KELLOGG,KELLOGG'S APPL JACKS</t>
  </si>
  <si>
    <t>08005</t>
  </si>
  <si>
    <t>CEREALS RTE,KELLOGG,KELLOGG'S ALL-BRAN BRAN BUDS</t>
  </si>
  <si>
    <t>08010</t>
  </si>
  <si>
    <t>CEREALS RTE,QUAKER,CAP'N CRUNCH</t>
  </si>
  <si>
    <t>08011</t>
  </si>
  <si>
    <t>CEREALS RTE,QUAKER,CAP'N CRUNCH W/ CRUNCHBERRIES</t>
  </si>
  <si>
    <t>08012</t>
  </si>
  <si>
    <t>CEREALS RTE,QUAKER,CAP'N CRUNCH'S PNUT BUTTER CRUNCH</t>
  </si>
  <si>
    <t>08013</t>
  </si>
  <si>
    <t>CEREALS RTE,GENERAL MILLS,CHEERIOS</t>
  </si>
  <si>
    <t>08014</t>
  </si>
  <si>
    <t>CEREALS RTE,KELLOGG,KELLOGG'S COCOA KRISPIES</t>
  </si>
  <si>
    <t>08015</t>
  </si>
  <si>
    <t>CEREALS RTE,POST,COCOA PEBBLES</t>
  </si>
  <si>
    <t>08017</t>
  </si>
  <si>
    <t>CEREALS RTE,GENERAL MILLS,COOKIE CRISP</t>
  </si>
  <si>
    <t>08018</t>
  </si>
  <si>
    <t>CEREALS RTE,QUAKER,QUAKER CRUNCHY BRAN</t>
  </si>
  <si>
    <t>08019</t>
  </si>
  <si>
    <t>CEREALS RTE,GENERAL MILLS,CORN CHEX</t>
  </si>
  <si>
    <t>08020</t>
  </si>
  <si>
    <t>CEREALS RTE,KELLOGG,KELLOGG'S CORN FLAKES</t>
  </si>
  <si>
    <t>08023</t>
  </si>
  <si>
    <t>CEREALS RTE,KELLOGG,KELLOGG'S CRACKLIN' OAT BRAN</t>
  </si>
  <si>
    <t>08025</t>
  </si>
  <si>
    <t>CEREALS RTE,RALSTON CRISP RICE</t>
  </si>
  <si>
    <t>08028</t>
  </si>
  <si>
    <t>CEREALS RTE,KELLOGG,KELLOGG'S ALL-BRAN COMPLETE WHEAT FLAKES</t>
  </si>
  <si>
    <t>08029</t>
  </si>
  <si>
    <t>CEREALS RTE,POST BRAN FLAKES</t>
  </si>
  <si>
    <t>08030</t>
  </si>
  <si>
    <t>CEREALS RTE,KELLOGG,KELLOGG'S FROOT LOOPS</t>
  </si>
  <si>
    <t>08031</t>
  </si>
  <si>
    <t>CEREALS RTE,KELLOGG'S FRSTD MINI-WHEATS,BIG BITE</t>
  </si>
  <si>
    <t>08032</t>
  </si>
  <si>
    <t>CEREALS RTE,KELLOGG,KELLOGG'S FRSTD RICE KRISPIES</t>
  </si>
  <si>
    <t>08034</t>
  </si>
  <si>
    <t>CEREALS RTE,POST,FRUITY PEBBLES</t>
  </si>
  <si>
    <t>08035</t>
  </si>
  <si>
    <t>CEREALS RTE,GENERAL MILLS,GOLDEN GRAHAMS</t>
  </si>
  <si>
    <t>08037</t>
  </si>
  <si>
    <t>CEREALS RTE,GRANOLA,HOMEMADE</t>
  </si>
  <si>
    <t>08038</t>
  </si>
  <si>
    <t>CEREALS RTE,POST,GRAPE-NUTS CRL</t>
  </si>
  <si>
    <t>08039</t>
  </si>
  <si>
    <t>CEREALS RTE,POST,GRAPE-NUTS FLAKES</t>
  </si>
  <si>
    <t>08045</t>
  </si>
  <si>
    <t>CEREALS RTE,GENERAL MILLS,HONEY NUT CHEERIOS</t>
  </si>
  <si>
    <t>08046</t>
  </si>
  <si>
    <t>CEREALS RTE,POST,HONEYCOMB CRL</t>
  </si>
  <si>
    <t>08047</t>
  </si>
  <si>
    <t>CEREALS RTE,QUAKER,KING VITAMAN</t>
  </si>
  <si>
    <t>08048</t>
  </si>
  <si>
    <t>CEREALS RTE,GENERAL MILLS,KIX</t>
  </si>
  <si>
    <t>08049</t>
  </si>
  <si>
    <t>CEREALS RTE,QUAKER,QUAKER OAT LIFE,PLN</t>
  </si>
  <si>
    <t>08050</t>
  </si>
  <si>
    <t>CEREALS RTE,GENERAL MILLS,LUCKY CHARMS</t>
  </si>
  <si>
    <t>08054</t>
  </si>
  <si>
    <t>CEREALS RTE,QUAKER,100% NAT GRANOLA,OATS,WHEAT &amp; HONEY</t>
  </si>
  <si>
    <t>08057</t>
  </si>
  <si>
    <t>CEREALS RTE,GENERAL MILLS,HONEY NUT CHEX</t>
  </si>
  <si>
    <t>08058</t>
  </si>
  <si>
    <t>CEREALS RTE,KELLOGG,KELLOGG'S PRODUCT 19</t>
  </si>
  <si>
    <t>08059</t>
  </si>
  <si>
    <t>CEREALS RTE,QUAKER,SWT CRUNCH/QUISP</t>
  </si>
  <si>
    <t>08060</t>
  </si>
  <si>
    <t>CEREALS RTE,KELLOGG,KELLOGG'S RAISIN BRAN</t>
  </si>
  <si>
    <t>08061</t>
  </si>
  <si>
    <t>CEREALS RTE,POST RAISIN BRAN CRL</t>
  </si>
  <si>
    <t>08064</t>
  </si>
  <si>
    <t>CEREALS RTE,GENERAL MILLS,RICE CHEX</t>
  </si>
  <si>
    <t>08065</t>
  </si>
  <si>
    <t>CEREALS RTE,KELLOGG,KELLOGG'S RICE KRISPIES</t>
  </si>
  <si>
    <t>08066</t>
  </si>
  <si>
    <t>CEREALS RTE,QUAKER,QUAKER PUFFED RICE</t>
  </si>
  <si>
    <t>08067</t>
  </si>
  <si>
    <t>CEREALS RTE,KELLOGG,KELLOGG'S SPL K</t>
  </si>
  <si>
    <t>08068</t>
  </si>
  <si>
    <t>CEREALS RTE,KELLOGG,KELLOGG'S CORN POPS</t>
  </si>
  <si>
    <t>08069</t>
  </si>
  <si>
    <t>CEREALS RTE,KELLOGG,KELLOGG'S FRSTD FLAKES</t>
  </si>
  <si>
    <t>08071</t>
  </si>
  <si>
    <t>CEREALS RTE,KELLOGG,KELLOGG'S HONEY SMACKS</t>
  </si>
  <si>
    <t>08073</t>
  </si>
  <si>
    <t>CEREALS RTE,POST,GOLDEN CRISP</t>
  </si>
  <si>
    <t>08074</t>
  </si>
  <si>
    <t>CEREALS RTE,RALSTON TASTEEOS</t>
  </si>
  <si>
    <t>08077</t>
  </si>
  <si>
    <t>CEREALS RTE,GENERAL MILLS,WHL GRAIN TOTAL</t>
  </si>
  <si>
    <t>08078</t>
  </si>
  <si>
    <t>CEREALS RTE,GENERAL MILLS,TRIX</t>
  </si>
  <si>
    <t>08081</t>
  </si>
  <si>
    <t>CEREALS RTE,POST,HONEY NUT SHREDDED WHEAT</t>
  </si>
  <si>
    <t>08082</t>
  </si>
  <si>
    <t>CEREALS RTE,GENERAL MILLS,WHEAT CHEX</t>
  </si>
  <si>
    <t>08083</t>
  </si>
  <si>
    <t>CEREALS RTE,MALT-O-MEAL,CORN BURSTS</t>
  </si>
  <si>
    <t>08084</t>
  </si>
  <si>
    <t>CEREALS RTE,WHEAT GERM,TSTD,PLN</t>
  </si>
  <si>
    <t>08085</t>
  </si>
  <si>
    <t>CEREALS RTE,SUN COUNTRY,KRETSCHMER HONEY CRUNCH WHEAT GERM</t>
  </si>
  <si>
    <t>08087</t>
  </si>
  <si>
    <t>CEREALS RTE,GENERAL MILLS,MULTI-GRAIN CHEERIOS</t>
  </si>
  <si>
    <t>08089</t>
  </si>
  <si>
    <t>CEREALS RTE,GENERAL MILLS,WHEATIES</t>
  </si>
  <si>
    <t>08090</t>
  </si>
  <si>
    <t>CEREALS,CORN GRITS,WHITE,REG &amp; QUICK,ENR,DRY</t>
  </si>
  <si>
    <t>08091</t>
  </si>
  <si>
    <t>CEREALS,CORN GRITS,WHITE,REG &amp; QUICK,ENR,CKD W/ H2O,WO/ SALT</t>
  </si>
  <si>
    <t>08092</t>
  </si>
  <si>
    <t>CEREALS,QUAKER,CORN GRITS,INST,PLN,DRY</t>
  </si>
  <si>
    <t>08093</t>
  </si>
  <si>
    <t>CEREALS,QUAKER,CORN GRITS,INST,PLN,PREP,WO/ SALT</t>
  </si>
  <si>
    <t>08094</t>
  </si>
  <si>
    <t>CEREALS,QUAKER,CORN GRITS,INST,CHEDDAR CHS FLAVOR,DRY</t>
  </si>
  <si>
    <t>08096</t>
  </si>
  <si>
    <t>CEREALS,QUAKER,INST GRITS,COUNTRY BACON FLAVOR,DRY</t>
  </si>
  <si>
    <t>08100</t>
  </si>
  <si>
    <t>CEREALS,CRM OF RICE,DRY</t>
  </si>
  <si>
    <t>08101</t>
  </si>
  <si>
    <t>CEREALS,CRM OF RICE,CKD W/H2O,WO/SALT</t>
  </si>
  <si>
    <t>08102</t>
  </si>
  <si>
    <t>CEREALS,CRM OF WHEAT,REG,10 MINUTE COOKING,DRY</t>
  </si>
  <si>
    <t>08103</t>
  </si>
  <si>
    <t>CEREALS,CRM OF WHEAT,REG (10 MINUTE),CKD W/ H2O,WO/ SALT</t>
  </si>
  <si>
    <t>08104</t>
  </si>
  <si>
    <t>CEREALS,FARINA,ENR,ASSORTED BRANDS,DRY</t>
  </si>
  <si>
    <t>08105</t>
  </si>
  <si>
    <t>CEREALS,FARINA,ENR,ASSORTED BRANDS,QUICK,CKD W/ H2O,WO/ SALT</t>
  </si>
  <si>
    <t>08106</t>
  </si>
  <si>
    <t>CEREALS,CREAM OF WHEAT,INST,DRY</t>
  </si>
  <si>
    <t>08107</t>
  </si>
  <si>
    <t>CEREALS,CREAM OF WHEAT,INST,PREP W/ H2O,WO/ SALT</t>
  </si>
  <si>
    <t>08113</t>
  </si>
  <si>
    <t>CEREALS,FARINA,ENR,CKD W/ H2O,WO/ SALT</t>
  </si>
  <si>
    <t>08116</t>
  </si>
  <si>
    <t>CEREALS,MALT-O-MEAL,ORIGINAL,PLN,DRY</t>
  </si>
  <si>
    <t>08120</t>
  </si>
  <si>
    <t>CEREALS,OATS,REG &amp; QUICK,NOT FORT,DRY</t>
  </si>
  <si>
    <t>08121</t>
  </si>
  <si>
    <t>CEREALS,OATS,REG &amp; QUICK,UNENR,CKD W/ H2O,WO/ SALT</t>
  </si>
  <si>
    <t>08122</t>
  </si>
  <si>
    <t>CEREALS,OATS,INST,FORT,PLN,DRY</t>
  </si>
  <si>
    <t>08123</t>
  </si>
  <si>
    <t>CEREALS,OATS,INST,FORT,PLN,PREP W/ H2O</t>
  </si>
  <si>
    <t>08124</t>
  </si>
  <si>
    <t>CEREALS,QUAKER,INST OATMEAL,APPLS &amp; CINN,DRY</t>
  </si>
  <si>
    <t>08128</t>
  </si>
  <si>
    <t>CEREALS,OATS,INST,FORT,W/ CINN &amp; SPICE,DRY</t>
  </si>
  <si>
    <t>08129</t>
  </si>
  <si>
    <t>CEREALS,OATS,INST,FORT,W/ CINN &amp; SPICE,PREP W/ H2O</t>
  </si>
  <si>
    <t>08130</t>
  </si>
  <si>
    <t>CEREALS,QUAKER,INST OATMEAL,MAPLE &amp; BROWN SUGAR,DRY</t>
  </si>
  <si>
    <t>08132</t>
  </si>
  <si>
    <t>CEREALS,OATS,INST,FORT,W/ RAISINS &amp; SPICE,DRY</t>
  </si>
  <si>
    <t>08133</t>
  </si>
  <si>
    <t>CEREALS,OATS,INST,FORT,W/ RAISINS &amp; SPICE,PREP W/ H2O</t>
  </si>
  <si>
    <t>08138</t>
  </si>
  <si>
    <t>CEREALS RTE,MALT-O-MEAL,MARSHMLLW MATEYS</t>
  </si>
  <si>
    <t>08142</t>
  </si>
  <si>
    <t>CEREALS,WHEATENA,DRY</t>
  </si>
  <si>
    <t>08143</t>
  </si>
  <si>
    <t>CEREALS,WHEATENA,CKD W/ H2O</t>
  </si>
  <si>
    <t>08144</t>
  </si>
  <si>
    <t>CEREALS,WHL WHEAT HOT NAT CRL,DRY</t>
  </si>
  <si>
    <t>08145</t>
  </si>
  <si>
    <t>CEREALS,WHL WHEAT HOT NAT CRL,CKD W/ H2O,WO/ SALT</t>
  </si>
  <si>
    <t>08146</t>
  </si>
  <si>
    <t>CEREALS RTE,QUAKER,QUAKER PUFFED WHEAT</t>
  </si>
  <si>
    <t>08147</t>
  </si>
  <si>
    <t>CEREALS RTE,POST,SHREDDED WHEAT,ORIGINAL BIG BISCUIT</t>
  </si>
  <si>
    <t>08148</t>
  </si>
  <si>
    <t>CEREALS RTE,POST,SHREDDED WHEAT,ORIGINAL SPOON-SIZE</t>
  </si>
  <si>
    <t>08156</t>
  </si>
  <si>
    <t>CEREALS RTE,RICE,PUFFED,FORT</t>
  </si>
  <si>
    <t>08157</t>
  </si>
  <si>
    <t>CEREALS RTE,WHEAT,PUFFED,FORT</t>
  </si>
  <si>
    <t>08159</t>
  </si>
  <si>
    <t>CEREALS,CORN GRITS,YEL,REG &amp; QUICK,ENR,DRY</t>
  </si>
  <si>
    <t>08160</t>
  </si>
  <si>
    <t>CEREALS,CORN GRITS,YEL,REG &amp; QUICK,UNENR,DRY</t>
  </si>
  <si>
    <t>08161</t>
  </si>
  <si>
    <t>CEREALS,CORN GRITS,WHITE,REG &amp; QUICK,ENR,CKD W/ H2O,W/ SALT</t>
  </si>
  <si>
    <t>08164</t>
  </si>
  <si>
    <t>CEREALS,CORN GRITS,YEL,REG &amp; QUICK,ENR,CKD W/ H2O,WO/ SALT</t>
  </si>
  <si>
    <t>08165</t>
  </si>
  <si>
    <t>CEREALS,CORN GRITS,YEL,REG,QUICK,ENR,CKD W/ H2O,W/ SALT</t>
  </si>
  <si>
    <t>08168</t>
  </si>
  <si>
    <t>CEREALS,CREAM OF RICE,CKD W/ H2O,W/ SALT</t>
  </si>
  <si>
    <t>08169</t>
  </si>
  <si>
    <t>CEREALS,CRM OF WHEAT,REG (10 MINUTE),CKD W/ H2O,W/ SALT</t>
  </si>
  <si>
    <t>08172</t>
  </si>
  <si>
    <t>CEREALS,FARINA,UNENR,DRY</t>
  </si>
  <si>
    <t>08173</t>
  </si>
  <si>
    <t>CEREALS,FARINA,ENR,CKD W/ H2O,W/ SALT</t>
  </si>
  <si>
    <t>08177</t>
  </si>
  <si>
    <t>CEREALS,MALT-O-MEAL,CHOC,DRY</t>
  </si>
  <si>
    <t>08180</t>
  </si>
  <si>
    <t>CEREALS,OATS,REG &amp; QUICK &amp; INST,UNENR,CKD W/ H2O,W/ SALT</t>
  </si>
  <si>
    <t>08182</t>
  </si>
  <si>
    <t>CEREALS,WHEATENA,CKD W/ H2O,W/ SALT</t>
  </si>
  <si>
    <t>08183</t>
  </si>
  <si>
    <t>CEREALS,WHL WHEAT HOT NAT CRL,CKD W/ H2O,W/ SALT</t>
  </si>
  <si>
    <t>08189</t>
  </si>
  <si>
    <t>CEREALS RTE,KELLOGG,KELLOGG'S LOFAT GRANOLA WO/ RAISINS</t>
  </si>
  <si>
    <t>08191</t>
  </si>
  <si>
    <t>CEREALS RTE,POST,SHREDDED WHEAT,LIGHTLY FRSTD,SPOON-SIZE</t>
  </si>
  <si>
    <t>08192</t>
  </si>
  <si>
    <t>CEREALS RTE,POST SELECTS BLUEBERRY MORNING</t>
  </si>
  <si>
    <t>08194</t>
  </si>
  <si>
    <t>CEREALS RTE,GENERAL MILLS,REESE'S PUFFS</t>
  </si>
  <si>
    <t>08200</t>
  </si>
  <si>
    <t>CEREALS,QUAKER,QUAKER MULTIGRAIN OATMEAL,DRY</t>
  </si>
  <si>
    <t>08202</t>
  </si>
  <si>
    <t>CEREALS RTE,GENERAL MILLS,OATMEAL CRISP,CRUNCHY ALMOND</t>
  </si>
  <si>
    <t>08204</t>
  </si>
  <si>
    <t>CEREALS RTE,CHOCOLATE-FLAVORED FRSTD PUFFED CORN</t>
  </si>
  <si>
    <t>08206</t>
  </si>
  <si>
    <t>CEREALS RTE,MALT-O-MEAL,COCO-ROOS</t>
  </si>
  <si>
    <t>08210</t>
  </si>
  <si>
    <t>CEREALS RTE,QUAKER,QUAKER OAT CINN LIFE</t>
  </si>
  <si>
    <t>08211</t>
  </si>
  <si>
    <t>CEREALS RTE,QUAKER,HONEY GRAHAM OH!S</t>
  </si>
  <si>
    <t>08214</t>
  </si>
  <si>
    <t>CEREALS RTE,QUAKER,OATMEAL SQUARES</t>
  </si>
  <si>
    <t>08215</t>
  </si>
  <si>
    <t>CEREALS RTE,QUAKER,OATMEAL SQUARES,CINN</t>
  </si>
  <si>
    <t>08216</t>
  </si>
  <si>
    <t>CEREALS RTE,QUAKER,TSTD MULTIGRAIN CRISPS</t>
  </si>
  <si>
    <t>08218</t>
  </si>
  <si>
    <t>CEREALS RTE,QUAKER,QUAKER GRANOLA W/ OATS,WHEAT&amp; RAISINS</t>
  </si>
  <si>
    <t>08220</t>
  </si>
  <si>
    <t>CEREALS RTE,QUAKER,LOFAT 100% NAT GRANOLA W/ RAISINS</t>
  </si>
  <si>
    <t>08221</t>
  </si>
  <si>
    <t>CEREALS,QUAKER,INST GRITS,BUTTER FLAVOR,DRY</t>
  </si>
  <si>
    <t>08225</t>
  </si>
  <si>
    <t>CEREALS,QUAKER,INST OATMEAL,FRUIT &amp; CRM VAR,DRY</t>
  </si>
  <si>
    <t>08228</t>
  </si>
  <si>
    <t>CEREALS,QUAKER,INST OATMEAL,RAISINS,DATES &amp; WALNUTS,DRY</t>
  </si>
  <si>
    <t>08231</t>
  </si>
  <si>
    <t>CEREALS,QUAKER,OAT BRAN,QUAKER/MOTHER'S OAT BRAN,DRY</t>
  </si>
  <si>
    <t>08236</t>
  </si>
  <si>
    <t>CEREALS,QKR,OAT BRAN,PREP W/H2O,NO SALT</t>
  </si>
  <si>
    <t>08239</t>
  </si>
  <si>
    <t>CEREALS RTE,GENERAL MILLS,BERRY BURST CHEERIOS,TRIPLE BERRY</t>
  </si>
  <si>
    <t>08240</t>
  </si>
  <si>
    <t>CEREALS,OAT BRAN,QKR,QKR/MOTHER'S OAT BRAN,PREP W/H2O,SALT</t>
  </si>
  <si>
    <t>08243</t>
  </si>
  <si>
    <t>CEREALS RTE,GENERAL MILLS,HONEY NUT CLUSTERS</t>
  </si>
  <si>
    <t>08244</t>
  </si>
  <si>
    <t>CEREALS RTE,GENERAL MILLS,FIBER ONE BRAN CRL</t>
  </si>
  <si>
    <t>08245</t>
  </si>
  <si>
    <t>CEREALS RTE,GENERAL MILLS,OATMEAL CRISP,HEARTY RAISIN</t>
  </si>
  <si>
    <t>08247</t>
  </si>
  <si>
    <t>CEREALS RTE,GENERAL MILLS,TOTAL RAISIN BRAN</t>
  </si>
  <si>
    <t>08249</t>
  </si>
  <si>
    <t>CEREALS,QUAKER,QUAKER MULTIGRAIN OATMEAL,PREP W/H2O,NO SALT</t>
  </si>
  <si>
    <t>08252</t>
  </si>
  <si>
    <t>CEREALS,QUAKER,QUAKER MULTIGRAIN OATMEAL,PREP W/H2O,SALT</t>
  </si>
  <si>
    <t>08259</t>
  </si>
  <si>
    <t>CEREALS RTE,KELLOGG,KELLOGG'S CRISPIX</t>
  </si>
  <si>
    <t>08261</t>
  </si>
  <si>
    <t>CEREALS RTE,GENERAL MILLS,RAISIN NUT BRAN</t>
  </si>
  <si>
    <t>08262</t>
  </si>
  <si>
    <t>CEREALS RTE,GENERAL MILLS,BASIC 4</t>
  </si>
  <si>
    <t>08263</t>
  </si>
  <si>
    <t>CEREALS RTE,GENERAL MILLS,APPL CINN CHEERIOS</t>
  </si>
  <si>
    <t>08267</t>
  </si>
  <si>
    <t>CEREALS RTE,GENERAL MILLS,FRSTD CHEERIOS</t>
  </si>
  <si>
    <t>08268</t>
  </si>
  <si>
    <t>CEREALS RTE,GENERAL MILLS,FRANKENBERRY</t>
  </si>
  <si>
    <t>08270</t>
  </si>
  <si>
    <t>CEREALS RTE,GENERAL MILLS,COUNT CHOCULA</t>
  </si>
  <si>
    <t>08271</t>
  </si>
  <si>
    <t>CEREALS RTE,GENERAL MILLS,COCOA PUFFS</t>
  </si>
  <si>
    <t>08272</t>
  </si>
  <si>
    <t>CEREALS RTE,GENERAL MILLS,CINN TOAST CRUNCH</t>
  </si>
  <si>
    <t>08273</t>
  </si>
  <si>
    <t>CEREALS RTE,GENERAL MILLS,BOO BERRY</t>
  </si>
  <si>
    <t>08274</t>
  </si>
  <si>
    <t>CEREALS RTE,GENERAL MILLS,BERRY BERRY KIX</t>
  </si>
  <si>
    <t>08277</t>
  </si>
  <si>
    <t>CEREALS RTE,GENERAL MILLS,NATURE VALLEY LOFAT FRUIT GRANOLA</t>
  </si>
  <si>
    <t>08284</t>
  </si>
  <si>
    <t>CEREALS RTE,KELLOGG,KELLOGG'S LOFAT GRANOLA W/ RAISINS</t>
  </si>
  <si>
    <t>08286</t>
  </si>
  <si>
    <t>CEREALS RTE,KELLOGG,KELLOGG'S MUESLIX</t>
  </si>
  <si>
    <t>08288</t>
  </si>
  <si>
    <t>CEREALS RTE,KELLOGG,KELLOGG'S RICE KRISPIES TREATS CRL</t>
  </si>
  <si>
    <t>08290</t>
  </si>
  <si>
    <t>CEREALS RTE,HEALTH VALLEY,FIBER 7 FLAKES</t>
  </si>
  <si>
    <t>08305</t>
  </si>
  <si>
    <t>CEREALS RTE,POST,WAFFLE CRISP</t>
  </si>
  <si>
    <t>08309</t>
  </si>
  <si>
    <t>CEREALS RTE,KELLOGG,KELLOGG'S HONEY CRUNCH CORN FLAKES</t>
  </si>
  <si>
    <t>08314</t>
  </si>
  <si>
    <t>CEREALS,QUAKER,HOMINY GRITS,WHITE,QUICK,DRY</t>
  </si>
  <si>
    <t>08316</t>
  </si>
  <si>
    <t>CEREALS,QUAKER,HOMINY GRITS,WHITE,REG,DRY</t>
  </si>
  <si>
    <t>08318</t>
  </si>
  <si>
    <t>CEREALS RTE,KELLOGG,KELLOGG'S SMART START ANTIOXIDANTS CRL</t>
  </si>
  <si>
    <t>08319</t>
  </si>
  <si>
    <t>CEREALS RTE,KELLOGG,KELLOGG'S FRSTD MINI-WHEATS,BITE SIZE</t>
  </si>
  <si>
    <t>08346</t>
  </si>
  <si>
    <t>CEREALS RTE,MALT-O-MEAL,COLOSSAL CRUNCH</t>
  </si>
  <si>
    <t>08347</t>
  </si>
  <si>
    <t>CEREALS RTE,MALT-O-MEAL,BERRY COLOSSAL CRUNCH</t>
  </si>
  <si>
    <t>08348</t>
  </si>
  <si>
    <t>CEREALS RTE,MALT-O-MEAL,CRISPY RICE</t>
  </si>
  <si>
    <t>08349</t>
  </si>
  <si>
    <t>CEREALS RTE,MALT-O-MEAL,TOOTIE FRUITIES</t>
  </si>
  <si>
    <t>08351</t>
  </si>
  <si>
    <t>CEREALS RTE,QUAKER,MOTHER'S PNUT BUTTER BUMPERS CRL</t>
  </si>
  <si>
    <t>08352</t>
  </si>
  <si>
    <t>CEREALS RTE,QUAKER,MOTHER'S TSTD OAT BRAN CRL</t>
  </si>
  <si>
    <t>08353</t>
  </si>
  <si>
    <t>CEREALS RTE,QUAKER,MOTHER'S CINN OAT CRUNCH</t>
  </si>
  <si>
    <t>08354</t>
  </si>
  <si>
    <t>CEREALS RTE,QUAKER,MOTHER'S GRAHAM BUMPERS</t>
  </si>
  <si>
    <t>08355</t>
  </si>
  <si>
    <t>CEREALS RTE,QUAKER,MOTHER'S COCOA BUMPERS</t>
  </si>
  <si>
    <t>08363</t>
  </si>
  <si>
    <t>CEREALS RTE,SUN COUNTRY,KRETSCHMER TSTD WHEAT BRAN</t>
  </si>
  <si>
    <t>08365</t>
  </si>
  <si>
    <t>CEREALS RTE,QUAKER,SHREDDED WHEAT,BAGGED CRL</t>
  </si>
  <si>
    <t>08366</t>
  </si>
  <si>
    <t>CEREALS RTE,SUN COUNTRY,KRETSCHMER WHEAT GERM,REG</t>
  </si>
  <si>
    <t>08370</t>
  </si>
  <si>
    <t>CEREALS RTE,GENERAL MILLS,RICE CRUNCHINS</t>
  </si>
  <si>
    <t>08376</t>
  </si>
  <si>
    <t>CEREALS RTE,KELLOGG,KELLOGG'S MARSHMLLW FROOT LOOPS</t>
  </si>
  <si>
    <t>08380</t>
  </si>
  <si>
    <t>CEREALS RTE,KELLOGG,KELLOGG'S,RAISIN BRAN CRUNCH</t>
  </si>
  <si>
    <t>08383</t>
  </si>
  <si>
    <t>CEREALS RTE,KELLOGG,KELLOGG'S SPL K RED BERRIES</t>
  </si>
  <si>
    <t>08384</t>
  </si>
  <si>
    <t>CEREALS RTE,KELLOGG,KELLOGG'S MINI-WHEATS,UNFROSTED BITE SZE</t>
  </si>
  <si>
    <t>08386</t>
  </si>
  <si>
    <t>CEREALS RTE,KASHI GOLEAN CRUNCH!</t>
  </si>
  <si>
    <t>08387</t>
  </si>
  <si>
    <t>CEREALS RTE,KASHI HEART TO HEART,HONEY TSTD OAT</t>
  </si>
  <si>
    <t>08388</t>
  </si>
  <si>
    <t>CEREALS RTE,KASHI 7 WHL GRAIN PUFFS</t>
  </si>
  <si>
    <t>08389</t>
  </si>
  <si>
    <t>CEREALS RTE,KASHI 7 WHL GRAIN HONEY PUFFS</t>
  </si>
  <si>
    <t>08390</t>
  </si>
  <si>
    <t>CEREALS RTE,KASHI GOOD FRIENDS</t>
  </si>
  <si>
    <t>08393</t>
  </si>
  <si>
    <t>CEREALS RTE,KASHI GOLEAN</t>
  </si>
  <si>
    <t>08402</t>
  </si>
  <si>
    <t>CEREALS,QUAKER,QUICK OATS,DRY</t>
  </si>
  <si>
    <t>08409</t>
  </si>
  <si>
    <t>CEREALS RTE,MALT-O-MEAL,FRSTD FLAKES</t>
  </si>
  <si>
    <t>08410</t>
  </si>
  <si>
    <t>CEREALS,QUAKER,INST OATMEAL,CINNAMON-SPICE,DRY</t>
  </si>
  <si>
    <t>08411</t>
  </si>
  <si>
    <t>CEREALS,QUAKER,INST OATMEAL,DINOSAUR EGGS,BROWN SUGAR,DRY</t>
  </si>
  <si>
    <t>08417</t>
  </si>
  <si>
    <t>CEREALS,QUAKER,INST OATMEAL,BANANA BREAD,DRY</t>
  </si>
  <si>
    <t>08435</t>
  </si>
  <si>
    <t>CEREALS RTE,UNCLE SAM CRL</t>
  </si>
  <si>
    <t>08436</t>
  </si>
  <si>
    <t>CEREALS,QUAKER,INST OATMEAL,RAISIN &amp; SPICE,DRY</t>
  </si>
  <si>
    <t>08444</t>
  </si>
  <si>
    <t>CEREALS,QUAKER,INST GRITS,REDEYE GRVY COUNTRY HAM FLAVOR,DRY</t>
  </si>
  <si>
    <t>08449</t>
  </si>
  <si>
    <t>CEREALS,QUAKER,INST GRITS PRODUCT W/ AMERICAN CHS FLAVOR,DRY</t>
  </si>
  <si>
    <t>08450</t>
  </si>
  <si>
    <t>CEREALS,QUAKER,INST GRITS,HAM 'N' CHS FLAVOR,DRY</t>
  </si>
  <si>
    <t>08451</t>
  </si>
  <si>
    <t>CEREALS,QUAKER,QUICK OATS W/ IRON,DRY</t>
  </si>
  <si>
    <t>08452</t>
  </si>
  <si>
    <t>CEREALS,QUAKER,WHL WHEAT NAT CRL,DRY</t>
  </si>
  <si>
    <t>08453</t>
  </si>
  <si>
    <t>CEREALS RTE,KELLOGG,KELLOGG'S SPL K CHOCOLATEY STRAWBERRY</t>
  </si>
  <si>
    <t>08459</t>
  </si>
  <si>
    <t>CEREALS RTE,KELLG'S,FRSTD MINI-WHTS,MPLE &amp; BRWN SGR,BTE SZE</t>
  </si>
  <si>
    <t>08462</t>
  </si>
  <si>
    <t>CEREALS RTE,KASHI,ORGANIC PROMISE AUTUMN WHEAT</t>
  </si>
  <si>
    <t>08463</t>
  </si>
  <si>
    <t>CEREALS RTE,KASHI ORGANIC PROMISE,STRAWBERRY FIELDS</t>
  </si>
  <si>
    <t>08469</t>
  </si>
  <si>
    <t>CEREALS RTE,KELLOGG'S,RED SUGAR FRSTD FLAKES CRL</t>
  </si>
  <si>
    <t>08471</t>
  </si>
  <si>
    <t>CEREALS RTE,KELLOGG'S,SPL K PROT PLUS</t>
  </si>
  <si>
    <t>08476</t>
  </si>
  <si>
    <t>CEREALS RTE,MALT-O-MEAL,HONEY BUZZERS</t>
  </si>
  <si>
    <t>08478</t>
  </si>
  <si>
    <t>CEREALS RTE,MALT-O-MEAL,GOLDEN PUFFS</t>
  </si>
  <si>
    <t>09001</t>
  </si>
  <si>
    <t>ACEROLA,(WEST INDIAN CHERRY),RAW</t>
  </si>
  <si>
    <t>09002</t>
  </si>
  <si>
    <t>ACEROLA JUICE,RAW</t>
  </si>
  <si>
    <t>09003</t>
  </si>
  <si>
    <t>APPLES,RAW,WITH SKIN</t>
  </si>
  <si>
    <t>09004</t>
  </si>
  <si>
    <t>APPLES,RAW,WITHOUT SKIN</t>
  </si>
  <si>
    <t>09005</t>
  </si>
  <si>
    <t>APPLES,RAW,WO/SKN,CKD,BLD</t>
  </si>
  <si>
    <t>09006</t>
  </si>
  <si>
    <t>APPLES,RAW,WO/ SKN,CKD,MICROWAVE</t>
  </si>
  <si>
    <t>09007</t>
  </si>
  <si>
    <t>APPLES,CND,SWTND,SLICED,DRND,UNHTD</t>
  </si>
  <si>
    <t>09008</t>
  </si>
  <si>
    <t>APPLES,CND,SWTND,SLICED,DRND,HTD</t>
  </si>
  <si>
    <t>09009</t>
  </si>
  <si>
    <t>APPLES,DEHYD (LO MOIST),SULFURED,UNCKD</t>
  </si>
  <si>
    <t>09010</t>
  </si>
  <si>
    <t>APPLES,DEHYD (LO MOIST),SULFURED,STWD</t>
  </si>
  <si>
    <t>09011</t>
  </si>
  <si>
    <t>APPLES,DRIED,SULFURED,UNCKD</t>
  </si>
  <si>
    <t>09012</t>
  </si>
  <si>
    <t>APPLES,DRIED,SULFURED,STWD,WO/ SUGAR</t>
  </si>
  <si>
    <t>09013</t>
  </si>
  <si>
    <t>APPLES,DRIED,SULFURED,STWD,W/ SUGAR</t>
  </si>
  <si>
    <t>09014</t>
  </si>
  <si>
    <t>APPLES,FRZ,UNSWTND,UNHTD</t>
  </si>
  <si>
    <t>09015</t>
  </si>
  <si>
    <t>APPLES,FRZ,UNSWTND,HTD</t>
  </si>
  <si>
    <t>09016</t>
  </si>
  <si>
    <t>APPLE JUC,CND OR BTLD,UNSWTND,WO/ ADDED VIT C</t>
  </si>
  <si>
    <t>09017</t>
  </si>
  <si>
    <t>APPLE JUC,FRZ CONC,UNSWTND,UNDIL,WO/ VIT C</t>
  </si>
  <si>
    <t>09018</t>
  </si>
  <si>
    <t>APPLE JUC,FRZ CONC,UNSWTND,DIL W/3 VOLUME H2O WO/ VIT C</t>
  </si>
  <si>
    <t>09019</t>
  </si>
  <si>
    <t>APPLESAUCE,CND,UNSWTND,WO/ADDED VIT C (INCLUDES USDA COMMOD)</t>
  </si>
  <si>
    <t>09020</t>
  </si>
  <si>
    <t>APPLESAUCE,CND,SWTND,WO/ SALT (INCLUDES USDA COMMODITY)</t>
  </si>
  <si>
    <t>09021</t>
  </si>
  <si>
    <t>APRICOTS,RAW</t>
  </si>
  <si>
    <t>09022</t>
  </si>
  <si>
    <t>APRICOTS,CND,H2O PK,W/SKN,SOL&amp;LIQUIDS</t>
  </si>
  <si>
    <t>09023</t>
  </si>
  <si>
    <t>APRICOTS,CND,H2O PK,WO/SKN,SOL&amp;LIQUIDS</t>
  </si>
  <si>
    <t>09024</t>
  </si>
  <si>
    <t>APRICOTS,CND,JUC PK,W/SKN,SOL&amp;LIQUIDS</t>
  </si>
  <si>
    <t>09025</t>
  </si>
  <si>
    <t>APRICOTS,CND,EX LT SYRUP PK,W/SKN,SOL&amp;LIQUIDS</t>
  </si>
  <si>
    <t>09026</t>
  </si>
  <si>
    <t>APRICOTS,CND,LT SYRUP PK,W/SKN,SOL&amp;LIQUIDS</t>
  </si>
  <si>
    <t>09027</t>
  </si>
  <si>
    <t>APRICOTS,CND,HVY SYRUP PK,W/SKN,SOL&amp;LIQUIDS</t>
  </si>
  <si>
    <t>09028</t>
  </si>
  <si>
    <t>APRICOTS,CND,HVY SYRUP PK,WO/SKN,SOL&amp;LIQUIDS</t>
  </si>
  <si>
    <t>09029</t>
  </si>
  <si>
    <t>APRICOTS,CND,EX HVY SYRUP PK,WO/SKN,SOL&amp;LIQUIDS</t>
  </si>
  <si>
    <t>09030</t>
  </si>
  <si>
    <t>APRICOTS,DEHYD (LOW-MOISTURE),SULFURED,UNCKD</t>
  </si>
  <si>
    <t>09031</t>
  </si>
  <si>
    <t>APRICOTS,DEHYD (LOW-MOISTURE),SULFURED,STWD</t>
  </si>
  <si>
    <t>09032</t>
  </si>
  <si>
    <t>APRICOTS,DRIED,SULFURED,UNCKD</t>
  </si>
  <si>
    <t>09033</t>
  </si>
  <si>
    <t>APRICOTS,DRIED,SULFURED,STWD,WO/ SUGAR</t>
  </si>
  <si>
    <t>09034</t>
  </si>
  <si>
    <t>APRICOTS,DRIED,SULFURED,STWD,W/ SUGAR</t>
  </si>
  <si>
    <t>09035</t>
  </si>
  <si>
    <t>APRICOTS,FROZEN,SWEETENED</t>
  </si>
  <si>
    <t>09036</t>
  </si>
  <si>
    <t>APRICOT NECTAR,CND,WO/ VIT C</t>
  </si>
  <si>
    <t>09037</t>
  </si>
  <si>
    <t>AVOCADOS,RAW,ALL COMM VAR</t>
  </si>
  <si>
    <t>09038</t>
  </si>
  <si>
    <t>AVOCADOS,RAW,CALIFORNIA</t>
  </si>
  <si>
    <t>09039</t>
  </si>
  <si>
    <t>AVOCADOS,RAW,FLORIDA</t>
  </si>
  <si>
    <t>09040</t>
  </si>
  <si>
    <t>BANANAS,RAW</t>
  </si>
  <si>
    <t>09041</t>
  </si>
  <si>
    <t>BANANAS,DEHYD,OR BANANA PDR</t>
  </si>
  <si>
    <t>09042</t>
  </si>
  <si>
    <t>BLACKBERRIES,RAW</t>
  </si>
  <si>
    <t>09043</t>
  </si>
  <si>
    <t>BLACKBERRY JUC,CND</t>
  </si>
  <si>
    <t>09044</t>
  </si>
  <si>
    <t>CHERRIES,TART,DRIED,SWTND</t>
  </si>
  <si>
    <t>09046</t>
  </si>
  <si>
    <t>BLACKBERRIES,CND,HVY SYRUP,SOL&amp;LIQUIDS</t>
  </si>
  <si>
    <t>09048</t>
  </si>
  <si>
    <t>BLACKBERRIES,FRZ,UNSWTND</t>
  </si>
  <si>
    <t>09050</t>
  </si>
  <si>
    <t>BLUEBERRIES,RAW</t>
  </si>
  <si>
    <t>09052</t>
  </si>
  <si>
    <t>BLUEBERRIES,CND,HVY SYRUP,SOL&amp;LIQUIDS</t>
  </si>
  <si>
    <t>09053</t>
  </si>
  <si>
    <t>BLUEBERRIES,WILD,FRZ</t>
  </si>
  <si>
    <t>09054</t>
  </si>
  <si>
    <t>BLUEBERRIES,FRZ,UNSWTND</t>
  </si>
  <si>
    <t>09055</t>
  </si>
  <si>
    <t>BLUEBERRIES,FRZ,SWTND</t>
  </si>
  <si>
    <t>09056</t>
  </si>
  <si>
    <t>BOYSENBERRIES,CND,HVY SYRUP</t>
  </si>
  <si>
    <t>09057</t>
  </si>
  <si>
    <t>BOYSENBERRIES,FRZ,UNSWTND</t>
  </si>
  <si>
    <t>09059</t>
  </si>
  <si>
    <t>BREADFRUIT,RAW</t>
  </si>
  <si>
    <t>09060</t>
  </si>
  <si>
    <t>CARAMBOLA,(STARFRUIT),RAW</t>
  </si>
  <si>
    <t>09061</t>
  </si>
  <si>
    <t>CARISSA,(NATAL-PLUM),RAW</t>
  </si>
  <si>
    <t>09062</t>
  </si>
  <si>
    <t>CHERIMOYA,RAW</t>
  </si>
  <si>
    <t>09063</t>
  </si>
  <si>
    <t>CHERRIES,SOUR,RED,RAW</t>
  </si>
  <si>
    <t>09064</t>
  </si>
  <si>
    <t>CHERRIES,SOUR,RED,CND,H2O PK,SOL&amp;LIQUIDS (INCL USDA CMDTY)</t>
  </si>
  <si>
    <t>09065</t>
  </si>
  <si>
    <t>CHERRIES,SOUR,RED,CND,LT SYRUP PK,SOL&amp;LIQUIDS</t>
  </si>
  <si>
    <t>09066</t>
  </si>
  <si>
    <t>CHERRIES,SOUR,RED,CND,HVY SYRUP PK,SOL&amp;LIQUIDS</t>
  </si>
  <si>
    <t>09067</t>
  </si>
  <si>
    <t>CHERRIES,SOUR,RED,CND,EX HVY SYRUP PK,SOL&amp;LIQUIDS</t>
  </si>
  <si>
    <t>09068</t>
  </si>
  <si>
    <t>CHERRIES,SOUR,RED,FRZ,UNSWTND</t>
  </si>
  <si>
    <t>09070</t>
  </si>
  <si>
    <t>CHERRIES,SWEET,RAW</t>
  </si>
  <si>
    <t>09071</t>
  </si>
  <si>
    <t>CHERRIES,SWT,CND,H2O PK,SOL&amp;LIQUIDS</t>
  </si>
  <si>
    <t>09072</t>
  </si>
  <si>
    <t>CHERRIES,SWT,CND,JUC PK,SOL&amp;LIQUIDS</t>
  </si>
  <si>
    <t>09073</t>
  </si>
  <si>
    <t>CHERRIES,SWT,CND,LT SYRUP PK,SOL&amp;LIQUIDS</t>
  </si>
  <si>
    <t>09074</t>
  </si>
  <si>
    <t>CHERRIES,SWT,CND,PITTED,HVY SYRUP PK,SOL &amp; LIQUIDS</t>
  </si>
  <si>
    <t>09075</t>
  </si>
  <si>
    <t>CHERRIES,SWT,CND,EX HVY SYRUP PK,SOL&amp;LIQUIDS</t>
  </si>
  <si>
    <t>09076</t>
  </si>
  <si>
    <t>CHERRIES,SWT,FRZ,SWTND</t>
  </si>
  <si>
    <t>09077</t>
  </si>
  <si>
    <t>CRABAPPLES,RAW</t>
  </si>
  <si>
    <t>09078</t>
  </si>
  <si>
    <t>CRANBERRIES,RAW</t>
  </si>
  <si>
    <t>09079</t>
  </si>
  <si>
    <t>CRANBERRIES,DRIED,SWTND</t>
  </si>
  <si>
    <t>09081</t>
  </si>
  <si>
    <t>CRANBERRY SAU,CND,SWTND</t>
  </si>
  <si>
    <t>09082</t>
  </si>
  <si>
    <t>CRANBERRY-ORANGE RELISH,CND</t>
  </si>
  <si>
    <t>09083</t>
  </si>
  <si>
    <t>CURRANTS,EUROPEAN BLACK,RAW</t>
  </si>
  <si>
    <t>09084</t>
  </si>
  <si>
    <t>CURRANTS,RED&amp;WHITE,RAW</t>
  </si>
  <si>
    <t>09085</t>
  </si>
  <si>
    <t>CURRANTS,ZANTE,DRIED</t>
  </si>
  <si>
    <t>09086</t>
  </si>
  <si>
    <t>CUSTARD-APPLE,(BULLOCK'S-HEART),RAW</t>
  </si>
  <si>
    <t>09087</t>
  </si>
  <si>
    <t>DATES,DEGLET NOOR</t>
  </si>
  <si>
    <t>09088</t>
  </si>
  <si>
    <t>ELDERBERRIES,RAW</t>
  </si>
  <si>
    <t>09089</t>
  </si>
  <si>
    <t>FIGS,RAW</t>
  </si>
  <si>
    <t>09090</t>
  </si>
  <si>
    <t>FIGS,CND,H2O PK,SOL&amp;LIQUIDS</t>
  </si>
  <si>
    <t>09091</t>
  </si>
  <si>
    <t>FIGS,CND,LT SYRUP PK,SOL&amp;LIQUIDS</t>
  </si>
  <si>
    <t>09092</t>
  </si>
  <si>
    <t>FIGS,CND,HVY SYRUP PK,SOL&amp;LIQUIDS</t>
  </si>
  <si>
    <t>09093</t>
  </si>
  <si>
    <t>FIGS,CND,EX HVY SYRUP PK,SOL&amp;LIQUIDS</t>
  </si>
  <si>
    <t>09094</t>
  </si>
  <si>
    <t>FIGS,DRIED,UNCOOKED</t>
  </si>
  <si>
    <t>09095</t>
  </si>
  <si>
    <t>FIGS,DRIED,STEWED</t>
  </si>
  <si>
    <t>09096</t>
  </si>
  <si>
    <t>FRUIT COCKTAIL,CND,H2O PK,SOL&amp;LIQUIDS</t>
  </si>
  <si>
    <t>09097</t>
  </si>
  <si>
    <t>FRUIT COCKTAIL,CND,JUC PK,SOL&amp;LIQUIDS</t>
  </si>
  <si>
    <t>09098</t>
  </si>
  <si>
    <t>FRUIT COCKTAIL,CND,EX LT SYRUP,SOL&amp;LIQUIDS</t>
  </si>
  <si>
    <t>09099</t>
  </si>
  <si>
    <t>FRUIT COCKTAIL,CND,LT SYRUP,SOL&amp;LIQUIDS</t>
  </si>
  <si>
    <t>09100</t>
  </si>
  <si>
    <t>FRUIT COCKTAIL,CND,HVY SYRUP,SOL&amp;LIQUIDS</t>
  </si>
  <si>
    <t>09101</t>
  </si>
  <si>
    <t>FRUIT COCKTAIL,CND,EX HVY SYRUP,SOL&amp;LIQUIDS</t>
  </si>
  <si>
    <t>09102</t>
  </si>
  <si>
    <t>FRUIT SALAD,CND,H2O PK,SOL&amp;LIQUIDS</t>
  </si>
  <si>
    <t>09103</t>
  </si>
  <si>
    <t>FRUIT SALAD,CND,JUC PK,SOL&amp;LIQUIDS</t>
  </si>
  <si>
    <t>09104</t>
  </si>
  <si>
    <t>FRUIT SALAD,CND,LT SYRUP,SOL&amp;LIQUIDS</t>
  </si>
  <si>
    <t>09105</t>
  </si>
  <si>
    <t>FRUIT SALAD,CND,HVY SYRUP,SOL&amp;LIQUIDS</t>
  </si>
  <si>
    <t>09106</t>
  </si>
  <si>
    <t>FRUIT SALAD,CND,EX HVY SYRUP,SOL&amp;LIQUIDS</t>
  </si>
  <si>
    <t>09107</t>
  </si>
  <si>
    <t>GOOSEBERRIES,RAW</t>
  </si>
  <si>
    <t>09109</t>
  </si>
  <si>
    <t>GOOSEBERRIES,CND,LT SYRUP PK,SOL&amp;LIQUIDS</t>
  </si>
  <si>
    <t>09110</t>
  </si>
  <si>
    <t>GOJI BERRIES,DRIED</t>
  </si>
  <si>
    <t>09111</t>
  </si>
  <si>
    <t>GRAPEFRUIT,RAW,PINK&amp;RED&amp;WHITE,ALL AREAS</t>
  </si>
  <si>
    <t>09112</t>
  </si>
  <si>
    <t>GRAPEFRUIT,RAW,PINK&amp;RED,ALL AREAS</t>
  </si>
  <si>
    <t>09113</t>
  </si>
  <si>
    <t>GRAPEFRUIT,RAW,PINK&amp;RED,CALIFORNIA&amp;ARIZONA</t>
  </si>
  <si>
    <t>09114</t>
  </si>
  <si>
    <t>GRAPEFRUIT,RAW,PINK &amp; RED,FLORIDA</t>
  </si>
  <si>
    <t>09116</t>
  </si>
  <si>
    <t>GRAPEFRUIT,RAW,WHITE,ALL AREAS</t>
  </si>
  <si>
    <t>09117</t>
  </si>
  <si>
    <t>GRAPEFRUIT,RAW,WHITE,CALIFORNIA</t>
  </si>
  <si>
    <t>09118</t>
  </si>
  <si>
    <t>GRAPEFRUIT,RAW,WHITE,FLORIDA</t>
  </si>
  <si>
    <t>09119</t>
  </si>
  <si>
    <t>GRAPEFRUIT,SECTIONS,CND,H2O PK,SOL&amp;LIQUIDS</t>
  </si>
  <si>
    <t>09120</t>
  </si>
  <si>
    <t>GRAPEFRUIT,SECTIONS,CND,JUC PK,SOL&amp;LIQUIDS</t>
  </si>
  <si>
    <t>09121</t>
  </si>
  <si>
    <t>GRAPEFRUIT,SECTIONS,CND,LT SYRUP PK,SOL&amp;LIQUIDS</t>
  </si>
  <si>
    <t>09123</t>
  </si>
  <si>
    <t>GRAPEFRUIT JUC,WHITE,CND OR BTLD,UNSWTND</t>
  </si>
  <si>
    <t>09124</t>
  </si>
  <si>
    <t>GRAPEFRUIT JUC,WHITE,CND,SWTND</t>
  </si>
  <si>
    <t>09125</t>
  </si>
  <si>
    <t>GRAPEFRUIT JUC,WHITE,FRZ CONC,UNSWTND,UNDIL</t>
  </si>
  <si>
    <t>09126</t>
  </si>
  <si>
    <t>GRAPEFRUIT JUC,WHITE,FRZ CONC,UNSWTND,DIL W/ 3 VOLUME H2O</t>
  </si>
  <si>
    <t>09127</t>
  </si>
  <si>
    <t>GRAPEFRUIT JUC,PINK OR RED,W/ ADDED CA</t>
  </si>
  <si>
    <t>09128</t>
  </si>
  <si>
    <t>GRAPEFRUIT JUC,WHITE,RAW</t>
  </si>
  <si>
    <t>09129</t>
  </si>
  <si>
    <t>Grapes, muscadine, raw</t>
  </si>
  <si>
    <t>09130</t>
  </si>
  <si>
    <t>GRAPE JUC,CND OR BTLD,UNSWTND,W/ ADDED VIT C</t>
  </si>
  <si>
    <t>09131</t>
  </si>
  <si>
    <t>GRAPES,AMERICAN TYPE (SLIP SKN),RAW</t>
  </si>
  <si>
    <t>09132</t>
  </si>
  <si>
    <t>GRAPES,RED OR GRN (EURO TYPE,SUCH AS THOMPSON SEEDLESS),RAW</t>
  </si>
  <si>
    <t>09133</t>
  </si>
  <si>
    <t>GRAPES,CND,THOMPSON SEEDLESS,H2O PK,SOL&amp;LIQUIDS</t>
  </si>
  <si>
    <t>09134</t>
  </si>
  <si>
    <t>GRAPES,CND,THOMPSON SEEDLESS,HVY SYRUP PK,SOL&amp;LIQUIDS</t>
  </si>
  <si>
    <t>09135</t>
  </si>
  <si>
    <t>GRAPE JUC,CND OR BTLD,UNSWTND,WO/ ADDED VIT C</t>
  </si>
  <si>
    <t>09138</t>
  </si>
  <si>
    <t>GROUNDCHERRIES,(CAPE-GOOSEBERRIES OR POHA),RAW</t>
  </si>
  <si>
    <t>09139</t>
  </si>
  <si>
    <t>GUAVAS,COMMON,RAW</t>
  </si>
  <si>
    <t>09140</t>
  </si>
  <si>
    <t>GUAVAS,STRAWBERRY,RAW</t>
  </si>
  <si>
    <t>09143</t>
  </si>
  <si>
    <t>GUAVA SAUCE,COOKED</t>
  </si>
  <si>
    <t>09144</t>
  </si>
  <si>
    <t>JACKFRUIT,RAW</t>
  </si>
  <si>
    <t>09145</t>
  </si>
  <si>
    <t>JAVA-PLUM,(JAMBOLAN),RAW</t>
  </si>
  <si>
    <t>09146</t>
  </si>
  <si>
    <t>JUJUBE,RAW</t>
  </si>
  <si>
    <t>09147</t>
  </si>
  <si>
    <t>JUJUBE,CHINESE,FRSH,DRIED</t>
  </si>
  <si>
    <t>09148</t>
  </si>
  <si>
    <t>KIWIFRUIT,GRN,RAW</t>
  </si>
  <si>
    <t>09149</t>
  </si>
  <si>
    <t>KUMQUATS,RAW</t>
  </si>
  <si>
    <t>09150</t>
  </si>
  <si>
    <t>LEMONS,RAW,WITHOUT PEEL</t>
  </si>
  <si>
    <t>09152</t>
  </si>
  <si>
    <t>LEMON JUICE,RAW</t>
  </si>
  <si>
    <t>09153</t>
  </si>
  <si>
    <t>LEMON JUC FROM CONC,CND OR BTLD</t>
  </si>
  <si>
    <t>09154</t>
  </si>
  <si>
    <t>LEMON JUC,FRZ,UNSWTND,SINGLE STRENGTH</t>
  </si>
  <si>
    <t>09156</t>
  </si>
  <si>
    <t>LEMON PEEL,RAW</t>
  </si>
  <si>
    <t>09159</t>
  </si>
  <si>
    <t>LIMES,RAW</t>
  </si>
  <si>
    <t>09160</t>
  </si>
  <si>
    <t>LIME JUICE,RAW</t>
  </si>
  <si>
    <t>09161</t>
  </si>
  <si>
    <t>LIME JUC,CND OR BTLD,UNSWTND</t>
  </si>
  <si>
    <t>09163</t>
  </si>
  <si>
    <t>BLUEBERRIES,DRIED,SWTND</t>
  </si>
  <si>
    <t>09164</t>
  </si>
  <si>
    <t>LITCHIS,RAW</t>
  </si>
  <si>
    <t>09165</t>
  </si>
  <si>
    <t>LITCHIS,DRIED</t>
  </si>
  <si>
    <t>09167</t>
  </si>
  <si>
    <t>LOGANBERRIES,FROZEN</t>
  </si>
  <si>
    <t>09172</t>
  </si>
  <si>
    <t>LONGANS,RAW</t>
  </si>
  <si>
    <t>09173</t>
  </si>
  <si>
    <t>LONGANS,DRIED</t>
  </si>
  <si>
    <t>09174</t>
  </si>
  <si>
    <t>LOQUATS,RAW</t>
  </si>
  <si>
    <t>09175</t>
  </si>
  <si>
    <t>MAMMY-APPLE,(MAMEY),RAW</t>
  </si>
  <si>
    <t>09176</t>
  </si>
  <si>
    <t>MANGOS,RAW</t>
  </si>
  <si>
    <t>09177</t>
  </si>
  <si>
    <t>MANGOSTEEN,CND,SYRUP PK</t>
  </si>
  <si>
    <t>09178</t>
  </si>
  <si>
    <t>MANGO,DRIED,SWTND</t>
  </si>
  <si>
    <t>09181</t>
  </si>
  <si>
    <t>MELONS,CANTALOUPE,RAW</t>
  </si>
  <si>
    <t>09183</t>
  </si>
  <si>
    <t>MELONS,CASABA,RAW</t>
  </si>
  <si>
    <t>09184</t>
  </si>
  <si>
    <t>MELONS,HONEYDEW,RAW</t>
  </si>
  <si>
    <t>09185</t>
  </si>
  <si>
    <t>MELON BALLS,FROZEN</t>
  </si>
  <si>
    <t>09190</t>
  </si>
  <si>
    <t>MULBERRIES,RAW</t>
  </si>
  <si>
    <t>09191</t>
  </si>
  <si>
    <t>NECTARINES,RAW</t>
  </si>
  <si>
    <t>09192</t>
  </si>
  <si>
    <t>OHELOBERRIES,RAW</t>
  </si>
  <si>
    <t>09193</t>
  </si>
  <si>
    <t>OLIVES,RIPE,CND (SMALL-EXTRA LRG)</t>
  </si>
  <si>
    <t>09194</t>
  </si>
  <si>
    <t>OLIVES,RIPE,CND (JUMBO-SUPER COLOSSAL)</t>
  </si>
  <si>
    <t>09195</t>
  </si>
  <si>
    <t>OLIVES,PICKLED,CND OR BTLD,GRN</t>
  </si>
  <si>
    <t>09200</t>
  </si>
  <si>
    <t>ORANGES,RAW,ALL COMM VAR</t>
  </si>
  <si>
    <t>09201</t>
  </si>
  <si>
    <t>ORANGES,RAW,CALIFORNIA,VALENCIAS</t>
  </si>
  <si>
    <t>09202</t>
  </si>
  <si>
    <t>ORANGES,RAW,NAVELS</t>
  </si>
  <si>
    <t>09203</t>
  </si>
  <si>
    <t>ORANGES,RAW,FLORIDA</t>
  </si>
  <si>
    <t>09205</t>
  </si>
  <si>
    <t>ORANGES,RAW,WITH PEEL</t>
  </si>
  <si>
    <t>09206</t>
  </si>
  <si>
    <t>ORANGE JUICE,RAW</t>
  </si>
  <si>
    <t>09207</t>
  </si>
  <si>
    <t>ORANGE JUC,CND,UNSWTND</t>
  </si>
  <si>
    <t>09209</t>
  </si>
  <si>
    <t>ORANGE JUC,CHILLED,INCL FROM CONC</t>
  </si>
  <si>
    <t>09210</t>
  </si>
  <si>
    <t>ORANGE JUC,CHILLED,INCL FROM CONC,W/ ADDED CA &amp; VITAMIN D</t>
  </si>
  <si>
    <t>09211</t>
  </si>
  <si>
    <t>ORANGE JUC,CHILLED,INCL FROM CONC,W/ ADDED CA</t>
  </si>
  <si>
    <t>09212</t>
  </si>
  <si>
    <t>ORANGE JUC,FRZ CONC,UNSWTND,DIL W/ 3 VOLUME H2O,W/ ADDED CA</t>
  </si>
  <si>
    <t>09213</t>
  </si>
  <si>
    <t>ORANGE JUC,FRZ CONC,UNSWTND,UNDIL,W/ ADDED CA</t>
  </si>
  <si>
    <t>09214</t>
  </si>
  <si>
    <t>ORANGE JUC,FRZ CONC,UNSWTND,UNDIL</t>
  </si>
  <si>
    <t>09215</t>
  </si>
  <si>
    <t>ORANGE JUC,FRZ CONC,UNSWTND,DIL W/3 VOLUME H2O</t>
  </si>
  <si>
    <t>09216</t>
  </si>
  <si>
    <t>ORANGE PEEL,RAW</t>
  </si>
  <si>
    <t>09217</t>
  </si>
  <si>
    <t>ORANGE-GRAPEFRUIT JUC,CND OR BTLD,UNSWTND</t>
  </si>
  <si>
    <t>09218</t>
  </si>
  <si>
    <t>TANGERINES,(MANDARIN ORANGES),RAW</t>
  </si>
  <si>
    <t>09219</t>
  </si>
  <si>
    <t>TANGERINES,(MANDARIN ORANGES),CND,JUC PK</t>
  </si>
  <si>
    <t>09220</t>
  </si>
  <si>
    <t>TANGERINES,(MANDARIN ORANGES),CND,LT SYRUP PK</t>
  </si>
  <si>
    <t>09221</t>
  </si>
  <si>
    <t>TANGERINE JUICE,RAW</t>
  </si>
  <si>
    <t>09223</t>
  </si>
  <si>
    <t>TANGERINE JUC,CND,SWTND</t>
  </si>
  <si>
    <t>09226</t>
  </si>
  <si>
    <t>PAPAYAS,RAW</t>
  </si>
  <si>
    <t>09228</t>
  </si>
  <si>
    <t>PAPAYA,CND,HVY SYRUP,DRND</t>
  </si>
  <si>
    <t>09229</t>
  </si>
  <si>
    <t>PAPAYA NECTAR,CANNED</t>
  </si>
  <si>
    <t>09231</t>
  </si>
  <si>
    <t>PASSION-FRUIT,(GRANADILLA),PURPLE,RAW</t>
  </si>
  <si>
    <t>09232</t>
  </si>
  <si>
    <t>PASSION-FRUIT JUC,PURPLE,RAW</t>
  </si>
  <si>
    <t>09233</t>
  </si>
  <si>
    <t>PASSION-FRUIT JUC,YEL,RAW</t>
  </si>
  <si>
    <t>09236</t>
  </si>
  <si>
    <t>PEACHES,YEL,RAW</t>
  </si>
  <si>
    <t>09237</t>
  </si>
  <si>
    <t>PEACHES,CND,H2O PK,SOL&amp;LIQUIDS</t>
  </si>
  <si>
    <t>09238</t>
  </si>
  <si>
    <t>PEACHES,CND,JUC PK,SOL&amp;LIQUIDS</t>
  </si>
  <si>
    <t>09239</t>
  </si>
  <si>
    <t>PEACHES,CND,EX LT SYRUP,SOL&amp;LIQUIDS</t>
  </si>
  <si>
    <t>09240</t>
  </si>
  <si>
    <t>PEACHES,CND,LT SYRUP PK,SOL&amp;LIQUIDS</t>
  </si>
  <si>
    <t>09241</t>
  </si>
  <si>
    <t>PEACHES,CND,HVY SYRUP PK,SOL&amp;LIQUIDS</t>
  </si>
  <si>
    <t>09242</t>
  </si>
  <si>
    <t>PEACHES,CND,EX HVY SYRUP PK,SOL&amp;LIQUIDS</t>
  </si>
  <si>
    <t>10000</t>
  </si>
  <si>
    <t>PORK,FRSH,COMP OF FAT,W/ ADDED SOLN,CKD</t>
  </si>
  <si>
    <t>10001</t>
  </si>
  <si>
    <t>PORK,FRSH,CARCASS,LN&amp;FAT,RAW</t>
  </si>
  <si>
    <t>10002</t>
  </si>
  <si>
    <t>PORK,FRSH,COMP OF RTL CUTS (LEG,LOIN,SHLDR),LN,RAW</t>
  </si>
  <si>
    <t>10003</t>
  </si>
  <si>
    <t>PORK,FRSH,COMP OF LEG,LOIN,SHLDR,&amp; SPARERIBS,LN &amp; FAT,RAW</t>
  </si>
  <si>
    <t>10004</t>
  </si>
  <si>
    <t>PORK,FRESH,BACKFAT,RAW</t>
  </si>
  <si>
    <t>10005</t>
  </si>
  <si>
    <t>PORK,FRSH,BELLY,RAW</t>
  </si>
  <si>
    <t>10006</t>
  </si>
  <si>
    <t>PORK,FRSH,FAT,RAW</t>
  </si>
  <si>
    <t>10007</t>
  </si>
  <si>
    <t>PORK,FRSH,FAT,CKD</t>
  </si>
  <si>
    <t>10008</t>
  </si>
  <si>
    <t>PORK,FRSH,LEG (HAM),WHL,LN&amp;FAT,RAW</t>
  </si>
  <si>
    <t>10009</t>
  </si>
  <si>
    <t>PORK,FRSH,LEG (HAM),WHL,LN&amp;FAT,CKD,RSTD</t>
  </si>
  <si>
    <t>10010</t>
  </si>
  <si>
    <t>PORK,FRSH,LEG (HAM),WHL,LN,RAW</t>
  </si>
  <si>
    <t>10011</t>
  </si>
  <si>
    <t>PORK,FRSH,LEG (HAM),WHL,LN,CKD,RSTD</t>
  </si>
  <si>
    <t>10012</t>
  </si>
  <si>
    <t>PORK,FRSH,LEG (HAM),RUMP HALF,LN&amp;FAT,RAW</t>
  </si>
  <si>
    <t>10013</t>
  </si>
  <si>
    <t>PORK,FRSH,LEG (HAM),RUMP HALF,LN&amp;FAT,CKD,RSTD</t>
  </si>
  <si>
    <t>10014</t>
  </si>
  <si>
    <t>PORK,FRSH,LEG (HAM),RUMP HALF,LN,RAW</t>
  </si>
  <si>
    <t>10015</t>
  </si>
  <si>
    <t>PORK,FRSH,LEG (HAM),RUMP HALF,LN,CKD,RSTD</t>
  </si>
  <si>
    <t>10016</t>
  </si>
  <si>
    <t>PORK,FRSH,LEG (HAM),SHANK HALF,LN&amp;FAT,RAW</t>
  </si>
  <si>
    <t>10017</t>
  </si>
  <si>
    <t>PORK,FRSH,LEG (HAM),SHANK HALF,LN&amp;FAT,CKD,RSTD</t>
  </si>
  <si>
    <t>10018</t>
  </si>
  <si>
    <t>PORK,FRSH,LEG (HAM),SHANK HALF,LN,RAW</t>
  </si>
  <si>
    <t>10019</t>
  </si>
  <si>
    <t>PORK,FRSH,LEG (HAM),SHANK HALF,LN,CKD,RSTD</t>
  </si>
  <si>
    <t>10020</t>
  </si>
  <si>
    <t>PORK,FRSH,LOIN,WHL,LN&amp;FAT,RAW</t>
  </si>
  <si>
    <t>10021</t>
  </si>
  <si>
    <t>PORK,FRSH,LOIN,WHL,LN&amp;FAT,CKD,BRSD</t>
  </si>
  <si>
    <t>10022</t>
  </si>
  <si>
    <t>PORK,FRSH,LOIN,WHL,LN&amp;FAT,CKD,BRLD</t>
  </si>
  <si>
    <t>10023</t>
  </si>
  <si>
    <t>PORK,FRSH,LOIN,WHL,LN&amp;FAT,CKD,RSTD</t>
  </si>
  <si>
    <t>10024</t>
  </si>
  <si>
    <t>PORK,FRSH,LOIN,WHL,LN,RAW</t>
  </si>
  <si>
    <t>10025</t>
  </si>
  <si>
    <t>PORK,FRSH,LOIN,WHL,LN,CKD,BRSD</t>
  </si>
  <si>
    <t>10026</t>
  </si>
  <si>
    <t>PORK,FRSH,LOIN,WHL,LN,CKD,BRLD</t>
  </si>
  <si>
    <t>10027</t>
  </si>
  <si>
    <t>PORK,FRSH,LOIN,WHL,LN,CKD,RSTD</t>
  </si>
  <si>
    <t>10028</t>
  </si>
  <si>
    <t>PORK,FRSH,LOIN,BLADE (CHOPS OR ROASTS),BONE-IN,LN&amp;FAT,RAW</t>
  </si>
  <si>
    <t>10029</t>
  </si>
  <si>
    <t>PORK,FRSH,LOIN,BLADE (CHOPS),BONE-IN,LN&amp;FAT,CKD,BRSD</t>
  </si>
  <si>
    <t>10030</t>
  </si>
  <si>
    <t>PORK,FRSH,LOIN,BLADE (CHOPS),BONE-IN,LN&amp;FAT,CKD,BRLD</t>
  </si>
  <si>
    <t>10031</t>
  </si>
  <si>
    <t>PORK,FRSH,LOIN,BLADE (ROASTS),BONE-IN,LN&amp;FAT,CKD,RSTD</t>
  </si>
  <si>
    <t>10032</t>
  </si>
  <si>
    <t>PORK,FRSH,LOIN,BLADE (CHOPS OR ROASTS),BONE-IN,LN,RAW</t>
  </si>
  <si>
    <t>10033</t>
  </si>
  <si>
    <t>PORK,FRSH,LOIN,BLADE (CHOPS),BONE-IN,LN,CKD,BRSD</t>
  </si>
  <si>
    <t>10034</t>
  </si>
  <si>
    <t>PORK,FRSH,LOIN,BLADE (CHOPS),BONE-IN,LN,CKD,BRLD</t>
  </si>
  <si>
    <t>10035</t>
  </si>
  <si>
    <t>PORK,FRSH,LOIN,BLADE (ROASTS),BONE-IN,LN,CKD,RSTD</t>
  </si>
  <si>
    <t>10036</t>
  </si>
  <si>
    <t>PORK,FRSH,LOIN,CNTR LOIN (CHOPS),BONE-IN,LN &amp; FAT,RAW</t>
  </si>
  <si>
    <t>10037</t>
  </si>
  <si>
    <t>PORK,FRSH,LOIN,CNTR LOIN (CHOPS),BONE-IN,LN&amp;FAT,CKD,BRSD</t>
  </si>
  <si>
    <t>10038</t>
  </si>
  <si>
    <t>PORK,FRSH,LOIN,CNTR LOIN (CHOPS),BONE-IN,LN&amp;FAT,CKD,BRLD</t>
  </si>
  <si>
    <t>10039</t>
  </si>
  <si>
    <t>PORK,FRSH,LOIN,CNTR LOIN (ROASTS),BONE-IN,LN&amp;FAT,CKD,RSTD</t>
  </si>
  <si>
    <t>10040</t>
  </si>
  <si>
    <t>PORK,FRSH,LOIN,CNTR LOIN (CHOPS),BONE-IN,LN,RAW</t>
  </si>
  <si>
    <t>10041</t>
  </si>
  <si>
    <t>PORK,FRSH,LOIN,CNTR LOIN (CHOPS),BONE-IN,LN,CKD,BRSD</t>
  </si>
  <si>
    <t>10042</t>
  </si>
  <si>
    <t>PORK,FRSH,LOIN,CNTR LOIN (CHOPS),BONE-IN,LN,CKD,BRLD</t>
  </si>
  <si>
    <t>10043</t>
  </si>
  <si>
    <t>PORK,FRSH,LOIN,CNTR LOIN (ROASTS),BONE-IN,LN,CKD,RSTD</t>
  </si>
  <si>
    <t>10044</t>
  </si>
  <si>
    <t>PORK,FRSH,LOIN,CNTR RIB (CHOPS OR ROASTS),BONE-IN,LN&amp;FAT,RAW</t>
  </si>
  <si>
    <t>10045</t>
  </si>
  <si>
    <t>PORK,FRSH,LOIN,CNTR RIB (CHOPS),BONE-IN,LN&amp;FAT,CKD,BRSD</t>
  </si>
  <si>
    <t>10046</t>
  </si>
  <si>
    <t>PORK,FRSH,LOIN,CNTR RIB (CHOPS),BONE-IN,LN&amp;FAT,CKD,BRLD</t>
  </si>
  <si>
    <t>10047</t>
  </si>
  <si>
    <t>PORK,FRSH,LOIN,CNTR RIB (ROASTS),BONE-IN,LN&amp;FAT,CKD,RSTD</t>
  </si>
  <si>
    <t>10048</t>
  </si>
  <si>
    <t>PORK,FRSH,LOIN,CNTR RIB (CHOPS OR ROASTS),BONE-IN,LN,RAW</t>
  </si>
  <si>
    <t>10049</t>
  </si>
  <si>
    <t>PORK,FRSH,LOIN,CNTR RIB (CHOPS),BONE-IN,LN,CKD,BRSD</t>
  </si>
  <si>
    <t>10050</t>
  </si>
  <si>
    <t>PORK,FRSH,LOIN,CNTR RIB (CHOPS),BONE-IN,LN,CKD,BRLD</t>
  </si>
  <si>
    <t>10051</t>
  </si>
  <si>
    <t>PORK,FRSH,LOIN,CNTR RIB (ROASTS),BONE-IN,LN,CKD,RSTD</t>
  </si>
  <si>
    <t>10052</t>
  </si>
  <si>
    <t>PORK,FRSH,LOIN,SIRLOIN (CHOPS OR ROASTS),BONE-IN,LN&amp;FAT,RAW</t>
  </si>
  <si>
    <t>10053</t>
  </si>
  <si>
    <t>PORK,FRSH,LOIN,SIRLOIN (CHOPS),BONE-IN,LN&amp;FAT,CKD,BRSD</t>
  </si>
  <si>
    <t>10054</t>
  </si>
  <si>
    <t>PORK,FRSH,LOIN,SIRLOIN (CHOPS),BONE-IN,LN&amp;FAT,CKD,BRLD</t>
  </si>
  <si>
    <t>10055</t>
  </si>
  <si>
    <t>PORK,FRSH,LOIN,SIRLOIN (ROASTS),BONE-IN,LN&amp;FAT,CKD,RSTD</t>
  </si>
  <si>
    <t>10056</t>
  </si>
  <si>
    <t>PORK,FRSH,LOIN,SIRLOIN (CHOPS OR ROASTS),BONE-IN,LN,RAW</t>
  </si>
  <si>
    <t>10057</t>
  </si>
  <si>
    <t>PORK,FRSH,LOIN,SIRLOIN (CHOPS),BONE-IN,LN,CKD,BRSD</t>
  </si>
  <si>
    <t>10058</t>
  </si>
  <si>
    <t>PORK,FRSH,LOIN,SIRLOIN (CHOPS),BONE-IN,LN,CKD,BRLD</t>
  </si>
  <si>
    <t>10059</t>
  </si>
  <si>
    <t>PORK,FRSH,LOIN,SIRLOIN (ROASTS),BONE-IN,LN,CKD,RSTD</t>
  </si>
  <si>
    <t>10060</t>
  </si>
  <si>
    <t>PORK  FRSH  LOIN  TENDERLOIN   LN ONLY  RAW</t>
  </si>
  <si>
    <t>10061</t>
  </si>
  <si>
    <t>PORK,FRSH,LOIN,TENDERLOIN,LN,CKD,RSTD</t>
  </si>
  <si>
    <t>10062</t>
  </si>
  <si>
    <t>PORK,FRSH,LOIN,TOP LOIN (CHOPS),BNLESS,LN &amp; FAT,RAW</t>
  </si>
  <si>
    <t>10063</t>
  </si>
  <si>
    <t>PORK,FRSH,LOIN,TOP LOIN (CHOPS),BNLESS,LN &amp; FAT,CKD,BRSD</t>
  </si>
  <si>
    <t>10064</t>
  </si>
  <si>
    <t>PORK,FRSH,LOIN,TOP LOIN (CHOPS),BNLESS,LN &amp; FAT,CKD,BRLD</t>
  </si>
  <si>
    <t>10065</t>
  </si>
  <si>
    <t>PORK,FRSH,LOIN,TOP LOIN (ROASTS),BNLESS,LN&amp;FAT,CKD,RSTD</t>
  </si>
  <si>
    <t>10066</t>
  </si>
  <si>
    <t>PORK,FRSH,LOIN,TOP LOIN (CHOPS),BNLESS,LN,RAW</t>
  </si>
  <si>
    <t>10067</t>
  </si>
  <si>
    <t>PORK,FRSH,LOIN,TOP LOIN (CHOPS),BNLESS,LN,CKD,BRSD</t>
  </si>
  <si>
    <t>10068</t>
  </si>
  <si>
    <t>PORK,FRSH,LOIN,TOP LOIN (CHOPS),BNLESS,LN,CKD,BRLD</t>
  </si>
  <si>
    <t>10069</t>
  </si>
  <si>
    <t>PORK,FRSH,LOIN,TOP LOIN (ROASTS),BNLESS,LN,CKD,RSTD</t>
  </si>
  <si>
    <t>10070</t>
  </si>
  <si>
    <t>PORK,FRSH,SHLDR,WHL,LN&amp;FAT,RAW</t>
  </si>
  <si>
    <t>10071</t>
  </si>
  <si>
    <t>PORK,FRSH,SHLDR,WHL,LN&amp;FAT,CKD,RSTD</t>
  </si>
  <si>
    <t>10072</t>
  </si>
  <si>
    <t>PORK,FRSH,SHLDR,WHL,LN,RAW</t>
  </si>
  <si>
    <t>10073</t>
  </si>
  <si>
    <t>PORK,FRSH,SHLDR,WHL,LN,CKD,RSTD</t>
  </si>
  <si>
    <t>10074</t>
  </si>
  <si>
    <t>PORK,FRSH,SHLDR,ARM PICNIC,LN&amp;FAT,RAW</t>
  </si>
  <si>
    <t>10075</t>
  </si>
  <si>
    <t>PORK,FRSH,SHLDR,ARM PICNIC,LN&amp;FAT,CKD,BRSD</t>
  </si>
  <si>
    <t>10076</t>
  </si>
  <si>
    <t>PORK,FRSH,SHLDR,ARM PICNIC,LN&amp;FAT,CKD,RSTD</t>
  </si>
  <si>
    <t>10077</t>
  </si>
  <si>
    <t>PORK,FRSH,SHLDR,ARM PICNIC,LN,RAW</t>
  </si>
  <si>
    <t>10078</t>
  </si>
  <si>
    <t>PORK,FRSH,SHLDR,ARM PICNIC,LN,CKD,BRSD</t>
  </si>
  <si>
    <t>10079</t>
  </si>
  <si>
    <t>PORK,FRSH,SHLDR,ARM PICNIC,LN,CKD,RSTD</t>
  </si>
  <si>
    <t>10080</t>
  </si>
  <si>
    <t>PORK,FRSH,SHLDR,(BOSTON BUTT),BLADE (STEAKS),LN &amp; FAT,RAW</t>
  </si>
  <si>
    <t>10081</t>
  </si>
  <si>
    <t>PORK,FRSH,SHLDR,(BOSTON BUTT),BLADE (STKS),LN &amp; FAT,CKD,BRSD</t>
  </si>
  <si>
    <t>10082</t>
  </si>
  <si>
    <t>PORK,FRSH,SHLDR,BLADE,BOSTON (STEAKS),LN&amp;FAT,CKD,BRLD</t>
  </si>
  <si>
    <t>10083</t>
  </si>
  <si>
    <t>PORK,FRSH,SHLDR,BLADE,BOSTON (ROASTS),LN&amp;FAT,CKD,RSTD</t>
  </si>
  <si>
    <t>10084</t>
  </si>
  <si>
    <t>PORK,FRSH,SHLDR,(BOSTON BUTT),BLADE (STEAKS),LN,RAW</t>
  </si>
  <si>
    <t>10085</t>
  </si>
  <si>
    <t>PORK,FRSH,SHLDR,(BOSTON BUTT),BLADE (STEAKS),LN,CKD,BRSD</t>
  </si>
  <si>
    <t>10086</t>
  </si>
  <si>
    <t>PORK,FRSH,SHLDR,BLADE,BOSTON (STEAKS),LN,CKD,BRLD</t>
  </si>
  <si>
    <t>10087</t>
  </si>
  <si>
    <t>PORK,FRSH,SHLDR,BLADE,BOSTON (ROASTS),LN,CKD,RSTD</t>
  </si>
  <si>
    <t>10088</t>
  </si>
  <si>
    <t>PORK,FRSH,SPARERIBS,LN&amp;FAT,RAW</t>
  </si>
  <si>
    <t>10089</t>
  </si>
  <si>
    <t>PORK,FRSH,SPARERIBS,LN&amp;FAT,CKD,BRSD</t>
  </si>
  <si>
    <t>10093</t>
  </si>
  <si>
    <t>PORK,FRSH,COMP OF RTL CUTS (LEG,LOIN,&amp;SHLDR),LN,CKD</t>
  </si>
  <si>
    <t>10094</t>
  </si>
  <si>
    <t>PORK,FRSH,LOIN,CNTR LOIN (CHOPS),BNLESS,LN,RAW</t>
  </si>
  <si>
    <t>10096</t>
  </si>
  <si>
    <t>PORK,FRSH,VAR MEATS&amp;BY-PRODUCTS,BRAIN,RAW</t>
  </si>
  <si>
    <t>10097</t>
  </si>
  <si>
    <t>PORK,FRSH,VAR MEATS&amp;BY-PRODUCTS,BRAIN,CKD,BRSD</t>
  </si>
  <si>
    <t>10098</t>
  </si>
  <si>
    <t>PORK,FRSH,VAR MEATS&amp;BY-PRODUCTS,CHITTERLINGS,RAW</t>
  </si>
  <si>
    <t>10099</t>
  </si>
  <si>
    <t>PORK,FRSH,VAR MEATS&amp;BY-PRODUCTS,CHITTERLINGS,CKD,SIMMRD</t>
  </si>
  <si>
    <t>10100</t>
  </si>
  <si>
    <t>PORK,FRSH,VAR MEATS&amp;BY-PRODUCTS,EARS,FRZ,RAW</t>
  </si>
  <si>
    <t>10101</t>
  </si>
  <si>
    <t>PORK,FRSH,VAR MEATS&amp;BY-PRODUCTS,EARS,FRZ,CKD,SIMMRD</t>
  </si>
  <si>
    <t>10102</t>
  </si>
  <si>
    <t>PORK,FRSH,VAR MEATS&amp;BY-PRODUCTS,FEET,RAW</t>
  </si>
  <si>
    <t>10103</t>
  </si>
  <si>
    <t>PORK,FRSH,VAR MEATS&amp;BY-PRODUCTS,HEART,RAW</t>
  </si>
  <si>
    <t>10104</t>
  </si>
  <si>
    <t>PORK,FRSH,VAR MEATS&amp;BY-PRODUCTS,HEART,CKD,BRSD</t>
  </si>
  <si>
    <t>10105</t>
  </si>
  <si>
    <t>PORK,FRSH,VAR MEATS&amp;BY-PRODUCTS,JOWL,RAW</t>
  </si>
  <si>
    <t>10106</t>
  </si>
  <si>
    <t>PORK,FRSH,VAR MEATS&amp;BY-PRODUCTS,KIDNEYS,RAW</t>
  </si>
  <si>
    <t>10107</t>
  </si>
  <si>
    <t>PORK,FRSH,VAR MEATS&amp;BY-PRODUCTS,KIDNEYS,CKD,BRSD</t>
  </si>
  <si>
    <t>10109</t>
  </si>
  <si>
    <t>PORK,FRSH,VAR MEATS&amp;BY-PRODUCTS,LEAF FAT,RAW</t>
  </si>
  <si>
    <t>10110</t>
  </si>
  <si>
    <t>PORK,FRSH,VAR MEATS&amp;BY-PRODUCTS,LIVER,RAW</t>
  </si>
  <si>
    <t>10111</t>
  </si>
  <si>
    <t>PORK,FRSH,VAR MEATS&amp;BY-PRODUCTS,LIVER,CKD,BRSD</t>
  </si>
  <si>
    <t>10112</t>
  </si>
  <si>
    <t>PORK,FRSH,VAR MEATS&amp;BY-PRODUCTS,LUNGS,RAW</t>
  </si>
  <si>
    <t>10113</t>
  </si>
  <si>
    <t>PORK,FRSH,VAR MEATS&amp;BY-PRODUCTS,LUNGS,CKD,BRSD</t>
  </si>
  <si>
    <t>10114</t>
  </si>
  <si>
    <t>PORK,FRSH,VAR MEATS&amp;BY-PRODUCTS,MECHANICALLY SEPARATED,RAW</t>
  </si>
  <si>
    <t>10115</t>
  </si>
  <si>
    <t>PORK,FRSH,VAR MEATS&amp;BY-PRODUCTS,PANCREAS,RAW</t>
  </si>
  <si>
    <t>10116</t>
  </si>
  <si>
    <t>PORK,FRSH,VAR MEATS&amp;BY-PRODUCTS,PANCREAS,CKD,BRSD</t>
  </si>
  <si>
    <t>10117</t>
  </si>
  <si>
    <t>PORK,FRSH,VAR MEATS&amp;BY-PRODUCTS,SPLEEN,RAW</t>
  </si>
  <si>
    <t>10118</t>
  </si>
  <si>
    <t>PORK,FRSH,VAR MEATS&amp;BY-PRODUCTS,SPLEEN,CKD,BRSD</t>
  </si>
  <si>
    <t>10119</t>
  </si>
  <si>
    <t>PORK,FRSH,VAR MEATS&amp;BY-PRODUCTS,STOMACH,RAW</t>
  </si>
  <si>
    <t>10120</t>
  </si>
  <si>
    <t>PORK,FRSH,LOIN,BLADE (CHOPS),BONE-IN,LN,CKD,PAN-FRIED</t>
  </si>
  <si>
    <t>10121</t>
  </si>
  <si>
    <t>PORK,FRSH,VAR MEATS&amp;BY-PRODUCTS,TONGUE,RAW</t>
  </si>
  <si>
    <t>10122</t>
  </si>
  <si>
    <t>PORK,FRSH,VAR MEATS&amp;BY-PRODUCTS,TONGUE,CKD,BRSD</t>
  </si>
  <si>
    <t>10123</t>
  </si>
  <si>
    <t>PORK,CURED,BACON,UNPREP</t>
  </si>
  <si>
    <t>10128</t>
  </si>
  <si>
    <t>PORK,CURED,BRKFST STRIPS,RAW OR UNHTD</t>
  </si>
  <si>
    <t>10130</t>
  </si>
  <si>
    <t>CANADIAN BACON,UNPREP</t>
  </si>
  <si>
    <t>10132</t>
  </si>
  <si>
    <t>PORK,CURED,FEET,PICKLED</t>
  </si>
  <si>
    <t>10134</t>
  </si>
  <si>
    <t>PORK,CURED,HAM,BNLESS,EX LN (APPROX 5% FAT),RSTD</t>
  </si>
  <si>
    <t>10136</t>
  </si>
  <si>
    <t>PORK,CURED,HAM,BNLESS,REG (APPROX 11% FAT),RSTD</t>
  </si>
  <si>
    <t>10137</t>
  </si>
  <si>
    <t>PORK,CURED,HAM,EX LN (APPROX 4% FAT),CND,UNHTD</t>
  </si>
  <si>
    <t>10138</t>
  </si>
  <si>
    <t>PORK,CURED,HAM,EX LN (APPROX 4% FAT),CND,RSTD</t>
  </si>
  <si>
    <t>10140</t>
  </si>
  <si>
    <t>PORK,CURED,HAM,REG (APPROX 13% FAT),CND,RSTD</t>
  </si>
  <si>
    <t>10141</t>
  </si>
  <si>
    <t>PORK,CURED,HAM,CNTR SLICE,COUNTRY-STYLE,LN,RAW</t>
  </si>
  <si>
    <t>10142</t>
  </si>
  <si>
    <t>PORK,CURED,HAM,CNTR SLICE,LN&amp;FAT,UNHTD</t>
  </si>
  <si>
    <t>10146</t>
  </si>
  <si>
    <t>PORK,CURED,HAM,PATTIES,UNHTD</t>
  </si>
  <si>
    <t>10149</t>
  </si>
  <si>
    <t>PORK,CURED,HAM,STEAK,BNLESS,EX LN,UNHTD</t>
  </si>
  <si>
    <t>10150</t>
  </si>
  <si>
    <t>PORK,CURED,HAM,WHL,LN&amp;FAT,UNHTD</t>
  </si>
  <si>
    <t>10152</t>
  </si>
  <si>
    <t>PORK,CURED,HAM,WHL,LN,UNHTD</t>
  </si>
  <si>
    <t>10153</t>
  </si>
  <si>
    <t>PORK,CURED,HAM,WHL,LN,RSTD</t>
  </si>
  <si>
    <t>10158</t>
  </si>
  <si>
    <t>USDA CMDTY,PORK,CND</t>
  </si>
  <si>
    <t>10163</t>
  </si>
  <si>
    <t>PORK,FRSH,LOIN,CNTR LOIN (CHOPS),BNLESS,LN,CKD,PAN-BROILED</t>
  </si>
  <si>
    <t>10164</t>
  </si>
  <si>
    <t>PORK,FRSH,LOIN,CNTR LOIN (CHOPS),BNLESS,LN &amp; FAT,RAW</t>
  </si>
  <si>
    <t>10165</t>
  </si>
  <si>
    <t>PORK,CURED,SALT PORK,RAW</t>
  </si>
  <si>
    <t>10166</t>
  </si>
  <si>
    <t>PORK,CURED,FAT (FROM HAM&amp;ARM PICNIC),UNHTD</t>
  </si>
  <si>
    <t>10167</t>
  </si>
  <si>
    <t>PORK,CURED,FAT (FROM HAM&amp;ARM PICNIC),RSTD</t>
  </si>
  <si>
    <t>10168</t>
  </si>
  <si>
    <t>PORK,CURED,SHLDR,ARM PICNIC,LN&amp;FAT,RSTD</t>
  </si>
  <si>
    <t>10169</t>
  </si>
  <si>
    <t>PORK,CURED,SHLDR,ARM PICNIC,LN,RSTD</t>
  </si>
  <si>
    <t>10170</t>
  </si>
  <si>
    <t>PORK,CURED,SHLDR,BLADE ROLL,LN&amp;FAT,UNHTD</t>
  </si>
  <si>
    <t>10171</t>
  </si>
  <si>
    <t>PORK,CURED,SHLDR,BLADE ROLL,LN&amp;FAT,RSTD</t>
  </si>
  <si>
    <t>10173</t>
  </si>
  <si>
    <t>PORK,FRSH,VAR MEATS&amp;BY-PRODUCTS,FEET,CKD,SIMMRD</t>
  </si>
  <si>
    <t>10174</t>
  </si>
  <si>
    <t>PORK,FRSH,VAR MEATS&amp;BY-PRODUCTS,TAIL,RAW</t>
  </si>
  <si>
    <t>10175</t>
  </si>
  <si>
    <t>PORK,FRSH,VAR MEATS&amp;BY-PRODUCTS,TAIL,CKD,SIMMRD</t>
  </si>
  <si>
    <t>10176</t>
  </si>
  <si>
    <t>PORK,FRSH,LOIN,CNTR LOIN (CHOPS),BONE-IN,LN,CKD,PAN-FRIED</t>
  </si>
  <si>
    <t>10177</t>
  </si>
  <si>
    <t>PORK,FRSH,LOIN,CNTR RIB (CHOPS),BONE-IN,LN,CKD,PAN-FRIED</t>
  </si>
  <si>
    <t>10178</t>
  </si>
  <si>
    <t>PORK,FRSH,LOIN,BLADE (CHOPS),BONE-IN,LN&amp;FAT,CKD,PAN-FRIED</t>
  </si>
  <si>
    <t>10179</t>
  </si>
  <si>
    <t>PORK,FRSH,LOIN,CNTR LOIN CHOPS,BONE-IN,LN&amp;FAT,CKD,PAN-FRIED</t>
  </si>
  <si>
    <t>10180</t>
  </si>
  <si>
    <t>PORK,FRSH,LOIN,CNTR RIB (CHOPS),BONE-IN,LN&amp;FAT,CKD,PAN-FRIED</t>
  </si>
  <si>
    <t>10181</t>
  </si>
  <si>
    <t>PORK,FRSH,LOIN,TOP LOIN (CHOPS),BNLESS,LN,CKD,PAN-FRIED</t>
  </si>
  <si>
    <t>10182</t>
  </si>
  <si>
    <t>PORK,CURED,HAM,BNLESS,EX LN&amp;REG,UNHTD</t>
  </si>
  <si>
    <t>10183</t>
  </si>
  <si>
    <t>PORK,CURED,HAM,BNLESS,EX LN&amp;REG,RSTD</t>
  </si>
  <si>
    <t>10184</t>
  </si>
  <si>
    <t>PORK,CURED,HAM,EX LN&amp;REG,CND,UNHTD</t>
  </si>
  <si>
    <t>10185</t>
  </si>
  <si>
    <t>PORK,CURED,HAM,EX LN&amp;REG,CND,RSTD</t>
  </si>
  <si>
    <t>10186</t>
  </si>
  <si>
    <t>PORK,FRSH,LOIN,TOP LOIN (CHOPS),BNLESS,LN&amp;FAT,CKD,PAN-FRIED</t>
  </si>
  <si>
    <t>10187</t>
  </si>
  <si>
    <t>PORK,FRSH,COMP (LEG,LOIN,SHLDR,&amp;SPARERIBS),LN&amp;FAT,RAW</t>
  </si>
  <si>
    <t>10188</t>
  </si>
  <si>
    <t>PORK,FRSH,COMP (LEG,LOIN,SHLDR,&amp;SPARERIBS),LN&amp;FAT,CKD</t>
  </si>
  <si>
    <t>10189</t>
  </si>
  <si>
    <t>PORK,FRSH,LOIN,CNTR LON (CHPS),BNLESS,LN &amp; FAT,CKD,PAN-BRLED</t>
  </si>
  <si>
    <t>10192</t>
  </si>
  <si>
    <t>PORK,FRSH,BACKRIBS,LN&amp;FAT,RAW</t>
  </si>
  <si>
    <t>10193</t>
  </si>
  <si>
    <t>PORK,FRSH,BACKRIBS,LN&amp;FAT,CKD,RSTD</t>
  </si>
  <si>
    <t>10194</t>
  </si>
  <si>
    <t>PORK,FRSH,LOIN,CNTR RIB (CHOPS OR ROASTS),BNLESS,LN&amp;FAT,RAW</t>
  </si>
  <si>
    <t>10195</t>
  </si>
  <si>
    <t>PORK,FRSH,LOIN,CNTR RIB (CHOPS),BNLESS,LN&amp;FAT,CKD,BRSD</t>
  </si>
  <si>
    <t>10196</t>
  </si>
  <si>
    <t>PORK,FRSH,LOIN,CNTR RIB (CHOPS),BNLESS,LN&amp;FAT,CKD,BRLD</t>
  </si>
  <si>
    <t>10197</t>
  </si>
  <si>
    <t>PORK,FRSH,LOIN,CNTR RIB (CHOPS),BNLESS,LN&amp;FAT,CKD,PAN-FRIED</t>
  </si>
  <si>
    <t>10198</t>
  </si>
  <si>
    <t>PORK,FRSH,LOIN,CNTR RIB (ROASTS),BNLESS,LN&amp;FAT,CKD,RSTD</t>
  </si>
  <si>
    <t>10199</t>
  </si>
  <si>
    <t>PORK,FRSH,LOIN,CNTR RIB (CHOPS OR ROASTS),BNLESS,LN,RAW</t>
  </si>
  <si>
    <t>10200</t>
  </si>
  <si>
    <t>PORK,FRSH,LOIN,CNTR RIB (CHOPS),BNLESS,LN,CKD,BRSD</t>
  </si>
  <si>
    <t>10201</t>
  </si>
  <si>
    <t>PORK,FRSH,LOIN,CNTR RIB (CHOPS),BNLESS,LN,CKD,BRLD</t>
  </si>
  <si>
    <t>10202</t>
  </si>
  <si>
    <t>PORK,FRSH,LOIN,CNTR RIB (CHOPS),BNLESS,LN,CKD,PAN-FRIED</t>
  </si>
  <si>
    <t>10203</t>
  </si>
  <si>
    <t>PORK,FRSH,LOIN,CNTR RIB (ROASTS),BNLESS,LN,CKD,RSTD</t>
  </si>
  <si>
    <t>10204</t>
  </si>
  <si>
    <t>PORK,FRSH,LOIN,COUNTRY-STYLE RIBS,LN&amp;FAT,RAW</t>
  </si>
  <si>
    <t>10205</t>
  </si>
  <si>
    <t>PORK,FRSH,LOIN,COUNTRY-STYLE RIBS,LN&amp;FAT,CKD,BRSD</t>
  </si>
  <si>
    <t>10206</t>
  </si>
  <si>
    <t>PORK,FRSH,LOIN,COUNTRY-STYLE RIBS,LN &amp; FAT,BONE-IN,CKD,RSTD</t>
  </si>
  <si>
    <t>10207</t>
  </si>
  <si>
    <t>PORK,FRSH,LOIN,COUNTRY-STYLE RIBS,LN,RAW</t>
  </si>
  <si>
    <t>10208</t>
  </si>
  <si>
    <t>PORK,FRSH,LOIN,COUNTRY-STYLE RIBS,LN,CKD,BRSD</t>
  </si>
  <si>
    <t>10209</t>
  </si>
  <si>
    <t>PORK,FRSH,LOIN,COUNTRY-STYLE RIBS,LN,BONE-IN,CKD,RSTD</t>
  </si>
  <si>
    <t>10210</t>
  </si>
  <si>
    <t>PORK,FRSH,LOIN,SIRLOIN (CHOPS OR ROASTS),BNLESS,LN&amp;FAT,RAW</t>
  </si>
  <si>
    <t>10211</t>
  </si>
  <si>
    <t>PORK,FRSH,LOIN,SIRLOIN (CHOPS),BNLESS,LN&amp;FAT,CKD,BRSD</t>
  </si>
  <si>
    <t>10212</t>
  </si>
  <si>
    <t>PORK,FRSH,LOIN,SIRLOIN (CHOPS),BNLESS,LN&amp;FAT,CKD,BRLD</t>
  </si>
  <si>
    <t>10213</t>
  </si>
  <si>
    <t>PORK,FRSH,LOIN,SIRLOIN (ROASTS),BNLESS,LN&amp;FAT,CKD,RSTD</t>
  </si>
  <si>
    <t>10214</t>
  </si>
  <si>
    <t>PORK,FRSH,LOIN,SIRLOIN (CHOPS OR ROASTS),BNLESS,LN,RAW</t>
  </si>
  <si>
    <t>10215</t>
  </si>
  <si>
    <t>PORK,FRSH,LOIN,SIRLOIN (CHOPS),BNLESS,LN,CKD,BRSD</t>
  </si>
  <si>
    <t>10216</t>
  </si>
  <si>
    <t>PORK,FRSH,LOIN,SIRLOIN (CHOPS),BNLESS,LN,CKD,BRLD</t>
  </si>
  <si>
    <t>10217</t>
  </si>
  <si>
    <t>PORK,FRSH,LOIN,SIRLOIN (ROASTS),BNLESS,LN,CKD,RSTD</t>
  </si>
  <si>
    <t>10218</t>
  </si>
  <si>
    <t>PORK,FRSH,LOIN,TENDERLOIN,LN&amp;FAT,RAW</t>
  </si>
  <si>
    <t>10219</t>
  </si>
  <si>
    <t>PORK,FRESH,GROUND,RAW</t>
  </si>
  <si>
    <t>10220</t>
  </si>
  <si>
    <t>PORK,FRESH,GROUND,COOKED</t>
  </si>
  <si>
    <t>10221</t>
  </si>
  <si>
    <t>PORK,FRSH,LOIN,TENDERLOIN,LN&amp;FAT,CKD,BRLD</t>
  </si>
  <si>
    <t>10222</t>
  </si>
  <si>
    <t>PORK,FRSH,LOIN,TENDERLOIN,LN&amp;FAT,CKD,RSTD</t>
  </si>
  <si>
    <t>10223</t>
  </si>
  <si>
    <t>PORK,FRSH,LOIN,TENDERLOIN,LN,CKD,BRLD</t>
  </si>
  <si>
    <t>10224</t>
  </si>
  <si>
    <t>PORK,FRSH,LOIN,TOP LOIN (ROASTS),BNLESS,LN&amp;FAT,RAW</t>
  </si>
  <si>
    <t>10225</t>
  </si>
  <si>
    <t>PORK,FRSH,LOIN,TOP LOIN (ROASTS),BNLESS,LN,RAW</t>
  </si>
  <si>
    <t>10226</t>
  </si>
  <si>
    <t>PORK,FRSH,COMP OF RTL CUTS (LOIN &amp; SHLDR BLADE),LN &amp; FAT,RAW</t>
  </si>
  <si>
    <t>10227</t>
  </si>
  <si>
    <t>PORK,FRSH,COMP OF RTL CUTS (LOIN&amp;SHLDR BLADE),LN&amp;FAT,CKD</t>
  </si>
  <si>
    <t>10228</t>
  </si>
  <si>
    <t>PORK,FRSH,COMP OF RTL CUTS (LOIN&amp;SHLDR BLADE),LN,RAW</t>
  </si>
  <si>
    <t>11001</t>
  </si>
  <si>
    <t>ALFALFA SEEDS,SPROUTED,RAW</t>
  </si>
  <si>
    <t>11003</t>
  </si>
  <si>
    <t>AMARANTH LEAVES,RAW</t>
  </si>
  <si>
    <t>11004</t>
  </si>
  <si>
    <t>AMARANTH LEAVES,CKD,BLD,DRND,WO/SALT</t>
  </si>
  <si>
    <t>11005</t>
  </si>
  <si>
    <t>ARROWHEAD,RAW</t>
  </si>
  <si>
    <t>11006</t>
  </si>
  <si>
    <t>ARROWHEAD,CKD,BLD,DRND,WO/SALT</t>
  </si>
  <si>
    <t>11007</t>
  </si>
  <si>
    <t>ARTICHOKES,(GLOBE OR FRENCH),RAW</t>
  </si>
  <si>
    <t>11008</t>
  </si>
  <si>
    <t>ARTICHOKES,(GLOBE OR FRENCH),CKD,BLD,DRND,WO/SALT</t>
  </si>
  <si>
    <t>11009</t>
  </si>
  <si>
    <t>ARTICHOKES,(GLOBE OR FRENCH),FRZ,UNPREP</t>
  </si>
  <si>
    <t>11010</t>
  </si>
  <si>
    <t>ARTICHOKES,(GLOBE OR FRENCH),FRZ,CKD,BLD,DRND,WO/SALT</t>
  </si>
  <si>
    <t>11011</t>
  </si>
  <si>
    <t>ASPARAGUS,RAW</t>
  </si>
  <si>
    <t>11012</t>
  </si>
  <si>
    <t>ASPARAGUS,CKD,BLD,DRND</t>
  </si>
  <si>
    <t>11013</t>
  </si>
  <si>
    <t>ASPARAGUS,CND,REG PK,SOL&amp;LIQUIDS</t>
  </si>
  <si>
    <t>11015</t>
  </si>
  <si>
    <t>ASPARAGUS,CND,DRND SOL</t>
  </si>
  <si>
    <t>11018</t>
  </si>
  <si>
    <t>ASPARAGUS,FRZ,UNPREP</t>
  </si>
  <si>
    <t>11019</t>
  </si>
  <si>
    <t>ASPARAGUS,FRZ,CKD,BLD,DRND,WO/SALT</t>
  </si>
  <si>
    <t>11022</t>
  </si>
  <si>
    <t>BALSAM-PEAR (BITTER GOURD),LEAFY TIPS,RAW</t>
  </si>
  <si>
    <t>11023</t>
  </si>
  <si>
    <t>BALSAM-PEAR (BITTER GOURD),LEAFY TIPS,CKD,BLD,DRND,WO/SALT</t>
  </si>
  <si>
    <t>11024</t>
  </si>
  <si>
    <t>BALSAM-PEAR (BITTER GOURD),PODS,RAW</t>
  </si>
  <si>
    <t>11025</t>
  </si>
  <si>
    <t>BALSAM-PEAR (BITTER GOURD),PODS,CKD,BLD,DRND,WO/SALT</t>
  </si>
  <si>
    <t>11026</t>
  </si>
  <si>
    <t>BAMBOO SHOOTS,RAW</t>
  </si>
  <si>
    <t>11027</t>
  </si>
  <si>
    <t>BAMBOO SHOOTS,CKD,BLD,DRND,WO/SALT</t>
  </si>
  <si>
    <t>11028</t>
  </si>
  <si>
    <t>BAMBOO SHOOTS,CND,DRND SOL</t>
  </si>
  <si>
    <t>11029</t>
  </si>
  <si>
    <t>BEANS,KIDNEY,MATURE SEEDS,SPROUTED,RAW</t>
  </si>
  <si>
    <t>11030</t>
  </si>
  <si>
    <t>BEANS,KIDNEY,MATURE SEEDS,SPROUTED,CKD,BLD,DRND,WO/SALT</t>
  </si>
  <si>
    <t>11031</t>
  </si>
  <si>
    <t>LIMA BNS,IMMAT SEEDS,RAW</t>
  </si>
  <si>
    <t>11032</t>
  </si>
  <si>
    <t>LIMA BNS,IMMAT SEEDS,CKD,BLD,DRND,WO/SALT</t>
  </si>
  <si>
    <t>11033</t>
  </si>
  <si>
    <t>LIMA BNS,IMMAT SEEDS,CND,REG PK,SOL &amp; LIQUIDS</t>
  </si>
  <si>
    <t>11037</t>
  </si>
  <si>
    <t>LIMA BNS,IMMAT SEEDS,FRZ,FORDHOOK,UNPREP</t>
  </si>
  <si>
    <t>11038</t>
  </si>
  <si>
    <t>LIMA BNS,IMMAT SEEDS,FRZ,FORDHOOK,CKD,BLD,DRND,WO/SALT</t>
  </si>
  <si>
    <t>11039</t>
  </si>
  <si>
    <t>LIMA BNS,IMMAT SEEDS,FRZ,BABY,UNPREP</t>
  </si>
  <si>
    <t>11040</t>
  </si>
  <si>
    <t>LIMA BNS,IMMAT SEEDS,FRZ,BABY,CKD,BLD,DRND,WO/SALT</t>
  </si>
  <si>
    <t>11043</t>
  </si>
  <si>
    <t>MUNG BNS,MATURE SEEDS,SPROUTED,RAW</t>
  </si>
  <si>
    <t>11044</t>
  </si>
  <si>
    <t>MUNG BNS,MATURE SEEDS,SPROUTED,CKD,BLD,DRND,WO/SALT</t>
  </si>
  <si>
    <t>11045</t>
  </si>
  <si>
    <t>MUNG BNS,MATURE SEEDS,SPROUTED,CKD,STIR-FRIED</t>
  </si>
  <si>
    <t>11046</t>
  </si>
  <si>
    <t>BEANS,NAVY,MATURE SEEDS,SPROUTED,RAW</t>
  </si>
  <si>
    <t>11047</t>
  </si>
  <si>
    <t>BEANS,NAVY,MATURE SEEDS,SPROUTED,CKD,BLD,DRND,WO/SALT</t>
  </si>
  <si>
    <t>11048</t>
  </si>
  <si>
    <t>BEANS,PINTO,IMMAT SEEDS,FRZ,UNPREP</t>
  </si>
  <si>
    <t>11049</t>
  </si>
  <si>
    <t>BEANS,PINTO,IMMAT SEEDS,FRZ,CKD,BLD,DRND,WO/SALT</t>
  </si>
  <si>
    <t>11050</t>
  </si>
  <si>
    <t>BEANS,SHELLIE,CND,SOL &amp; LIQUIDS</t>
  </si>
  <si>
    <t>11052</t>
  </si>
  <si>
    <t>BEANS,SNAP,GREEN,RAW</t>
  </si>
  <si>
    <t>11053</t>
  </si>
  <si>
    <t>BEANS,SNAP,GRN,CKD,BLD,DRND,WO/SALT</t>
  </si>
  <si>
    <t>11054</t>
  </si>
  <si>
    <t>BEANS,SNAP,GRN,CND,REG PK,SOL &amp; LIQUIDS</t>
  </si>
  <si>
    <t>11056</t>
  </si>
  <si>
    <t>BEANS,SNAP,GRN,CND,REG PK,DRND SOL</t>
  </si>
  <si>
    <t>11058</t>
  </si>
  <si>
    <t>BEANS,SNAP,CND,ALL STYLES,SEASONED,SOL&amp;LIQUIDS</t>
  </si>
  <si>
    <t>11060</t>
  </si>
  <si>
    <t>BEANS,SNAP,GRN,FRZ,ALL STYLES,UNPREP</t>
  </si>
  <si>
    <t>11061</t>
  </si>
  <si>
    <t>BEANS,SNAP,GRN,FRZ,CKD,BLD,DRND WO/SALT</t>
  </si>
  <si>
    <t>11062</t>
  </si>
  <si>
    <t>BEANS,SNAP,GRN,FRZ,ALL STYLES,MICROWAVED</t>
  </si>
  <si>
    <t>11063</t>
  </si>
  <si>
    <t>BEANS,SNAP,GRN,MICROWAVED</t>
  </si>
  <si>
    <t>11080</t>
  </si>
  <si>
    <t>BEETS,RAW</t>
  </si>
  <si>
    <t>11081</t>
  </si>
  <si>
    <t>BEETS,CKD,BLD,DRND</t>
  </si>
  <si>
    <t>11082</t>
  </si>
  <si>
    <t>BEETS,CND,REG PK,SOL&amp;LIQUIDS</t>
  </si>
  <si>
    <t>11084</t>
  </si>
  <si>
    <t>BEETS,CND,DRND SOL</t>
  </si>
  <si>
    <t>11086</t>
  </si>
  <si>
    <t>BEET GREENS,RAW</t>
  </si>
  <si>
    <t>11087</t>
  </si>
  <si>
    <t>BEET GRNS,CKD,BLD,DRND,WO/SALT</t>
  </si>
  <si>
    <t>11088</t>
  </si>
  <si>
    <t>BROADBEANS,IMMAT SEEDS,RAW</t>
  </si>
  <si>
    <t>11089</t>
  </si>
  <si>
    <t>BROADBEANS,IMMAT SEEDS,CKD,BLD,DRND,WO/SALT</t>
  </si>
  <si>
    <t>11090</t>
  </si>
  <si>
    <t>BROCCOLI,RAW</t>
  </si>
  <si>
    <t>11091</t>
  </si>
  <si>
    <t>BROCCOLI,CKD,BLD,DRND,WO/SALT</t>
  </si>
  <si>
    <t>11092</t>
  </si>
  <si>
    <t>BROCCOLI,FRZ,CHOPD,UNPREP</t>
  </si>
  <si>
    <t>11093</t>
  </si>
  <si>
    <t>BROCCOLI,FRZ,CHOPD,CKD,BLD,DRND,WO/SALT</t>
  </si>
  <si>
    <t>11094</t>
  </si>
  <si>
    <t>BROCCOLI,FRZ,SPEARS,UNPREP</t>
  </si>
  <si>
    <t>11095</t>
  </si>
  <si>
    <t>BROCCOLI,FRZ,SPEARS,CKD,BLD,DRND,WO/SALT</t>
  </si>
  <si>
    <t>11096</t>
  </si>
  <si>
    <t>BROCCOLI RAAB,RAW</t>
  </si>
  <si>
    <t>11097</t>
  </si>
  <si>
    <t>BROCCOLI RAAB,CKD</t>
  </si>
  <si>
    <t>11098</t>
  </si>
  <si>
    <t>BRUSSELS SPROUTS,RAW</t>
  </si>
  <si>
    <t>11099</t>
  </si>
  <si>
    <t>BRUSSELS SPROUTS,CKD,BLD,DRND,WO/SALT</t>
  </si>
  <si>
    <t>11100</t>
  </si>
  <si>
    <t>BRUSSELS SPROUTS,FRZ,UNPREP</t>
  </si>
  <si>
    <t>11101</t>
  </si>
  <si>
    <t>BRUSSELS SPROUTS,FRZ,CKD,BLD,DRND,WO/SALT</t>
  </si>
  <si>
    <t>11104</t>
  </si>
  <si>
    <t>BURDOCK ROOT,RAW</t>
  </si>
  <si>
    <t>11105</t>
  </si>
  <si>
    <t>BURDOCK ROOT,CKD,BLD,DRND,WO/SALT</t>
  </si>
  <si>
    <t>11106</t>
  </si>
  <si>
    <t>BUTTERBUR,(FUKI),RAW</t>
  </si>
  <si>
    <t>11107</t>
  </si>
  <si>
    <t>BUTTERBUR,CKD,BLD,DRND,WO/SALT</t>
  </si>
  <si>
    <t>11108</t>
  </si>
  <si>
    <t>BUTTERBUR,CANNED</t>
  </si>
  <si>
    <t>11109</t>
  </si>
  <si>
    <t>CABBAGE,RAW</t>
  </si>
  <si>
    <t>11110</t>
  </si>
  <si>
    <t>CABBAGE,CKD,BLD,DRND,WO/SALT</t>
  </si>
  <si>
    <t>11112</t>
  </si>
  <si>
    <t>CABBAGE,RED,RAW</t>
  </si>
  <si>
    <t>11113</t>
  </si>
  <si>
    <t>CABBAGE,RED,CKD,BLD,DRND,WO/SALT</t>
  </si>
  <si>
    <t>11114</t>
  </si>
  <si>
    <t>CABBAGE,SAVOY,RAW</t>
  </si>
  <si>
    <t>11115</t>
  </si>
  <si>
    <t>CABBAGE,SAVOY,CKD,BLD,DRND,WO/SALT</t>
  </si>
  <si>
    <t>11116</t>
  </si>
  <si>
    <t>CABBAGE,CHINESE (PAK-CHOI),RAW</t>
  </si>
  <si>
    <t>11117</t>
  </si>
  <si>
    <t>CABBAGE,CHINESE (PAK-CHOI),CKD,BLD,DRND,WO/SALT</t>
  </si>
  <si>
    <t>11118</t>
  </si>
  <si>
    <t>CABBAGE,KIMCHI</t>
  </si>
  <si>
    <t>11119</t>
  </si>
  <si>
    <t>CABBAGE,CHINESE (PE-TSAI),RAW</t>
  </si>
  <si>
    <t>11120</t>
  </si>
  <si>
    <t>CABBAGE,CHINESE (PE-TSAI),CKD,BLD,DRND,WO/SALT</t>
  </si>
  <si>
    <t>11122</t>
  </si>
  <si>
    <t>CARDOON,RAW</t>
  </si>
  <si>
    <t>11123</t>
  </si>
  <si>
    <t>CARDOON,CKD,BLD,DRND,WO/SALT</t>
  </si>
  <si>
    <t>11124</t>
  </si>
  <si>
    <t>CARROTS,RAW</t>
  </si>
  <si>
    <t>11125</t>
  </si>
  <si>
    <t>CARROTS,CKD,BLD,DRND,WO/SALT</t>
  </si>
  <si>
    <t>11126</t>
  </si>
  <si>
    <t>CARROTS,CND,REG PK,SOL&amp;LIQUIDS</t>
  </si>
  <si>
    <t>11128</t>
  </si>
  <si>
    <t>CARROTS,CND,REG PK,DRND SOL</t>
  </si>
  <si>
    <t>11130</t>
  </si>
  <si>
    <t>CARROTS,FROZEN,UNPREPARED</t>
  </si>
  <si>
    <t>11131</t>
  </si>
  <si>
    <t>CARROTS,FRZ,CKD,BLD,DRND,WO/SALT</t>
  </si>
  <si>
    <t>11134</t>
  </si>
  <si>
    <t>CASSAVA,RAW</t>
  </si>
  <si>
    <t>11135</t>
  </si>
  <si>
    <t>CAULIFLOWER,RAW</t>
  </si>
  <si>
    <t>11136</t>
  </si>
  <si>
    <t>CAULIFLOWER,CKD,BLD,DRND,WO/SALT</t>
  </si>
  <si>
    <t>11137</t>
  </si>
  <si>
    <t>CAULIFLOWER,FRZ,UNPREP</t>
  </si>
  <si>
    <t>11138</t>
  </si>
  <si>
    <t>CAULIFLOWER,FRZ,CKD,BLD,DRND,WO/SALT</t>
  </si>
  <si>
    <t>11141</t>
  </si>
  <si>
    <t>CELERIAC,RAW</t>
  </si>
  <si>
    <t>11142</t>
  </si>
  <si>
    <t>CELERIAC,CKD,BLD,DRND,WO/SALT</t>
  </si>
  <si>
    <t>11143</t>
  </si>
  <si>
    <t>CELERY,RAW</t>
  </si>
  <si>
    <t>11144</t>
  </si>
  <si>
    <t>CELERY,CKD,BLD,DRND,WO/SALT</t>
  </si>
  <si>
    <t>11145</t>
  </si>
  <si>
    <t>CELTUCE,RAW</t>
  </si>
  <si>
    <t>11147</t>
  </si>
  <si>
    <t>CHARD,SWISS,RAW</t>
  </si>
  <si>
    <t>11148</t>
  </si>
  <si>
    <t>CHARD,SWISS,CKD,BLD,DRND,WO/SALT</t>
  </si>
  <si>
    <t>11149</t>
  </si>
  <si>
    <t>CHAYOTE,FRUIT,RAW</t>
  </si>
  <si>
    <t>11150</t>
  </si>
  <si>
    <t>CHAYOTE,FRUIT,CKD,BLD,DRND,WO/SALT</t>
  </si>
  <si>
    <t>11151</t>
  </si>
  <si>
    <t>CHICORY,WITLOOF,RAW</t>
  </si>
  <si>
    <t>11152</t>
  </si>
  <si>
    <t>CHICORY GREENS,RAW</t>
  </si>
  <si>
    <t>11154</t>
  </si>
  <si>
    <t>CHICORY ROOTS,RAW</t>
  </si>
  <si>
    <t>11156</t>
  </si>
  <si>
    <t>CHIVES,RAW</t>
  </si>
  <si>
    <t>11157</t>
  </si>
  <si>
    <t>CHRYSANTHEMUM,GARLAND,RAW</t>
  </si>
  <si>
    <t>11158</t>
  </si>
  <si>
    <t>CHRYSANTHEMUM,GARLAND,CKD,BLD,DRND,WO/SALT</t>
  </si>
  <si>
    <t>11161</t>
  </si>
  <si>
    <t>COLLARDS,RAW</t>
  </si>
  <si>
    <t>11162</t>
  </si>
  <si>
    <t>COLLARDS,CKD,BLD,DRND,WO/SALT</t>
  </si>
  <si>
    <t>11163</t>
  </si>
  <si>
    <t>COLLARDS,FRZ,CHOPD,UNPREP</t>
  </si>
  <si>
    <t>11164</t>
  </si>
  <si>
    <t>COLLARDS,FRZ,CHOPD,CKD,BLD,DRND,WO/SALT</t>
  </si>
  <si>
    <t>11165</t>
  </si>
  <si>
    <t>CORIANDER (CILANTRO) LEAVES,RAW</t>
  </si>
  <si>
    <t>11167</t>
  </si>
  <si>
    <t>CORN,SWT,YEL,RAW</t>
  </si>
  <si>
    <t>11168</t>
  </si>
  <si>
    <t>CORN,SWT,YEL,CKD,BLD,DRND,WO/SALT</t>
  </si>
  <si>
    <t>11170</t>
  </si>
  <si>
    <t>CORN,SWT,YEL,CND,BRINE PK,REG PK,SOL&amp;LIQUIDS</t>
  </si>
  <si>
    <t>11172</t>
  </si>
  <si>
    <t>CORN,SWT,YEL,CND,WHL KERNEL,DRND SOL</t>
  </si>
  <si>
    <t>11174</t>
  </si>
  <si>
    <t>CORN,SWT,YEL,CND,CRM STYLE,REG PK</t>
  </si>
  <si>
    <t>11176</t>
  </si>
  <si>
    <t>CORN,SWT,YEL,CND,VACUUM PK,REG PK</t>
  </si>
  <si>
    <t>11177</t>
  </si>
  <si>
    <t>CORN,SWT,YEL,CND,DRND SOL,RINSED W/ TAP H2O</t>
  </si>
  <si>
    <t>11178</t>
  </si>
  <si>
    <t>CORN,SWT,YEL,FRZ,KRNLS CUT OFF COB,UNPREP</t>
  </si>
  <si>
    <t>11179</t>
  </si>
  <si>
    <t>CORN,SWT,YEL,FRZ,KRNLS CUT OFF COB,BLD,DRND,WO/SALT</t>
  </si>
  <si>
    <t>11180</t>
  </si>
  <si>
    <t>CORN,SWT,YEL,FRZ,KRNLS ON COB,UNPREP</t>
  </si>
  <si>
    <t>11181</t>
  </si>
  <si>
    <t>CORN,SWT,YEL,FRZ,KRNLS ON COB,CKD,BLD,DRND,WO/SALT</t>
  </si>
  <si>
    <t>11182</t>
  </si>
  <si>
    <t>CORN,YEL,WHL KERNEL,FRZ,MICROWAVED</t>
  </si>
  <si>
    <t>11184</t>
  </si>
  <si>
    <t>CORN W/RED&amp;GRN PEPPERS,CND,SOL&amp;LIQUIDS</t>
  </si>
  <si>
    <t>11190</t>
  </si>
  <si>
    <t>CORNSALAD,RAW</t>
  </si>
  <si>
    <t>11191</t>
  </si>
  <si>
    <t>COWPEAS (BLACKEYES),IMMAT SEEDS,RAW</t>
  </si>
  <si>
    <t>11192</t>
  </si>
  <si>
    <t>COWPEAS (BLACKEYES),IMMAT SEEDS,CKD,BLD,DRND,WO/ SALT</t>
  </si>
  <si>
    <t>11195</t>
  </si>
  <si>
    <t>COWPEAS (BLACKEYES),IMMAT SEEDS,FRZ,UNPREP</t>
  </si>
  <si>
    <t>11196</t>
  </si>
  <si>
    <t>COWPEAS (BLACKEYES),IMMTRE SEEDS,FRZ,CKD,BLD,DRND,WO/SALT</t>
  </si>
  <si>
    <t>11197</t>
  </si>
  <si>
    <t>COWPEAS,YOUNG PODS W/SEEDS,RAW</t>
  </si>
  <si>
    <t>11198</t>
  </si>
  <si>
    <t>COWPEAS,YOUNG PODS W/SEEDS,CKD,BLD,DRND,WO/SALT</t>
  </si>
  <si>
    <t>11199</t>
  </si>
  <si>
    <t>YARDLONG BEAN,RAW</t>
  </si>
  <si>
    <t>11200</t>
  </si>
  <si>
    <t>YARDLONG BEAN,CKD,BLD,DRND,WO/SALT</t>
  </si>
  <si>
    <t>11201</t>
  </si>
  <si>
    <t>COWPEAS,LEAFY TIPS,RAW</t>
  </si>
  <si>
    <t>11202</t>
  </si>
  <si>
    <t>COWPEAS,LEAFY TIPS,CKD,BLD,DRND,WO/SALT</t>
  </si>
  <si>
    <t>11203</t>
  </si>
  <si>
    <t>CRESS,GARDEN,RAW</t>
  </si>
  <si>
    <t>11204</t>
  </si>
  <si>
    <t>CRESS,GARDEN,CKD,BLD,DRND,WO/SALT</t>
  </si>
  <si>
    <t>11205</t>
  </si>
  <si>
    <t>CUCUMBER,WITH PEEL,RAW</t>
  </si>
  <si>
    <t>11206</t>
  </si>
  <si>
    <t>CUCUMBER,PEELED,RAW</t>
  </si>
  <si>
    <t>11207</t>
  </si>
  <si>
    <t>DANDELION GREENS,RAW</t>
  </si>
  <si>
    <t>11208</t>
  </si>
  <si>
    <t>DANDELION GRNS,CKD,BLD,DRND,WO/SALT</t>
  </si>
  <si>
    <t>11209</t>
  </si>
  <si>
    <t>EGGPLANT,RAW</t>
  </si>
  <si>
    <t>11210</t>
  </si>
  <si>
    <t>EGGPLANT,CKD,BLD,DRND,WO/SALT</t>
  </si>
  <si>
    <t>11211</t>
  </si>
  <si>
    <t>EDAMAME,FRZ,UNPREP</t>
  </si>
  <si>
    <t>11212</t>
  </si>
  <si>
    <t>EDAMAME,FRZ,PREP</t>
  </si>
  <si>
    <t>11213</t>
  </si>
  <si>
    <t>ENDIVE,RAW</t>
  </si>
  <si>
    <t>11214</t>
  </si>
  <si>
    <t>ESCAROLE,CKD,BLD,DRND,NO SALT ADDED</t>
  </si>
  <si>
    <t>11215</t>
  </si>
  <si>
    <t>GARLIC,RAW</t>
  </si>
  <si>
    <t>11216</t>
  </si>
  <si>
    <t>GINGER ROOT,RAW</t>
  </si>
  <si>
    <t>11218</t>
  </si>
  <si>
    <t>GOURD,WHITE-FLOWERED (CALABASH),RAW</t>
  </si>
  <si>
    <t>11219</t>
  </si>
  <si>
    <t>GOURD,WHITE-FLOWERED (CALABASH),CKD,BLD,DRND,WO/SALT</t>
  </si>
  <si>
    <t>11220</t>
  </si>
  <si>
    <t>GOURD,DISHCLOTH (TOWELGOURD),RAW</t>
  </si>
  <si>
    <t>11221</t>
  </si>
  <si>
    <t>GOURD,DISHCLOTH (TOWELGOURD),CKD,BLD,DRND,WO/SALT</t>
  </si>
  <si>
    <t>11222</t>
  </si>
  <si>
    <t>DRUMSTICK LEAVES,RAW</t>
  </si>
  <si>
    <t>11223</t>
  </si>
  <si>
    <t>DRUMSTICK LEAVES,CKD,BLD,DRND,WO/ SALT</t>
  </si>
  <si>
    <t>11224</t>
  </si>
  <si>
    <t>HYACINTH-BEANS,IMMAT SEEDS,RAW</t>
  </si>
  <si>
    <t>11225</t>
  </si>
  <si>
    <t>HYACINTH-BEANS,IMMAT SEEDS,CKD,BLD,DRND,WO/SALT</t>
  </si>
  <si>
    <t>11226</t>
  </si>
  <si>
    <t>JERUSALEM-ARTICHOKES,RAW</t>
  </si>
  <si>
    <t>11228</t>
  </si>
  <si>
    <t>JEW'S EAR,(PEPEAO),RAW</t>
  </si>
  <si>
    <t>11230</t>
  </si>
  <si>
    <t>PEPEAO,DRIED</t>
  </si>
  <si>
    <t>11231</t>
  </si>
  <si>
    <t>JUTE,POTHERB,RAW</t>
  </si>
  <si>
    <t>11232</t>
  </si>
  <si>
    <t>JUTE,POTHERB,CKD,BLD,DRND,WO/SALT</t>
  </si>
  <si>
    <t>11233</t>
  </si>
  <si>
    <t>KALE,RAW</t>
  </si>
  <si>
    <t>11234</t>
  </si>
  <si>
    <t>KALE,CKD,BLD,DRND,WO/SALT</t>
  </si>
  <si>
    <t>11235</t>
  </si>
  <si>
    <t>KALE,FROZEN,UNPREPARED</t>
  </si>
  <si>
    <t>11236</t>
  </si>
  <si>
    <t>KALE,FRZ,CKD,BLD,DRND,WO/SALT</t>
  </si>
  <si>
    <t>11237</t>
  </si>
  <si>
    <t>KANPYO,(DRIED GOURD STRIPS)</t>
  </si>
  <si>
    <t>11238</t>
  </si>
  <si>
    <t>MUSHROOMS,SHIITAKE,RAW</t>
  </si>
  <si>
    <t>11239</t>
  </si>
  <si>
    <t>MUSHROOMS,CHANTERELLE,RAW</t>
  </si>
  <si>
    <t>11240</t>
  </si>
  <si>
    <t>MUSHROOMS,MOREL,RAW</t>
  </si>
  <si>
    <t>11241</t>
  </si>
  <si>
    <t>KOHLRABI,RAW</t>
  </si>
  <si>
    <t>11242</t>
  </si>
  <si>
    <t>KOHLRABI,CKD,BLD,DRND,WO/SALT</t>
  </si>
  <si>
    <t>11243</t>
  </si>
  <si>
    <t>MUSHROOMS,PORTABELLA,GRILLED</t>
  </si>
  <si>
    <t>11244</t>
  </si>
  <si>
    <t>LAMBSQUARTERS,RAW</t>
  </si>
  <si>
    <t>11245</t>
  </si>
  <si>
    <t>LAMBSQUARTERS,CKD,BLD,DRND,WO/SALT</t>
  </si>
  <si>
    <t>11246</t>
  </si>
  <si>
    <t>LEEKS,(BULB&amp;LOWER LEAF-PORTION),RAW</t>
  </si>
  <si>
    <t>11247</t>
  </si>
  <si>
    <t>LEEKS,(BULB&amp;LOWER LEAF-PORTION),CKD,BLD,DRND,WO/SALT</t>
  </si>
  <si>
    <t>11248</t>
  </si>
  <si>
    <t>LENTILS,SPROUTED,RAW</t>
  </si>
  <si>
    <t>11249</t>
  </si>
  <si>
    <t>LENTILS,SPROUTED,CKD,STIR-FRIED,WO/SALT</t>
  </si>
  <si>
    <t>11250</t>
  </si>
  <si>
    <t>LETTUCE,BUTTERHEAD (INCL BOSTON&amp;BIBB TYPES),RAW</t>
  </si>
  <si>
    <t>11251</t>
  </si>
  <si>
    <t>LETTUCE,COS OR ROMAINE,RAW</t>
  </si>
  <si>
    <t>11252</t>
  </si>
  <si>
    <t>LETTUCE,ICEBERG (INCL CRISPHEAD TYPES),RAW</t>
  </si>
  <si>
    <t>11253</t>
  </si>
  <si>
    <t>LETTUCE,GRN LEAF,RAW</t>
  </si>
  <si>
    <t>11254</t>
  </si>
  <si>
    <t>LOTUS ROOT,RAW</t>
  </si>
  <si>
    <t>11255</t>
  </si>
  <si>
    <t>LOTUS ROOT,CKD,BLD,DRND,WO/SALT</t>
  </si>
  <si>
    <t>11257</t>
  </si>
  <si>
    <t>LETTUCE,RED LEAF,RAW</t>
  </si>
  <si>
    <t>11258</t>
  </si>
  <si>
    <t>MOUNTAIN YAM,HAWAII,RAW</t>
  </si>
  <si>
    <t>11259</t>
  </si>
  <si>
    <t>MOUNTAIN YAM,HAWAII,CKD,STMD,WO/SALT</t>
  </si>
  <si>
    <t>11260</t>
  </si>
  <si>
    <t>MUSHROOMS,WHITE,RAW</t>
  </si>
  <si>
    <t>11261</t>
  </si>
  <si>
    <t>MUSHROOMS,WHITE,CKD,BLD,DRND,WO/ SALT</t>
  </si>
  <si>
    <t>11263</t>
  </si>
  <si>
    <t>MUSHROOMS,WHITE,STIR-FRIED</t>
  </si>
  <si>
    <t>11264</t>
  </si>
  <si>
    <t>MUSHROOMS,CND,DRND SOL</t>
  </si>
  <si>
    <t>12001</t>
  </si>
  <si>
    <t>BREADFRUIT SEEDS,RAW</t>
  </si>
  <si>
    <t>12003</t>
  </si>
  <si>
    <t>BREADFRUIT SEEDS,BOILED</t>
  </si>
  <si>
    <t>12004</t>
  </si>
  <si>
    <t>SEEDS,BREADNUT TREE SEEDS,RAW</t>
  </si>
  <si>
    <t>12005</t>
  </si>
  <si>
    <t>SEEDS,BREADNUT TREE SEEDS,DRIED</t>
  </si>
  <si>
    <t>12006</t>
  </si>
  <si>
    <t>CHIA SEEDS,DRIED</t>
  </si>
  <si>
    <t>12007</t>
  </si>
  <si>
    <t>COTTONSEED FLR,PART DEFATTED (GLANDLESS)</t>
  </si>
  <si>
    <t>12008</t>
  </si>
  <si>
    <t>COTTONSEED FLR,LOFAT (GLANDLESS)</t>
  </si>
  <si>
    <t>12011</t>
  </si>
  <si>
    <t>COTTONSEED MEAL,PART DEFATTED (GLANDLESS)</t>
  </si>
  <si>
    <t>12012</t>
  </si>
  <si>
    <t>SEEDS,HEMP SD,HULLED</t>
  </si>
  <si>
    <t>12013</t>
  </si>
  <si>
    <t>LOTUS SEEDS,DRIED</t>
  </si>
  <si>
    <t>12014</t>
  </si>
  <si>
    <t>PUMPKIN&amp;SQUASH SD KRNLS,DRIED</t>
  </si>
  <si>
    <t>12016</t>
  </si>
  <si>
    <t>PUMPKIN&amp;SQUASH SD KRNLS,RSTD,WO/SALT</t>
  </si>
  <si>
    <t>12021</t>
  </si>
  <si>
    <t>SAFFLOWER SD KRNLS,DRIED</t>
  </si>
  <si>
    <t>12022</t>
  </si>
  <si>
    <t>SAFFLOWER SD MEAL,PART DEFATTED</t>
  </si>
  <si>
    <t>12023</t>
  </si>
  <si>
    <t>SESAME SEEDS,WHOLE,DRIED</t>
  </si>
  <si>
    <t>12024</t>
  </si>
  <si>
    <t>SESAME SEEDS,WHL,RSTD&amp;TSTD</t>
  </si>
  <si>
    <t>12029</t>
  </si>
  <si>
    <t>SESAME SD KRNLS,TSTD,WO/SALT (DECORT)</t>
  </si>
  <si>
    <t>12032</t>
  </si>
  <si>
    <t>SESAME FLR,PART DEFATTED</t>
  </si>
  <si>
    <t>12033</t>
  </si>
  <si>
    <t>SESAME FLOUR,LOW-FAT</t>
  </si>
  <si>
    <t>12034</t>
  </si>
  <si>
    <t>SESAME MEAL,PART DEFATTED</t>
  </si>
  <si>
    <t>12036</t>
  </si>
  <si>
    <t>SUNFLOWER SD KRNLS,DRIED</t>
  </si>
  <si>
    <t>12037</t>
  </si>
  <si>
    <t>SUNFLOWER SD KRNLS,DRY RSTD,WO/SALT</t>
  </si>
  <si>
    <t>12038</t>
  </si>
  <si>
    <t>SUNFLOWER SD KRNLS,OIL RSTD,WO/SALT</t>
  </si>
  <si>
    <t>12039</t>
  </si>
  <si>
    <t>SUNFLOWER SD KRNLS,TSTD,WO/SALT</t>
  </si>
  <si>
    <t>12040</t>
  </si>
  <si>
    <t>SUNFLOWER SD BUTTER,WO/SALT</t>
  </si>
  <si>
    <t>12041</t>
  </si>
  <si>
    <t>SUNFLOWER SD FLR,PART DEFATTED</t>
  </si>
  <si>
    <t>12058</t>
  </si>
  <si>
    <t>ACORNS,RAW</t>
  </si>
  <si>
    <t>12059</t>
  </si>
  <si>
    <t>ACORNS,DRIED</t>
  </si>
  <si>
    <t>12060</t>
  </si>
  <si>
    <t>ACORN FLOUR,FULL FAT</t>
  </si>
  <si>
    <t>12061</t>
  </si>
  <si>
    <t>ALMONDS</t>
  </si>
  <si>
    <t>12062</t>
  </si>
  <si>
    <t>ALMONDS,BLANCHED</t>
  </si>
  <si>
    <t>12063</t>
  </si>
  <si>
    <t>ALMONDS,DRY RSTD,WO/SALT</t>
  </si>
  <si>
    <t>12065</t>
  </si>
  <si>
    <t>ALMONDS,OIL RSTD,WO/SALT</t>
  </si>
  <si>
    <t>12071</t>
  </si>
  <si>
    <t>ALMOND PASTE</t>
  </si>
  <si>
    <t>12077</t>
  </si>
  <si>
    <t>BEECHNUTS,DRIED</t>
  </si>
  <si>
    <t>12078</t>
  </si>
  <si>
    <t>BRAZILNUTS,DRIED,UNBLANCHED</t>
  </si>
  <si>
    <t>12084</t>
  </si>
  <si>
    <t>BUTTERNUTS,DRIED</t>
  </si>
  <si>
    <t>12085</t>
  </si>
  <si>
    <t>CASHEW NUTS,DRY RSTD,WO/SALT</t>
  </si>
  <si>
    <t>12086</t>
  </si>
  <si>
    <t>CASHEW NUTS,OIL RSTD,WO/SALT</t>
  </si>
  <si>
    <t>12087</t>
  </si>
  <si>
    <t>NUTS,CASHEW NUTS,RAW</t>
  </si>
  <si>
    <t>12088</t>
  </si>
  <si>
    <t>CASHEW BUTTER,PLN,WO/SALT</t>
  </si>
  <si>
    <t>12093</t>
  </si>
  <si>
    <t>CHESTNUTS,CHINESE,RAW</t>
  </si>
  <si>
    <t>12094</t>
  </si>
  <si>
    <t>CHESTNUTS,CHINESE,DRIED</t>
  </si>
  <si>
    <t>12095</t>
  </si>
  <si>
    <t>CHESTNUTS,CHINESE,BLD&amp;STMD</t>
  </si>
  <si>
    <t>12096</t>
  </si>
  <si>
    <t>CHESTNUTS,CHINESE,ROASTED</t>
  </si>
  <si>
    <t>12097</t>
  </si>
  <si>
    <t>CHESTNUTS,EUROPEAN,RAW,UNPEELED</t>
  </si>
  <si>
    <t>12098</t>
  </si>
  <si>
    <t>CHESTNUTS,EUROPEAN,RAW,PEELED</t>
  </si>
  <si>
    <t>12099</t>
  </si>
  <si>
    <t>CHESTNUTS,EUROPEAN,DRIED,UNPEELED</t>
  </si>
  <si>
    <t>12100</t>
  </si>
  <si>
    <t>CHESTNUTS,EUROPEAN,DRIED,PEELED</t>
  </si>
  <si>
    <t>12101</t>
  </si>
  <si>
    <t>CHESTNUTS,EUROPEAN,BLD&amp;STMD</t>
  </si>
  <si>
    <t>12104</t>
  </si>
  <si>
    <t>COCONUT MEAT,RAW</t>
  </si>
  <si>
    <t>12108</t>
  </si>
  <si>
    <t>COCONUT MEAT,DRIED (DESICCATED),NOT SWTND</t>
  </si>
  <si>
    <t>12109</t>
  </si>
  <si>
    <t>COCONUT MEAT,DRIED (DESICCATED),SWTND,FLAKED,PACKAGED</t>
  </si>
  <si>
    <t>12110</t>
  </si>
  <si>
    <t>COCONUT MEAT,DRIED (DESICCATED),SWTND,FLAKED,CND</t>
  </si>
  <si>
    <t>12114</t>
  </si>
  <si>
    <t>COCONUT MEAT,DRIED (DESICCATED),TSTD</t>
  </si>
  <si>
    <t>12115</t>
  </si>
  <si>
    <t>COCONUT CRM,RAW (LIQ EXPRESSED FROM GRATED MEAT)</t>
  </si>
  <si>
    <t>12116</t>
  </si>
  <si>
    <t>NUTS,COCNT CRM,CND,SWTND</t>
  </si>
  <si>
    <t>12117</t>
  </si>
  <si>
    <t>COCONUT MILK,RAW (LIQ EXPRESSED FROM GRATED MEAT&amp;H2O)</t>
  </si>
  <si>
    <t>12118</t>
  </si>
  <si>
    <t>COCONUT MILK,CND (LIQ EXPRESSED FROM GRATED MEAT&amp;H2O)</t>
  </si>
  <si>
    <t>12119</t>
  </si>
  <si>
    <t>COCONUT H2O (LIQ FROM COCONUTS)</t>
  </si>
  <si>
    <t>12120</t>
  </si>
  <si>
    <t>HAZELNUTS OR FILBERTS</t>
  </si>
  <si>
    <t>12121</t>
  </si>
  <si>
    <t>HAZELNUTS OR FILBERTS,BLANCHED</t>
  </si>
  <si>
    <t>12122</t>
  </si>
  <si>
    <t>HAZELNUTS OR FILBERTS,DRY RSTD,WO/SALT</t>
  </si>
  <si>
    <t>12127</t>
  </si>
  <si>
    <t>GINKGO NUTS,RAW</t>
  </si>
  <si>
    <t>12128</t>
  </si>
  <si>
    <t>GINKGO NUTS,DRIED</t>
  </si>
  <si>
    <t>12129</t>
  </si>
  <si>
    <t>GINKGO NUTS,CANNED</t>
  </si>
  <si>
    <t>12130</t>
  </si>
  <si>
    <t>HICKORYNUTS,DRIED</t>
  </si>
  <si>
    <t>12131</t>
  </si>
  <si>
    <t>MACADAMIA NUTS,RAW</t>
  </si>
  <si>
    <t>12132</t>
  </si>
  <si>
    <t>MACADAMIA NUTS,DRY RSTD,WO/SALT</t>
  </si>
  <si>
    <t>12135</t>
  </si>
  <si>
    <t>MIXED NUTS,DRY RSTD,W/PNUTS,WO/SALT</t>
  </si>
  <si>
    <t>12136</t>
  </si>
  <si>
    <t>NUTS,MXD NUTS,DRY RSTD,W/PNUTS,SALT ADD,PLANTERS PSTACH BLND</t>
  </si>
  <si>
    <t>12137</t>
  </si>
  <si>
    <t>MIXED NUTS,OIL RSTD,W/PNUTS,WO/SALT</t>
  </si>
  <si>
    <t>12138</t>
  </si>
  <si>
    <t>MIXED NUTS,OIL RSTD,WO/PNUTS,WO/SALT</t>
  </si>
  <si>
    <t>12140</t>
  </si>
  <si>
    <t>FORMULATED,WHEAT-BASED,UNFLAVORED,W/SALT</t>
  </si>
  <si>
    <t>12141</t>
  </si>
  <si>
    <t>NUTS,MXD NUTS,DRY RSTD,W/ PNUTS,SALT ADDED,CHOSEN ROASTER</t>
  </si>
  <si>
    <t>12142</t>
  </si>
  <si>
    <t>PECANS</t>
  </si>
  <si>
    <t>12143</t>
  </si>
  <si>
    <t>PECANS,DRY RSTD,WO/SALT</t>
  </si>
  <si>
    <t>12144</t>
  </si>
  <si>
    <t>PECANS,OIL RSTD,WO/SALT</t>
  </si>
  <si>
    <t>12145</t>
  </si>
  <si>
    <t>NUTS,PILINUTS,DRIED</t>
  </si>
  <si>
    <t>12147</t>
  </si>
  <si>
    <t>NUTS,PINE NUTS,DRIED</t>
  </si>
  <si>
    <t>12149</t>
  </si>
  <si>
    <t>PINE NUTS,PINYON,DRIED</t>
  </si>
  <si>
    <t>12151</t>
  </si>
  <si>
    <t>PISTACHIO NUTS,RAW</t>
  </si>
  <si>
    <t>12152</t>
  </si>
  <si>
    <t>PISTACHIO NUTS,DRY RSTD,WO/SALT</t>
  </si>
  <si>
    <t>12154</t>
  </si>
  <si>
    <t>WALNUTS,BLACK,DRIED</t>
  </si>
  <si>
    <t>12155</t>
  </si>
  <si>
    <t>WALNUTS,ENGLISH</t>
  </si>
  <si>
    <t>12156</t>
  </si>
  <si>
    <t>NUTS,WALNUTS,GLAZED</t>
  </si>
  <si>
    <t>12157</t>
  </si>
  <si>
    <t>NUTS,WALNUTS,DRY RSTD,W/ SALT ADDED</t>
  </si>
  <si>
    <t>12158</t>
  </si>
  <si>
    <t>BREADFRUIT SEEDS,ROASTED</t>
  </si>
  <si>
    <t>12160</t>
  </si>
  <si>
    <t>COTTONSEED KRNLS,RSTD (GLANDLESS)</t>
  </si>
  <si>
    <t>12163</t>
  </si>
  <si>
    <t>PUMPKIN&amp;SQUASH SEEDS,WHL,RSTD,WO/SALT</t>
  </si>
  <si>
    <t>12166</t>
  </si>
  <si>
    <t>SESAME BUTTER,TAHINI,FROM RSTD&amp;TSTD KRNLS (MOST COMMON TYPE)</t>
  </si>
  <si>
    <t>12167</t>
  </si>
  <si>
    <t>CHESTNUTS,EUROPEAN,RSTD</t>
  </si>
  <si>
    <t>12169</t>
  </si>
  <si>
    <t>SESAME BUTTER,PASTE</t>
  </si>
  <si>
    <t>12170</t>
  </si>
  <si>
    <t>SESAME FLOUR,HIGH-FAT</t>
  </si>
  <si>
    <t>12171</t>
  </si>
  <si>
    <t>SESAME BUTTER,TAHINI,FROM UNROASTED KRNLS</t>
  </si>
  <si>
    <t>12174</t>
  </si>
  <si>
    <t>WATERMELON SD KRNLS,DRIED</t>
  </si>
  <si>
    <t>12175</t>
  </si>
  <si>
    <t>CHESTNUTS,JAPANESE,DRIED</t>
  </si>
  <si>
    <t>12176</t>
  </si>
  <si>
    <t>COCONUT MILK,FRZ (LIQ EXPRESSED FROM GRATED MEAT&amp;H2O)</t>
  </si>
  <si>
    <t>12177</t>
  </si>
  <si>
    <t>COCONUT MEAT,DRIED (DESICCATED),CRMD</t>
  </si>
  <si>
    <t>12179</t>
  </si>
  <si>
    <t>COCONUT MEAT,DRIED (DESICCATED),SWTND,SHREDDED</t>
  </si>
  <si>
    <t>12193</t>
  </si>
  <si>
    <t>SISYMBRIUM SP. SEEDS,WHL,DRIED</t>
  </si>
  <si>
    <t>12195</t>
  </si>
  <si>
    <t>ALMOND BUTTER,PLN,WO/SALT</t>
  </si>
  <si>
    <t>12198</t>
  </si>
  <si>
    <t>SESAME BUTTER,TAHINI,FROM RAW&amp;STONE GROUND KRNLS</t>
  </si>
  <si>
    <t>12200</t>
  </si>
  <si>
    <t>FORMULATED,WHEAT-BASED,ALL FLAVORS XCPT MACADAMIA,WO/SALT</t>
  </si>
  <si>
    <t>12201</t>
  </si>
  <si>
    <t>SESAME SD KRNLS,DRIED (DECORT)</t>
  </si>
  <si>
    <t>12202</t>
  </si>
  <si>
    <t>CHESTNUTS,JAPANESE,RAW</t>
  </si>
  <si>
    <t>12203</t>
  </si>
  <si>
    <t>CHESTNUTS,JAPANESE,BLD&amp;STMD</t>
  </si>
  <si>
    <t>12204</t>
  </si>
  <si>
    <t>CHESTNUTS,JAPANESE,RSTD</t>
  </si>
  <si>
    <t>12205</t>
  </si>
  <si>
    <t>LOTUS SEEDS,RAW</t>
  </si>
  <si>
    <t>12206</t>
  </si>
  <si>
    <t>ALMONDS,HONEY RSTD,UNBLANCHED</t>
  </si>
  <si>
    <t>12220</t>
  </si>
  <si>
    <t>SEEDS,FLAXSEED</t>
  </si>
  <si>
    <t>12516</t>
  </si>
  <si>
    <t>PUMPKIN&amp;SQUASH SD KRNLS,RSTD,W/SALT</t>
  </si>
  <si>
    <t>12529</t>
  </si>
  <si>
    <t>SESAME SD KRNLS,TSTD,W/SALT (DECORT)</t>
  </si>
  <si>
    <t>12536</t>
  </si>
  <si>
    <t>SEEDS,SUNFLOWER SD KRNLS FROM SHELL,DRY RSTD,W/ SALT ADDED</t>
  </si>
  <si>
    <t>12537</t>
  </si>
  <si>
    <t>SUNFLOWER SD KRNLS,DRY RSTD,W/SALT</t>
  </si>
  <si>
    <t>12538</t>
  </si>
  <si>
    <t>SUNFLOWER SD KRNLS,OIL RSTD,W/SALT</t>
  </si>
  <si>
    <t>12539</t>
  </si>
  <si>
    <t>SUNFLOWER SD KRNLS,TSTD,W/SALT</t>
  </si>
  <si>
    <t>12540</t>
  </si>
  <si>
    <t>SUNFLOWER SD BUTTER,W/SALT</t>
  </si>
  <si>
    <t>12563</t>
  </si>
  <si>
    <t>ALMONDS,DRY RSTD,W/SALT</t>
  </si>
  <si>
    <t>12565</t>
  </si>
  <si>
    <t>ALMONDS,OIL RSTD,W/SALT</t>
  </si>
  <si>
    <t>12567</t>
  </si>
  <si>
    <t>NUTS,ALMONDS,OIL RSTD,W/ SALT ADDED,SMOKE FLAVOR</t>
  </si>
  <si>
    <t>12585</t>
  </si>
  <si>
    <t>CASHEW NUTS,DRY RSTD,W/SALT</t>
  </si>
  <si>
    <t>12586</t>
  </si>
  <si>
    <t>CASHEW NUTS,OIL RSTD,W/SALT</t>
  </si>
  <si>
    <t>12588</t>
  </si>
  <si>
    <t>CASHEW BUTTER,PLN,W/SALT</t>
  </si>
  <si>
    <t>12632</t>
  </si>
  <si>
    <t>MACADAMIA NUTS,DRY RSTD,W/SALT</t>
  </si>
  <si>
    <t>12635</t>
  </si>
  <si>
    <t>MIXED NUTS,DRY RSTD,W/PNUTS,W/SALT</t>
  </si>
  <si>
    <t>12637</t>
  </si>
  <si>
    <t>NUTS,MXD NUTS,OIL RSTD,W/ PNUTS,W/ SALT ADDED</t>
  </si>
  <si>
    <t>12638</t>
  </si>
  <si>
    <t>NUTS,MXD NUTS,OIL RSTD,WO/ PNUTS,W/ SALT ADDED</t>
  </si>
  <si>
    <t>12643</t>
  </si>
  <si>
    <t>PECANS,DRY RSTD,W/SALT</t>
  </si>
  <si>
    <t>12644</t>
  </si>
  <si>
    <t>PECANS,OIL RSTD,W/SALT</t>
  </si>
  <si>
    <t>12652</t>
  </si>
  <si>
    <t>PISTACHIO NUTS,DRY RSTD,W/SALT</t>
  </si>
  <si>
    <t>12663</t>
  </si>
  <si>
    <t>PUMPKIN&amp;SQUASH SEEDS,WHL,RSTD,W/SALT</t>
  </si>
  <si>
    <t>12665</t>
  </si>
  <si>
    <t>NUTS,ALMONDS,OIL RSTD,LIGHTLY SALTED</t>
  </si>
  <si>
    <t>12695</t>
  </si>
  <si>
    <t>ALMOND BUTTER,PLN,W/SALT</t>
  </si>
  <si>
    <t>12698</t>
  </si>
  <si>
    <t>SESAME BUTTER,TAHINI,KRNLS UNSPEC</t>
  </si>
  <si>
    <t>12737</t>
  </si>
  <si>
    <t>NUTS,MXD NUTS,OIL RSTD,W/ PNUTS,LIGHTLY SALTED</t>
  </si>
  <si>
    <t>12738</t>
  </si>
  <si>
    <t>NUTS,MXD NUTS,OIL RSTD,WO/ PNUTS,LIGHTLY SALTED</t>
  </si>
  <si>
    <t>13000</t>
  </si>
  <si>
    <t>BEEF,GRASS-FED,STRIP STEAKS,LN,RAW</t>
  </si>
  <si>
    <t>13001</t>
  </si>
  <si>
    <t>BEEF,CARCASS,LN&amp;FAT,CHOIC,RAW</t>
  </si>
  <si>
    <t>13002</t>
  </si>
  <si>
    <t>BEEF,CARCASS,LN&amp;FAT,SEL,RAW</t>
  </si>
  <si>
    <t>13019</t>
  </si>
  <si>
    <t>BEEF,RTL CUTS,FAT,RAW</t>
  </si>
  <si>
    <t>13020</t>
  </si>
  <si>
    <t>BEEF,RTL CUTS,FAT,CKD</t>
  </si>
  <si>
    <t>13023</t>
  </si>
  <si>
    <t>BEEF,BRISKET,WHL,LN,ALL GRDS,RAW</t>
  </si>
  <si>
    <t>13047</t>
  </si>
  <si>
    <t>BEEF,GRASS-FED,GROUND,RAW</t>
  </si>
  <si>
    <t>13055</t>
  </si>
  <si>
    <t>BEEF,BRISKET,FLAT HALF,LN &amp; FAT,1/8" FAT,SEL,CKD,BRSD</t>
  </si>
  <si>
    <t>13065</t>
  </si>
  <si>
    <t>BEEF,FLANK,STEAK,LN &amp; FAT,0" FAT,CHOIC,RAW</t>
  </si>
  <si>
    <t>13066</t>
  </si>
  <si>
    <t>BEEF,FLANK,STEAK,LN &amp; FAT,0" FAT,CHOIC,CKD,BRSD</t>
  </si>
  <si>
    <t>13067</t>
  </si>
  <si>
    <t>BEEF,FLANK,STEAK,LN &amp; FAT,0" FAT,CHOIC,CKD,BRLD</t>
  </si>
  <si>
    <t>13068</t>
  </si>
  <si>
    <t>BEEF,FLANK,STEAK,LN,0" FAT,CHOIC,RAW</t>
  </si>
  <si>
    <t>13069</t>
  </si>
  <si>
    <t>BEEF,FLANK,STEAK,LN,0" FAT,CHOIC,CKD,BRSD</t>
  </si>
  <si>
    <t>13070</t>
  </si>
  <si>
    <t>BEEF,FLANK,STEAK,LN,0" FAT,CHOIC,CKD,BRLD</t>
  </si>
  <si>
    <t>13095</t>
  </si>
  <si>
    <t>BEEF,RIB,EYE,SML END (RIBS 10-12),LN&amp;FAT,0"FAT,CHOIC,RAW</t>
  </si>
  <si>
    <t>13096</t>
  </si>
  <si>
    <t>BF,RIB,EYE,SML END (RIB 10-12),LN &amp; FT,0" FAT,CHOIC,CKD,BRLD</t>
  </si>
  <si>
    <t>13097</t>
  </si>
  <si>
    <t>BEEF,RIB,EYE,SML END (RIBS 10-12),LN,0"FAT,CHOIC,RAW</t>
  </si>
  <si>
    <t>13098</t>
  </si>
  <si>
    <t>BEEF,RIB,EYE,SML END (RIBS 10-12),LN,0"FAT,CHOIC,CKD,BRLD</t>
  </si>
  <si>
    <t>13147</t>
  </si>
  <si>
    <t>BEEF,RIB,SHORTRIBS,LN&amp;FAT,CHOIC,RAW</t>
  </si>
  <si>
    <t>13148</t>
  </si>
  <si>
    <t>BEEF,RIB,SHORTRIBS,LN&amp;FAT,CHOIC,CKD,BRSD</t>
  </si>
  <si>
    <t>13149</t>
  </si>
  <si>
    <t>BEEF,RIB,SHORTRIBS,LN ONLY,CHOIC,RAW</t>
  </si>
  <si>
    <t>13150</t>
  </si>
  <si>
    <t>BEEF,RIB,SHORTRIBS,LN,CHOIC,CKD,BRSD</t>
  </si>
  <si>
    <t>13156</t>
  </si>
  <si>
    <t>BEEF,RND,FULL CUT,LN,1/4"FAT,CHOIC,CKD,BRLD</t>
  </si>
  <si>
    <t>13158</t>
  </si>
  <si>
    <t>BEEF,RND,FULL CUT,LN,1/4"FAT,SEL,CKD,BRLD</t>
  </si>
  <si>
    <t>13165</t>
  </si>
  <si>
    <t>BEEF,BRISKET,FLAT HALF,LN &amp; FAT,0" FAT,CHOIC,CKD,BRSD</t>
  </si>
  <si>
    <t>13166</t>
  </si>
  <si>
    <t>USDA CMDTY,BF,CND</t>
  </si>
  <si>
    <t>13227</t>
  </si>
  <si>
    <t>BEEF,SHANK CROSSCUTS,LN,1/4"FAT,CHOIC,RAW</t>
  </si>
  <si>
    <t>13228</t>
  </si>
  <si>
    <t>BEEF,SHANK CROSSCUTS,LN,1/4"FAT,CHOIC,CKD,SIMMRD</t>
  </si>
  <si>
    <t>13231</t>
  </si>
  <si>
    <t>BEEF,SHRT LOIN,PRTRHS STEAK,LN,1/8" FAT,CHOIC,RAW</t>
  </si>
  <si>
    <t>13232</t>
  </si>
  <si>
    <t>BEEF,SHRT LOIN,PRTRHS STEAK,LN,1/8" FAT,CHOIC,CKD,GRILLED</t>
  </si>
  <si>
    <t>13235</t>
  </si>
  <si>
    <t>BEEF,SHRT LOIN,T-BONE STEAK,BONE-IN,LN,1/8" FAT,CHOIC,RAW</t>
  </si>
  <si>
    <t>13236</t>
  </si>
  <si>
    <t>BEEF,SHRT LN,T-BONE STK,BN-IN,LN,1/8" FAT,CHOIC,CKD,GRILLD</t>
  </si>
  <si>
    <t>13284</t>
  </si>
  <si>
    <t>BEEF,RIB EYE,SML END (RIBS 10-12),LN,0" FAT,SEL,RAW</t>
  </si>
  <si>
    <t>13285</t>
  </si>
  <si>
    <t>BEEF,CHUCK,UND BL POT RST,BNLESS,LN,0" FAT,ALL GRDS,CKD</t>
  </si>
  <si>
    <t>13293</t>
  </si>
  <si>
    <t>BEEF,CHK,UND BL POT RST,BNLESS,LN,0" FAT,ALL GRDS,CKD, BRSD</t>
  </si>
  <si>
    <t>13294</t>
  </si>
  <si>
    <t>BEEF,CHCK,UND BL POT RST OR STEAK,BNLESS,LN,0" FAT,CHOIC,RAW</t>
  </si>
  <si>
    <t>13317</t>
  </si>
  <si>
    <t>BEEF,GROUND,PATTIES,FRZ,CKD,BRLD</t>
  </si>
  <si>
    <t>13318</t>
  </si>
  <si>
    <t>BEEF,VAR MEATS&amp;BY-PRODUCTS,BRAIN,RAW</t>
  </si>
  <si>
    <t>13319</t>
  </si>
  <si>
    <t>BEEF,VAR MEATS&amp;BY-PRODUCTS,BRAIN,CKD,PAN-FRIED</t>
  </si>
  <si>
    <t>13320</t>
  </si>
  <si>
    <t>BEEF,VAR MEATS&amp;BY-PRODUCTS,BRAIN,CKD,SIMMRD</t>
  </si>
  <si>
    <t>13321</t>
  </si>
  <si>
    <t>BEEF,VAR MEATS&amp;BY-PRODUCTS,HEART,RAW</t>
  </si>
  <si>
    <t>13322</t>
  </si>
  <si>
    <t>BEEF,VAR MEATS&amp;BY-PRODUCTS,HEART,CKD,SIMMRD</t>
  </si>
  <si>
    <t>13323</t>
  </si>
  <si>
    <t>BEEF,VAR MEATS&amp;BY-PRODUCTS,KIDNEYS,RAW</t>
  </si>
  <si>
    <t>13324</t>
  </si>
  <si>
    <t>BEEF,VAR MEATS&amp;BY-PRODUCTS,KIDNEYS,CKD,SIMMRD</t>
  </si>
  <si>
    <t>13325</t>
  </si>
  <si>
    <t>BEEF,VAR MEATS&amp;BY-PRODUCTS,LIVER,RAW</t>
  </si>
  <si>
    <t>13326</t>
  </si>
  <si>
    <t>BEEF,VAR MEATS &amp; BY-PRODUCTS,LIVER,CKD,BRSD</t>
  </si>
  <si>
    <t>13327</t>
  </si>
  <si>
    <t>BEEF, VAR MEATS&amp;BY-PRODUCTS, LIVER, CKD, PAN-FRIED</t>
  </si>
  <si>
    <t>13328</t>
  </si>
  <si>
    <t>BEEF,VAR MEATS&amp;BY-PRODUCTS,LUNGS,RAW</t>
  </si>
  <si>
    <t>13329</t>
  </si>
  <si>
    <t>BEEF,VAR MEATS&amp;BY-PRODUCTS,LUNGS,CKD,BRSD</t>
  </si>
  <si>
    <t>13330</t>
  </si>
  <si>
    <t>BEEF,VAR MEATS&amp;BY-PRODUCTS,MECHANICALLY SEPARATED BF,RAW</t>
  </si>
  <si>
    <t>13331</t>
  </si>
  <si>
    <t>BEEF,VAR MEATS&amp;BY-PRODUCTS,PANCREAS,RAW</t>
  </si>
  <si>
    <t>13332</t>
  </si>
  <si>
    <t>BEEF,VAR MEATS&amp;BY-PRODUCTS,PANCREAS,CKD,BRSD</t>
  </si>
  <si>
    <t>13333</t>
  </si>
  <si>
    <t>BEEF,VAR MEATS&amp;BY-PRODUCTS,SPLEEN,RAW</t>
  </si>
  <si>
    <t>13334</t>
  </si>
  <si>
    <t>BEEF,VAR MEATS&amp;BY-PRODUCTS,SPLEEN,CKD,BRSD</t>
  </si>
  <si>
    <t>13335</t>
  </si>
  <si>
    <t>BEEF,VAR MEATS &amp; BY-PRODUCTS,SUET,RAW</t>
  </si>
  <si>
    <t>13337</t>
  </si>
  <si>
    <t>BEEF,VAR MEATS&amp;BY-PRODUCTS,THYMUS,RAW</t>
  </si>
  <si>
    <t>13338</t>
  </si>
  <si>
    <t>BEEF,VAR MEATS&amp;BY-PRODUCTS,THYMUS,CKD,BRSD</t>
  </si>
  <si>
    <t>13339</t>
  </si>
  <si>
    <t>BEEF,VAR MEATS&amp;BY-PRODUCTS,TONGUE,RAW</t>
  </si>
  <si>
    <t>13340</t>
  </si>
  <si>
    <t>BEEF,VAR MEATS&amp;BY-PRODUCTS,TONGUE,CKD,SIMMRD</t>
  </si>
  <si>
    <t>13341</t>
  </si>
  <si>
    <t>BEEF,VAR MEATS&amp;BY-PRODUCTS,TRIPE,RAW</t>
  </si>
  <si>
    <t>13342</t>
  </si>
  <si>
    <t>BEEF,SNDWCH STEAKS,FLAKED,CHOPD,FORMED &amp; THINLY SLICED,RAW</t>
  </si>
  <si>
    <t>13343</t>
  </si>
  <si>
    <t>BEEF,BRISKET,FLAT HALF,LN,0" FAT,CHOIC,CKD,BRSD</t>
  </si>
  <si>
    <t>13344</t>
  </si>
  <si>
    <t>BEEF,CURED,BRKFST STRIPS,RAW OR UNHTD</t>
  </si>
  <si>
    <t>13345</t>
  </si>
  <si>
    <t>BEEF,CURED,BRKFST STRIPS,CKD</t>
  </si>
  <si>
    <t>13346</t>
  </si>
  <si>
    <t>BEEF,CURED,CORNED BF,BRISKET,RAW</t>
  </si>
  <si>
    <t>13347</t>
  </si>
  <si>
    <t>BEEF,CURED,CORNED BF,BRISKET,CKD</t>
  </si>
  <si>
    <t>13348</t>
  </si>
  <si>
    <t>BEEF,CURED,CORNED BF,CND</t>
  </si>
  <si>
    <t>13349</t>
  </si>
  <si>
    <t>BEEF,CHK,UND BLADE POT RST OR STK,BNLESS,LN,0" FAT,SEL, RAW</t>
  </si>
  <si>
    <t>13350</t>
  </si>
  <si>
    <t>BEEF,CURED,DRIED</t>
  </si>
  <si>
    <t>13351</t>
  </si>
  <si>
    <t>BEEF,CHUCK,UNDER BLADE CNTR STEAK,BNLESS,DENVER CUT,LN,0" FA</t>
  </si>
  <si>
    <t>13352</t>
  </si>
  <si>
    <t>13353</t>
  </si>
  <si>
    <t>BEEF,CURED,LUNCHEON MEAT,JELLIED</t>
  </si>
  <si>
    <t>13354</t>
  </si>
  <si>
    <t>BEEF,CHK,UND BL CNTR STK,BNLESS,DEN CUT,LN,0" FA, SEL, CKD</t>
  </si>
  <si>
    <t>13355</t>
  </si>
  <si>
    <t>BEEF,CURED,PASTRAMI</t>
  </si>
  <si>
    <t>13356</t>
  </si>
  <si>
    <t>BEEF,CHK,UNDBL CNTR STK,BNLESS,DENCUT,LN,0" FA, ALL GRD, RAW</t>
  </si>
  <si>
    <t>13357</t>
  </si>
  <si>
    <t>BEEF,CURED,SAUSAGE,CKD,SMOKED</t>
  </si>
  <si>
    <t>13358</t>
  </si>
  <si>
    <t>BEEF,CURED,SMOKED,CHOPD BF</t>
  </si>
  <si>
    <t>13359</t>
  </si>
  <si>
    <t>BEEF,CHK,UND BLCNTR STK,BNLESS,DEN CUT,LN,0" FA, CHOICE, RAW</t>
  </si>
  <si>
    <t>13361</t>
  </si>
  <si>
    <t>BEEF,COMP OF RTL CUTS,LN&amp;FAT,0"FAT,ALL GRDS,CKD</t>
  </si>
  <si>
    <t>13362</t>
  </si>
  <si>
    <t>BEEF,COMP OF RTL CUTS,LN&amp;FAT,0"FAT,CHOIC,CKD</t>
  </si>
  <si>
    <t>13363</t>
  </si>
  <si>
    <t>BEEF,COMP OF RTL CUTS,LN&amp;FAT,0"FAT,SEL,CKD</t>
  </si>
  <si>
    <t>13364</t>
  </si>
  <si>
    <t>BEEF,COMP OF RTL CUTS,LN,0" FAT,ALL GRDS,CKD</t>
  </si>
  <si>
    <t>13365</t>
  </si>
  <si>
    <t>BEEF,COMP OF RTL CUTS,LN,0"FAT,CHOIC,CKD</t>
  </si>
  <si>
    <t>13366</t>
  </si>
  <si>
    <t>BEEF,COMP OF RTL CUTS,LN,0"FAT,SEL,CKD</t>
  </si>
  <si>
    <t>13367</t>
  </si>
  <si>
    <t>BEEF,BRISKET,WHL,LN&amp;FAT,0"FAT,ALL GRDS,CKD,BRSD</t>
  </si>
  <si>
    <t>13368</t>
  </si>
  <si>
    <t>BEEF,BRISKET,WHL,LN,0"FAT,ALL GRDS,CKD,BRSD</t>
  </si>
  <si>
    <t>13369</t>
  </si>
  <si>
    <t>BEEF,BRISKET,FLAT HALF,LN&amp;FAT,0"FAT,ALL GRDS,CKD,BRSD</t>
  </si>
  <si>
    <t>13370</t>
  </si>
  <si>
    <t>BEEF,BRISKET,FLAT HALF,LN,0"FAT,ALL GRDS,CKD,BRSD</t>
  </si>
  <si>
    <t>13371</t>
  </si>
  <si>
    <t>BEEF,BRISKET,POINT HALF,LN&amp;FAT,0"FAT,ALL GRDS,CKD,BRSD</t>
  </si>
  <si>
    <t>13372</t>
  </si>
  <si>
    <t>BEEF,BRISKET,POINT HALF,LN,0"FAT,ALL GRDS,CKD,BRSD</t>
  </si>
  <si>
    <t>13373</t>
  </si>
  <si>
    <t>BEEF,CHUCK,ARM POT RST,LN&amp;FAT,0"FAT,ALL GRDS,CKD,BRSD</t>
  </si>
  <si>
    <t>13375</t>
  </si>
  <si>
    <t>BEEF,CHUCK,ARM POT RST,LN &amp; FAT,0" FAT,SEL,CKD,BRSD</t>
  </si>
  <si>
    <t>13377</t>
  </si>
  <si>
    <t>BEEF,CHUCK,ARM POT RST,LN,0"FAT,CHOIC,CKD,BRSD</t>
  </si>
  <si>
    <t>13378</t>
  </si>
  <si>
    <t>BEEF,CHUCK,ARM POT RST,LN,0"FAT,SEL,CKD,BRSD</t>
  </si>
  <si>
    <t>13379</t>
  </si>
  <si>
    <t>BEEF,CHUCK,BLADE RST,LN&amp;FAT,0"FAT,ALL GRDS,CKD,BRSD</t>
  </si>
  <si>
    <t>13380</t>
  </si>
  <si>
    <t>BEEF,CHCK,UNDR BLDE POT RST,BNLS,LN &amp; FAT,0",CHC,CKD,BRSD</t>
  </si>
  <si>
    <t>13381</t>
  </si>
  <si>
    <t>BEEF,CHCK,UNDR BLDE POT RST,BNLS,LN &amp; FAT,0",SEL,CKD,BRSD</t>
  </si>
  <si>
    <t>13382</t>
  </si>
  <si>
    <t>BEEF,CHUCK,BLADE RST,LN,0"FAT,ALL GRDS,CKD,BRSD</t>
  </si>
  <si>
    <t>13383</t>
  </si>
  <si>
    <t>BEEF,CHK,UNDER BLADE POT RST,BNLESS,LN,0" FAT,CHOIC,CKD,BRSD</t>
  </si>
  <si>
    <t>13384</t>
  </si>
  <si>
    <t>BEEF,CHUCK,UNDER BLADE POT RST,BNLESS,LN,0" FAT,SEL,CKD,BRSD</t>
  </si>
  <si>
    <t>13386</t>
  </si>
  <si>
    <t>BEEF,RIB,LRG END (RIBS 6-9),LN&amp;FAT,0"FAT,CHOIC,CKD,RSTD</t>
  </si>
  <si>
    <t>13387</t>
  </si>
  <si>
    <t>BEEF,RIB,LRG END (RIBS 6-9),LN&amp;FAT,0"FAT,SEL,CKD,RSTD</t>
  </si>
  <si>
    <t>13388</t>
  </si>
  <si>
    <t>BEEF,RIB,LRG END (RIBS 6-9),LN,0"FAT,ALL GRDS,CKD,RSTD</t>
  </si>
  <si>
    <t>13389</t>
  </si>
  <si>
    <t>BEEF,RIB,LRG END (RIBS 6-9),LN,0"FAT,CHOIC,CKD,RSTD</t>
  </si>
  <si>
    <t>13390</t>
  </si>
  <si>
    <t>BEEF,RIB,LRG END (RIBS 6-9),LN,0"FAT,SEL,CKD,RSTD</t>
  </si>
  <si>
    <t>13391</t>
  </si>
  <si>
    <t>BEEF,RIB,SML END (RIBS 10-12),LN&amp;FAT,0"FAT,ALL GRDS,CKD,BRLD</t>
  </si>
  <si>
    <t>13392</t>
  </si>
  <si>
    <t>BEEF,RIB,SML END (RIBS 10-12),LN&amp;FAT,0"FAT,CHOIC,CKD,BRLD</t>
  </si>
  <si>
    <t>13393</t>
  </si>
  <si>
    <t>BEEF,RIB,SML END (RIBS 10-12),LN&amp;FAT,0"FAT,SEL,CKD,BRLD</t>
  </si>
  <si>
    <t>13394</t>
  </si>
  <si>
    <t>BEEF,RIB,SML END (RIBS 10-12),LN,0"FAT,ALL GRDS,CKD,BRLD</t>
  </si>
  <si>
    <t>13395</t>
  </si>
  <si>
    <t>BEEF,RIB,SML END (RIBS 10-12),LN,0"FAT,CHOIC,CKD,BRLD</t>
  </si>
  <si>
    <t>13396</t>
  </si>
  <si>
    <t>BEEF,RIB,SML END (RIBS 10-12),LN,0"FAT,SEL,CKD,BRLD</t>
  </si>
  <si>
    <t>13398</t>
  </si>
  <si>
    <t>BEEF,RND,BTTM RND,STEAK,LN &amp; FAT,0" FAT,ALL GRDS,CKD,BRSD</t>
  </si>
  <si>
    <t>13399</t>
  </si>
  <si>
    <t>BEEF,RND,BTTM RND,RST,LN &amp; FAT,0" FAT,ALL GRDS,CKD,RSTD</t>
  </si>
  <si>
    <t>13401</t>
  </si>
  <si>
    <t>BEEF,RND,BTTM RND,STEAK,LN &amp; FAT,0" FAT,CHOIC,CKD,BRSD</t>
  </si>
  <si>
    <t>13402</t>
  </si>
  <si>
    <t>BEEF,RND,BTTM RND,RST,LN &amp; FAT,0" FAT,CHOIC,CKD,RSTD</t>
  </si>
  <si>
    <t>13404</t>
  </si>
  <si>
    <t>BEEF,RND,BTTM RND,STEAK,LN &amp; FAT,0" FAT,SEL,CKD,BRSD</t>
  </si>
  <si>
    <t>13405</t>
  </si>
  <si>
    <t>BEEF,RND,BTTM RND,RST,LN &amp; FAT,0" FAT,SEL,CKD,RSTD</t>
  </si>
  <si>
    <t>13407</t>
  </si>
  <si>
    <t>BEEF,RND,BTTM RND,STEAK,LN,0" FAT,ALL GRDS,CKD,BRSD</t>
  </si>
  <si>
    <t>13408</t>
  </si>
  <si>
    <t>BEEF,RND,BTTM RND,RST,LN,0" FAT,ALL GRDS,CKD,RSTD</t>
  </si>
  <si>
    <t>13410</t>
  </si>
  <si>
    <t>BEEF,RND,BTTM RND,STEAK,LN,0" FAT,CHOIC,CKD,BRSD</t>
  </si>
  <si>
    <t>13411</t>
  </si>
  <si>
    <t>Beef, bottom round, roast,lean only, 0" fat, choice, roasted</t>
  </si>
  <si>
    <t>13413</t>
  </si>
  <si>
    <t>BEEF,RND,BTTM RND,STEAK,LN,0" FAT,SEL,CKD,BRSD</t>
  </si>
  <si>
    <t>13414</t>
  </si>
  <si>
    <t>BEEF,RND,BTTM RND RST,LN,0" FAT,SEL,CKD,RSTD</t>
  </si>
  <si>
    <t>13415</t>
  </si>
  <si>
    <t>BEEF,RND,EYE OF RND RST,BNLESS,L &amp; F,0" FAT,A GRDS,CKD,RSTD</t>
  </si>
  <si>
    <t>13416</t>
  </si>
  <si>
    <t>BEEF,RND,EYE OF RND RST,BNLESS,LN &amp; FT,0" FAT,CHOIC,CKD,RSTD</t>
  </si>
  <si>
    <t>13417</t>
  </si>
  <si>
    <t>BEEF,RND,EYE OF RND RST,BNLESS,LN &amp; FAT,0" FAT,SEL,CKD,RSTD</t>
  </si>
  <si>
    <t>13418</t>
  </si>
  <si>
    <t>BEEF,RND,EYE OF RND RST,BNLESS,LN,0" FAT,ALL GRDS,CKD,RSTD</t>
  </si>
  <si>
    <t>13419</t>
  </si>
  <si>
    <t>BEEF,RND,EYE OF RND RST,BNLESS,LN,0" FAT,CHOIC,CKD,RSTD</t>
  </si>
  <si>
    <t>13420</t>
  </si>
  <si>
    <t>BEEF,RND,EYE OF RND RST,BNLESS,LN,0" FAT,SEL,CKD,RSTD</t>
  </si>
  <si>
    <t>13421</t>
  </si>
  <si>
    <t>BEEF,RND,TIP RND,RST,LN &amp; FAT,0" FAT,ALL GRDS,CKD,RSTD</t>
  </si>
  <si>
    <t>13422</t>
  </si>
  <si>
    <t>BEEF,RND,TIP RND,RST,LN &amp; FAT,0" FAT,CHOIC,CKD,RSTD</t>
  </si>
  <si>
    <t>13423</t>
  </si>
  <si>
    <t>BEEF,RND,TIP RND,RST,LN &amp; FAT,0" FAT,SEL,CKD,RSTD</t>
  </si>
  <si>
    <t>13424</t>
  </si>
  <si>
    <t>BEEF,RND,TIP RND,RST,LN,0" FAT,ALL GRDS,CKD,RSTD</t>
  </si>
  <si>
    <t>13425</t>
  </si>
  <si>
    <t>BEEF,RND,TIP RND,RST,LN,0" FAT,CHOIC,CKD,RSTD</t>
  </si>
  <si>
    <t>13426</t>
  </si>
  <si>
    <t>BEEF,RND,TIP RND,RST,LN,0" FAT,SEL,CKD,RSTD</t>
  </si>
  <si>
    <t>13428</t>
  </si>
  <si>
    <t>BEEF,RND,TOP RND,LN&amp;FAT,0"FAT,ALL GRDS,CKD,BRSD</t>
  </si>
  <si>
    <t>13430</t>
  </si>
  <si>
    <t>BEEF,RND,TOP RND,LN&amp;FAT,0"FAT,CHOIC,CKD,BRSD</t>
  </si>
  <si>
    <t>13432</t>
  </si>
  <si>
    <t>BEEF,RND,TOP RND,LN&amp;FAT,0"FAT,SEL,CKD,BRSD</t>
  </si>
  <si>
    <t>13436</t>
  </si>
  <si>
    <t>BEEF,RND,TOP RND,LN,0"FAT,CHOIC,CKD,BRSD</t>
  </si>
  <si>
    <t>13438</t>
  </si>
  <si>
    <t>BEEF,RND,TOP RND,LN,0"FAT,SEL,CKD,BRSD</t>
  </si>
  <si>
    <t>13439</t>
  </si>
  <si>
    <t>BEEF,LOIN,TNDRLN STEAK,BNLESS,L &amp; F,0" F,A GRDS,CKD,GRILLED</t>
  </si>
  <si>
    <t>13440</t>
  </si>
  <si>
    <t>BEEF,LOIN,TENDERLOIN STK,BNLESS,L &amp; F,0" F,CHOIC,CKD,GRLLED</t>
  </si>
  <si>
    <t>13441</t>
  </si>
  <si>
    <t>BEEF,LOIN,TENDERLOIN STK,BNLESS,L &amp; F,0" FAT,SEL,CKD,GRILLED</t>
  </si>
  <si>
    <t>13442</t>
  </si>
  <si>
    <t>BEEF,LOIN,TENDERLOIN STK,BNLESS,L,0" F,ALL GRDS,CKD,GRILLED</t>
  </si>
  <si>
    <t>13443</t>
  </si>
  <si>
    <t>BEEF,LOIN,TENDERLOIN STEAK,BNLESS,LN,0" FAT,CHOIC,CKD,GRLLED</t>
  </si>
  <si>
    <t>13444</t>
  </si>
  <si>
    <t>BEEF,LOIN,TENDERLOIN STEAK,BNLESS,LN,0" FAT,SEL,CKD,GRILLED</t>
  </si>
  <si>
    <t>13445</t>
  </si>
  <si>
    <t>BEEF,LOIN,TOPLOINSTK,BNLS,LIPOFF,LN FT,0" FT,ALLGRD,CKD,GRLD</t>
  </si>
  <si>
    <t>13446</t>
  </si>
  <si>
    <t>BEEF,LOIN,TOPLOINSTK,BNLS,LIP OFF,LN FT,0" FT,CHC,CKD,GRLD</t>
  </si>
  <si>
    <t>13447</t>
  </si>
  <si>
    <t>BEEF,LOIN,TOPLOINSTK,BNLS,LIP OFF,LN FAT,0" FT,SEL,CKD,GRLD</t>
  </si>
  <si>
    <t>13448</t>
  </si>
  <si>
    <t>BEEF,LOIN,TOPLOINSTK,BNLS,LIP OFF,LN,0" FT,ALL GRD,CKD,GRLD</t>
  </si>
  <si>
    <t>13449</t>
  </si>
  <si>
    <t>BEEF,LOIN,TOP LOIN STK,BNLS,LIP OFF,LN,0" FAT,CHOIC,CKD,GRLD</t>
  </si>
  <si>
    <t>13450</t>
  </si>
  <si>
    <t>BEEF,LOIN,TOP LOIN STK,BNLS,LIP OFF,LN,0" FAT,SEL,CKD,GRLD</t>
  </si>
  <si>
    <t>13451</t>
  </si>
  <si>
    <t>BEEF,TOP SIRLOIN,STEAK,LN &amp; FAT,0" FAT,ALL GRDS,CKD,BRLD</t>
  </si>
  <si>
    <t>13452</t>
  </si>
  <si>
    <t>BEEF,TOP SIRLOIN,STEAK,LN &amp; FAT,0" FAT,CHOIC,CKD,BRLD</t>
  </si>
  <si>
    <t>13453</t>
  </si>
  <si>
    <t>BEEF,TOP SIRLOIN,STEAK,LN &amp; FAT,0" FAT,SEL,CKD,BRLD</t>
  </si>
  <si>
    <t>13454</t>
  </si>
  <si>
    <t>BEEF,TOP SIRLOIN,STEAK,LN,0" FAT,ALL GRDS,CKD,BRLD</t>
  </si>
  <si>
    <t>13455</t>
  </si>
  <si>
    <t>BEEF,TOP SIRLOIN,STEAK,LN,0" FAT,CHOIC,CKD,BRLD</t>
  </si>
  <si>
    <t>13456</t>
  </si>
  <si>
    <t>BEEF,TOP SIRLOIN,STEAK,LN,0" FAT,SEL,CKD,BRLD</t>
  </si>
  <si>
    <t>13459</t>
  </si>
  <si>
    <t>BEEF,SHRT LOIN,PRTRHS STK,LN &amp; FAT,0" FAT,ALL GRDS,CKD,BRLD</t>
  </si>
  <si>
    <t>13460</t>
  </si>
  <si>
    <t>BEEF,LOIN,PRTRHS STK,LN &amp; FAT,0" FAT,USDA CHOIC,CKD,BRLD</t>
  </si>
  <si>
    <t>13463</t>
  </si>
  <si>
    <t>BEEF,SHRT LOIN,PRTRHS STK,LN &amp; FAT,0" FAT,USDA SEL,CKD,BRLD</t>
  </si>
  <si>
    <t>13464</t>
  </si>
  <si>
    <t>BEEF,SHRT LOIN,PRTRHS STEAK,LN,1/8" FAT,ALL GRDS,RAW</t>
  </si>
  <si>
    <t>13465</t>
  </si>
  <si>
    <t>BEEF,SHRT LOIN,PRTRHS STEAK,LN,1/8" FAT,ALL GRDS,CKD,GRILLED</t>
  </si>
  <si>
    <t>13466</t>
  </si>
  <si>
    <t>BEEF,SHRT LOIN,PRTRHS STEAK,LN,0" FAT,ALL GRDS,CKD,BRLD</t>
  </si>
  <si>
    <t>13467</t>
  </si>
  <si>
    <t>BEEF,SHRT LOIN,PRTRHS STEAK,LN,0" FAT,CHOIC,CKD,BRLD</t>
  </si>
  <si>
    <t>13468</t>
  </si>
  <si>
    <t>BEEF,SHRT LOIN,PRTRHS STEAK,LN,1/8" FAT,SEL,RAW</t>
  </si>
  <si>
    <t>13469</t>
  </si>
  <si>
    <t>BEEF,SHRT LOIN,PRTRHS STEAK,LN,1/8" FAT,SEL,CKD,GRILLED</t>
  </si>
  <si>
    <t>13470</t>
  </si>
  <si>
    <t>BEEF,SHRT LOIN,PRTRHS STEAK,LN,0" FAT,SEL,CKD,BRLD</t>
  </si>
  <si>
    <t>13473</t>
  </si>
  <si>
    <t>BEEF,SHRT LOIN,T-BONE STK,LN &amp; FAT,0" FAT,ALL GRDS,CKD,BRLD</t>
  </si>
  <si>
    <t>13474</t>
  </si>
  <si>
    <t>BEEF,LOIN,T-BONE STEAK,LN &amp; FAT,0" FAT,USDA CHOIC,CKD,BRLD</t>
  </si>
  <si>
    <t>13477</t>
  </si>
  <si>
    <t>BEEF,SHRT LOIN,T-BONE STK,LN &amp; FAT,0" FAT,USDA SEL,CKD,BRLD</t>
  </si>
  <si>
    <t>13478</t>
  </si>
  <si>
    <t>BEEF,SHRT LOIN,T-BONE STEAK,BONE-IN,LN,1/8" FAT,ALL GRDS,RAW</t>
  </si>
  <si>
    <t>13479</t>
  </si>
  <si>
    <t>BEEF,SHRT LN,T-BN STK,BN-IN,LN,1/8" FAT,ALL GRDS,CKD,GRILLED</t>
  </si>
  <si>
    <t>13481</t>
  </si>
  <si>
    <t>BEEF,SHRT LOIN,T-BONE STEAK,LN,0" FAT,CHOIC,CKD,BRLD</t>
  </si>
  <si>
    <t>13482</t>
  </si>
  <si>
    <t>BEEF,SHRT LOIN,T-BONE STEAK,BONE-IN,LN,1/8" FAT,SEL,RAW</t>
  </si>
  <si>
    <t>13483</t>
  </si>
  <si>
    <t>BEEF,SHRT LN,T-BONE STK,BONE-IN,LN,1/8" FAT,SEL,CKD,GRILLED</t>
  </si>
  <si>
    <t>13484</t>
  </si>
  <si>
    <t>BEEF,SHRT LOIN,T-BONE STEAK,LN,0" FAT,SEL,CKD,BRLD</t>
  </si>
  <si>
    <t>13485</t>
  </si>
  <si>
    <t>BEEF,BRISKET,FLAT HALF,LN,0" FAT,SEL,CKD,BRSD</t>
  </si>
  <si>
    <t>13486</t>
  </si>
  <si>
    <t>BEEF,RND,TIP RND,RST,LN &amp; FAT,0" FAT,ALL GRDS,RAW</t>
  </si>
  <si>
    <t>13487</t>
  </si>
  <si>
    <t>BEEF,RND,TIP RND,RST,LN &amp; FAT,0" FAT,CHOIC,RAW</t>
  </si>
  <si>
    <t>13488</t>
  </si>
  <si>
    <t>BEEF,RND,TIP RND,RST,LN &amp; FAT,0" FAT,SEL,RAW</t>
  </si>
  <si>
    <t>13490</t>
  </si>
  <si>
    <t>BEEF,RIB,EYE,SML END (RIBS 10- 12) LN,0" FAT,SEL,CKD,BRLD</t>
  </si>
  <si>
    <t>13491</t>
  </si>
  <si>
    <t>BEEF,RND,TOP RND STEAK,BNLESS,LN,0" FAT,ALL GRDS,CKD,GRILLED</t>
  </si>
  <si>
    <t>13492</t>
  </si>
  <si>
    <t>BEEF,RND,TOP RND STEAK,BNLESS,LN,0" FAT,CHOIC,CKD,GRILLED</t>
  </si>
  <si>
    <t>13493</t>
  </si>
  <si>
    <t>BEEF,RND,TOP RND STEAK,BNLESS,LN,0" FAT,SEL,CKD,GRILLED</t>
  </si>
  <si>
    <t>13494</t>
  </si>
  <si>
    <t>BEEF,GROUND,70% LN MEAT / 30% FAT,CRUMBLES,CKD,PAN-BROWNED</t>
  </si>
  <si>
    <t>13495</t>
  </si>
  <si>
    <t>BEEF,GROUND,70% LN MEAT / 30% FAT,LOAF,CKD,BKD</t>
  </si>
  <si>
    <t>13496</t>
  </si>
  <si>
    <t>BEEF,GROUND,70% LN MEAT / 30% FAT,PATTY CKD,PAN-BROILED</t>
  </si>
  <si>
    <t>13497</t>
  </si>
  <si>
    <t>BEEF,GROUND,70% LN MEAT / 30% FAT,PATTY,CKD,BRLD</t>
  </si>
  <si>
    <t>13498</t>
  </si>
  <si>
    <t>BEEF,GROUND,70% LN MEAT / 30% FAT,RAW</t>
  </si>
  <si>
    <t>13499</t>
  </si>
  <si>
    <t>BEEF,CHK,UND BL CNTR STK,BNLESS,DEN CUT,LN,0" FA, SEL, RAW</t>
  </si>
  <si>
    <t>13500</t>
  </si>
  <si>
    <t>BEEF,SHLDR TOP BLADE STEAK,BNLESS,LN,0" FAT,ALL GRDS,CKD,GRI</t>
  </si>
  <si>
    <t>13501</t>
  </si>
  <si>
    <t>BEEF,SHLDR TOP BLADE STEAK,BNLESS,LN,0" FAT,CHOIC,CKD,GRILLE</t>
  </si>
  <si>
    <t>13502</t>
  </si>
  <si>
    <t>BEEF,SHLDR TOP BLADE STEAK,BNLESS,LN,0" FAT,SEL,CKD,GRILLED</t>
  </si>
  <si>
    <t>13519</t>
  </si>
  <si>
    <t>BEEF,SHLDR TOP BLADE STEAK,BNLESS,LN,0" FAT,ALL GRDS,RAW</t>
  </si>
  <si>
    <t>13520</t>
  </si>
  <si>
    <t>BEEF,SHLDR TOP BLADE STEAK,BNLESS,LN,0" FAT,CHOIC,RAW</t>
  </si>
  <si>
    <t>13523</t>
  </si>
  <si>
    <t>BEEF,SHLDR TOP BLADE STEAK,BNLESS,LN,0" FAT,SEL,RAW</t>
  </si>
  <si>
    <t>13595</t>
  </si>
  <si>
    <t>BEEF,BRISKET,FLAT HALF,BNLESS LN,0" FAT,ALL GRDS,RAW</t>
  </si>
  <si>
    <t>14003</t>
  </si>
  <si>
    <t>ALCOHOLIC BEV,BEER,REG,ALL</t>
  </si>
  <si>
    <t>14004</t>
  </si>
  <si>
    <t>ALCOHOLIC BEV,BEER,REG,BUDWEISER</t>
  </si>
  <si>
    <t>14005</t>
  </si>
  <si>
    <t>ALCOHOLIC BEV,BEER,LT,BUDWEISER SEL</t>
  </si>
  <si>
    <t>14006</t>
  </si>
  <si>
    <t>ALCOHOLIC BEV,BEER,LT</t>
  </si>
  <si>
    <t>14007</t>
  </si>
  <si>
    <t>ALCOHOLIC BEV,BEER,LT,BUD LT</t>
  </si>
  <si>
    <t>14009</t>
  </si>
  <si>
    <t>ALCOHOLIC BEV,DAIQUIRI,CND</t>
  </si>
  <si>
    <t>14010</t>
  </si>
  <si>
    <t>ALCOHOLIC BEV,DAIQUIRI,PREPARED-FROM-RECIPE</t>
  </si>
  <si>
    <t>14013</t>
  </si>
  <si>
    <t>ALCOHOLIC BEV,BEER,LT,LO CARB</t>
  </si>
  <si>
    <t>14015</t>
  </si>
  <si>
    <t>ALCOHOLIC BEV,PINA COLADA,CND</t>
  </si>
  <si>
    <t>14016</t>
  </si>
  <si>
    <t>BEVERAGES,ALMOND MILK,SWTND,VANILLA FLAVOR,RTD</t>
  </si>
  <si>
    <t>14017</t>
  </si>
  <si>
    <t>ALCOHOLIC BEV,PINA COLADA,PREPARED-FROM-RECIPE</t>
  </si>
  <si>
    <t>14019</t>
  </si>
  <si>
    <t>ALCOHOLIC BEV,TEQUILA SUNRISE,CND</t>
  </si>
  <si>
    <t>14021</t>
  </si>
  <si>
    <t>BEVERAGES,ENERGY DRK,CITRUS</t>
  </si>
  <si>
    <t>14022</t>
  </si>
  <si>
    <t>BEVERAGES,MONSTER ENERGY DRK,LO CARB</t>
  </si>
  <si>
    <t>14024</t>
  </si>
  <si>
    <t>BEVERAGES,WHISKEY SOUR MIX,PDR</t>
  </si>
  <si>
    <t>14025</t>
  </si>
  <si>
    <t>ALCOHOLIC BEV,WHISKEY SOUR,PREP W/ H2O,WHISKEY &amp; PDR MIX</t>
  </si>
  <si>
    <t>14026</t>
  </si>
  <si>
    <t>BEV, COCA-COLA COMY,NOS 0,ENEY DRK,SUG-FRE, GUANA,  B6 &amp; B12</t>
  </si>
  <si>
    <t>14027</t>
  </si>
  <si>
    <t>ALCOHOLIC BEV,WHISKEY SOUR,CND</t>
  </si>
  <si>
    <t>14028</t>
  </si>
  <si>
    <t>BEVERAGES,WHISKEY SOUR MIX,BTLD</t>
  </si>
  <si>
    <t>14029</t>
  </si>
  <si>
    <t>ALCOHOLIC BEV,WHISKEY SOUR,PREP FROM ITEM 14028</t>
  </si>
  <si>
    <t>14030</t>
  </si>
  <si>
    <t>BEV,COCA-COLA CO,NOS ENGY ,OGN,GRPE,CHERY,CITR, VIT B6 &amp; B12</t>
  </si>
  <si>
    <t>14031</t>
  </si>
  <si>
    <t>BEV,H2O,BTLD,YUMBERRY,POMEGRANATE W/ ANTI-OXIDANTS, 0 CAL</t>
  </si>
  <si>
    <t>14033</t>
  </si>
  <si>
    <t>BEVERAGES,ABBOTT,EAS WHEY PROT PDR</t>
  </si>
  <si>
    <t>14034</t>
  </si>
  <si>
    <t>ALCOHOLIC BEV,CREME DE MENTHE,72 PROOF</t>
  </si>
  <si>
    <t>14035</t>
  </si>
  <si>
    <t>BEVERAGES,ABBOTT,EAS SOY PROT PDR</t>
  </si>
  <si>
    <t>14036</t>
  </si>
  <si>
    <t>BEVERAGES,CYTOSPORT,MUSCLE MILK,RTD</t>
  </si>
  <si>
    <t>14037</t>
  </si>
  <si>
    <t>ALCOHOLIC BEV,DISTILLED,ALL (GIN,RUM,VODKA,WHISKEY) 80 PROOF</t>
  </si>
  <si>
    <t>14038</t>
  </si>
  <si>
    <t>BEVERAGES,OCEAN SPRAY,CRAN-ENERGY,CRANBERRY ENERGY JUC DRK</t>
  </si>
  <si>
    <t>14041</t>
  </si>
  <si>
    <t>BEVERAGES,NESTLE,BOOST PLUS,NUTRITIONAL DRK,RTD</t>
  </si>
  <si>
    <t>14044</t>
  </si>
  <si>
    <t>BEVERAGES,SLIMFAST,MEAL REPLCMNT,HI PROT SHAKE,RTD,3-2-1</t>
  </si>
  <si>
    <t>14045</t>
  </si>
  <si>
    <t>BEVERAGES,UNILEVER,SLIMFAST,MEAL REPLCMNT,REG,RTD,3-2-1 PLAN</t>
  </si>
  <si>
    <t>14047</t>
  </si>
  <si>
    <t>BEVERAGES,UNILEVER,SLIMFAST SHAKE MIX,PDR,3-2-1 PLAN</t>
  </si>
  <si>
    <t>14048</t>
  </si>
  <si>
    <t>BEVERAGES,FUZE,ORANGE MANGO,FORT W/ VITAMINS A,C,E,B6</t>
  </si>
  <si>
    <t>14049</t>
  </si>
  <si>
    <t>ALCOHOLIC BEV,DISTILLED,GIN,90 PROOF</t>
  </si>
  <si>
    <t>14050</t>
  </si>
  <si>
    <t>ALCOHOLIC BEV,DISTILLED,RUM,80 PROOF</t>
  </si>
  <si>
    <t>14051</t>
  </si>
  <si>
    <t>ALCOHOLIC BEV,DISTILLED,VODKA,80 PROOF</t>
  </si>
  <si>
    <t>14052</t>
  </si>
  <si>
    <t>ALCOHOLIC BEV,DISTILLED,WHISKEY,86 PROOF</t>
  </si>
  <si>
    <t>14054</t>
  </si>
  <si>
    <t>BEVERAGES,ALMOND MILK,CHOC,RTD</t>
  </si>
  <si>
    <t>14055</t>
  </si>
  <si>
    <t>BEVERAG,UNILEV,SLIMFAST SHAKE ,HI PROT,WHEY PDR,3-2-1 PLAN,</t>
  </si>
  <si>
    <t>14056</t>
  </si>
  <si>
    <t>BEVERAGES,ACAI BERRY DRK,FORT</t>
  </si>
  <si>
    <t>14057</t>
  </si>
  <si>
    <t>ALCOHOLIC BEV,WINE,DSSRT,SWT</t>
  </si>
  <si>
    <t>14058</t>
  </si>
  <si>
    <t>BEVERAGES,WHEY PROT PDR ISOLATE</t>
  </si>
  <si>
    <t>14059</t>
  </si>
  <si>
    <t>BEVERAGES,KELLOGG'S,SPL K PROT SHAKE</t>
  </si>
  <si>
    <t>14060</t>
  </si>
  <si>
    <t>BEVERAGES,ENERGY DRK W/ CARB H2O &amp; HI FRUCTOSE CORN SYRUP</t>
  </si>
  <si>
    <t>14061</t>
  </si>
  <si>
    <t>BEVERAGES,ENERGY DRK,SUGAR FREE</t>
  </si>
  <si>
    <t>14062</t>
  </si>
  <si>
    <t>BEVERAGES,ABBOTT,ENSURE,NUTRITIONAL SHAKE,RTD</t>
  </si>
  <si>
    <t>14063</t>
  </si>
  <si>
    <t>BEVERAGES,CHOC PDR,NO SUGAR ADDED</t>
  </si>
  <si>
    <t>14064</t>
  </si>
  <si>
    <t>BEVERAGES,ORANGE JUC,LT,NO PULP</t>
  </si>
  <si>
    <t>14065</t>
  </si>
  <si>
    <t>BEVERAGES,THE COCA-COLA COMPANY,HI-C FLASHIN' FRUIT PUNCH</t>
  </si>
  <si>
    <t>14066</t>
  </si>
  <si>
    <t>BEVERAGES,PROT PDR WHEY BSD</t>
  </si>
  <si>
    <t>14067</t>
  </si>
  <si>
    <t>BEVERAGES,PROT PDR SOY BSD</t>
  </si>
  <si>
    <t>14068</t>
  </si>
  <si>
    <t>BEVERAGES,KELLOGG'S SPL K20 PROT PDR</t>
  </si>
  <si>
    <t>14073</t>
  </si>
  <si>
    <t>BEVERAGES,ZEVIA,COLA</t>
  </si>
  <si>
    <t>14074</t>
  </si>
  <si>
    <t>BEVERAGES,ZEVIA,COLA,CAFFEINE FREE</t>
  </si>
  <si>
    <t>14075</t>
  </si>
  <si>
    <t>BEVERAGE,GMBH &amp; CO. KG,GEROLSTEINER NATURALLY SPARK MIN H2O,</t>
  </si>
  <si>
    <t>14076</t>
  </si>
  <si>
    <t>BEVERAGES,ICELANDIC,GLACIAL NAT SPRING H2O</t>
  </si>
  <si>
    <t>14079</t>
  </si>
  <si>
    <t>BEVERAGES,YEL GRN COLORED CITRUS SOFT DRK W/ CAFFEINE</t>
  </si>
  <si>
    <t>14080</t>
  </si>
  <si>
    <t>BEVERAGES,RICH CHOC,PDR</t>
  </si>
  <si>
    <t>14082</t>
  </si>
  <si>
    <t>BEV,GEROLSTEINER BRUNNEN,NATURALLY SPARKLING,MIN BTLD H2O</t>
  </si>
  <si>
    <t>14083</t>
  </si>
  <si>
    <t>BEVERAGES,CHOC MALT,PDR,PREP W/ FAT FREE MILK</t>
  </si>
  <si>
    <t>14084</t>
  </si>
  <si>
    <t>ALCOHOLIC BEV,WINE,TABLE,ALL</t>
  </si>
  <si>
    <t>14086</t>
  </si>
  <si>
    <t>BEVERAGES,V8 SPLASH SMOOTHIES,PEACH MANGO</t>
  </si>
  <si>
    <t>14087</t>
  </si>
  <si>
    <t>BEVERAGES,V8 SPLASH SMOOTHIES,STRAWBERRY BANANA</t>
  </si>
  <si>
    <t>14088</t>
  </si>
  <si>
    <t>BEVERAGES,V8 SPLASH SMOOTHIES,TROPICAL COLADA</t>
  </si>
  <si>
    <t>14090</t>
  </si>
  <si>
    <t>BEVERAGES,COCNT H2O,RTD,UNSWTND</t>
  </si>
  <si>
    <t>14091</t>
  </si>
  <si>
    <t>BEVERAGES,ALMOND MILK,UNSWTND,SHELF STABLE</t>
  </si>
  <si>
    <t>14092</t>
  </si>
  <si>
    <t>BEV,CHOC ALMOND MILK,UNSWTND,SHELF-STABLE,FORT W/ VIT D2 &amp; E</t>
  </si>
  <si>
    <t>14093</t>
  </si>
  <si>
    <t>BEVERAGE, COCA-COLA CO,GLACEAU VIT H2O,REVIVE FRT PUNCH,FORT</t>
  </si>
  <si>
    <t>14095</t>
  </si>
  <si>
    <t>BEVERAGES,MINUTE MAID,LEMONADA,LIMEADE</t>
  </si>
  <si>
    <t>14096</t>
  </si>
  <si>
    <t>ALCOHOLIC BEV,WINE,TABLE,RED</t>
  </si>
  <si>
    <t>14097</t>
  </si>
  <si>
    <t>ALCOHOLIC BEV,WINE,TABLE,RED,CABERNET SAUVIGNON</t>
  </si>
  <si>
    <t>14098</t>
  </si>
  <si>
    <t>ALCOHOLIC BEV,WINE,TABLE,RED,CABERNET FRANC</t>
  </si>
  <si>
    <t>14099</t>
  </si>
  <si>
    <t>ALCOHOLIC BEV,WINE,TABLE,RED,PINOT NOIR</t>
  </si>
  <si>
    <t>14100</t>
  </si>
  <si>
    <t>ALCOHOLIC BEV,WINE,TABLE,RED,SYRAH</t>
  </si>
  <si>
    <t>14101</t>
  </si>
  <si>
    <t>ALCOHOLIC BEV,WINE,TABLE,RED,BARBERA</t>
  </si>
  <si>
    <t>14102</t>
  </si>
  <si>
    <t>ALCOHOLIC BEV,WINE,TABLE,RED,ZINFANDEL</t>
  </si>
  <si>
    <t>14103</t>
  </si>
  <si>
    <t>ALCOHOLIC BEV,WINE,TABLE,RED,PETITE SIRAH</t>
  </si>
  <si>
    <t>14105</t>
  </si>
  <si>
    <t>ALCOHOLIC BEV,WINE,TABLE,RED,CLARET</t>
  </si>
  <si>
    <t>14106</t>
  </si>
  <si>
    <t>ALCOHOLIC BEV,WINE,TABLE,WHITE</t>
  </si>
  <si>
    <t>14107</t>
  </si>
  <si>
    <t>ALCOHOLIC BEV,WINE,TABLE,RED,LEMBERGER</t>
  </si>
  <si>
    <t>14108</t>
  </si>
  <si>
    <t>ALCOHOLIC BEV,WINE,TABLE,RED,SANGIOVESE</t>
  </si>
  <si>
    <t>14109</t>
  </si>
  <si>
    <t>ALCOHOLIC BEV,WINE,TABLE,RED,CARIGNANE</t>
  </si>
  <si>
    <t>14113</t>
  </si>
  <si>
    <t>ALCOHOLIC BEV,WINE,TABLE,WHITE,PINOT GRIS (GRIGIO)</t>
  </si>
  <si>
    <t>14116</t>
  </si>
  <si>
    <t>ALCOHOLIC BEV,WINE,TABLE,WHITE,CHENIN BLANC</t>
  </si>
  <si>
    <t>14117</t>
  </si>
  <si>
    <t>ALCOHOLIC BEV,WINE,TABLE,WHITE,FUME BLANC</t>
  </si>
  <si>
    <t>14119</t>
  </si>
  <si>
    <t>BEVERAGES,MXD VEG &amp; FRUIT JUC DRK,W/ ADDED NUTR</t>
  </si>
  <si>
    <t>14120</t>
  </si>
  <si>
    <t>ALCOHOLIC BEV,WINE,TABLE,WHITE,MULLER THURGAU</t>
  </si>
  <si>
    <t>14121</t>
  </si>
  <si>
    <t>BEVERAGES,CARB,CLUB SODA</t>
  </si>
  <si>
    <t>14124</t>
  </si>
  <si>
    <t>ALCOHOLIC BEV,WINE,TABLE,WHITE,GEWURZTRAMINER</t>
  </si>
  <si>
    <t>14125</t>
  </si>
  <si>
    <t>ALCOHOLIC BEV,WINE,TABLE,WHITE,LATE HARVEST,GEWURZTRAMINER</t>
  </si>
  <si>
    <t>14126</t>
  </si>
  <si>
    <t>ALCOHOLIC BEV,WINE,TABLE,WHITE,SEMILLON</t>
  </si>
  <si>
    <t>14130</t>
  </si>
  <si>
    <t>CARBONATED BEV,CRM SODA</t>
  </si>
  <si>
    <t>14132</t>
  </si>
  <si>
    <t>ALCOHOLIC BEV,WINE,TABLE,WHITE,RIESLING</t>
  </si>
  <si>
    <t>14134</t>
  </si>
  <si>
    <t>ALCOHOLIC BEV,WINE,TABLE,WHITE,SAUVIGNON BLANC</t>
  </si>
  <si>
    <t>14135</t>
  </si>
  <si>
    <t>ALCOHOLIC BEV,WINE,TABLE,WHITE,LATE HARVEST</t>
  </si>
  <si>
    <t>14136</t>
  </si>
  <si>
    <t>BEVERAGES,CARB,GINGER ALE</t>
  </si>
  <si>
    <t>14137</t>
  </si>
  <si>
    <t>BEVERAGES,NESTEA,TEA,BLACK,RTD,LEMON</t>
  </si>
  <si>
    <t>14138</t>
  </si>
  <si>
    <t>ALCOHOLIC BEV,WINE,TABLE,WHITE,PINOT BLANC</t>
  </si>
  <si>
    <t>14140</t>
  </si>
  <si>
    <t>ALCOHOLIC BEV,WINE,TABLE,WHITE,MUSCAT</t>
  </si>
  <si>
    <t>14142</t>
  </si>
  <si>
    <t>BEVERAGES,CARB,GRAPE SODA</t>
  </si>
  <si>
    <t>14143</t>
  </si>
  <si>
    <t>BEVERAGES,CARB,LO CAL,OTHER THAN COLA OR PEPPER,WO/ CAFFEINE</t>
  </si>
  <si>
    <t>14144</t>
  </si>
  <si>
    <t>BEVERAGES,CARB,LEMON-LIME SODA,NO CAFFEINE</t>
  </si>
  <si>
    <t>14145</t>
  </si>
  <si>
    <t>BEVERAGES,CARB,SPRITE,LEMON-LIME,WO/ CAFFEINE</t>
  </si>
  <si>
    <t>14146</t>
  </si>
  <si>
    <t>BEVERAGES,CARB,LO CAL,COLA OR PEPPER-TYPE,W/ ASPRT,WO/ CAF</t>
  </si>
  <si>
    <t>14147</t>
  </si>
  <si>
    <t>BEVERAGES,CARB,COLA,WO/ CAFFEINE</t>
  </si>
  <si>
    <t>14148</t>
  </si>
  <si>
    <t>BEVERAGES,CARB,COLA,REG</t>
  </si>
  <si>
    <t>14149</t>
  </si>
  <si>
    <t>BEVERAGES,CARB,RED SUGAR,COLA,CONTAINS CAFFEINE &amp; SWEETENERS</t>
  </si>
  <si>
    <t>14150</t>
  </si>
  <si>
    <t>BEVERAGES,CARB,ORANGE</t>
  </si>
  <si>
    <t>14151</t>
  </si>
  <si>
    <t>BEV,CARB,LO CAL,OTHER THAN COLA OR PEPPER,W/ ASPRT, CAFFEINE</t>
  </si>
  <si>
    <t>14152</t>
  </si>
  <si>
    <t>ALCOHOLIC BEV,WINE,TABLE,RED,BURGUNDY</t>
  </si>
  <si>
    <t>14153</t>
  </si>
  <si>
    <t>BEVERAGES,CARB,PEPPER-TYPE,CONTAINS CAFFEINE</t>
  </si>
  <si>
    <t>14154</t>
  </si>
  <si>
    <t>BEVERAGES,ENERGY DRK,RED BULL</t>
  </si>
  <si>
    <t>14155</t>
  </si>
  <si>
    <t>BEVERAGES,CARB,TONIC H2O</t>
  </si>
  <si>
    <t>14156</t>
  </si>
  <si>
    <t>BEVERAGES,ENERGY DRK,RED BULL,SUGAR FREE,W/ ADDED CAFFEINE,</t>
  </si>
  <si>
    <t>14157</t>
  </si>
  <si>
    <t>BEVERAGES,CARB,ROOT BEER</t>
  </si>
  <si>
    <t>14158</t>
  </si>
  <si>
    <t>ALCOHOLIC BEV,WINE,TABLE,RED,GAMAY</t>
  </si>
  <si>
    <t>14159</t>
  </si>
  <si>
    <t>ALCOHOLIC BEV,WINE,TABLE,RED,MOUVEDRE</t>
  </si>
  <si>
    <t>14160</t>
  </si>
  <si>
    <t>ALCOHOLIC BEV,WINE,TABLE,WHITE,CHARDONNAY</t>
  </si>
  <si>
    <t>14161</t>
  </si>
  <si>
    <t>BEVERAGES,KIWI STRAWBERRY JUC DRK</t>
  </si>
  <si>
    <t>14162</t>
  </si>
  <si>
    <t>BEVERAGES,APPL JUC DRK,LT,FORT W/ VIT C</t>
  </si>
  <si>
    <t>14163</t>
  </si>
  <si>
    <t>BEVERAGES,CHOC DRK,MILK &amp; SOY BSD,READY TO DRK,FORT</t>
  </si>
  <si>
    <t>14164</t>
  </si>
  <si>
    <t>BEVERAGES,CHOC MALT PDR,PREP W/ 1% MILK,FORT</t>
  </si>
  <si>
    <t>14165</t>
  </si>
  <si>
    <t>BEVERAGES,CARB,LIMEADE,HI CAFFEINE</t>
  </si>
  <si>
    <t>14166</t>
  </si>
  <si>
    <t>BEV,CARB,LO CAL,COLA OR PEPER-TYPE,W/ NA SACCHARIN, CAFFEINE</t>
  </si>
  <si>
    <t>14167</t>
  </si>
  <si>
    <t>BEVERAGES,POWERADE,ZERO,MXD BERRY</t>
  </si>
  <si>
    <t>14168</t>
  </si>
  <si>
    <t>BEVERAGES,CAROB-FLAVOR BEV MIX,PDR</t>
  </si>
  <si>
    <t>14169</t>
  </si>
  <si>
    <t>BEVERAGES,CAROB-FLAVOR BEV MIX,PDR,PREP W/ WHL MILK</t>
  </si>
  <si>
    <t>14171</t>
  </si>
  <si>
    <t>BEVERAGES,COCNT MILK,SWTND,FORT W/ CA,VITAMINS A,B12,D2</t>
  </si>
  <si>
    <t>14173</t>
  </si>
  <si>
    <t>BEVERAGES,COFFEE,READY TO DRK,VANILLA,LT,MILK BSD,SWTND</t>
  </si>
  <si>
    <t>14174</t>
  </si>
  <si>
    <t>BEVE,LEMONADE FRUIT JUC DRK LT,FORT W/ VIT E &amp; C</t>
  </si>
  <si>
    <t>14177</t>
  </si>
  <si>
    <t>BEVERAGES,CHOCOLATE-FLAVOR BEV MIX,PDR,PREP W/ WHL MILK</t>
  </si>
  <si>
    <t>14179</t>
  </si>
  <si>
    <t>BEVERAGES,COFFEE,READY TO DRK,MILK BSD,SWTND</t>
  </si>
  <si>
    <t>14180</t>
  </si>
  <si>
    <t>BEVERAGES,COFFEE,BREWED,BRKFST BLEND</t>
  </si>
  <si>
    <t>14181</t>
  </si>
  <si>
    <t>BEVERAGES,CHOC SYRUP</t>
  </si>
  <si>
    <t>14182</t>
  </si>
  <si>
    <t>BEVERAGES,CHOC SYRUP,PREP W/ WHL MILK</t>
  </si>
  <si>
    <t>14183</t>
  </si>
  <si>
    <t>BEVERAGES,COFFEE,READY TO DRK,ICED,MOCHA,MILK BSD</t>
  </si>
  <si>
    <t>14185</t>
  </si>
  <si>
    <t>BEVERAGES,TEA,OOLONG,BREWED</t>
  </si>
  <si>
    <t>14187</t>
  </si>
  <si>
    <t>BEVERAGES,CLAM &amp; TOMATO JUC,CND</t>
  </si>
  <si>
    <t>14188</t>
  </si>
  <si>
    <t>BEVERAGES,TEA,GRN,READY TO DRK,GINSENG &amp; HONEY,SWTND</t>
  </si>
  <si>
    <t>14189</t>
  </si>
  <si>
    <t>BEVERAGES,THE COCA-COLA COMPANY,MINUTE MAID,LEMONADE</t>
  </si>
  <si>
    <t>14190</t>
  </si>
  <si>
    <t>BEVERAGES,TEA,GRN,RTD,DIET</t>
  </si>
  <si>
    <t>14191</t>
  </si>
  <si>
    <t>BEVERAGES,TEA,GRN,RTD,CITRUS,DIET,FORT W/ VIT C</t>
  </si>
  <si>
    <t>14192</t>
  </si>
  <si>
    <t>BEVERAGES,COCOA MIX,PDR</t>
  </si>
  <si>
    <t>14194</t>
  </si>
  <si>
    <t>BEVERAGES,COCOA MIX,PDR,PREP W/ H2O</t>
  </si>
  <si>
    <t>14195</t>
  </si>
  <si>
    <t>BEV,COCOA MIX,NESTLE,HOT COCOA MIX RICH CHOC W/ MARSHMALLOWS</t>
  </si>
  <si>
    <t>14196</t>
  </si>
  <si>
    <t>BEVERAGES,COCOA MIX,NO SUGAR ADDED,PDR</t>
  </si>
  <si>
    <t>14197</t>
  </si>
  <si>
    <t>COCOA MIX,NESTLE,RICH CHOC HOT COCOA MIX</t>
  </si>
  <si>
    <t>14199</t>
  </si>
  <si>
    <t>BEVERAGES,TEA,BLACK,RTD,LEMON,SWTND</t>
  </si>
  <si>
    <t>14201</t>
  </si>
  <si>
    <t>BEVERAGES,COFFEE,BREWED,PREP W/ TAP H2O,DECAFFEINATED</t>
  </si>
  <si>
    <t>14202</t>
  </si>
  <si>
    <t>BEVERAGES,COFFEE,BREWED,ESPRESSO,REST-PREP,DECAFFEINATED</t>
  </si>
  <si>
    <t>14203</t>
  </si>
  <si>
    <t>BEVERAGES,COFFEE,INST,REG,HALF THE CAFFEINE</t>
  </si>
  <si>
    <t>14204</t>
  </si>
  <si>
    <t>BEVERAGES,COFFEE&amp;COCOA,INST,DECAFFEINATED,W/WHTNR&amp;LOCALSWTNR</t>
  </si>
  <si>
    <t>14206</t>
  </si>
  <si>
    <t>BEVERAGES,TEA,GRN,RTD,SWTND</t>
  </si>
  <si>
    <t>14207</t>
  </si>
  <si>
    <t>BEVERAGES,TEA,RTD,LEMON,DIET</t>
  </si>
  <si>
    <t>14209</t>
  </si>
  <si>
    <t>BEVERAGES,COFFEE,BREWED,PREP W/ TAP H2O</t>
  </si>
  <si>
    <t>14210</t>
  </si>
  <si>
    <t>BEVERAGES,COFFEE,BREWED,ESPRESSO,REST-PREP</t>
  </si>
  <si>
    <t>14211</t>
  </si>
  <si>
    <t>BEVERAGES,TEA,BLACK,RTD,LEMON,DIET</t>
  </si>
  <si>
    <t>14214</t>
  </si>
  <si>
    <t>BEVERAGES,COFFEE,INST,REG,PDR</t>
  </si>
  <si>
    <t>14215</t>
  </si>
  <si>
    <t>BEVERAGES,COFFEE,INST,REG,PREP W/ H2O</t>
  </si>
  <si>
    <t>14216</t>
  </si>
  <si>
    <t>BEVERAGES,ALOE VERA JUC DRK,FORT W/ VIT C</t>
  </si>
  <si>
    <t>14217</t>
  </si>
  <si>
    <t>BEVERAGES,OCEAN SPRAY,CRAN GRAPE</t>
  </si>
  <si>
    <t>14218</t>
  </si>
  <si>
    <t>BEVERAGES,COFFEE,INST,DECAFFEINATED,PDR</t>
  </si>
  <si>
    <t>14219</t>
  </si>
  <si>
    <t>BEVERAGES,COFFEE,INST,DECAFFEINATED,PREP W/ H2O</t>
  </si>
  <si>
    <t>14220</t>
  </si>
  <si>
    <t>Beverages, OCEAN SPRAY, Cranberry-Apple Juice Drink, bottled</t>
  </si>
  <si>
    <t>14221</t>
  </si>
  <si>
    <t>BEVERAGES,OCEAN SPRAY,DIET CRANBERRY JUC</t>
  </si>
  <si>
    <t>14222</t>
  </si>
  <si>
    <t>BEVERAGES,COFFEE,INST,W/ CHICORY</t>
  </si>
  <si>
    <t>14223</t>
  </si>
  <si>
    <t>BEVERAGES,COFFEE,INST,CHICORY</t>
  </si>
  <si>
    <t>14224</t>
  </si>
  <si>
    <t>BEVERAGES,COFFEE,INST,MOCHA,SWTND</t>
  </si>
  <si>
    <t>14226</t>
  </si>
  <si>
    <t>BEVERAGES,OCEAN SPRAY,LT CRANBERRY &amp; RASPBERRY FLAV JUC</t>
  </si>
  <si>
    <t>14227</t>
  </si>
  <si>
    <t>BEVERAGES,OCEAN SPRAYWHITE CRANBERRY STRAWBERRY FLAV JUC DRK</t>
  </si>
  <si>
    <t>14231</t>
  </si>
  <si>
    <t>BEVERAGES,KRAFT,COFFEE,INST,FRENCH VANILLA CAFE</t>
  </si>
  <si>
    <t>14233</t>
  </si>
  <si>
    <t>Beverages, OCEAN SPRAY, Cran Raspberry Juice Drink</t>
  </si>
  <si>
    <t>14234</t>
  </si>
  <si>
    <t>BEVERAGES,OCEAN SPRAY,CRAN LEMONADE</t>
  </si>
  <si>
    <t>14235</t>
  </si>
  <si>
    <t>BEV, OCEAN SPRAY, CRAN CHERRY DIET</t>
  </si>
  <si>
    <t>14236</t>
  </si>
  <si>
    <t>BEVERAGES,COFFEE SUB,CRL GRAIN BEV,PDR</t>
  </si>
  <si>
    <t>14237</t>
  </si>
  <si>
    <t>BEVERAGES,COFFEE SUB,CRL GRAIN BEV,PREP W/ H2O</t>
  </si>
  <si>
    <t>14238</t>
  </si>
  <si>
    <t>BEVERAGES,CRANBERRY-APPLE JUC DRK,BTLD</t>
  </si>
  <si>
    <t>14239</t>
  </si>
  <si>
    <t>ALCOHOLIC BEV,MALT BEER,HARD LEMONADE</t>
  </si>
  <si>
    <t>14240</t>
  </si>
  <si>
    <t>BEVERAGES,CRANBERRY-APRICOT JUC DRK,BTLD</t>
  </si>
  <si>
    <t>14241</t>
  </si>
  <si>
    <t>BEVERAGES,CRANBERRY-GRAPE JUC DRK,BTLD</t>
  </si>
  <si>
    <t>14242</t>
  </si>
  <si>
    <t>CRANBERRY JUC COCKTAIL,BTLD</t>
  </si>
  <si>
    <t>14243</t>
  </si>
  <si>
    <t>CRANBERRY JUC COCKTAIL,BTLD,LO CAL,W/CA,SACCHARIN&amp;CORN SWTNR</t>
  </si>
  <si>
    <t>14245</t>
  </si>
  <si>
    <t>BEVERAGES,EGGNOG-FLAVOR MIX,PDR,PREP W/ WHL MILK</t>
  </si>
  <si>
    <t>14246</t>
  </si>
  <si>
    <t>BEVERAGES,TEA,GRN,INST,DECAFFEI,LEMON,UNSWTND,FORT W/ VIT C</t>
  </si>
  <si>
    <t>14247</t>
  </si>
  <si>
    <t>BEVERAGES,TEA,BLACK,READY TO DRK</t>
  </si>
  <si>
    <t>14248</t>
  </si>
  <si>
    <t>ALCOHOLIC BEV,BEER,LT,HIGHER ALCOHOL</t>
  </si>
  <si>
    <t>14250</t>
  </si>
  <si>
    <t>BEVERAGES,AMBER,HARD CIDER</t>
  </si>
  <si>
    <t>14251</t>
  </si>
  <si>
    <t>ALCOHOLIC BEVERAGES,BEER,HIGHER ALCOHOL</t>
  </si>
  <si>
    <t>14252</t>
  </si>
  <si>
    <t>BEVERAGES,MALT LIQUOR BEV</t>
  </si>
  <si>
    <t>14253</t>
  </si>
  <si>
    <t>ALCOHOLIC BEVERAGES,WINE,ROSE</t>
  </si>
  <si>
    <t>14255</t>
  </si>
  <si>
    <t>BEVERAGES,OCEAN SPRAY,CRAN POMEGRANATE</t>
  </si>
  <si>
    <t>14256</t>
  </si>
  <si>
    <t>BEVERAGES,OCEAN SPRAY,CRAN CHERRY</t>
  </si>
  <si>
    <t>14257</t>
  </si>
  <si>
    <t>BEVERAGES,OCEAN SPRAY,LT CRANBERRY</t>
  </si>
  <si>
    <t>14258</t>
  </si>
  <si>
    <t>Beverages, OCEAN SPRAY, White Cranberry Peach</t>
  </si>
  <si>
    <t>14259</t>
  </si>
  <si>
    <t>BEVERAGES,OCEAN SPRAY,LT CRANBERRY,CONCORD GRAPE</t>
  </si>
  <si>
    <t>14260</t>
  </si>
  <si>
    <t>BEVERAGES,TEA,GRN,BREWED,DECAFFEINATED</t>
  </si>
  <si>
    <t>14261</t>
  </si>
  <si>
    <t>BEVERAGES,TEA,GRN,READY TO DRK,UNSWTND</t>
  </si>
  <si>
    <t>14262</t>
  </si>
  <si>
    <t>BEVERAGES,CITRUS FRUIT JUC DRK,FRZ CONC</t>
  </si>
  <si>
    <t>15001</t>
  </si>
  <si>
    <t>ANCHOVY,EUROPEAN,RAW</t>
  </si>
  <si>
    <t>15002</t>
  </si>
  <si>
    <t>ANCHOVY,EUROPEAN,CND IN OIL,DRND SOL</t>
  </si>
  <si>
    <t>15003</t>
  </si>
  <si>
    <t>BASS,FRSH H2O,MXD SP,RAW</t>
  </si>
  <si>
    <t>15004</t>
  </si>
  <si>
    <t>BASS,STRIPED,RAW</t>
  </si>
  <si>
    <t>15005</t>
  </si>
  <si>
    <t>BLUEFISH,RAW</t>
  </si>
  <si>
    <t>15006</t>
  </si>
  <si>
    <t>BURBOT,RAW</t>
  </si>
  <si>
    <t>15007</t>
  </si>
  <si>
    <t>BUTTERFISH,RAW</t>
  </si>
  <si>
    <t>15008</t>
  </si>
  <si>
    <t>CARP,RAW</t>
  </si>
  <si>
    <t>15009</t>
  </si>
  <si>
    <t>CARP,COOKED,DRY HEAT</t>
  </si>
  <si>
    <t>15010</t>
  </si>
  <si>
    <t>CATFISH,CHANNEL,WILD,RAW</t>
  </si>
  <si>
    <t>15011</t>
  </si>
  <si>
    <t>CATFISH,CHANNEL,CKD,BREADED&amp;FRIED</t>
  </si>
  <si>
    <t>15012</t>
  </si>
  <si>
    <t>CAVIAR,BLACK&amp;RED,GRANULAR</t>
  </si>
  <si>
    <t>15013</t>
  </si>
  <si>
    <t>CISCO,RAW</t>
  </si>
  <si>
    <t>15014</t>
  </si>
  <si>
    <t>CISCO,SMOKED</t>
  </si>
  <si>
    <t>15015</t>
  </si>
  <si>
    <t>COD,ATLANTIC,RAW</t>
  </si>
  <si>
    <t>15016</t>
  </si>
  <si>
    <t>COD,ATLANTIC,CKD,DRY HEAT</t>
  </si>
  <si>
    <t>15017</t>
  </si>
  <si>
    <t>COD,ATLANTIC,CND,SOL&amp;LIQ</t>
  </si>
  <si>
    <t>15018</t>
  </si>
  <si>
    <t>COD,ATLANTIC,DRIED&amp;SALTED</t>
  </si>
  <si>
    <t>15019</t>
  </si>
  <si>
    <t>FISH,COD,PACIFIC,RAW (MAY HAVE BEEN PREVIOUSLY FROZEN)</t>
  </si>
  <si>
    <t>15020</t>
  </si>
  <si>
    <t>CROAKER,ATLANTIC,RAW</t>
  </si>
  <si>
    <t>15021</t>
  </si>
  <si>
    <t>CROAKER,ATLANTIC,CKD,BREADED&amp;FRIED</t>
  </si>
  <si>
    <t>15022</t>
  </si>
  <si>
    <t>CUSK,RAW</t>
  </si>
  <si>
    <t>15023</t>
  </si>
  <si>
    <t>FISH,MAHIMAHI,RAW</t>
  </si>
  <si>
    <t>15024</t>
  </si>
  <si>
    <t>DRUM,FRESHWATER,RAW</t>
  </si>
  <si>
    <t>15025</t>
  </si>
  <si>
    <t>EEL,MIXED SPECIES,RAW</t>
  </si>
  <si>
    <t>15026</t>
  </si>
  <si>
    <t>EEL,MXD SP,CKD,DRY HEAT</t>
  </si>
  <si>
    <t>15027</t>
  </si>
  <si>
    <t>FISH,FISH STKS,FRZ,PREP</t>
  </si>
  <si>
    <t>15028</t>
  </si>
  <si>
    <t>FLATFISH (FLOUNDER&amp;SOLE SP),RAW</t>
  </si>
  <si>
    <t>15029</t>
  </si>
  <si>
    <t>FLATFISH (FLOUNDER&amp;SOLE SP),CKD,DRY HEAT</t>
  </si>
  <si>
    <t>15030</t>
  </si>
  <si>
    <t>GEFILTEFISH,COMM,SWT RECIPE</t>
  </si>
  <si>
    <t>15031</t>
  </si>
  <si>
    <t>GROUPER,MIXED SPECIES,RAW</t>
  </si>
  <si>
    <t>15032</t>
  </si>
  <si>
    <t>GROUPER,MXD SP,CKD,DRY HEAT</t>
  </si>
  <si>
    <t>15033</t>
  </si>
  <si>
    <t>HADDOCK,RAW</t>
  </si>
  <si>
    <t>15034</t>
  </si>
  <si>
    <t>HADDOCK,COOKED,DRY HEAT</t>
  </si>
  <si>
    <t>15035</t>
  </si>
  <si>
    <t>HADDOCK,SMOKED</t>
  </si>
  <si>
    <t>15036</t>
  </si>
  <si>
    <t>HALIBUT,ATLANTIC&amp;PACIFIC,RAW</t>
  </si>
  <si>
    <t>15037</t>
  </si>
  <si>
    <t>HALIBUT,ATLANTIC&amp;PACIFIC,CKD,DRY HEAT</t>
  </si>
  <si>
    <t>15038</t>
  </si>
  <si>
    <t>HALIBUT,GREENLAND,RAW</t>
  </si>
  <si>
    <t>15039</t>
  </si>
  <si>
    <t>HERRING,ATLANTIC,RAW</t>
  </si>
  <si>
    <t>15040</t>
  </si>
  <si>
    <t>HERRING,ATLANTIC,CKD,DRY HEAT</t>
  </si>
  <si>
    <t>15041</t>
  </si>
  <si>
    <t>HERRING,ATLANTIC,PICKLED</t>
  </si>
  <si>
    <t>15042</t>
  </si>
  <si>
    <t>HERRING,ATLANTIC,KIPPERED</t>
  </si>
  <si>
    <t>15043</t>
  </si>
  <si>
    <t>HERRING,PACIFIC,RAW</t>
  </si>
  <si>
    <t>15044</t>
  </si>
  <si>
    <t>LING,RAW</t>
  </si>
  <si>
    <t>15045</t>
  </si>
  <si>
    <t>LINGCOD,RAW</t>
  </si>
  <si>
    <t>15046</t>
  </si>
  <si>
    <t>MACKEREL,ATLANTIC,RAW</t>
  </si>
  <si>
    <t>15047</t>
  </si>
  <si>
    <t>MACKEREL,ATLANTIC,CKD,DRY HEAT</t>
  </si>
  <si>
    <t>15048</t>
  </si>
  <si>
    <t>MACKEREL,JACK,CND,DRND SOL</t>
  </si>
  <si>
    <t>15049</t>
  </si>
  <si>
    <t>MACKEREL,KING,RAW</t>
  </si>
  <si>
    <t>15050</t>
  </si>
  <si>
    <t>MACKEREL,PACIFIC&amp;JACK,MXD SP,RAW</t>
  </si>
  <si>
    <t>15051</t>
  </si>
  <si>
    <t>MACKEREL,SPANISH,RAW</t>
  </si>
  <si>
    <t>15052</t>
  </si>
  <si>
    <t>MACKEREL,SPANISH,CKD,DRY HEAT</t>
  </si>
  <si>
    <t>15053</t>
  </si>
  <si>
    <t>MILKFISH,RAW</t>
  </si>
  <si>
    <t>15054</t>
  </si>
  <si>
    <t>MONKFISH,RAW</t>
  </si>
  <si>
    <t>15055</t>
  </si>
  <si>
    <t>MULLET,STRIPED,RAW</t>
  </si>
  <si>
    <t>15056</t>
  </si>
  <si>
    <t>MULLET,STRIPED,CKD,DRY HEAT</t>
  </si>
  <si>
    <t>15057</t>
  </si>
  <si>
    <t>OCEAN PERCH,ATLANTIC,RAW</t>
  </si>
  <si>
    <t>15058</t>
  </si>
  <si>
    <t>OCEAN PERCH,ATLANTIC,CKD,DRY HEAT</t>
  </si>
  <si>
    <t>15059</t>
  </si>
  <si>
    <t>POUT,OCEAN,RAW</t>
  </si>
  <si>
    <t>15060</t>
  </si>
  <si>
    <t>PERCH,MIXED SPECIES,RAW</t>
  </si>
  <si>
    <t>15061</t>
  </si>
  <si>
    <t>PERCH,MXD SP,CKD,DRY HEAT</t>
  </si>
  <si>
    <t>15062</t>
  </si>
  <si>
    <t>PIKE,NORTHERN,RAW</t>
  </si>
  <si>
    <t>15063</t>
  </si>
  <si>
    <t>PIKE,NORTHERN,CKD,DRY HEAT</t>
  </si>
  <si>
    <t>15064</t>
  </si>
  <si>
    <t>PIKE,WALLEYE,RAW</t>
  </si>
  <si>
    <t>15065</t>
  </si>
  <si>
    <t>POLLOCK,ATLANTIC,RAW</t>
  </si>
  <si>
    <t>15066</t>
  </si>
  <si>
    <t>FISH,POLLOCK,ALASKA,RAW (MAY HAVE BEEN PREVIOUSLY FROZEN)</t>
  </si>
  <si>
    <t>15067</t>
  </si>
  <si>
    <t>FISH,POLLOCK,ALASKA,CKD,DRY HEAT (MAYBE PREVIOUSLY FROZEN)</t>
  </si>
  <si>
    <t>15068</t>
  </si>
  <si>
    <t>POMPANO,FLORIDA,RAW</t>
  </si>
  <si>
    <t>15069</t>
  </si>
  <si>
    <t>POMPANO,FLORIDA,CKD,DRY HEAT</t>
  </si>
  <si>
    <t>15070</t>
  </si>
  <si>
    <t>ROCKFISH,PACIFIC,MXD SP,RAW</t>
  </si>
  <si>
    <t>15071</t>
  </si>
  <si>
    <t>ROCKFISH,PACIFIC,MXD SP,CKD,DRY HEAT</t>
  </si>
  <si>
    <t>15072</t>
  </si>
  <si>
    <t>ROE,MIXED SPECIES,RAW</t>
  </si>
  <si>
    <t>15073</t>
  </si>
  <si>
    <t>ROUGHY,ORANGE,RAW</t>
  </si>
  <si>
    <t>15074</t>
  </si>
  <si>
    <t>SABLEFISH,RAW</t>
  </si>
  <si>
    <t>15075</t>
  </si>
  <si>
    <t>SABLEFISH,SMOKED</t>
  </si>
  <si>
    <t>15076</t>
  </si>
  <si>
    <t>SALMON,ATLANTIC,WILD,RAW</t>
  </si>
  <si>
    <t>15077</t>
  </si>
  <si>
    <t>SALMON,CHINOOK,SMOKED</t>
  </si>
  <si>
    <t>15078</t>
  </si>
  <si>
    <t>SALMON,CHINOOK,RAW</t>
  </si>
  <si>
    <t>15079</t>
  </si>
  <si>
    <t>SALMON,CHUM,RAW</t>
  </si>
  <si>
    <t>15080</t>
  </si>
  <si>
    <t>SALMON,CHUM,DRND SOL W/BONE</t>
  </si>
  <si>
    <t>15081</t>
  </si>
  <si>
    <t>SALMON,COHO,WILD,RAW</t>
  </si>
  <si>
    <t>15082</t>
  </si>
  <si>
    <t>SALMON,COHO,WILD,CKD,MOIST HEAT</t>
  </si>
  <si>
    <t>15083</t>
  </si>
  <si>
    <t>SALMON,PINK,RAW</t>
  </si>
  <si>
    <t>15084</t>
  </si>
  <si>
    <t>FISH,SALMON,PINK,CND,TOTAL CAN CONTENTS</t>
  </si>
  <si>
    <t>15085</t>
  </si>
  <si>
    <t>FISH,SALMON,SOCKEYE,RAW</t>
  </si>
  <si>
    <t>15086</t>
  </si>
  <si>
    <t>FISH,SALMON,SOCKEYE,CKD,DRY HEAT</t>
  </si>
  <si>
    <t>15087</t>
  </si>
  <si>
    <t>FISH,SALMON,SOCKEYE,CND,DRND SOL</t>
  </si>
  <si>
    <t>15088</t>
  </si>
  <si>
    <t>SARDINE,ATLANTIC,CND IN OIL,DRND SOL W/BONE</t>
  </si>
  <si>
    <t>15089</t>
  </si>
  <si>
    <t>SARDINE,PACIFIC,CND IN TOMATO SAU,DRND SOL W/BONE</t>
  </si>
  <si>
    <t>15090</t>
  </si>
  <si>
    <t>SCUP,RAW</t>
  </si>
  <si>
    <t>15091</t>
  </si>
  <si>
    <t>SEA BASS,MXD SP,RAW</t>
  </si>
  <si>
    <t>15092</t>
  </si>
  <si>
    <t>SEA BASS,MXD SP,CKD,DRY HEAT</t>
  </si>
  <si>
    <t>15093</t>
  </si>
  <si>
    <t>SEATROUT,MXD SP,RAW</t>
  </si>
  <si>
    <t>15094</t>
  </si>
  <si>
    <t>SHAD,AMERICAN,RAW</t>
  </si>
  <si>
    <t>15095</t>
  </si>
  <si>
    <t>SHARK,MIXED SPECIES,RAW</t>
  </si>
  <si>
    <t>15096</t>
  </si>
  <si>
    <t>SHARK,MXD SP,CKD,BATTER-DIPPED&amp;FRIED</t>
  </si>
  <si>
    <t>15097</t>
  </si>
  <si>
    <t>SHEEPSHEAD,RAW</t>
  </si>
  <si>
    <t>15098</t>
  </si>
  <si>
    <t>SHEEPSHEAD,CKD,DRY HEAT</t>
  </si>
  <si>
    <t>15099</t>
  </si>
  <si>
    <t>SMELT,RAINBOW,RAW</t>
  </si>
  <si>
    <t>15100</t>
  </si>
  <si>
    <t>SMELT,RAINBOW,CKD,DRY HEAT</t>
  </si>
  <si>
    <t>15101</t>
  </si>
  <si>
    <t>SNAPPER,MIXED SPECIES,RAW</t>
  </si>
  <si>
    <t>15102</t>
  </si>
  <si>
    <t>SNAPPER,MXD SP,CKD,DRY HEAT</t>
  </si>
  <si>
    <t>15103</t>
  </si>
  <si>
    <t>SPOT,RAW</t>
  </si>
  <si>
    <t>15104</t>
  </si>
  <si>
    <t>STURGEON,MXD SP,RAW</t>
  </si>
  <si>
    <t>15105</t>
  </si>
  <si>
    <t>STURGEON,MXD SP,CKD,DRY HEAT</t>
  </si>
  <si>
    <t>15106</t>
  </si>
  <si>
    <t>STURGEON,MXD SP,SMOKED</t>
  </si>
  <si>
    <t>15107</t>
  </si>
  <si>
    <t>SUCKER,WHITE,RAW</t>
  </si>
  <si>
    <t>15108</t>
  </si>
  <si>
    <t>SUNFISH,PUMPKIN SEED,RAW</t>
  </si>
  <si>
    <t>15109</t>
  </si>
  <si>
    <t>SURIMI</t>
  </si>
  <si>
    <t>15110</t>
  </si>
  <si>
    <t>SWORDFISH,RAW</t>
  </si>
  <si>
    <t>15111</t>
  </si>
  <si>
    <t>SWORDFISH,COOKED,DRY HEAT</t>
  </si>
  <si>
    <t>15112</t>
  </si>
  <si>
    <t>TILEFISH,RAW</t>
  </si>
  <si>
    <t>15113</t>
  </si>
  <si>
    <t>TILEFISH,COOKED,DRY HEAT</t>
  </si>
  <si>
    <t>15114</t>
  </si>
  <si>
    <t>TROUT,MIXED SPECIES,RAW</t>
  </si>
  <si>
    <t>15115</t>
  </si>
  <si>
    <t>TROUT,RAINBOW,WILD,RAW</t>
  </si>
  <si>
    <t>15116</t>
  </si>
  <si>
    <t>TROUT,RAINBOW,WILD,CKD,DRY HEAT</t>
  </si>
  <si>
    <t>15117</t>
  </si>
  <si>
    <t>TUNA,FRESH,BLUEFIN,RAW</t>
  </si>
  <si>
    <t>15118</t>
  </si>
  <si>
    <t>TUNA,FRSH,BLUEFIN,CKD,DRY HEAT</t>
  </si>
  <si>
    <t>15119</t>
  </si>
  <si>
    <t>TUNA,LT,CND IN OIL,DRND SOL</t>
  </si>
  <si>
    <t>15121</t>
  </si>
  <si>
    <t>FISH,TUNA,LT,CND IN H2O,DRND SOL</t>
  </si>
  <si>
    <t>15123</t>
  </si>
  <si>
    <t>TUNA,FRESH,SKIPJACK,RAW</t>
  </si>
  <si>
    <t>15124</t>
  </si>
  <si>
    <t>TUNA,WHITE,CND IN OIL,DRND SOL</t>
  </si>
  <si>
    <t>15126</t>
  </si>
  <si>
    <t>TUNA,WHITE,CND IN H2O,DRND SOL</t>
  </si>
  <si>
    <t>15127</t>
  </si>
  <si>
    <t>TUNA,FRESH,YELLOWFIN,RAW</t>
  </si>
  <si>
    <t>15128</t>
  </si>
  <si>
    <t>TUNA SALAD</t>
  </si>
  <si>
    <t>15129</t>
  </si>
  <si>
    <t>TURBOT,EUROPEAN,RAW</t>
  </si>
  <si>
    <t>15130</t>
  </si>
  <si>
    <t>WHITEFISH,MXD SP,RAW</t>
  </si>
  <si>
    <t>15131</t>
  </si>
  <si>
    <t>WHITEFISH,MXD SP,SMOKED</t>
  </si>
  <si>
    <t>15132</t>
  </si>
  <si>
    <t>WHITING,MIXED SPECIES,RAW</t>
  </si>
  <si>
    <t>15133</t>
  </si>
  <si>
    <t>WHITING,MXD SP,CKD,DRY HEAT</t>
  </si>
  <si>
    <t>15134</t>
  </si>
  <si>
    <t>WOLFFISH,ATLANTIC,RAW</t>
  </si>
  <si>
    <t>15135</t>
  </si>
  <si>
    <t>YELLOWTAIL,MXD SP,RAW</t>
  </si>
  <si>
    <t>15136</t>
  </si>
  <si>
    <t>CRAB,ALASKA KING,RAW</t>
  </si>
  <si>
    <t>15137</t>
  </si>
  <si>
    <t>CRAB,ALASKA KING,CKD,MOIST HEAT</t>
  </si>
  <si>
    <t>15138</t>
  </si>
  <si>
    <t>CRAB,ALASKA KING,IMITN,MADE FROM SURIMI</t>
  </si>
  <si>
    <t>15139</t>
  </si>
  <si>
    <t>CRAB,BLUE,RAW</t>
  </si>
  <si>
    <t>15140</t>
  </si>
  <si>
    <t>CRAB,BLUE,CKD,MOIST HEAT</t>
  </si>
  <si>
    <t>15141</t>
  </si>
  <si>
    <t>CRAB,BLUE,CANNED</t>
  </si>
  <si>
    <t>15142</t>
  </si>
  <si>
    <t>CRUSTACEANS,CRAB,BLUE,CRAB CAKES,HOME RECIPE</t>
  </si>
  <si>
    <t>15143</t>
  </si>
  <si>
    <t>CRAB,DUNGENESS,RAW</t>
  </si>
  <si>
    <t>15144</t>
  </si>
  <si>
    <t>CRAB,QUEEN,RAW</t>
  </si>
  <si>
    <t>15145</t>
  </si>
  <si>
    <t>CRAYFISH,MXD SP,WILD,RAW</t>
  </si>
  <si>
    <t>15146</t>
  </si>
  <si>
    <t>CRAYFISH,MXD SP,WILD,CKD,MOIST HEAT</t>
  </si>
  <si>
    <t>15147</t>
  </si>
  <si>
    <t>LOBSTER,NORTHERN,RAW</t>
  </si>
  <si>
    <t>15148</t>
  </si>
  <si>
    <t>LOBSTER,NORTHERN,CKD,MOIST HEAT</t>
  </si>
  <si>
    <t>15149</t>
  </si>
  <si>
    <t>CRUSTACEANS,SHRIMP,MXD SP,RAW (MAYBE PREVIOUSLY FROZEN)</t>
  </si>
  <si>
    <t>15150</t>
  </si>
  <si>
    <t>SHRIMP,MXD SP,CKD,BREADED&amp;FRIED</t>
  </si>
  <si>
    <t>15151</t>
  </si>
  <si>
    <t>CRUSTACEANS,SHRIMP,MXD SP,CKD,MST HT (MAYBE PREVIOUSLY FRZ)</t>
  </si>
  <si>
    <t>15152</t>
  </si>
  <si>
    <t>SHRIMP,MXD SP,CND</t>
  </si>
  <si>
    <t>15153</t>
  </si>
  <si>
    <t>SHRIMP,MXD SP,IMITN,MADE FROM SURIMI</t>
  </si>
  <si>
    <t>15154</t>
  </si>
  <si>
    <t>SPINY LOBSTER,MXD SP,RAW</t>
  </si>
  <si>
    <t>15155</t>
  </si>
  <si>
    <t>ABALONE,MIXED SPECIES,RAW</t>
  </si>
  <si>
    <t>15156</t>
  </si>
  <si>
    <t>ABALONE,MXD SP,CKD,FRIED</t>
  </si>
  <si>
    <t>15157</t>
  </si>
  <si>
    <t>CLAM,MIXED SPECIES,RAW</t>
  </si>
  <si>
    <t>15158</t>
  </si>
  <si>
    <t>CLAM,MXD SP,CKD,BREADED&amp;FRIED</t>
  </si>
  <si>
    <t>15159</t>
  </si>
  <si>
    <t>CLAM,MXD SP,CKD,MOIST HEAT</t>
  </si>
  <si>
    <t>15160</t>
  </si>
  <si>
    <t>CLAM,MXD SP,CND,DRND SOL</t>
  </si>
  <si>
    <t>15162</t>
  </si>
  <si>
    <t>CLAM,MXD SP,CND,LIQ</t>
  </si>
  <si>
    <t>15163</t>
  </si>
  <si>
    <t>CUTTLEFISH,MXD SP,RAW</t>
  </si>
  <si>
    <t>15164</t>
  </si>
  <si>
    <t>MUSSEL,BLUE,RAW</t>
  </si>
  <si>
    <t>15165</t>
  </si>
  <si>
    <t>MUSSEL,BLUE,CKD,MOIST HEAT</t>
  </si>
  <si>
    <t>15166</t>
  </si>
  <si>
    <t>OCTOPUS,COMMON,RAW</t>
  </si>
  <si>
    <t>15167</t>
  </si>
  <si>
    <t>OYSTER,EASTERN,WILD,RAW</t>
  </si>
  <si>
    <t>15168</t>
  </si>
  <si>
    <t>OYSTER,EASTERN,CKD,BREADED&amp;FRIED</t>
  </si>
  <si>
    <t>15169</t>
  </si>
  <si>
    <t>OYSTER,EASTERN,WILD,CKD,MOIST HEAT</t>
  </si>
  <si>
    <t>15170</t>
  </si>
  <si>
    <t>OYSTER,EASTERN,CANNED</t>
  </si>
  <si>
    <t>15171</t>
  </si>
  <si>
    <t>OYSTER,PACIFIC,RAW</t>
  </si>
  <si>
    <t>15172</t>
  </si>
  <si>
    <t>SCALLOP,MIXED SPECIES,RAW</t>
  </si>
  <si>
    <t>15173</t>
  </si>
  <si>
    <t>SCALLOP,MXD SP,CKD,BREADED&amp;FRIED</t>
  </si>
  <si>
    <t>15174</t>
  </si>
  <si>
    <t>SCALLOP,MXD SP,IMITN,MADE FROM SURIMI</t>
  </si>
  <si>
    <t>15175</t>
  </si>
  <si>
    <t>SQUID,MIXED SPECIES,RAW</t>
  </si>
  <si>
    <t>15176</t>
  </si>
  <si>
    <t>SQUID,MXD SP,CKD,FRIED</t>
  </si>
  <si>
    <t>15177</t>
  </si>
  <si>
    <t>WHELK,UNSPECIFIED,RAW</t>
  </si>
  <si>
    <t>15178</t>
  </si>
  <si>
    <t>WHELK,UNSPEC,CKD,MOIST HEAT</t>
  </si>
  <si>
    <t>15179</t>
  </si>
  <si>
    <t>SALMON,CHINOOK,SMOKED,(LOX),REG</t>
  </si>
  <si>
    <t>15180</t>
  </si>
  <si>
    <t>SALMON,CHUM,CND,WO/SALT,DRND SOL W/BONE</t>
  </si>
  <si>
    <t>15181</t>
  </si>
  <si>
    <t>SALMON,PINK,CND,WO/SALT,SOL W/BONE&amp;LIQ</t>
  </si>
  <si>
    <t>15182</t>
  </si>
  <si>
    <t>SALMON,SOCKEYE,CND,WO/SALT,DRND SOL W/BONE</t>
  </si>
  <si>
    <t>15183</t>
  </si>
  <si>
    <t>TUNA,LT,CND IN OIL,WO/SALT,DRND SOL</t>
  </si>
  <si>
    <t>15184</t>
  </si>
  <si>
    <t>TUNA,LT,CND IN H2O,WO/SALT,DRND SOL</t>
  </si>
  <si>
    <t>15185</t>
  </si>
  <si>
    <t>TUNA,WHITE,CND IN OIL,WO/SALT,DRND SOL</t>
  </si>
  <si>
    <t>15186</t>
  </si>
  <si>
    <t>TUNA,WHITE,CND IN H2O,WO/SALT,DRND SOL</t>
  </si>
  <si>
    <t>15187</t>
  </si>
  <si>
    <t>BASS,FRESHWATER,MXD SP,CKD,DRY HEAT</t>
  </si>
  <si>
    <t>15188</t>
  </si>
  <si>
    <t>BASS,STRIPED,CKD,DRY HEAT</t>
  </si>
  <si>
    <t>15189</t>
  </si>
  <si>
    <t>BLUEFISH,COOKED,DRY HEAT</t>
  </si>
  <si>
    <t>15190</t>
  </si>
  <si>
    <t>BURBOT,COOKED,DRY HEAT</t>
  </si>
  <si>
    <t>15191</t>
  </si>
  <si>
    <t>BUTTERFISH,CKD,DRY HEAT</t>
  </si>
  <si>
    <t>15192</t>
  </si>
  <si>
    <t>FISH,COD,PACIFIC,CKD,DRY HEAT (MAYBE PREVIOUSLY FROZEN)</t>
  </si>
  <si>
    <t>15193</t>
  </si>
  <si>
    <t>CUSK,COOKED,DRY HEAT</t>
  </si>
  <si>
    <t>15194</t>
  </si>
  <si>
    <t>FISH,MAHIMAHI,CKD,DRY HEAT</t>
  </si>
  <si>
    <t>15195</t>
  </si>
  <si>
    <t>DRUM,FRESHWATER,CKD,DRY HEAT</t>
  </si>
  <si>
    <t>15196</t>
  </si>
  <si>
    <t>HALIBUT,GREENLAND,CKD,DRY HEAT</t>
  </si>
  <si>
    <t>15197</t>
  </si>
  <si>
    <t>HERRING,PACIFIC,CKD,DRY HEAT</t>
  </si>
  <si>
    <t>15198</t>
  </si>
  <si>
    <t>LING,COOKED,DRY HEAT</t>
  </si>
  <si>
    <t>15199</t>
  </si>
  <si>
    <t>LINGCOD,COOKED,DRY HEAT</t>
  </si>
  <si>
    <t>15200</t>
  </si>
  <si>
    <t>MACKEREL,KING,CKD,DRY HEAT</t>
  </si>
  <si>
    <t>15201</t>
  </si>
  <si>
    <t>MACKEREL,PACIFIC&amp;JACK,MXD SP,CKD,DRY HEAT</t>
  </si>
  <si>
    <t>15202</t>
  </si>
  <si>
    <t>MILKFISH,COOKED,DRY HEAT</t>
  </si>
  <si>
    <t>16001</t>
  </si>
  <si>
    <t>BEANS,ADZUKI,MATURE SEEDS,RAW</t>
  </si>
  <si>
    <t>16002</t>
  </si>
  <si>
    <t>BEANS,ADZUKI,MATURE SEEDS,CKD,BLD,WO/SALT</t>
  </si>
  <si>
    <t>16003</t>
  </si>
  <si>
    <t>BEANS,ADZUKI,MATURE SEEDS,CND,SWTND</t>
  </si>
  <si>
    <t>16004</t>
  </si>
  <si>
    <t>YOKAN,PREP FROM ADZUKI BNS &amp; SUGAR</t>
  </si>
  <si>
    <t>16005</t>
  </si>
  <si>
    <t>BEANS,BAKED,HOME PREPARED</t>
  </si>
  <si>
    <t>16006</t>
  </si>
  <si>
    <t>BEANS,BKD,CND,PLN OR VEGETARIAN</t>
  </si>
  <si>
    <t>16007</t>
  </si>
  <si>
    <t>BEANS,BKD,CND,W/BF</t>
  </si>
  <si>
    <t>16008</t>
  </si>
  <si>
    <t>BEANS,BKD,CND,W/FRANKS</t>
  </si>
  <si>
    <t>16009</t>
  </si>
  <si>
    <t>BEANS,BKD,CND,W/PORK</t>
  </si>
  <si>
    <t>16010</t>
  </si>
  <si>
    <t>BEANS,BKD,CND,W/PORK&amp;SWT SAU</t>
  </si>
  <si>
    <t>16011</t>
  </si>
  <si>
    <t>BEANS,BKD,CND,W/PORK&amp;TOMATO SAU</t>
  </si>
  <si>
    <t>16014</t>
  </si>
  <si>
    <t>BEANS,BLACK,MATURE SEEDS,RAW</t>
  </si>
  <si>
    <t>16015</t>
  </si>
  <si>
    <t>BEANS,BLACK,MATURE SEEDS,CKD,BLD,WO/SALT</t>
  </si>
  <si>
    <t>16016</t>
  </si>
  <si>
    <t>BEANS,BLACK TURTLE,MATURE SEEDS,RAW</t>
  </si>
  <si>
    <t>16017</t>
  </si>
  <si>
    <t>BEANS,BLACK TURTLE,MATURE SEEDS,CKD,BLD,WO/ SALT</t>
  </si>
  <si>
    <t>16018</t>
  </si>
  <si>
    <t>BEANS,BLACK TURTLE,MATURE SEEDS,CND</t>
  </si>
  <si>
    <t>16019</t>
  </si>
  <si>
    <t>BEANS,CRANBERRY (ROMAN),MATURE SEEDS,RAW</t>
  </si>
  <si>
    <t>16020</t>
  </si>
  <si>
    <t>BEANS,CRANBERRY (ROMAN),MATURE SEEDS,CKD,BLD,WO/SALT</t>
  </si>
  <si>
    <t>16021</t>
  </si>
  <si>
    <t>BEANS,CRANBERRY (ROMAN),MATURE SEEDS,CND</t>
  </si>
  <si>
    <t>16022</t>
  </si>
  <si>
    <t>BEANS,FRENCH,MATURE SEEDS,RAW</t>
  </si>
  <si>
    <t>16023</t>
  </si>
  <si>
    <t>BEANS,FRENCH,MATURE SEEDS,CKD,BLD,WO/SALT</t>
  </si>
  <si>
    <t>16024</t>
  </si>
  <si>
    <t>BEANS,GREAT NORTHERN,MATURE SEEDS,RAW</t>
  </si>
  <si>
    <t>16025</t>
  </si>
  <si>
    <t>BEANS,GREAT NORTHERN,MATURE SEEDS,CKD,BLD,WO/SALT</t>
  </si>
  <si>
    <t>16026</t>
  </si>
  <si>
    <t>BEANS,GREAT NORTHERN,MATURE SEEDS,CND</t>
  </si>
  <si>
    <t>16027</t>
  </si>
  <si>
    <t>BEANS,KIDNEY,ALL TYPES,MATURE SEEDS,RAW</t>
  </si>
  <si>
    <t>16028</t>
  </si>
  <si>
    <t>BEANS,KIDNEY,ALL TYPES,MATURE SEEDS,CKD,BLD,WO/SALT</t>
  </si>
  <si>
    <t>16029</t>
  </si>
  <si>
    <t>BEANS,KIDNEY,ALL TYPES,MATURE SEEDS,CND</t>
  </si>
  <si>
    <t>16030</t>
  </si>
  <si>
    <t>BEANS,KIDNEY,CALIFORNIA RED,MATURE SEEDS,RAW</t>
  </si>
  <si>
    <t>16031</t>
  </si>
  <si>
    <t>BEANS,KIDNEY,CALIFORNIA RED,MATURE SEEDS,CKD,BLD,WO/SALT</t>
  </si>
  <si>
    <t>16032</t>
  </si>
  <si>
    <t>BEANS,KIDNEY,RED,MATURE SEEDS,RAW</t>
  </si>
  <si>
    <t>16033</t>
  </si>
  <si>
    <t>BEANS,KIDNEY,RED,MATURE SEEDS,CKD,BLD,WO/SALT</t>
  </si>
  <si>
    <t>16034</t>
  </si>
  <si>
    <t>BEANS,KIDNEY,RED,MATURE SEEDS,CND,SOL &amp; LIQUIDS</t>
  </si>
  <si>
    <t>16035</t>
  </si>
  <si>
    <t>BEANS,KIDNEY,ROYAL RED,MATURE SEEDS,RAW</t>
  </si>
  <si>
    <t>16036</t>
  </si>
  <si>
    <t>BEANS,KIDNEY,ROYAL RED,MATURE SEEDS,CKD,BLD,WO/SALT</t>
  </si>
  <si>
    <t>16037</t>
  </si>
  <si>
    <t>BEANS,NAVY,MATURE SEEDS,RAW</t>
  </si>
  <si>
    <t>16038</t>
  </si>
  <si>
    <t>BEANS,NAVY,MATURE SEEDS,CKD,BLD,WO/SALT</t>
  </si>
  <si>
    <t>16039</t>
  </si>
  <si>
    <t>BEANS,NAVY,MATURE SEEDS,CND</t>
  </si>
  <si>
    <t>16040</t>
  </si>
  <si>
    <t>BEANS,PINK,MATURE SEEDS,RAW</t>
  </si>
  <si>
    <t>16041</t>
  </si>
  <si>
    <t>BEANS,PINK,MATURE SEEDS,CKD,BLD,WO/SALT</t>
  </si>
  <si>
    <t>16042</t>
  </si>
  <si>
    <t>BEANS,PINTO,MATURE SEEDS,RAW</t>
  </si>
  <si>
    <t>16043</t>
  </si>
  <si>
    <t>BEANS,PINTO,MATURE SEEDS,CKD,BLD,WO/SALT</t>
  </si>
  <si>
    <t>16044</t>
  </si>
  <si>
    <t>BEANS,PINTO,MATURE SEEDS,CND,SOL &amp; LIQUIDS</t>
  </si>
  <si>
    <t>16045</t>
  </si>
  <si>
    <t>BEANS,SML WHITE,MATURE SEEDS,RAW</t>
  </si>
  <si>
    <t>16046</t>
  </si>
  <si>
    <t>BEANS,SML WHITE,MATURE SEEDS,CKD,BLD,WO/SALT</t>
  </si>
  <si>
    <t>16047</t>
  </si>
  <si>
    <t>BEANS,YEL,MATURE SEEDS,RAW</t>
  </si>
  <si>
    <t>16048</t>
  </si>
  <si>
    <t>BEANS,YEL,MATURE SEEDS,CKD,BLD,WO/SALT</t>
  </si>
  <si>
    <t>16049</t>
  </si>
  <si>
    <t>BEANS,WHITE,MATURE SEEDS,RAW</t>
  </si>
  <si>
    <t>16050</t>
  </si>
  <si>
    <t>BEANS,WHITE,MATURE SEEDS,CKD,BLD,WO/SALT</t>
  </si>
  <si>
    <t>16051</t>
  </si>
  <si>
    <t>BEANS,WHITE,MATURE SEEDS,CND</t>
  </si>
  <si>
    <t>16052</t>
  </si>
  <si>
    <t>BROADBEANS (FAVA BEANS),MATURE SEEDS,RAW</t>
  </si>
  <si>
    <t>16053</t>
  </si>
  <si>
    <t>BROADBEANS (FAVA BNS),MATURE SEEDS,CKD,BLD,WO/SALT</t>
  </si>
  <si>
    <t>16054</t>
  </si>
  <si>
    <t>BROADBEANS (FAVA BNS),MATURE SEEDS,CND</t>
  </si>
  <si>
    <t>16055</t>
  </si>
  <si>
    <t>CAROB FLOUR</t>
  </si>
  <si>
    <t>16056</t>
  </si>
  <si>
    <t>CHICKPEAS (GARBANZO BNS,BENGAL GM),MATURE SEEDS,RAW</t>
  </si>
  <si>
    <t>16057</t>
  </si>
  <si>
    <t>CHICKPEAS ,MATURE SEEDS,CKD,BLD,WO/SALT</t>
  </si>
  <si>
    <t>16058</t>
  </si>
  <si>
    <t>CHICKPEAS (GARBANZO BNS,BENGAL GRAM),MATURE SDS,CND,SOL&amp;LIQ</t>
  </si>
  <si>
    <t>16059</t>
  </si>
  <si>
    <t>CHILI WITH BEANS,CANNED</t>
  </si>
  <si>
    <t>16060</t>
  </si>
  <si>
    <t>COWPEAS,CATJANG,MATURE SEEDS,RAW</t>
  </si>
  <si>
    <t>16061</t>
  </si>
  <si>
    <t>COWPEAS,CATJANG,MATURE SEEDS,CKD,BLD,WO/SALT</t>
  </si>
  <si>
    <t>16062</t>
  </si>
  <si>
    <t>COWPEAS,COMMON (BLACKEYES,CROWDER,SOUTHERN),MTRE SEEDS,RAW</t>
  </si>
  <si>
    <t>16063</t>
  </si>
  <si>
    <t>COWPEAS,COMMON (BLKEYES,CRWDR,STHRN),MTURE,CKD,BLD,WO/SALT</t>
  </si>
  <si>
    <t>16064</t>
  </si>
  <si>
    <t>COWPEAS,COMMON,MATURE SEEDS,CND,PLN</t>
  </si>
  <si>
    <t>16065</t>
  </si>
  <si>
    <t>COWPEAS,COMMON,MATURE SEEDS,CND W/PORK</t>
  </si>
  <si>
    <t>16067</t>
  </si>
  <si>
    <t>HYACINTH BNS,MATURE SEEDS,RAW</t>
  </si>
  <si>
    <t>16068</t>
  </si>
  <si>
    <t>HYACINTH BNS,MATURE SEEDS,CKD,BLD,WO/SALT</t>
  </si>
  <si>
    <t>16069</t>
  </si>
  <si>
    <t>LENTILS,RAW</t>
  </si>
  <si>
    <t>16070</t>
  </si>
  <si>
    <t>LENTILS,MATURE SEEDS,CKD,BLD,WO/SALT</t>
  </si>
  <si>
    <t>16071</t>
  </si>
  <si>
    <t>LIMA BNS,LRG,MATURE SEEDS,RAW</t>
  </si>
  <si>
    <t>16072</t>
  </si>
  <si>
    <t>LIMA BNS,LRG,MATURE SEEDS,CKD,BLD,WO/SALT</t>
  </si>
  <si>
    <t>16073</t>
  </si>
  <si>
    <t>LIMA BNS,LRG,MATURE SEEDS,CND</t>
  </si>
  <si>
    <t>16074</t>
  </si>
  <si>
    <t>LIMA BNS,THIN SEEDED (BABY),MATURE SEEDS,RAW</t>
  </si>
  <si>
    <t>16075</t>
  </si>
  <si>
    <t>LIMA BNS,THIN SEEDED (BABY),MATURE SEEDS,CKD,BLD,WO/SALT</t>
  </si>
  <si>
    <t>16076</t>
  </si>
  <si>
    <t>LUPINS,MATURE SEEDS,RAW</t>
  </si>
  <si>
    <t>16077</t>
  </si>
  <si>
    <t>LUPINS,MATURE SEEDS,CKD,BLD,WO/ SALT</t>
  </si>
  <si>
    <t>16078</t>
  </si>
  <si>
    <t>MOTHBEANS,MATURE SEEDS,RAW</t>
  </si>
  <si>
    <t>16079</t>
  </si>
  <si>
    <t>MOTHBEANS,MATURE SEEDS,CKD,BLD,WO/SALT</t>
  </si>
  <si>
    <t>16080</t>
  </si>
  <si>
    <t>MUNG BNS,MATURE SEEDS,RAW</t>
  </si>
  <si>
    <t>16081</t>
  </si>
  <si>
    <t>MUNG BNS,MATURE SEEDS,CKD,BLD,WO/SALT</t>
  </si>
  <si>
    <t>16082</t>
  </si>
  <si>
    <t>NOODLES,CHINESE,CELLOPHANE OR LONG RICE (MUNG BNS),DEHYD</t>
  </si>
  <si>
    <t>16083</t>
  </si>
  <si>
    <t>MUNGO BNS,MATURE SEEDS,RAW</t>
  </si>
  <si>
    <t>16084</t>
  </si>
  <si>
    <t>MUNGO BNS,MATURE SEEDS,CKD,BLD,WO/SALT</t>
  </si>
  <si>
    <t>16085</t>
  </si>
  <si>
    <t>PEAS,GRN,SPLIT,MATURE SEEDS,RAW</t>
  </si>
  <si>
    <t>16086</t>
  </si>
  <si>
    <t>PEAS,SPLIT,MATURE SEEDS,CKD,BLD,WO/SALT</t>
  </si>
  <si>
    <t>16087</t>
  </si>
  <si>
    <t>PEANUTS,ALL TYPES,RAW</t>
  </si>
  <si>
    <t>16088</t>
  </si>
  <si>
    <t>PEANUTS,ALL TYPES,CKD,BLD,W/SALT</t>
  </si>
  <si>
    <t>16089</t>
  </si>
  <si>
    <t>PEANUTS,ALL TYPES,OIL-ROASTED,W/SALT</t>
  </si>
  <si>
    <t>16090</t>
  </si>
  <si>
    <t>PEANUTS,ALL TYPES,DRY-ROASTED,W/SALT</t>
  </si>
  <si>
    <t>16091</t>
  </si>
  <si>
    <t>PEANUTS,SPANISH,RAW</t>
  </si>
  <si>
    <t>16092</t>
  </si>
  <si>
    <t>PEANUTS,SPANISH,OIL-ROASTED,W/SALT</t>
  </si>
  <si>
    <t>16093</t>
  </si>
  <si>
    <t>PEANUTS,VALENCIA,RAW</t>
  </si>
  <si>
    <t>16094</t>
  </si>
  <si>
    <t>PEANUTS,VALENCIA,OIL-ROASTED,W/SALT</t>
  </si>
  <si>
    <t>16095</t>
  </si>
  <si>
    <t>PEANUTS,VIRGINIA,RAW</t>
  </si>
  <si>
    <t>16096</t>
  </si>
  <si>
    <t>PEANUTS,VIRGINIA,OIL-ROASTED,W/SALT</t>
  </si>
  <si>
    <t>16097</t>
  </si>
  <si>
    <t>PEANUT BUTTER,CHUNK STYLE,W/SALT</t>
  </si>
  <si>
    <t>16098</t>
  </si>
  <si>
    <t>PEANUT BUTTER,SMOOTH STYLE,W/ SALT</t>
  </si>
  <si>
    <t>16099</t>
  </si>
  <si>
    <t>PEANUT FLOUR,DEFATTED</t>
  </si>
  <si>
    <t>16100</t>
  </si>
  <si>
    <t>PEANUT FLOUR,LOW FAT</t>
  </si>
  <si>
    <t>16101</t>
  </si>
  <si>
    <t>PIGEON PEAS (RED GM),MATURE SEEDS,RAW</t>
  </si>
  <si>
    <t>16102</t>
  </si>
  <si>
    <t>PIGEON PEAS (RED GM),MATURE SEEDS,CKD,BLD,WO/SALT</t>
  </si>
  <si>
    <t>16103</t>
  </si>
  <si>
    <t>REFRIED BNS,CND,TRADITIONAL STYLE (INCLUDES USDA COMMODITY)</t>
  </si>
  <si>
    <t>16104</t>
  </si>
  <si>
    <t>BACON,MEATLESS</t>
  </si>
  <si>
    <t>16106</t>
  </si>
  <si>
    <t>MEAT EXTENDER</t>
  </si>
  <si>
    <t>16107</t>
  </si>
  <si>
    <t>SAUSAGE,MEATLESS</t>
  </si>
  <si>
    <t>16108</t>
  </si>
  <si>
    <t>SOYBEANS,MATURE SEEDS,RAW</t>
  </si>
  <si>
    <t>16109</t>
  </si>
  <si>
    <t>SOYBEANS,MATURE CKD,BLD,WO/SALT</t>
  </si>
  <si>
    <t>16110</t>
  </si>
  <si>
    <t>SOYBEANS,MATURE SEEDS,RSTD,SALTED</t>
  </si>
  <si>
    <t>16111</t>
  </si>
  <si>
    <t>SOYBEANS,MATURE SEEDS,DRY RSTD</t>
  </si>
  <si>
    <t>16112</t>
  </si>
  <si>
    <t>MISO</t>
  </si>
  <si>
    <t>16113</t>
  </si>
  <si>
    <t>NATTO</t>
  </si>
  <si>
    <t>16114</t>
  </si>
  <si>
    <t>TEMPEH</t>
  </si>
  <si>
    <t>16115</t>
  </si>
  <si>
    <t>SOY FLOUR,FULL-FAT,RAW</t>
  </si>
  <si>
    <t>16116</t>
  </si>
  <si>
    <t>SOY FLR,FULL-FAT,RSTD</t>
  </si>
  <si>
    <t>16117</t>
  </si>
  <si>
    <t>SOY FLOUR,DEFATTED</t>
  </si>
  <si>
    <t>16118</t>
  </si>
  <si>
    <t>SOY FLOUR,LOW-FAT</t>
  </si>
  <si>
    <t>16119</t>
  </si>
  <si>
    <t>SOY MEAL,DEFATTED,RAW</t>
  </si>
  <si>
    <t>16120</t>
  </si>
  <si>
    <t>SOYMILK,ORIGINAL &amp; VANILLA,UNFORTIFIED</t>
  </si>
  <si>
    <t>16121</t>
  </si>
  <si>
    <t>SOY PROT CONC,PRODUCED BY ALCOHOL EXTRACTION</t>
  </si>
  <si>
    <t>16122</t>
  </si>
  <si>
    <t>SOY PROTEIN ISOLATE</t>
  </si>
  <si>
    <t>16123</t>
  </si>
  <si>
    <t>SOY SAU MADE FROM SOY&amp;WHEAT (SHOYU)</t>
  </si>
  <si>
    <t>16124</t>
  </si>
  <si>
    <t>SOY SAU MADE FROM SOY (TAMARI)</t>
  </si>
  <si>
    <t>16125</t>
  </si>
  <si>
    <t>SOY SAU MADE FROM HYDROLYZED VEG PROT</t>
  </si>
  <si>
    <t>16126</t>
  </si>
  <si>
    <t>TOFU,FIRM,PREP W/CA SULFATE&amp;MAGNESIUM CHLORIDE (NIGARI)</t>
  </si>
  <si>
    <t>16127</t>
  </si>
  <si>
    <t>TOFU,SOFT,PREP W/CA SULFATE&amp;MAGNESIUM CHLORIDE (NIGARI)</t>
  </si>
  <si>
    <t>16128</t>
  </si>
  <si>
    <t>TOFU,DRIED-FROZEN (KOYADOFU)</t>
  </si>
  <si>
    <t>16129</t>
  </si>
  <si>
    <t>TOFU,FRIED</t>
  </si>
  <si>
    <t>16130</t>
  </si>
  <si>
    <t>OKARA</t>
  </si>
  <si>
    <t>16132</t>
  </si>
  <si>
    <t>TOFU,SALTED&amp;FERMENTED (FUYU)</t>
  </si>
  <si>
    <t>16133</t>
  </si>
  <si>
    <t>YARDLONG BNS,MATURE SEEDS,RAW</t>
  </si>
  <si>
    <t>16134</t>
  </si>
  <si>
    <t>YARDLONG BNS,MATURE SEEDS,CKD,BLD,WO/SALT</t>
  </si>
  <si>
    <t>16135</t>
  </si>
  <si>
    <t>WINGED BNS,MATURE SEEDS,RAW</t>
  </si>
  <si>
    <t>16136</t>
  </si>
  <si>
    <t>WINGED BNS,MATURE SEEDS,CKD,BLD,WO/ SALT</t>
  </si>
  <si>
    <t>16137</t>
  </si>
  <si>
    <t>HUMMUS,HOME PREP</t>
  </si>
  <si>
    <t>16138</t>
  </si>
  <si>
    <t>FALAFEL,HOME-PREPARED</t>
  </si>
  <si>
    <t>16139</t>
  </si>
  <si>
    <t>SOYMILK,ORIGINAL &amp; VANILLA,W/ ADDED CA,VITAMINS A &amp; D</t>
  </si>
  <si>
    <t>16144</t>
  </si>
  <si>
    <t>LENTILS,PINK OR RED,RAW</t>
  </si>
  <si>
    <t>16145</t>
  </si>
  <si>
    <t>BEANS,KIDNEY,RED,MATURE SEEDS,CND,DRND SOL</t>
  </si>
  <si>
    <t>16146</t>
  </si>
  <si>
    <t>BEANS,PINTO,CND,DRND SOL</t>
  </si>
  <si>
    <t>16147</t>
  </si>
  <si>
    <t>VEGGIE BURGERS OR SOYBURGERS  UNPREP</t>
  </si>
  <si>
    <t>16149</t>
  </si>
  <si>
    <t>PEANUT SPRD,RED SUGAR</t>
  </si>
  <si>
    <t>16150</t>
  </si>
  <si>
    <t>PEANUT BUTTER,SMOOTH,RED FAT</t>
  </si>
  <si>
    <t>16155</t>
  </si>
  <si>
    <t>PEANUT BUTTER,SMOOTH,VIT &amp; MINERAL FORT</t>
  </si>
  <si>
    <t>16156</t>
  </si>
  <si>
    <t>PEANUT BUTTER,CHUNKY,VITAMIN&amp;MINERAL FORT</t>
  </si>
  <si>
    <t>16157</t>
  </si>
  <si>
    <t>CHICKPEA FLOUR (BESAN)</t>
  </si>
  <si>
    <t>16158</t>
  </si>
  <si>
    <t>HUMMUS,COMMERCIAL</t>
  </si>
  <si>
    <t>16159</t>
  </si>
  <si>
    <t>TOFU,EX FIRM,PREP W/NIGARI</t>
  </si>
  <si>
    <t>16160</t>
  </si>
  <si>
    <t>TOFU,HARD,PREP W/NIGARI</t>
  </si>
  <si>
    <t>16161</t>
  </si>
  <si>
    <t>MORI-NU,TOFU,SILKEN,SOFT</t>
  </si>
  <si>
    <t>16162</t>
  </si>
  <si>
    <t>MORI-NU,TOFU,SILKEN,FIRM</t>
  </si>
  <si>
    <t>16163</t>
  </si>
  <si>
    <t>MORI-NU,TOFU,SILKEN,EX FIRM</t>
  </si>
  <si>
    <t>16164</t>
  </si>
  <si>
    <t>MORI-NU,TOFU,SILKEN,LITE FIRM</t>
  </si>
  <si>
    <t>16165</t>
  </si>
  <si>
    <t>MORI-NU,TOFU,SILKEN,LITE EX FIRM</t>
  </si>
  <si>
    <t>16166</t>
  </si>
  <si>
    <t>SOYMILK,CHOC,UNFORTIFIED</t>
  </si>
  <si>
    <t>16167</t>
  </si>
  <si>
    <t>USDA CMDTY,PNUT BUTTER,SMOOTH</t>
  </si>
  <si>
    <t>16168</t>
  </si>
  <si>
    <t>SOYMILK,CHOC,W/ ADDED CA,VITAMINS A &amp; D</t>
  </si>
  <si>
    <t>16171</t>
  </si>
  <si>
    <t>REFRIED BNS,CND,VEGETARIAN</t>
  </si>
  <si>
    <t>16172</t>
  </si>
  <si>
    <t>REFRIED BNS,CND,FAT-FREE</t>
  </si>
  <si>
    <t>16173</t>
  </si>
  <si>
    <t>FRIJOLES ROJOS VOLTEADOS (REFRIED BNS,RED,CANNED)</t>
  </si>
  <si>
    <t>16174</t>
  </si>
  <si>
    <t>TEMPEH,CKD</t>
  </si>
  <si>
    <t>16200</t>
  </si>
  <si>
    <t>CAMPBELL'S BRN SUGAR&amp;BACON FLAV BKD BNS</t>
  </si>
  <si>
    <t>16201</t>
  </si>
  <si>
    <t>CAMPBELL'S PORK &amp; BNS</t>
  </si>
  <si>
    <t>16202</t>
  </si>
  <si>
    <t>PACE,TRADITIONAL REFRIED BNS</t>
  </si>
  <si>
    <t>16203</t>
  </si>
  <si>
    <t>PACE,SALSA REFRIED BNS</t>
  </si>
  <si>
    <t>16204</t>
  </si>
  <si>
    <t>PACE,SPICY JALAPENO REFRIED BNS</t>
  </si>
  <si>
    <t>16210</t>
  </si>
  <si>
    <t>VITASOY USA,NASOYA LITE FIRM TOFU</t>
  </si>
  <si>
    <t>16211</t>
  </si>
  <si>
    <t>VITASOY USA,ORGANIC NASOYA SUPER FIRM CUBED TOFU</t>
  </si>
  <si>
    <t>16212</t>
  </si>
  <si>
    <t>VITASOY USA,ORGANIC NASOYA EX FIRM TOFU</t>
  </si>
  <si>
    <t>16213</t>
  </si>
  <si>
    <t>VITASOY USA,ORGANIC NASOYA FIRM TOFU</t>
  </si>
  <si>
    <t>16214</t>
  </si>
  <si>
    <t>VITASOY USA  ORGANIC NASOYA SILKEN TOFU</t>
  </si>
  <si>
    <t>16215</t>
  </si>
  <si>
    <t>VITASOY USA,VITASOY ORGANIC CREAMY ORIGINAL SOYMILK</t>
  </si>
  <si>
    <t>16216</t>
  </si>
  <si>
    <t>VITASOY USA,VITASOY ORGANIC CLASSIC ORIGINAL SOYMILK</t>
  </si>
  <si>
    <t>16219</t>
  </si>
  <si>
    <t>VITASOY USA,VITASOY LT VANILLA SOYMILK</t>
  </si>
  <si>
    <t>16222</t>
  </si>
  <si>
    <t>SOYMILK (ALL FLAVORS),UNSWTND,W/ ADDED CA,VITAMINS A &amp; D</t>
  </si>
  <si>
    <t>16223</t>
  </si>
  <si>
    <t>SOYMILK (ALL FLAVORS),ENHANCED</t>
  </si>
  <si>
    <t>16225</t>
  </si>
  <si>
    <t>SOYMILK,ORIGINAL &amp; VANILLA,LT,W/ ADDED CA,VITAMINS A &amp; D</t>
  </si>
  <si>
    <t>16227</t>
  </si>
  <si>
    <t>SOYMILK,CHOC &amp; OTHER FLAVORS,LT,W/ ADDED CA,VITAMINS A &amp; D</t>
  </si>
  <si>
    <t>16228</t>
  </si>
  <si>
    <t>SOYMILK,ORIGINAL &amp; VANILLA,LT,UNSWTND,W/ ADDED CA,VIT A &amp; D</t>
  </si>
  <si>
    <t>16229</t>
  </si>
  <si>
    <t>SOYMILK (ALL FLAVORS),LOWFAT,W/ ADDED CA,VITAMINS A &amp; D</t>
  </si>
  <si>
    <t>16230</t>
  </si>
  <si>
    <t>SOYMILK (ALL FLAVORS),NONFAT,W/ ADDED CA,VITAMINS A &amp; D</t>
  </si>
  <si>
    <t>16231</t>
  </si>
  <si>
    <t>SOYMILK,CHOC,NONFAT,W/ ADDED CA,VITAMINS A &amp; D</t>
  </si>
  <si>
    <t>16235</t>
  </si>
  <si>
    <t>SILK PLN,SOYMILK</t>
  </si>
  <si>
    <t>16236</t>
  </si>
  <si>
    <t>SILK VANILLA,SOYMILK</t>
  </si>
  <si>
    <t>16237</t>
  </si>
  <si>
    <t>SILK CHOC,SOYMILK</t>
  </si>
  <si>
    <t>16238</t>
  </si>
  <si>
    <t>SILK LT PLN,SOYMILK</t>
  </si>
  <si>
    <t>16239</t>
  </si>
  <si>
    <t>SILK LT VANILLA,SOYMILK</t>
  </si>
  <si>
    <t>16240</t>
  </si>
  <si>
    <t>SILK LT CHOC,SOYMILK</t>
  </si>
  <si>
    <t>16241</t>
  </si>
  <si>
    <t>SILK PLUS OMEGA-3 DHA,SOYMILK</t>
  </si>
  <si>
    <t>16242</t>
  </si>
  <si>
    <t>SILK PLUS FOR BONE HEALTH,SOYMILK</t>
  </si>
  <si>
    <t>16243</t>
  </si>
  <si>
    <t>SILK PLUS FIBER,SOYMILK</t>
  </si>
  <si>
    <t>16244</t>
  </si>
  <si>
    <t>SILK UNSWTND,SOYMILK</t>
  </si>
  <si>
    <t>16245</t>
  </si>
  <si>
    <t>SILK VERY VANILLA,SOYMILK</t>
  </si>
  <si>
    <t>16246</t>
  </si>
  <si>
    <t>SILK NOG,SOYMILK</t>
  </si>
  <si>
    <t>16247</t>
  </si>
  <si>
    <t>SILK CHAI,SOYMILK</t>
  </si>
  <si>
    <t>16248</t>
  </si>
  <si>
    <t>SILK MOCHA,SOYMILK</t>
  </si>
  <si>
    <t>16249</t>
  </si>
  <si>
    <t>SILK COFFEE,SOYMILK</t>
  </si>
  <si>
    <t>16250</t>
  </si>
  <si>
    <t>SILK VANILLA SOY YOGURT (FAMILY SIZE)</t>
  </si>
  <si>
    <t>16251</t>
  </si>
  <si>
    <t>SILK VANILLA SOY YOGURT (SINGLE SERVING SIZE)</t>
  </si>
  <si>
    <t>16252</t>
  </si>
  <si>
    <t>SILK PLN SOY YOGURT</t>
  </si>
  <si>
    <t>16253</t>
  </si>
  <si>
    <t>SILK STRAWBERRY SOY YOGURT</t>
  </si>
  <si>
    <t>17000</t>
  </si>
  <si>
    <t>VEAL,AUSTRALIAN,RIB,RIB RST,LN,RAW</t>
  </si>
  <si>
    <t>17001</t>
  </si>
  <si>
    <t>LAMB,DOM,COMP OF RTL CUTS,LN&amp;FAT,1/4"FAT,CHOIC,RAW</t>
  </si>
  <si>
    <t>17002</t>
  </si>
  <si>
    <t>LAMB,DOM,COMP OF RTL CUTS,LN&amp;FAT,1/4"FAT,CHOIC,CKD</t>
  </si>
  <si>
    <t>17003</t>
  </si>
  <si>
    <t>LAMB,DOM,COMP OF RTL CUTS,LN,1/4"FAT,CHOIC,RAW</t>
  </si>
  <si>
    <t>17004</t>
  </si>
  <si>
    <t>LAMB,DOM,COMP OF RTL CUTS,LN,1/4"FAT,CHOIC,CKD</t>
  </si>
  <si>
    <t>17005</t>
  </si>
  <si>
    <t>LAMB,DOM,COMP OF RTL CUTS,FAT,1/4"FAT,CHOIC,RAW</t>
  </si>
  <si>
    <t>17006</t>
  </si>
  <si>
    <t>LAMB,DOM,COMP OF RTL CUTS,FAT,1/4"FAT,CHOIC,CKD</t>
  </si>
  <si>
    <t>17007</t>
  </si>
  <si>
    <t>LAMB,DOM,FORESHANK,LN&amp;FAT,1/4"FAT,CHOIC,RAW</t>
  </si>
  <si>
    <t>17008</t>
  </si>
  <si>
    <t>LAMB,DOM,FORESHANK,LN&amp;FAT,1/4"FAT,CHOIC,CKD,BRSD</t>
  </si>
  <si>
    <t>17009</t>
  </si>
  <si>
    <t>LAMB,DOM,FORESHANK,LN,1/4"FAT,CHOIC,RAW</t>
  </si>
  <si>
    <t>17010</t>
  </si>
  <si>
    <t>LAMB,DOM,FORESHANK,LN,1/4"FAT,CHOIC,CKD,BRSD</t>
  </si>
  <si>
    <t>17011</t>
  </si>
  <si>
    <t>LAMB,DOM,LEG,WHL (SHK&amp;SIRL),LN&amp;FAT,1/4"FAT,CHOIC,RAW</t>
  </si>
  <si>
    <t>17012</t>
  </si>
  <si>
    <t>LAMB,DOM,LEG,WHL (SHK&amp;SIRL),LN&amp;FAT,1/4"FAT,CHOIC,CKD,RSTD</t>
  </si>
  <si>
    <t>17013</t>
  </si>
  <si>
    <t>LAMB,DOM,LEG,WHL (SHK&amp;SIRL),LN,1/4"FAT,CHOIC,RAW</t>
  </si>
  <si>
    <t>17014</t>
  </si>
  <si>
    <t>LAMB,DOM,LEG,WHL (SHK&amp;SIRL),LN,1/4"FAT,CHOIC,CKD,RSTD</t>
  </si>
  <si>
    <t>17015</t>
  </si>
  <si>
    <t>LAMB,DOM,LEG,SHANK HALF,LN&amp;FAT,1/4"FAT,CHOIC,RAW</t>
  </si>
  <si>
    <t>17016</t>
  </si>
  <si>
    <t>LAMB,DOM,LEG,SHANK HALF,LN&amp;FAT,1/4"FAT,CHOIC,CKD,RSTD</t>
  </si>
  <si>
    <t>17017</t>
  </si>
  <si>
    <t>LAMB,DOM,LEG,SHANK HALF,LN,1/4"FAT,CHOIC,RAW</t>
  </si>
  <si>
    <t>17018</t>
  </si>
  <si>
    <t>LAMB,DOM,LEG,SHANK HALF,LN,1/4"FAT,CHOIC,CKD,RSTD</t>
  </si>
  <si>
    <t>17019</t>
  </si>
  <si>
    <t>LAMB,DOM,LEG,SIRLOIN HALF,LN&amp;FAT,1/4"FAT,CHOIC,RAW</t>
  </si>
  <si>
    <t>17020</t>
  </si>
  <si>
    <t>LAMB,DOM,LEG,SIRLOIN HALF,LN&amp;FAT,1/4"FAT,CHOIC,CKD,RSTD</t>
  </si>
  <si>
    <t>17021</t>
  </si>
  <si>
    <t>LAMB,DOM,LEG,SIRLOIN HALF,LN,1/4"FAT,CHOIC,RAW</t>
  </si>
  <si>
    <t>17022</t>
  </si>
  <si>
    <t>LAMB,DOM,LEG,SIRLOIN HALF,LN,1/4"FAT,CHOIC,CKD,RSTD</t>
  </si>
  <si>
    <t>17023</t>
  </si>
  <si>
    <t>LAMB,DOM,LOIN,LN&amp;FAT,1/4"FAT,CHOIC,RAW</t>
  </si>
  <si>
    <t>17024</t>
  </si>
  <si>
    <t>LAMB,DOM,LOIN,LN&amp;FAT,1/4"FAT,CHOIC,CKD,BRLD</t>
  </si>
  <si>
    <t>17025</t>
  </si>
  <si>
    <t>LAMB,DOM,LOIN,LN&amp;FAT,1/4"FAT,CHOIC,CKD,RSTD</t>
  </si>
  <si>
    <t>17026</t>
  </si>
  <si>
    <t>LAMB,DOM,LOIN,LN,1/4"FAT,CHOIC,RAW</t>
  </si>
  <si>
    <t>17027</t>
  </si>
  <si>
    <t>LAMB,DOM,LOIN,LN,1/4"FAT,CHOIC,CKD,BRLD</t>
  </si>
  <si>
    <t>17028</t>
  </si>
  <si>
    <t>LAMB,DOM,LOIN,LN,1/4"FAT,CHOIC,CKD,RSTD</t>
  </si>
  <si>
    <t>17029</t>
  </si>
  <si>
    <t>LAMB,DOM,RIB,LN&amp;FAT,1/4"FAT,CHOIC,RAW</t>
  </si>
  <si>
    <t>17030</t>
  </si>
  <si>
    <t>LAMB,DOM,RIB,LN&amp;FAT,1/4"FAT,CHOIC,CKD,BRLD</t>
  </si>
  <si>
    <t>17031</t>
  </si>
  <si>
    <t>LAMB,DOM,RIB,LN&amp;FAT,1/4"FAT,CHOIC,CKD,RSTD</t>
  </si>
  <si>
    <t>17032</t>
  </si>
  <si>
    <t>LAMB,DOM,RIB,LN,1/4"FAT,CHOIC,RAW</t>
  </si>
  <si>
    <t>17033</t>
  </si>
  <si>
    <t>LAMB,DOM,RIB,LN,1/4"FAT,CHOIC,CKD,BRLD</t>
  </si>
  <si>
    <t>17034</t>
  </si>
  <si>
    <t>LAMB,DOM,RIB,LN,1/4"FAT,CHOIC,CKD,RSTD</t>
  </si>
  <si>
    <t>17035</t>
  </si>
  <si>
    <t>LAMB,DOM,SHLDR,WHL (ARM&amp;BLD),LN&amp;FAT,1/4"FAT,CHOIC,RAW</t>
  </si>
  <si>
    <t>17036</t>
  </si>
  <si>
    <t>LAMB,DOM,SHLDR,WHL (ARM&amp;BLD),LN&amp;FAT,1/4"FAT,CHOIC,CKD,BRSD</t>
  </si>
  <si>
    <t>17037</t>
  </si>
  <si>
    <t>LAMB,DOM,SHLDR,WHL (ARM&amp;BLD),LN&amp;FAT,1/4"FAT,CHOIC,CKD,BRLD</t>
  </si>
  <si>
    <t>17038</t>
  </si>
  <si>
    <t>LAMB,DOM,SHLDR,WHL (ARM&amp;BLD),LN&amp;FAT,1/4"FAT,CHOIC,CKD,RSTD</t>
  </si>
  <si>
    <t>17039</t>
  </si>
  <si>
    <t>LAMB,DOM,SHLDR,WHL (ARM&amp;BLD),LN,1/4"FAT,CHOIC,RAW</t>
  </si>
  <si>
    <t>17040</t>
  </si>
  <si>
    <t>LAMB,DOM,SHLDR,WHL (ARM&amp;BLD),LN,1/4"FAT,CHOIC,CKD,BRSD</t>
  </si>
  <si>
    <t>17041</t>
  </si>
  <si>
    <t>LAMB,DOM,SHLDR,WHL (ARM&amp;BLD),LN,1/4"FAT,CHOIC,CKD,BRLD</t>
  </si>
  <si>
    <t>17042</t>
  </si>
  <si>
    <t>LAMB,DOM,SHLDR,WHL (ARM&amp;BLD),LN,1/4"FAT,CHOIC,CKD,RSTD</t>
  </si>
  <si>
    <t>17043</t>
  </si>
  <si>
    <t>LAMB,DOM,SHLDR,ARM,LN&amp;FAT,1/4"FAT,CHOIC,RAW</t>
  </si>
  <si>
    <t>17044</t>
  </si>
  <si>
    <t>LAMB,DOM,SHLDR,ARM,LN&amp;FAT,1/4"FAT,CHOIC,CKD,BRSD</t>
  </si>
  <si>
    <t>17045</t>
  </si>
  <si>
    <t>LAMB,DOM,SHLDR,ARM,LN&amp;FAT,1/4"FAT,CHOIC,CKD,BRLD</t>
  </si>
  <si>
    <t>17046</t>
  </si>
  <si>
    <t>LAMB,DOM,SHLDR,ARM,LN&amp;FAT,1/4"FAT,CHOIC,CKD,RSTD</t>
  </si>
  <si>
    <t>17047</t>
  </si>
  <si>
    <t>LAMB,DOM,SHLDR,ARM,LN,1/4"FAT,CHOIC,RAW</t>
  </si>
  <si>
    <t>17048</t>
  </si>
  <si>
    <t>LAMB,DOM,SHLDR,ARM,LN,1/4"FAT,CHOIC,CKD,BRSD</t>
  </si>
  <si>
    <t>17049</t>
  </si>
  <si>
    <t>LAMB,DOM,SHLDR,ARM,LN,1/4"FAT,CHOIC,CKD,BRLD</t>
  </si>
  <si>
    <t>17050</t>
  </si>
  <si>
    <t>LAMB,DOM,SHLDR,ARM,LN,1/4"FAT,CHOIC,CKD,RSTD</t>
  </si>
  <si>
    <t>17051</t>
  </si>
  <si>
    <t>LAMB,DOM,SHLDR,BLADE,LN&amp;FAT,1/4"FAT,CHOIC,RAW</t>
  </si>
  <si>
    <t>17052</t>
  </si>
  <si>
    <t>LAMB,DOM,SHLDR,BLADE,LN&amp;FAT,1/4"FAT,CHOIC,CKD,BRSD</t>
  </si>
  <si>
    <t>17053</t>
  </si>
  <si>
    <t>LAMB,DOM,SHLDR,BLADE,LN&amp;FAT,1/4"FAT,CHOIC,CKD,BRLD</t>
  </si>
  <si>
    <t>17054</t>
  </si>
  <si>
    <t>LAMB,DOM,SHLDR,BLADE,LN&amp;FAT,1/4"FAT,CHOIC,CKD,RSTD</t>
  </si>
  <si>
    <t>17055</t>
  </si>
  <si>
    <t>LAMB,DOM,SHLDR,BLADE,LN,1/4"FAT,CHOIC,RAW</t>
  </si>
  <si>
    <t>17056</t>
  </si>
  <si>
    <t>LAMB,DOM,SHLDR,BLADE,LN,1/4"FAT,CHOIC,CKD,BRSD</t>
  </si>
  <si>
    <t>17057</t>
  </si>
  <si>
    <t>LAMB,DOM,SHLDR,BLADE,LN,1/4"FAT,CHOIC,CKD,BRLD</t>
  </si>
  <si>
    <t>17058</t>
  </si>
  <si>
    <t>LAMB,DOM,SHLDR,BLADE,LN,1/4"FAT,CHOIC,CKD,RSTD</t>
  </si>
  <si>
    <t>17059</t>
  </si>
  <si>
    <t>LAMB,DOM,CUBED FOR STEW OR KABOB (LEG&amp;SHLDR),LN,1/4"FAT,RAW</t>
  </si>
  <si>
    <t>17060</t>
  </si>
  <si>
    <t>LAMB,DOM,CUBED FOR STEW (LEG&amp;SHLDR),LN,1/4"FAT,CKD,BRSD</t>
  </si>
  <si>
    <t>17061</t>
  </si>
  <si>
    <t>LAMB,DOM,CUBED FOR STEW (LEG&amp;SHLDR),LN,1/4"FAT,CKD,BRLD</t>
  </si>
  <si>
    <t>17062</t>
  </si>
  <si>
    <t>LAMB,NZ,IMP,FRZ,COMP OF RTL CUTS,LN&amp;FAT,RAW</t>
  </si>
  <si>
    <t>17063</t>
  </si>
  <si>
    <t>LAMB,NZ,IMP,FRZ,COMP OF RTL CUTS,LN&amp;FAT,CKD</t>
  </si>
  <si>
    <t>17064</t>
  </si>
  <si>
    <t>LAMB,NZ,IMP,FRZ,COMP OF RTL CUTS,LN,RAW</t>
  </si>
  <si>
    <t>17065</t>
  </si>
  <si>
    <t>LAMB,NZ,IMP,FRZ,COMP OF RTL CUTS,LN,CKD</t>
  </si>
  <si>
    <t>17066</t>
  </si>
  <si>
    <t>LAMB,NZ,IMP,FRZ,COMP OF RTL CUTS,FAT,RAW</t>
  </si>
  <si>
    <t>17067</t>
  </si>
  <si>
    <t>LAMB,NZ,IMP,FRZ,COMP OF RTL CUTS,FAT,CKD</t>
  </si>
  <si>
    <t>17068</t>
  </si>
  <si>
    <t>LAMB,NZ,IMP,FORE-SHANK,LN &amp; FAT,RAW</t>
  </si>
  <si>
    <t>17069</t>
  </si>
  <si>
    <t>LAMB,NZ,IMP,FORE-SHANK,LN &amp; FAT,CKD,BRSD</t>
  </si>
  <si>
    <t>17070</t>
  </si>
  <si>
    <t>LAMB,NZ,IMP,FORE-SHANK,LN,RAW</t>
  </si>
  <si>
    <t>17071</t>
  </si>
  <si>
    <t>LAMB,NZ,IMP,FORE-SHANK,LN,CKD,BRSD</t>
  </si>
  <si>
    <t>17072</t>
  </si>
  <si>
    <t>LAMB,NZ,IMP,LEG CHOP/STEAK,BONE-IN,LN &amp; FAT,RAW</t>
  </si>
  <si>
    <t>17073</t>
  </si>
  <si>
    <t>LAMB,NZ,IMP,FRZ,LEG,WHL (SHK&amp;SIRL),LN&amp;FAT,CKD,RSTD</t>
  </si>
  <si>
    <t>17074</t>
  </si>
  <si>
    <t>LAMB,NZ,IMP,LEG CHOP/STEAK,BONE-IN,LN,RAW</t>
  </si>
  <si>
    <t>17075</t>
  </si>
  <si>
    <t>LAMB,NZ,IMP,FRZ,LEG,WHL (SHK&amp;SIRL),LN,CKD,RSTD</t>
  </si>
  <si>
    <t>17076</t>
  </si>
  <si>
    <t>LAMB,NZ,IMP,LOIN CHOP,LN &amp; FAT,RAW</t>
  </si>
  <si>
    <t>17077</t>
  </si>
  <si>
    <t>LAMB,NZ,IMP,FRZ,LOIN,LN&amp;FAT,CKD,BRLD</t>
  </si>
  <si>
    <t>17078</t>
  </si>
  <si>
    <t>LAMB,NZ,IMP,LOIN CHOP,LN,RAW</t>
  </si>
  <si>
    <t>17079</t>
  </si>
  <si>
    <t>LAMB,NZ,IMP,FRZ,LOIN,LN,CKD,BRLD</t>
  </si>
  <si>
    <t>17080</t>
  </si>
  <si>
    <t>LAMB,NZ,IMP,RACK - PARTLY FRENCHED,LN &amp; FAT,RAW</t>
  </si>
  <si>
    <t>17081</t>
  </si>
  <si>
    <t>LAMB,NZ,IMP,RACK - PARTLY FRENCHED,LN &amp; FAT,CKD,FAST RSTD</t>
  </si>
  <si>
    <t>17082</t>
  </si>
  <si>
    <t>LAMB,NZ,IMP,RACK - PARTLY FRENCHED,LN,RAW</t>
  </si>
  <si>
    <t>17083</t>
  </si>
  <si>
    <t>LAMB,NZ,IMP,RACK - PARTLY FRENCHED,LN,CKD,FAST RSTD</t>
  </si>
  <si>
    <t>17084</t>
  </si>
  <si>
    <t>LAMB,NZ,IMP,SQUARE-CUT SHLDR,LN &amp; FAT,RAW</t>
  </si>
  <si>
    <t>17085</t>
  </si>
  <si>
    <t>LAMB,NZ,IMP,FRZ,SHLDR,WHL (ARM&amp;BLD),LN&amp;FAT,CKD,BRSD</t>
  </si>
  <si>
    <t>17086</t>
  </si>
  <si>
    <t>LAMB,NZ,IMP,SQUARE-CUT SHLDR,LN,RAW</t>
  </si>
  <si>
    <t>17087</t>
  </si>
  <si>
    <t>LAMB,NZ,IMP,FRZ,SHLDR,WHL (ARM&amp;BLD),LN,CKD,BRSD</t>
  </si>
  <si>
    <t>17088</t>
  </si>
  <si>
    <t>VEAL,COMP OF RTL CUTS,LN&amp;FAT,RAW</t>
  </si>
  <si>
    <t>17089</t>
  </si>
  <si>
    <t>VEAL,COMP OF RTL CUTS,LN&amp;FAT,CKD</t>
  </si>
  <si>
    <t>17090</t>
  </si>
  <si>
    <t>VEAL,COMP OF RTL CUTS,LN,RAW</t>
  </si>
  <si>
    <t>17091</t>
  </si>
  <si>
    <t>VEAL,COMP OF RTL CUTS,LN,CKD</t>
  </si>
  <si>
    <t>17092</t>
  </si>
  <si>
    <t>VEAL,COMP OF RTL CUTS,FAT,RAW</t>
  </si>
  <si>
    <t>17093</t>
  </si>
  <si>
    <t>VEAL,COMP OF RTL CUTS,FAT,CKD</t>
  </si>
  <si>
    <t>17094</t>
  </si>
  <si>
    <t>VEAL,LEG (TOP RND),LN&amp;FAT,RAW</t>
  </si>
  <si>
    <t>17095</t>
  </si>
  <si>
    <t>VEAL,LEG (TOP RND),LN&amp;FAT,CKD,BRSD</t>
  </si>
  <si>
    <t>17096</t>
  </si>
  <si>
    <t>VEAL,LEG (TOP RND),LN&amp;FAT,CKD,PAN-FRIED,BREADED</t>
  </si>
  <si>
    <t>17097</t>
  </si>
  <si>
    <t>VEAL,LEG (TOP RND),LN&amp;FAT,CKD,PAN-FRIED,NOT BREADED</t>
  </si>
  <si>
    <t>17098</t>
  </si>
  <si>
    <t>VEAL,LEG (TOP RND),LN&amp;FAT,CKD,RSTD</t>
  </si>
  <si>
    <t>17099</t>
  </si>
  <si>
    <t>VEAL,LEG (TOP RND),LN,RAW</t>
  </si>
  <si>
    <t>17100</t>
  </si>
  <si>
    <t>VEAL,LEG (TOP RND),LN,CKD,BRSD</t>
  </si>
  <si>
    <t>17101</t>
  </si>
  <si>
    <t>VEAL,LEG (TOP RND),LN,CKD,PAN-FRIED,BREADED</t>
  </si>
  <si>
    <t>17102</t>
  </si>
  <si>
    <t>VEAL,LEG (TOP RND),LN,CKD,PAN-FRIED,NOT BREADED</t>
  </si>
  <si>
    <t>17103</t>
  </si>
  <si>
    <t>VEAL,LEG (TOP RND),LN,CKD,RSTD</t>
  </si>
  <si>
    <t>17104</t>
  </si>
  <si>
    <t>VEAL,LOIN,LN&amp;FAT,RAW</t>
  </si>
  <si>
    <t>17105</t>
  </si>
  <si>
    <t>VEAL,LOIN,LN&amp;FAT,CKD,BRSD</t>
  </si>
  <si>
    <t>17106</t>
  </si>
  <si>
    <t>VEAL,LOIN,LN&amp;FAT,CKD,RSTD</t>
  </si>
  <si>
    <t>17107</t>
  </si>
  <si>
    <t>VEAL,LOIN,LN,RAW</t>
  </si>
  <si>
    <t>17108</t>
  </si>
  <si>
    <t>VEAL,LOIN,LN,CKD,BRSD</t>
  </si>
  <si>
    <t>17109</t>
  </si>
  <si>
    <t>VEAL,LOIN,LN,CKD,RSTD</t>
  </si>
  <si>
    <t>17110</t>
  </si>
  <si>
    <t>VEAL,RIB,LN&amp;FAT,RAW</t>
  </si>
  <si>
    <t>17111</t>
  </si>
  <si>
    <t>VEAL,RIB,LN&amp;FAT,CKD,BRSD</t>
  </si>
  <si>
    <t>17112</t>
  </si>
  <si>
    <t>VEAL,RIB,LN&amp;FAT,CKD,RSTD</t>
  </si>
  <si>
    <t>17113</t>
  </si>
  <si>
    <t>VEAL,RIB,LN,RAW</t>
  </si>
  <si>
    <t>17114</t>
  </si>
  <si>
    <t>VEAL,RIB,LN,CKD,BRSD</t>
  </si>
  <si>
    <t>17115</t>
  </si>
  <si>
    <t>VEAL,RIB,LN,CKD,RSTD</t>
  </si>
  <si>
    <t>17116</t>
  </si>
  <si>
    <t>VEAL,SHLDR,WHL (ARM&amp;BLD),LN&amp;FAT,RAW</t>
  </si>
  <si>
    <t>17117</t>
  </si>
  <si>
    <t>VEAL,SHLDR,WHL (ARM&amp;BLD),LN&amp;FAT,CKD,BRSD</t>
  </si>
  <si>
    <t>17118</t>
  </si>
  <si>
    <t>VEAL,SHLDR,WHL (ARM&amp;BLD),LN&amp;FAT,CKD,RSTD</t>
  </si>
  <si>
    <t>17119</t>
  </si>
  <si>
    <t>VEAL,SHLDR,WHL (ARM&amp;BLD),LN,RAW</t>
  </si>
  <si>
    <t>17120</t>
  </si>
  <si>
    <t>VEAL,SHLDR,WHL (ARM&amp;BLD),LN,CKD,BRSD</t>
  </si>
  <si>
    <t>17121</t>
  </si>
  <si>
    <t>VEAL,SHLDR,WHL (ARM&amp;BLD),LN,CKD,RSTD</t>
  </si>
  <si>
    <t>17122</t>
  </si>
  <si>
    <t>VEAL,SHLDR,ARM,LN&amp;FAT,RAW</t>
  </si>
  <si>
    <t>17123</t>
  </si>
  <si>
    <t>VEAL,SHLDR,ARM,LN&amp;FAT,CKD,BRSD</t>
  </si>
  <si>
    <t>17124</t>
  </si>
  <si>
    <t>VEAL,SHLDR,ARM,LN&amp;FAT,CKD,RSTD</t>
  </si>
  <si>
    <t>17125</t>
  </si>
  <si>
    <t>VEAL,SHLDR,ARM,LN,RAW</t>
  </si>
  <si>
    <t>17126</t>
  </si>
  <si>
    <t>VEAL,SHLDR,ARM,LN,CKD,BRSD</t>
  </si>
  <si>
    <t>17127</t>
  </si>
  <si>
    <t>VEAL,SHLDR,ARM,LN,CKD,RSTD</t>
  </si>
  <si>
    <t>17128</t>
  </si>
  <si>
    <t>VEAL,SHLDR,BLADE CHOP,LN &amp; FAT,RAW</t>
  </si>
  <si>
    <t>17129</t>
  </si>
  <si>
    <t>VEAL,SHLDR,BLADE,LN&amp;FAT,CKD,BRSD</t>
  </si>
  <si>
    <t>17130</t>
  </si>
  <si>
    <t>VEAL,SHLDR,BLADE,LN&amp;FAT,CKD,RSTD</t>
  </si>
  <si>
    <t>17131</t>
  </si>
  <si>
    <t>VEAL,SHLDR,BLADE CHOP,LN,RAW</t>
  </si>
  <si>
    <t>17132</t>
  </si>
  <si>
    <t>VEAL,SHLDR,BLADE,LN,CKD,BRSD</t>
  </si>
  <si>
    <t>17133</t>
  </si>
  <si>
    <t>VEAL,SHLDR,BLADE,LN,CKD,RSTD</t>
  </si>
  <si>
    <t>17134</t>
  </si>
  <si>
    <t>VEAL,SIRLOIN,LN&amp;FAT,RAW</t>
  </si>
  <si>
    <t>17135</t>
  </si>
  <si>
    <t>VEAL,SIRLOIN,LN&amp;FAT,CKD,BRSD</t>
  </si>
  <si>
    <t>17136</t>
  </si>
  <si>
    <t>VEAL,SIRLOIN,LN&amp;FAT,CKD,RSTD</t>
  </si>
  <si>
    <t>17137</t>
  </si>
  <si>
    <t>VEAL,SIRLOIN,LN,RAW</t>
  </si>
  <si>
    <t>17138</t>
  </si>
  <si>
    <t>VEAL,SIRLOIN,LN,CKD,BRSD</t>
  </si>
  <si>
    <t>17139</t>
  </si>
  <si>
    <t>VEAL,SIRLOIN,LN,CKD,RSTD</t>
  </si>
  <si>
    <t>17140</t>
  </si>
  <si>
    <t>VEAL,CUBED FOR STEW (LEG&amp;SHLDR),LN,RAW</t>
  </si>
  <si>
    <t>17141</t>
  </si>
  <si>
    <t>VEAL,CUBED FOR STEW (LEG&amp;SHLDR),LN,CKD,BRSD</t>
  </si>
  <si>
    <t>17142</t>
  </si>
  <si>
    <t>VEAL,GROUND,RAW</t>
  </si>
  <si>
    <t>17143</t>
  </si>
  <si>
    <t>VEAL,GROUND,CKD,BRLD</t>
  </si>
  <si>
    <t>17144</t>
  </si>
  <si>
    <t>GAME MEAT,ANTELOPE,RAW</t>
  </si>
  <si>
    <t>17145</t>
  </si>
  <si>
    <t>GAME MEAT,ANTELOPE,CKD,RSTD</t>
  </si>
  <si>
    <t>17146</t>
  </si>
  <si>
    <t>GAME MEAT,BEAR,RAW</t>
  </si>
  <si>
    <t>17147</t>
  </si>
  <si>
    <t>GAME MEAT,BEAR,CKD,SIMMRD</t>
  </si>
  <si>
    <t>17148</t>
  </si>
  <si>
    <t>BISON,GROUND,GRASS-FED,CKD</t>
  </si>
  <si>
    <t>17149</t>
  </si>
  <si>
    <t>BISON,GROUND,GRASS-FED,RAW</t>
  </si>
  <si>
    <t>17150</t>
  </si>
  <si>
    <t>GAME MEAT,BEAVER,RAW</t>
  </si>
  <si>
    <t>17151</t>
  </si>
  <si>
    <t>GAME MEAT,BEAVER,CKD,RSTD</t>
  </si>
  <si>
    <t>17152</t>
  </si>
  <si>
    <t>GAME MEAT,BEEFALO,COMP OF CUTS,RAW</t>
  </si>
  <si>
    <t>17153</t>
  </si>
  <si>
    <t>GAME MEAT,BEEFALO,COMP OF CUTS,CKD,RSTD</t>
  </si>
  <si>
    <t>17154</t>
  </si>
  <si>
    <t>VEAL,AUSTRALIAN,FAT,RAW</t>
  </si>
  <si>
    <t>17155</t>
  </si>
  <si>
    <t>VEAL,AUSTRALIAN,RIB,RIB RST,LN &amp; FAT,RAW</t>
  </si>
  <si>
    <t>17156</t>
  </si>
  <si>
    <t>GAME MEAT,BISON,LN,RAW</t>
  </si>
  <si>
    <t>17157</t>
  </si>
  <si>
    <t>GAME MEAT,BISON,LN,CKD,RSTD</t>
  </si>
  <si>
    <t>17158</t>
  </si>
  <si>
    <t>GAME MEAT,BOAR,WILD,RAW</t>
  </si>
  <si>
    <t>17159</t>
  </si>
  <si>
    <t>GAME MEAT,BOAR,WILD,CKD,RSTD</t>
  </si>
  <si>
    <t>17160</t>
  </si>
  <si>
    <t>GAME MEAT,BUFFALO,H2O,RAW</t>
  </si>
  <si>
    <t>17161</t>
  </si>
  <si>
    <t>GAME MEAT,BUFFALO,H2O,CKD,RSTD</t>
  </si>
  <si>
    <t>17162</t>
  </si>
  <si>
    <t>GAME MEAT,CARIBOU,RAW</t>
  </si>
  <si>
    <t>17163</t>
  </si>
  <si>
    <t>GAME MEAT,CARIBOU,CKD,RSTD</t>
  </si>
  <si>
    <t>17164</t>
  </si>
  <si>
    <t>GAME MEAT,DEER,RAW</t>
  </si>
  <si>
    <t>17165</t>
  </si>
  <si>
    <t>GAME MEAT,DEER,CKD,RSTD</t>
  </si>
  <si>
    <t>17166</t>
  </si>
  <si>
    <t>GAME MEAT,ELK,RAW</t>
  </si>
  <si>
    <t>17167</t>
  </si>
  <si>
    <t>GAME MEAT,ELK,CKD,RSTD</t>
  </si>
  <si>
    <t>17168</t>
  </si>
  <si>
    <t>GOAT,RAW</t>
  </si>
  <si>
    <t>17169</t>
  </si>
  <si>
    <t>GAME MEAT,GOAT,CKD,RSTD</t>
  </si>
  <si>
    <t>17170</t>
  </si>
  <si>
    <t>GAME MEAT,HORSE,RAW</t>
  </si>
  <si>
    <t>17171</t>
  </si>
  <si>
    <t>GAME MEAT,HORSE,CKD,RSTD</t>
  </si>
  <si>
    <t>17172</t>
  </si>
  <si>
    <t>GAME MEAT,MOOSE,RAW</t>
  </si>
  <si>
    <t>17173</t>
  </si>
  <si>
    <t>GAME MEAT,MOOSE,CKD,RSTD</t>
  </si>
  <si>
    <t>17174</t>
  </si>
  <si>
    <t>GAME MEAT,MUSKRAT,RAW</t>
  </si>
  <si>
    <t>17175</t>
  </si>
  <si>
    <t>GAME MEAT,MUSKRAT,CKD,RSTD</t>
  </si>
  <si>
    <t>17176</t>
  </si>
  <si>
    <t>GAME MEAT,OPOSSUM,CKD,RSTD</t>
  </si>
  <si>
    <t>17177</t>
  </si>
  <si>
    <t>GAME MEAT,RABBIT,DOMESTICATED,COMP OF CUTS,RAW</t>
  </si>
  <si>
    <t>17178</t>
  </si>
  <si>
    <t>GAME MEAT,RABBIT,DOMESTICATED,COMP OF CUTS,CKD,RSTD</t>
  </si>
  <si>
    <t>17179</t>
  </si>
  <si>
    <t>GAME MEAT,RABBIT,DOMESTICATED,COMP OF CUTS,CKD,STWD</t>
  </si>
  <si>
    <t>17180</t>
  </si>
  <si>
    <t>GAME MEAT,RABBIT,WILD,RAW</t>
  </si>
  <si>
    <t>17181</t>
  </si>
  <si>
    <t>GAME MEAT,RABBIT,WILD,CKD,STWD</t>
  </si>
  <si>
    <t>17182</t>
  </si>
  <si>
    <t>GAME MEAT,RACCOON,CKD,RSTD</t>
  </si>
  <si>
    <t>17183</t>
  </si>
  <si>
    <t>GAME MEAT,SQUIRREL,RAW</t>
  </si>
  <si>
    <t>17184</t>
  </si>
  <si>
    <t>GAME MEAT,SQUIRREL,CKD,RSTD</t>
  </si>
  <si>
    <t>17185</t>
  </si>
  <si>
    <t>LAMB,VAR MEATS&amp;BY-PRODUCTS,BRAIN,RAW</t>
  </si>
  <si>
    <t>17186</t>
  </si>
  <si>
    <t>LAMB,VAR MEATS&amp;BY-PRODUCTS,BRAIN,CKD,BRSD</t>
  </si>
  <si>
    <t>17187</t>
  </si>
  <si>
    <t>LAMB,VAR MEATS&amp;BY-PRODUCTS,BRAIN,CKD,PAN-FRIED</t>
  </si>
  <si>
    <t>17188</t>
  </si>
  <si>
    <t>VEAL,VAR MEATS&amp;BY-PRODUCTS,BRAIN,RAW</t>
  </si>
  <si>
    <t>17189</t>
  </si>
  <si>
    <t>VEAL,VAR MEATS&amp;BY-PRODUCTS,BRAIN,CKD,BRSD</t>
  </si>
  <si>
    <t>17190</t>
  </si>
  <si>
    <t>VEAL,VAR MEATS&amp;BY-PRODUCTS,BRAIN,CKD,PAN-FRIED</t>
  </si>
  <si>
    <t>17191</t>
  </si>
  <si>
    <t>LAMB,VAR MEATS&amp;BY-PRODUCTS,HEART,RAW</t>
  </si>
  <si>
    <t>17192</t>
  </si>
  <si>
    <t>LAMB,VAR MEATS&amp;BY-PRODUCTS,HEART,CKD,BRSD</t>
  </si>
  <si>
    <t>17193</t>
  </si>
  <si>
    <t>VEAL,VAR MEATS&amp;BY-PRODUCTS,HEART,RAW</t>
  </si>
  <si>
    <t>17194</t>
  </si>
  <si>
    <t>VEAL,VAR MEATS&amp;BY-PRODUCTS,HEART,CKD,BRSD</t>
  </si>
  <si>
    <t>17195</t>
  </si>
  <si>
    <t>LAMB,VAR MEATS&amp;BY-PRODUCTS,KIDNEYS,RAW</t>
  </si>
  <si>
    <t>17196</t>
  </si>
  <si>
    <t>LAMB,VAR MEATS&amp;BY-PRODUCTS,KIDNEYS,CKD,BRSD</t>
  </si>
  <si>
    <t>17197</t>
  </si>
  <si>
    <t>VEAL,VAR MEATS&amp;BY-PRODUCTS,KIDNEYS,RAW</t>
  </si>
  <si>
    <t>18001</t>
  </si>
  <si>
    <t>BAGEL,PLN,TSTD, ENR W/CA PROP(INCLUDE ONION,POPPY,SESAME)</t>
  </si>
  <si>
    <t>18002</t>
  </si>
  <si>
    <t>BAGELS,PLN,ENR,W/ CA PROP (INCLUDES ONION,POPPY,SESAME),TSTD</t>
  </si>
  <si>
    <t>18003</t>
  </si>
  <si>
    <t>BAGELS,EGG</t>
  </si>
  <si>
    <t>18005</t>
  </si>
  <si>
    <t>BAGELS,CINNAMON-RAISIN</t>
  </si>
  <si>
    <t>18006</t>
  </si>
  <si>
    <t>BAGELS,CINNAMON-RAISIN,TSTD</t>
  </si>
  <si>
    <t>18007</t>
  </si>
  <si>
    <t>BAGELS,OAT BRAN</t>
  </si>
  <si>
    <t>18009</t>
  </si>
  <si>
    <t>BISCUITS,PLN OR BTTRMLK,FRZ,BKD</t>
  </si>
  <si>
    <t>18010</t>
  </si>
  <si>
    <t>BISCUITS,PLN OR BTTRMLK,DRY MIX</t>
  </si>
  <si>
    <t>18011</t>
  </si>
  <si>
    <t>BISCUITS,PLN OR BTTRMLK,DRY MIX,PREP</t>
  </si>
  <si>
    <t>18012</t>
  </si>
  <si>
    <t>BISCUITS,PLN OR BTTRMLK,REFR DOUGH,LOWER FAT</t>
  </si>
  <si>
    <t>18013</t>
  </si>
  <si>
    <t>BISCUITS,PLN OR BTTRMLK,REFR DOUGH,LOWER FAT,BKD</t>
  </si>
  <si>
    <t>18014</t>
  </si>
  <si>
    <t>BISCUIT, PLN OR BUTMLK, REFRI DOUGH, HIGHER FAT</t>
  </si>
  <si>
    <t>18015</t>
  </si>
  <si>
    <t>BISCUITS,PLN OR BTTRMLK,REFR DOUGH,HIGHER FAT,BKD</t>
  </si>
  <si>
    <t>18016</t>
  </si>
  <si>
    <t>BISCUITS,PLN OR BTTRMLK,PREP FROM RECIPE</t>
  </si>
  <si>
    <t>18017</t>
  </si>
  <si>
    <t>BISCUITS,MXD GRAIN,REFR DOUGH</t>
  </si>
  <si>
    <t>18019</t>
  </si>
  <si>
    <t>BREAD,BANANA,PREP FROM RECIPE,MADE W/MARGARINE</t>
  </si>
  <si>
    <t>18021</t>
  </si>
  <si>
    <t>BREAD,BOSTON BROWN,CANNED</t>
  </si>
  <si>
    <t>18022</t>
  </si>
  <si>
    <t>BREAD,CORNBREAD,DRY MIX,ENR (INCL CORN MUFFIN MIX)</t>
  </si>
  <si>
    <t>18023</t>
  </si>
  <si>
    <t>BREAD,CORNBREAD,DRY MIX,PREP W/ 2% MILK,80% MARGARINE,&amp; EGGS</t>
  </si>
  <si>
    <t>18024</t>
  </si>
  <si>
    <t>BREAD,CORNBREAD,PREP FROM RECIPE,MADE W/LOFAT (2%) MILK</t>
  </si>
  <si>
    <t>18025</t>
  </si>
  <si>
    <t>BREAD,CRACKED-WHEAT</t>
  </si>
  <si>
    <t>18027</t>
  </si>
  <si>
    <t>BREAD,EGG</t>
  </si>
  <si>
    <t>18028</t>
  </si>
  <si>
    <t>BREAD,EGG,TOASTED</t>
  </si>
  <si>
    <t>18029</t>
  </si>
  <si>
    <t>Bread, french</t>
  </si>
  <si>
    <t>18030</t>
  </si>
  <si>
    <t>BREAD, FRENCH OR VIENNA, TSTD (IND SOURDOUGH)</t>
  </si>
  <si>
    <t>18032</t>
  </si>
  <si>
    <t>BREAD,IRISH SODA,PREP FROM RECIPE</t>
  </si>
  <si>
    <t>18033</t>
  </si>
  <si>
    <t>BREAD,ITALIAN</t>
  </si>
  <si>
    <t>18036</t>
  </si>
  <si>
    <t>BREAD,MULTI-GRAIN,TSTD (INCLUDES WHOLE-GRAIN)</t>
  </si>
  <si>
    <t>18037</t>
  </si>
  <si>
    <t>BREAD,OAT BRAN</t>
  </si>
  <si>
    <t>18038</t>
  </si>
  <si>
    <t>BREAD,OAT BRAN,TOASTED</t>
  </si>
  <si>
    <t>18039</t>
  </si>
  <si>
    <t>BREAD,OATMEAL</t>
  </si>
  <si>
    <t>18040</t>
  </si>
  <si>
    <t>BREAD,OATMEAL,TOASTED</t>
  </si>
  <si>
    <t>18041</t>
  </si>
  <si>
    <t>BREAD,PITA,WHITE,ENRICHED</t>
  </si>
  <si>
    <t>18042</t>
  </si>
  <si>
    <t>BREAD,PITA,WHOLE-WHEAT</t>
  </si>
  <si>
    <t>18043</t>
  </si>
  <si>
    <t>BREAD,PROT (INCL GLUTEN)</t>
  </si>
  <si>
    <t>18044</t>
  </si>
  <si>
    <t>BREAD,PUMPERNICKEL</t>
  </si>
  <si>
    <t>18045</t>
  </si>
  <si>
    <t>BREAD,PUMPERNICKEL,TSTD</t>
  </si>
  <si>
    <t>18047</t>
  </si>
  <si>
    <t>BREAD,RAISIN,ENRICHED</t>
  </si>
  <si>
    <t>18048</t>
  </si>
  <si>
    <t>BREAD,RAISIN,ENR,TSTD</t>
  </si>
  <si>
    <t>18049</t>
  </si>
  <si>
    <t>BREAD,RED-CAL,OAT BRAN</t>
  </si>
  <si>
    <t>18050</t>
  </si>
  <si>
    <t>BREAD,RED-CAL,OAT BRAN,TSTD</t>
  </si>
  <si>
    <t>18051</t>
  </si>
  <si>
    <t>BREAD,RED-CAL,OATMEAL</t>
  </si>
  <si>
    <t>18053</t>
  </si>
  <si>
    <t>BREAD,REDUCED-CALORIE,RYE</t>
  </si>
  <si>
    <t>18055</t>
  </si>
  <si>
    <t>BREAD,RED-CAL,WHEAT</t>
  </si>
  <si>
    <t>18057</t>
  </si>
  <si>
    <t>BREAD,RED-CAL,WHITE</t>
  </si>
  <si>
    <t>18059</t>
  </si>
  <si>
    <t>BREAD,RICE BRAN</t>
  </si>
  <si>
    <t>18060</t>
  </si>
  <si>
    <t>BREAD,RYE</t>
  </si>
  <si>
    <t>18061</t>
  </si>
  <si>
    <t>BREAD,RYE,TOASTED</t>
  </si>
  <si>
    <t>18064</t>
  </si>
  <si>
    <t>BREAD,WHEAT</t>
  </si>
  <si>
    <t>18065</t>
  </si>
  <si>
    <t>BREAD, WHEAT, TSTD</t>
  </si>
  <si>
    <t>18066</t>
  </si>
  <si>
    <t>BREAD,WHEAT BRAN</t>
  </si>
  <si>
    <t>18069</t>
  </si>
  <si>
    <t>BREAD,WHITE,COMMLY PREP (INCL SOFT BREAD CRUMBS)</t>
  </si>
  <si>
    <t>18070</t>
  </si>
  <si>
    <t>BREAD,WHITE,COMMLY PREP,TSTD</t>
  </si>
  <si>
    <t>18071</t>
  </si>
  <si>
    <t>BREAD,WHITE,PREP FROM RECIPE,MADE W/NONFAT DRY MILK</t>
  </si>
  <si>
    <t>18073</t>
  </si>
  <si>
    <t>BREAD,WHITE,PREP FROM RECIPE,MADE W/LOFAT (2%) MILK</t>
  </si>
  <si>
    <t>18075</t>
  </si>
  <si>
    <t>BREAD,WHOLE-WHEAT,COMM. PREPARED</t>
  </si>
  <si>
    <t>18076</t>
  </si>
  <si>
    <t>BREAD, WHOLE-WHEAT, COMMER PREP, TOASTED</t>
  </si>
  <si>
    <t>18077</t>
  </si>
  <si>
    <t>BREAD,WHOLE-WHEAT,PREP FROM RECIPE</t>
  </si>
  <si>
    <t>18078</t>
  </si>
  <si>
    <t>BREAD,WHOLE-WHEAT,PREP FROM RECIPE,TSTD</t>
  </si>
  <si>
    <t>18079</t>
  </si>
  <si>
    <t>BREAD CRUMBS,DRY,GRATED,PLN</t>
  </si>
  <si>
    <t>18080</t>
  </si>
  <si>
    <t>BREAD STICKS,PLAIN</t>
  </si>
  <si>
    <t>18081</t>
  </si>
  <si>
    <t>BREAD STUFFING,BREAD,DRY MIX</t>
  </si>
  <si>
    <t>18082</t>
  </si>
  <si>
    <t>BREAD STUFFING,BREAD,DRY MIX,PREP</t>
  </si>
  <si>
    <t>18084</t>
  </si>
  <si>
    <t>BREAD STUFFING,CORNBREAD,DRY MIX</t>
  </si>
  <si>
    <t>18085</t>
  </si>
  <si>
    <t>BREAD STUFFING,CORNBREAD,DRY MIX,PREP</t>
  </si>
  <si>
    <t>18086</t>
  </si>
  <si>
    <t>CAKE,ANGELFOOD,COMMLY PREP</t>
  </si>
  <si>
    <t>18087</t>
  </si>
  <si>
    <t>CAKE,ANGELFOOD,DRY MIX</t>
  </si>
  <si>
    <t>18088</t>
  </si>
  <si>
    <t>CAKE,ANGELFOOD,DRY MIX,PREP</t>
  </si>
  <si>
    <t>18090</t>
  </si>
  <si>
    <t>CAKE,BOSTON CRM PIE,COMMLY PREP</t>
  </si>
  <si>
    <t>18092</t>
  </si>
  <si>
    <t>CAKE,PUDDING-TYPE,CARROT,DRY MIX</t>
  </si>
  <si>
    <t>18095</t>
  </si>
  <si>
    <t>CAKE,CHERRY FUDGE W/CHOC FRSTNG</t>
  </si>
  <si>
    <t>18096</t>
  </si>
  <si>
    <t>CAKE,CHOC,COMMLY PREP W/ CHOC FRSTNG,IN-STORE BAKERY</t>
  </si>
  <si>
    <t>18097</t>
  </si>
  <si>
    <t>CAKE,PUDDING-TYPE,CHOC,DRY MIX</t>
  </si>
  <si>
    <t>18101</t>
  </si>
  <si>
    <t>CAKE,CHOC,PREP FROM RECIPE WO/FRSTNG</t>
  </si>
  <si>
    <t>18102</t>
  </si>
  <si>
    <t>CAKE,WHITE,PREP FROM RECIPE W/COCNT FRSTNG</t>
  </si>
  <si>
    <t>18103</t>
  </si>
  <si>
    <t>COFFEECAKE,CHEESE</t>
  </si>
  <si>
    <t>18104</t>
  </si>
  <si>
    <t>COFFEECAKE,CINN W/CRUMB TOPPING,COMMLY PREP,ENR</t>
  </si>
  <si>
    <t>18105</t>
  </si>
  <si>
    <t>COFFEECAKE,CREME-FILLED W/CHOC FRSTNG</t>
  </si>
  <si>
    <t>18106</t>
  </si>
  <si>
    <t>COFFEECAKE,FRUIT</t>
  </si>
  <si>
    <t>18107</t>
  </si>
  <si>
    <t>COFFEECAKE,CINN W/CRUMB TOPPING,DRY MIX</t>
  </si>
  <si>
    <t>18108</t>
  </si>
  <si>
    <t>COFFEECAKE,CINN W/CRUMB TOPPING,DRY MIX,PREP</t>
  </si>
  <si>
    <t>18110</t>
  </si>
  <si>
    <t>CAKE,FRUITCAKE,COMMLY PREP</t>
  </si>
  <si>
    <t>18112</t>
  </si>
  <si>
    <t>CAKE,PUDDING-TYPE,GERMAN CHOC,DRY MIX</t>
  </si>
  <si>
    <t>18114</t>
  </si>
  <si>
    <t>CAKE,GINGERBREAD,DRY MIX</t>
  </si>
  <si>
    <t>18116</t>
  </si>
  <si>
    <t>CAKE,GINGERBREAD,PREP FROM RECIPE</t>
  </si>
  <si>
    <t>18117</t>
  </si>
  <si>
    <t>CAKE,PUDDING-TYPE,MARBLE,DRY MIX</t>
  </si>
  <si>
    <t>18119</t>
  </si>
  <si>
    <t>CAKE,PNAPPL UPSIDE-DOWN,PREP FROM RECIPE</t>
  </si>
  <si>
    <t>18120</t>
  </si>
  <si>
    <t>CAKE,POUND,COMMLY PREP,BUTTER (INCLUDES FRSH &amp; FROZEN)</t>
  </si>
  <si>
    <t>18121</t>
  </si>
  <si>
    <t>CAKE,POUND,COMMLY PREP,OTHER THAN ALL BUTTER,ENR</t>
  </si>
  <si>
    <t>18126</t>
  </si>
  <si>
    <t>CAKE,SHORTCAKE,BISCUIT-TYPE,PREP FROM RECIPE</t>
  </si>
  <si>
    <t>18127</t>
  </si>
  <si>
    <t>CAKE,SNACK CAKES,CREME-FILLED,CHOC W/ FRSTNG</t>
  </si>
  <si>
    <t>18128</t>
  </si>
  <si>
    <t>CAKE,SNACK CAKES,CREME-FILLED,SPONGE</t>
  </si>
  <si>
    <t>18131</t>
  </si>
  <si>
    <t>CAKE,WHITE,DRY MIX,SPL DIETARY (INCL LEMON-FLAVORED)</t>
  </si>
  <si>
    <t>18133</t>
  </si>
  <si>
    <t>CAKE,SPONGE,COMMLY PREP</t>
  </si>
  <si>
    <t>18134</t>
  </si>
  <si>
    <t>CAKE,SPONGE,PREP FROM RECIPE</t>
  </si>
  <si>
    <t>18135</t>
  </si>
  <si>
    <t>CAKE,PUDDING-TYPE,WHITE,ENR,DRY MIX</t>
  </si>
  <si>
    <t>18139</t>
  </si>
  <si>
    <t>CAKE,WHITE,PREP FROM RECIPE WO/FRSTNG</t>
  </si>
  <si>
    <t>18140</t>
  </si>
  <si>
    <t>CAKE,YEL,COMMLY PREP,W/ CHOC FRSTNG,IN-STORE BAKERY</t>
  </si>
  <si>
    <t>18141</t>
  </si>
  <si>
    <t>CAKE,YEL,COMMLY PREP,W/VANILLA FRSTNG</t>
  </si>
  <si>
    <t>18142</t>
  </si>
  <si>
    <t>CAKE,PUDDING-TYPE,YEL,DRY MIX</t>
  </si>
  <si>
    <t>18144</t>
  </si>
  <si>
    <t>CAKE,YEL,ENR,DRY MIX</t>
  </si>
  <si>
    <t>18146</t>
  </si>
  <si>
    <t>CAKE,YEL,PREP FROM RECIPE WO/FRSTNG</t>
  </si>
  <si>
    <t>18147</t>
  </si>
  <si>
    <t>CHEESECAKE COMMLY PREP</t>
  </si>
  <si>
    <t>18148</t>
  </si>
  <si>
    <t>CHEESECAKE PREP FROM MIX,NO-BAKE TYPE</t>
  </si>
  <si>
    <t>18151</t>
  </si>
  <si>
    <t>COOKIES,BROWNIES,COMMLY PREP</t>
  </si>
  <si>
    <t>18152</t>
  </si>
  <si>
    <t>COOKIES,BROWNIES,DRY MIX,REG</t>
  </si>
  <si>
    <t>18154</t>
  </si>
  <si>
    <t>COOKIES,BROWNIES,PREP FROM RECIPE</t>
  </si>
  <si>
    <t>18155</t>
  </si>
  <si>
    <t>COOKIES,BUTTER,COMMLY PREP,ENR</t>
  </si>
  <si>
    <t>18156</t>
  </si>
  <si>
    <t>COOKIES,FUDGE,CAKE-TYPE (INCL TROLLEY CAKES)</t>
  </si>
  <si>
    <t>18157</t>
  </si>
  <si>
    <t>COOKIES,CHOCOLATE WAFERS</t>
  </si>
  <si>
    <t>18158</t>
  </si>
  <si>
    <t>COOKIES,CHOC CHIP,COMMLY PREP,REG,LOWER FAT</t>
  </si>
  <si>
    <t>18159</t>
  </si>
  <si>
    <t>COOKIES,CHOC CHIP,COMMLY PREP,REG,HIGHER FAT,ENR</t>
  </si>
  <si>
    <t>18160</t>
  </si>
  <si>
    <t>COOKIES,CHOC CHIP,COMMLY PREP,SOFT-TYPE</t>
  </si>
  <si>
    <t>18161</t>
  </si>
  <si>
    <t>COOKIES,CHOC CHIP,DRY MIX</t>
  </si>
  <si>
    <t>18163</t>
  </si>
  <si>
    <t>COOKIES,CHOC CHIP,REFR DOUGH</t>
  </si>
  <si>
    <t>18164</t>
  </si>
  <si>
    <t>COOKIES,CHOC CHIP,REFR DOUGH,BKD</t>
  </si>
  <si>
    <t>18165</t>
  </si>
  <si>
    <t>COOKIES,CHOC CHIP,PREP FROM RECIPE,MADE W/MARGARINE</t>
  </si>
  <si>
    <t>18166</t>
  </si>
  <si>
    <t>COOKIES,CHOC SNDWCH,W/CREME FILLING,REG</t>
  </si>
  <si>
    <t>18167</t>
  </si>
  <si>
    <t>COOKIES,CHOC SNDWCH,W/CREME FILLING,REG,CHOCOLATE-COATED</t>
  </si>
  <si>
    <t>18168</t>
  </si>
  <si>
    <t>COOKIES,CHOC SNDWCH,W/EX CREME FILLING</t>
  </si>
  <si>
    <t>18170</t>
  </si>
  <si>
    <t>COOKIES,FIG BARS</t>
  </si>
  <si>
    <t>18171</t>
  </si>
  <si>
    <t>COOKIES,FORTUNE</t>
  </si>
  <si>
    <t>18172</t>
  </si>
  <si>
    <t>COOKIES,GINGERSNAPS</t>
  </si>
  <si>
    <t>18173</t>
  </si>
  <si>
    <t>COOKIES,GRAHAM CRACKERS,PLN OR HONEY (INCL CINN)</t>
  </si>
  <si>
    <t>18174</t>
  </si>
  <si>
    <t>COOKIES,GRAHAM CRACKERS,CHOCOLATE-COATED</t>
  </si>
  <si>
    <t>18175</t>
  </si>
  <si>
    <t>COOKIES,LADYFINGERS,W/LEMON JUC&amp;RIND</t>
  </si>
  <si>
    <t>18176</t>
  </si>
  <si>
    <t>COOKIES,MARSHMLLW,CHOCOLATE-COATED (INCL MARSHMLLW PIES)</t>
  </si>
  <si>
    <t>18177</t>
  </si>
  <si>
    <t>COOKIES,MOLASSES</t>
  </si>
  <si>
    <t>18178</t>
  </si>
  <si>
    <t>COOKIES,OATMEAL,COMMLY PREP,REG</t>
  </si>
  <si>
    <t>18179</t>
  </si>
  <si>
    <t>COOKIES,OATMEAL,COMMLY PREP,SOFT-TYPE</t>
  </si>
  <si>
    <t>18180</t>
  </si>
  <si>
    <t>COOKIES,OATMEAL,DRY MIX</t>
  </si>
  <si>
    <t>18182</t>
  </si>
  <si>
    <t>COOKIES,OATMEAL,REFR DOUGH</t>
  </si>
  <si>
    <t>18183</t>
  </si>
  <si>
    <t>COOKIES,OATMEAL,REFR DOUGH,BKD</t>
  </si>
  <si>
    <t>18184</t>
  </si>
  <si>
    <t>COOKIES,OATMEAL,PREP FROM RECIPE,W/RAISINS</t>
  </si>
  <si>
    <t>18185</t>
  </si>
  <si>
    <t>COOKIES,PNUT BUTTER,COMMLY PREP,REG</t>
  </si>
  <si>
    <t>18186</t>
  </si>
  <si>
    <t>COOKIES,PNUT BUTTER,COMMLY PREP,SOFT-TYPE</t>
  </si>
  <si>
    <t>18187</t>
  </si>
  <si>
    <t>COOKIES,PNUT BUTTER,REFR DOUGH</t>
  </si>
  <si>
    <t>18188</t>
  </si>
  <si>
    <t>COOKIES,PNUT BUTTER,REFR DOUGH,BKD</t>
  </si>
  <si>
    <t>18189</t>
  </si>
  <si>
    <t>COOKIES,PNUT BUTTER,PREP FROM RECIPE</t>
  </si>
  <si>
    <t>18190</t>
  </si>
  <si>
    <t>COOKIES,PNUT BUTTER SNDWCH,REG</t>
  </si>
  <si>
    <t>18191</t>
  </si>
  <si>
    <t>COOKIES,RAISIN,SOFT-TYPE</t>
  </si>
  <si>
    <t>18192</t>
  </si>
  <si>
    <t>COOKIES,SHORTBREAD,COMMLY PREP,PLN</t>
  </si>
  <si>
    <t>18193</t>
  </si>
  <si>
    <t>COOKIES,SHORTBREAD,COMMLY PREP,PECAN</t>
  </si>
  <si>
    <t>18196</t>
  </si>
  <si>
    <t>COOKIES,BROWNIES,DRY MIX,SUGAR FREE</t>
  </si>
  <si>
    <t>18198</t>
  </si>
  <si>
    <t>COOKIES,CHOC CHIP,COMMLY PREP,SPL DIETARY</t>
  </si>
  <si>
    <t>18199</t>
  </si>
  <si>
    <t>COOKIES,CHOC SNDWCH,W/CREME FILLING,SPL DIETARY</t>
  </si>
  <si>
    <t>18200</t>
  </si>
  <si>
    <t>COOKIES,OATMEAL,COMMLY PREP,SPL DIETARY</t>
  </si>
  <si>
    <t>18201</t>
  </si>
  <si>
    <t>COOKIES,PNUT BUTTER SNDWCH,SPL DIETARY</t>
  </si>
  <si>
    <t>18202</t>
  </si>
  <si>
    <t>COOKIES,SUGAR WAFER,W/ CREME FILLING,SUGAR FREE</t>
  </si>
  <si>
    <t>18204</t>
  </si>
  <si>
    <t>COOKIES,SUGAR,COMMLY PREP,REG (INCL VANILLA)</t>
  </si>
  <si>
    <t>18205</t>
  </si>
  <si>
    <t>COOKIES,SUGAR,REFR DOUGH</t>
  </si>
  <si>
    <t>18206</t>
  </si>
  <si>
    <t>COOKIES,SUGAR,REFR DOUGH,BKD</t>
  </si>
  <si>
    <t>18208</t>
  </si>
  <si>
    <t>COOKIES,SUGAR,PREP FROM RECIPE,MADE W/MARGARINE</t>
  </si>
  <si>
    <t>18209</t>
  </si>
  <si>
    <t>COOKIES,SUGAR WAFERS W/CREME FILLING,REG</t>
  </si>
  <si>
    <t>18210</t>
  </si>
  <si>
    <t>COOKIES,VANILLA SNDWCH W/CREME FILLING</t>
  </si>
  <si>
    <t>18211</t>
  </si>
  <si>
    <t>PUFF PASTRY,FRZ,RTB,BKD</t>
  </si>
  <si>
    <t>18212</t>
  </si>
  <si>
    <t>COOKIES,VANILLA WAFERS,LOWER FAT</t>
  </si>
  <si>
    <t>18213</t>
  </si>
  <si>
    <t>COOKIES,VANILLA WAFERS,HIGHER FAT</t>
  </si>
  <si>
    <t>18214</t>
  </si>
  <si>
    <t>CRACKERS,CHEESE,REGULAR</t>
  </si>
  <si>
    <t>18215</t>
  </si>
  <si>
    <t>CRACKERS,CHS,SANDWICH-TYPE W/PNUT BUTTER FILLING</t>
  </si>
  <si>
    <t>18216</t>
  </si>
  <si>
    <t>CRACKERS,CRISPBREAD,RYE</t>
  </si>
  <si>
    <t>18217</t>
  </si>
  <si>
    <t>CRACKERS,MATZO,PLAIN</t>
  </si>
  <si>
    <t>18218</t>
  </si>
  <si>
    <t>CRACKERS,MATZO,EGG</t>
  </si>
  <si>
    <t>18219</t>
  </si>
  <si>
    <t>CRACKERS,MATZO,WHOLE-WHEAT</t>
  </si>
  <si>
    <t>18220</t>
  </si>
  <si>
    <t>CRACKERS,MELBA TOAST,PLN</t>
  </si>
  <si>
    <t>18221</t>
  </si>
  <si>
    <t>CRACKERS,MELBA TOAST,RYE (INCL PUMPERNICKEL)</t>
  </si>
  <si>
    <t>18222</t>
  </si>
  <si>
    <t>CRACKERS,MELBA TOAST,WHEAT</t>
  </si>
  <si>
    <t>18223</t>
  </si>
  <si>
    <t>CRACKERS,MILK</t>
  </si>
  <si>
    <t>18224</t>
  </si>
  <si>
    <t>CRACKERS,RUSK TOAST</t>
  </si>
  <si>
    <t>18225</t>
  </si>
  <si>
    <t>CRACKERS,RYE,SANDWICH-TYPE W/CHS FILLING</t>
  </si>
  <si>
    <t>18226</t>
  </si>
  <si>
    <t>CRACKERS,RYE,WAFERS,PLAIN</t>
  </si>
  <si>
    <t>18227</t>
  </si>
  <si>
    <t>CRACKERS,RYE,WAFERS,SEASONED</t>
  </si>
  <si>
    <t>18228</t>
  </si>
  <si>
    <t>CRACKERS,SALTINES (INCL OYSTER,SODA,SOUP)</t>
  </si>
  <si>
    <t>18229</t>
  </si>
  <si>
    <t>CRACKERS,STD SNACK-TYPE,REG</t>
  </si>
  <si>
    <t>18230</t>
  </si>
  <si>
    <t>CRACKERS,STD SNACK-TYPE,SNDWCH,W/CHS FILLING</t>
  </si>
  <si>
    <t>18231</t>
  </si>
  <si>
    <t>CRACKERS,STD SNACK-TYPE,SNDWCH,W/PNUT BUTTER FILLING</t>
  </si>
  <si>
    <t>18232</t>
  </si>
  <si>
    <t>CRACKERS,WHEAT,REGULAR</t>
  </si>
  <si>
    <t>18233</t>
  </si>
  <si>
    <t>CRACKERS,WHEAT,SNDWCH,W/CHS FILLING</t>
  </si>
  <si>
    <t>18234</t>
  </si>
  <si>
    <t>CRACKERS,WHEAT,SNDWCH,W/PNUT BUTTER FILLING</t>
  </si>
  <si>
    <t>18235</t>
  </si>
  <si>
    <t>CRACKERS,WHOLE-WHEAT</t>
  </si>
  <si>
    <t>18236</t>
  </si>
  <si>
    <t>CRACKER MEAL</t>
  </si>
  <si>
    <t>18237</t>
  </si>
  <si>
    <t>CREAM PUFF SHELL,PREP FROM RECIPE</t>
  </si>
  <si>
    <t>18239</t>
  </si>
  <si>
    <t>CROISSANTS,BUTTER</t>
  </si>
  <si>
    <t>18240</t>
  </si>
  <si>
    <t>CROISSANTS,APPLE</t>
  </si>
  <si>
    <t>18241</t>
  </si>
  <si>
    <t>CROISSANTS,CHEESE</t>
  </si>
  <si>
    <t>18242</t>
  </si>
  <si>
    <t>CROUTONS,PLAIN</t>
  </si>
  <si>
    <t>18243</t>
  </si>
  <si>
    <t>CROUTONS,SEASONED</t>
  </si>
  <si>
    <t>18244</t>
  </si>
  <si>
    <t>DANISH PASTRY,CINN,ENR</t>
  </si>
  <si>
    <t>18245</t>
  </si>
  <si>
    <t>DANISH PASTRY,CHEESE</t>
  </si>
  <si>
    <t>18246</t>
  </si>
  <si>
    <t>DANISH PASTRY,FRUIT,ENR</t>
  </si>
  <si>
    <t>18247</t>
  </si>
  <si>
    <t>DANISH PASTRY,NUT (INCL ALMOND,RAISIN NUT,CINN NUT)</t>
  </si>
  <si>
    <t>18248</t>
  </si>
  <si>
    <t>DOUGHNUTS,CAKE-TYPE,PLN (INCLUDES UNSUGARED,OLD-FASHIONED)</t>
  </si>
  <si>
    <t>18249</t>
  </si>
  <si>
    <t>DOUGHNUTS,CAKE-TYPE,PLN,CHOCOLATE-COATED OR FRSTD</t>
  </si>
  <si>
    <t>18250</t>
  </si>
  <si>
    <t>DOUGHNUTS,CAKE-TYPE,PLN,SUGARED OR GLAZED</t>
  </si>
  <si>
    <t>18251</t>
  </si>
  <si>
    <t>DOUGHNUTS,CAKE-TYPE,CHOC,SUGARED OR GLAZED</t>
  </si>
  <si>
    <t>18253</t>
  </si>
  <si>
    <t>DOUGHNUTS,FRENCH CRULLERS,GLAZED</t>
  </si>
  <si>
    <t>18254</t>
  </si>
  <si>
    <t>DOUGHNUTS,YEAST-LEAVENED,W/CREME FILLING</t>
  </si>
  <si>
    <t>18255</t>
  </si>
  <si>
    <t>DOUGHNUTS, YEAST-LEAVENED, GLAZED, ENRICHED (INC HONEY BUNS)</t>
  </si>
  <si>
    <t>19000</t>
  </si>
  <si>
    <t>SCHIFF,TIGER'S MILK BAR</t>
  </si>
  <si>
    <t>19001</t>
  </si>
  <si>
    <t>CANDIES,TOBLERONE,MILK CHOC W/ HONEY &amp; ALMOND NOUGAT</t>
  </si>
  <si>
    <t>19002</t>
  </si>
  <si>
    <t>BEEF JERKY,CHOPD&amp;FORMED</t>
  </si>
  <si>
    <t>19003</t>
  </si>
  <si>
    <t>SNACKS,CORN-BASED,EXTRUDED,CHIPS,PLN</t>
  </si>
  <si>
    <t>19004</t>
  </si>
  <si>
    <t>CORN-BASED,EXTRUDED,CHIPS,BARBECUE-FLAVOR</t>
  </si>
  <si>
    <t>19005</t>
  </si>
  <si>
    <t>CORN-BASED,EXTRUDED,CONES,PLN</t>
  </si>
  <si>
    <t>19007</t>
  </si>
  <si>
    <t>SNACKS,CORN-BASED,EXTRUDED,ONION-FLAVOR</t>
  </si>
  <si>
    <t>19008</t>
  </si>
  <si>
    <t>CORN-BASED,EXTRUDED,PUFFS OR TWISTS,CHEESE-FLAVOR</t>
  </si>
  <si>
    <t>19009</t>
  </si>
  <si>
    <t>CORNNUTS,PLAIN</t>
  </si>
  <si>
    <t>19010</t>
  </si>
  <si>
    <t>CRISPED RICE BAR,CHOC CHIP</t>
  </si>
  <si>
    <t>19013</t>
  </si>
  <si>
    <t>FRUIT LEATHER,PIECES</t>
  </si>
  <si>
    <t>19014</t>
  </si>
  <si>
    <t>FRUIT LEATHER,ROLLS</t>
  </si>
  <si>
    <t>19015</t>
  </si>
  <si>
    <t>GRANOLA BARS,HARD,PLAIN</t>
  </si>
  <si>
    <t>19016</t>
  </si>
  <si>
    <t>GRANOLA BARS,HARD,ALMOND</t>
  </si>
  <si>
    <t>19017</t>
  </si>
  <si>
    <t>GRANOLA BARS,HARD,CHOC CHIP</t>
  </si>
  <si>
    <t>19018</t>
  </si>
  <si>
    <t>FRUIT SYRUP</t>
  </si>
  <si>
    <t>19020</t>
  </si>
  <si>
    <t>GRANOLA BARS,SOFT,UNCOATED,PLN</t>
  </si>
  <si>
    <t>19021</t>
  </si>
  <si>
    <t>GRANOLA BARS,SOFT,UNCOATED,PNUT BUTTER</t>
  </si>
  <si>
    <t>19022</t>
  </si>
  <si>
    <t>GRANOLA BARS,SOFT,UNCOATED,RAISIN</t>
  </si>
  <si>
    <t>19024</t>
  </si>
  <si>
    <t>GRANOLA BARS,SOFT,COATD,MILK CHOC COATING,CHOC CHIP</t>
  </si>
  <si>
    <t>19025</t>
  </si>
  <si>
    <t>CANDIES,HONEY-COMBED,W/ PNUT BUTTER</t>
  </si>
  <si>
    <t>19026</t>
  </si>
  <si>
    <t>GRANOLA BARS,SOFT,COATD,MILK CHOC COATING,PNUT BUTTER</t>
  </si>
  <si>
    <t>19027</t>
  </si>
  <si>
    <t>GRANOLA BARS,SOFT,UNCOATED,PNUT BUTTER&amp;CHOC CHIP</t>
  </si>
  <si>
    <t>19029</t>
  </si>
  <si>
    <t>TOPPING,SMUCKER'S MAGIC SHELL</t>
  </si>
  <si>
    <t>19030</t>
  </si>
  <si>
    <t>SYRUP,FRUIT FLAV</t>
  </si>
  <si>
    <t>19031</t>
  </si>
  <si>
    <t>ORIENTAL MIX,RICE-BASED</t>
  </si>
  <si>
    <t>19033</t>
  </si>
  <si>
    <t>SNACKS,GENERAL MILLS,CHEX MIX,TRADITIONAL FLAVOR</t>
  </si>
  <si>
    <t>19034</t>
  </si>
  <si>
    <t>POPCORN,AIR-POPPED</t>
  </si>
  <si>
    <t>19035</t>
  </si>
  <si>
    <t>SNACKS,POPCORN,OIL-POPPED,MICROWAVE,REG FLAVOR,NO TRANS FAT</t>
  </si>
  <si>
    <t>19036</t>
  </si>
  <si>
    <t>POPCORN,CAKES</t>
  </si>
  <si>
    <t>19038</t>
  </si>
  <si>
    <t>POPCORN,CARAMEL-COATED,W/PNUTS</t>
  </si>
  <si>
    <t>19039</t>
  </si>
  <si>
    <t>POPCORN,CARAMEL-COATED,WO/PNUTS</t>
  </si>
  <si>
    <t>19040</t>
  </si>
  <si>
    <t>POPCORN,CHEESE-FLAVOR</t>
  </si>
  <si>
    <t>19041</t>
  </si>
  <si>
    <t>PORK SKINS,PLAIN</t>
  </si>
  <si>
    <t>19042</t>
  </si>
  <si>
    <t>POTATO CHIPS,BARBECUE-FLAVOR</t>
  </si>
  <si>
    <t>19043</t>
  </si>
  <si>
    <t>POTATO CHIPS,SOUR-CREAM-AND-ONION-FLAVOR</t>
  </si>
  <si>
    <t>19045</t>
  </si>
  <si>
    <t>POTATO CHIPS,MADE FROM DRIED POTATOES,LT</t>
  </si>
  <si>
    <t>19046</t>
  </si>
  <si>
    <t>POTATO CHIPS,MADE FR DRIED POTATOES,SOUR-CREAM&amp;ONION-FLAVOR</t>
  </si>
  <si>
    <t>19047</t>
  </si>
  <si>
    <t>PRETZELS,HARD,PLN,SALTED</t>
  </si>
  <si>
    <t>19048</t>
  </si>
  <si>
    <t>PRETZELS,HARD,CONFECTIONER'S COATING,CHOCOLATE-FLAVOR</t>
  </si>
  <si>
    <t>19049</t>
  </si>
  <si>
    <t>SNACKS,M&amp;M MARS,COMBOS SNACKS CHEDDAR CHS PRETZEL</t>
  </si>
  <si>
    <t>19050</t>
  </si>
  <si>
    <t>SNACKS,PRETZELS,HARD,WHOLE-WHEAT INCL BOTH SALTED &amp; UNSALTED</t>
  </si>
  <si>
    <t>19051</t>
  </si>
  <si>
    <t>SNACKS,RICE CRACKER BROWN RICE,PLN</t>
  </si>
  <si>
    <t>19052</t>
  </si>
  <si>
    <t>RICE CAKES,BROWN RICE,BUCKWHEAT</t>
  </si>
  <si>
    <t>19053</t>
  </si>
  <si>
    <t>RICE CAKES,BROWN RICE,SESAME SD</t>
  </si>
  <si>
    <t>19056</t>
  </si>
  <si>
    <t>TORTILLA CHIPS,PLAIN</t>
  </si>
  <si>
    <t>19057</t>
  </si>
  <si>
    <t>Snacks, tortilla chips, nacho cheese</t>
  </si>
  <si>
    <t>19058</t>
  </si>
  <si>
    <t>SNACKS,TORTILLA CHIPS,RANCH-FLAVOR</t>
  </si>
  <si>
    <t>19059</t>
  </si>
  <si>
    <t>TRAIL MIX,REGULAR</t>
  </si>
  <si>
    <t>19061</t>
  </si>
  <si>
    <t>TRAIL MIX,TROPICAL</t>
  </si>
  <si>
    <t>19062</t>
  </si>
  <si>
    <t>TRAIL MIX,REG,W/CHOC CHIPS,SALTED NUTS&amp;SEEDS</t>
  </si>
  <si>
    <t>19063</t>
  </si>
  <si>
    <t>TORTILLA CHIPS,TACO-FLAVOR</t>
  </si>
  <si>
    <t>19064</t>
  </si>
  <si>
    <t>CANDIES,TOOTSIE ROLL,CHOCOLATE-FLAVOR ROLL</t>
  </si>
  <si>
    <t>19065</t>
  </si>
  <si>
    <t>CANDIES,ALMOND JOY CANDY BAR</t>
  </si>
  <si>
    <t>19067</t>
  </si>
  <si>
    <t>CANDIES,TWIZZLERS CHERRY BITES</t>
  </si>
  <si>
    <t>19068</t>
  </si>
  <si>
    <t>CANDIES,NESTLE,BIT-O'-HONEY CANDY CHEWS</t>
  </si>
  <si>
    <t>19069</t>
  </si>
  <si>
    <t>CANDIES,NESTLE,BUTTERFINGER BAR</t>
  </si>
  <si>
    <t>19070</t>
  </si>
  <si>
    <t>CANDIES,BUTTERSCOTCH</t>
  </si>
  <si>
    <t>19071</t>
  </si>
  <si>
    <t>CANDIES,CAROB,UNSWTND</t>
  </si>
  <si>
    <t>19074</t>
  </si>
  <si>
    <t>CANDIES,CARAMELS</t>
  </si>
  <si>
    <t>19075</t>
  </si>
  <si>
    <t>CANDIES,CARAMELLO CANDY BAR</t>
  </si>
  <si>
    <t>19076</t>
  </si>
  <si>
    <t>CANDIES, CARAMELS, CHOCOLATE-FLAVOR ROLL</t>
  </si>
  <si>
    <t>19077</t>
  </si>
  <si>
    <t>BAKING CHOC,UNSWTND,LIQ</t>
  </si>
  <si>
    <t>19078</t>
  </si>
  <si>
    <t>Baking chocolate, unsweetened, squares</t>
  </si>
  <si>
    <t>19079</t>
  </si>
  <si>
    <t>CANDIES,CONFECTIONER'S COATING,YOGURT</t>
  </si>
  <si>
    <t>19080</t>
  </si>
  <si>
    <t>CANDIES,SEMISWEET CHOC</t>
  </si>
  <si>
    <t>19081</t>
  </si>
  <si>
    <t>CANDIES,SWEET CHOCOLATE</t>
  </si>
  <si>
    <t>19083</t>
  </si>
  <si>
    <t>CANDIES,SWT CHOC COATD FONDANT</t>
  </si>
  <si>
    <t>19084</t>
  </si>
  <si>
    <t>CANDIES,HERSHEY'S GOLDEN ALMOND SOLITAIRES</t>
  </si>
  <si>
    <t>19085</t>
  </si>
  <si>
    <t>CANDIES,CONFECTIONER'S COATING,BUTTERSCOTCH</t>
  </si>
  <si>
    <t>19086</t>
  </si>
  <si>
    <t>CANDIES,CONFECTIONER'S COATING,PNUT BUTTER</t>
  </si>
  <si>
    <t>19087</t>
  </si>
  <si>
    <t>CANDIES,WHITE CHOC</t>
  </si>
  <si>
    <t>19088</t>
  </si>
  <si>
    <t>ICE CREAMS,VANILLA,LT</t>
  </si>
  <si>
    <t>19089</t>
  </si>
  <si>
    <t>ICE CREAMS,VANILLA,RICH</t>
  </si>
  <si>
    <t>19090</t>
  </si>
  <si>
    <t>ICE CREAMS,FRENCH VANILLA,SOFT-SERVE</t>
  </si>
  <si>
    <t>19091</t>
  </si>
  <si>
    <t>CANDIES,YORK PEPPERMINT PATTIE</t>
  </si>
  <si>
    <t>19092</t>
  </si>
  <si>
    <t>CANDIES,TWIZZLERS NIBS CHERRY BITS</t>
  </si>
  <si>
    <t>19093</t>
  </si>
  <si>
    <t>CANDIES,SYMPHONY MILK CHOC BAR</t>
  </si>
  <si>
    <t>19094</t>
  </si>
  <si>
    <t>DESSERTS,FLAN,CARAMEL CUSTARD,PREPARED-FROM-RECIPE</t>
  </si>
  <si>
    <t>19095</t>
  </si>
  <si>
    <t>ICE CREAMS,VANILLA</t>
  </si>
  <si>
    <t>19096</t>
  </si>
  <si>
    <t>ICE CREAMS,VANILLA,LT,SOFT-SERVE</t>
  </si>
  <si>
    <t>19097</t>
  </si>
  <si>
    <t>SHERBET,ORANGE</t>
  </si>
  <si>
    <t>19098</t>
  </si>
  <si>
    <t>CANDIES,5TH AVENUE CANDY BAR</t>
  </si>
  <si>
    <t>19099</t>
  </si>
  <si>
    <t>CANDIES,FONDANT,PREPARED-FROM-RECIPE</t>
  </si>
  <si>
    <t>19100</t>
  </si>
  <si>
    <t>CANDIES,FUDGE,CHOC,PREPARED-FROM-RECIPE</t>
  </si>
  <si>
    <t>19101</t>
  </si>
  <si>
    <t>CANDIES,FUDGE,CHOC,W/ NUTS,PREPARED-FROM-RECIPE</t>
  </si>
  <si>
    <t>19102</t>
  </si>
  <si>
    <t>CANDIES,FUDGE,PNUT BUTTER,PREPARED-FROM-RECIPE</t>
  </si>
  <si>
    <t>19103</t>
  </si>
  <si>
    <t>CANDIES,FUDGE,VANILLA,PREPARED-FROM-RECIPE</t>
  </si>
  <si>
    <t>19104</t>
  </si>
  <si>
    <t>CANDIES,FUDGE,VANILLA W/ NUTS</t>
  </si>
  <si>
    <t>19105</t>
  </si>
  <si>
    <t>CANDIES,NESTLE,GOOBERS CHOC COVERED PNUTS</t>
  </si>
  <si>
    <t>19106</t>
  </si>
  <si>
    <t>CANDIES,GUMDROPS,STARCH JELLY PIECES</t>
  </si>
  <si>
    <t>19107</t>
  </si>
  <si>
    <t>CANDIES,HARD</t>
  </si>
  <si>
    <t>19108</t>
  </si>
  <si>
    <t>CANDIES,JELLYBEANS</t>
  </si>
  <si>
    <t>19109</t>
  </si>
  <si>
    <t>CANDIES,KIT KAT WAFER BAR</t>
  </si>
  <si>
    <t>19110</t>
  </si>
  <si>
    <t>CANDIES,KRACKEL CHOC BAR</t>
  </si>
  <si>
    <t>19111</t>
  </si>
  <si>
    <t>CANDIES,NESTLE,BABY RUTH BAR</t>
  </si>
  <si>
    <t>19112</t>
  </si>
  <si>
    <t>CANDIES,TWIZZLERS STRAWBERRY TWISTS CANDY</t>
  </si>
  <si>
    <t>19113</t>
  </si>
  <si>
    <t>SYRUPS,TABLE BLENDS,PANCAKE,W/BUTTER</t>
  </si>
  <si>
    <t>19114</t>
  </si>
  <si>
    <t>ICE CREAMS,CHOC,LT</t>
  </si>
  <si>
    <t>19115</t>
  </si>
  <si>
    <t>CANDIES,MARS SNACKFOOD US,MARS ALMOND BAR</t>
  </si>
  <si>
    <t>19116</t>
  </si>
  <si>
    <t>CANDIES,MARSHMALLOWS</t>
  </si>
  <si>
    <t>19117</t>
  </si>
  <si>
    <t>CANDIES,HALAVAH,PLAIN</t>
  </si>
  <si>
    <t>19118</t>
  </si>
  <si>
    <t>CANDIES,NESTLE,OH HENRY! BAR</t>
  </si>
  <si>
    <t>19119</t>
  </si>
  <si>
    <t>CANDIES,NESTLE,CHUNKY BAR</t>
  </si>
  <si>
    <t>19120</t>
  </si>
  <si>
    <t>CANDIES,MILK CHOC</t>
  </si>
  <si>
    <t>19121</t>
  </si>
  <si>
    <t>PUDDINGS,BANANA,DRY MIX,INST,PREP W/ 2% MILK</t>
  </si>
  <si>
    <t>19122</t>
  </si>
  <si>
    <t>PUDDINGS,BANANA,DRY MIX,REG,PREP W/ 2% MILK</t>
  </si>
  <si>
    <t>19123</t>
  </si>
  <si>
    <t>PUDDINGS,CHOC,DRY MIX,INST,PREP W/ 2% MILK</t>
  </si>
  <si>
    <t>19124</t>
  </si>
  <si>
    <t>BAKING CHOC,MEXICAN,SQUARES</t>
  </si>
  <si>
    <t>19125</t>
  </si>
  <si>
    <t>CHOCOLATE-FLAVORED HAZELNUT SPRD</t>
  </si>
  <si>
    <t>19126</t>
  </si>
  <si>
    <t>CANDIES,MILK CHOC COATD PNUTS</t>
  </si>
  <si>
    <t>19127</t>
  </si>
  <si>
    <t>CANDIES,MILK CHOC COATD RAISINS</t>
  </si>
  <si>
    <t>19128</t>
  </si>
  <si>
    <t>SYRUPS,TABLE BLENDS,PANCAKE,RED-CAL</t>
  </si>
  <si>
    <t>19129</t>
  </si>
  <si>
    <t>SYRUPS,TABLE BLENDS,PANCAKE</t>
  </si>
  <si>
    <t>19130</t>
  </si>
  <si>
    <t>CANDIES,HERSHEY'S POT OF GOLD ALMOND BAR</t>
  </si>
  <si>
    <t>19132</t>
  </si>
  <si>
    <t>CANDIES,MILK CHOC,W/ALMONDS</t>
  </si>
  <si>
    <t>19134</t>
  </si>
  <si>
    <t>CANDIES,MILK CHOC,W/RICE CRL</t>
  </si>
  <si>
    <t>19135</t>
  </si>
  <si>
    <t>CANDIES,MARS SNACKFOOD US,MILKY WAY BAR</t>
  </si>
  <si>
    <t>19136</t>
  </si>
  <si>
    <t>CANDIES,HERSHEY'S SKOR TOFFEE BAR</t>
  </si>
  <si>
    <t>19137</t>
  </si>
  <si>
    <t>TOPPINGS,STRAWBERRY</t>
  </si>
  <si>
    <t>19138</t>
  </si>
  <si>
    <t>CANDIES,TRUFFLES,PREPARED-FROM-RECIPE</t>
  </si>
  <si>
    <t>19139</t>
  </si>
  <si>
    <t>BAK CHOC,MARS SNACKFOOD US,M&amp;M'S SEMISWT CHOC MINI BAK BITS</t>
  </si>
  <si>
    <t>19140</t>
  </si>
  <si>
    <t>CANDIES,MARS SNACKFOOD US,M&amp;M'S PNUT CHOC CANDIES</t>
  </si>
  <si>
    <t>19141</t>
  </si>
  <si>
    <t>CANDIES,MARS SNACKFOOD US,M&amp;M'S MILK CHOC CANDIES</t>
  </si>
  <si>
    <t>19142</t>
  </si>
  <si>
    <t>CANDIES,MOUNDS CANDY BAR</t>
  </si>
  <si>
    <t>19143</t>
  </si>
  <si>
    <t>CANDIES,MR. GOODBAR CHOC BAR</t>
  </si>
  <si>
    <t>19144</t>
  </si>
  <si>
    <t>CANDIES,NESTLE,100 GRAND BAR</t>
  </si>
  <si>
    <t>19145</t>
  </si>
  <si>
    <t>CANDIES,NESTLE,CRUNCH BAR&amp;DSSRT TOPPING</t>
  </si>
  <si>
    <t>19146</t>
  </si>
  <si>
    <t>BAKING CHOC,MARS SNACKFOOD US,M&amp;M'S MILK CHOC MINI BAK BITS</t>
  </si>
  <si>
    <t>19147</t>
  </si>
  <si>
    <t>CANDIES,PEANUT BAR</t>
  </si>
  <si>
    <t>19148</t>
  </si>
  <si>
    <t>CANDIES,PNUT BRITTLE,PREPARED-FROM-RECIPE</t>
  </si>
  <si>
    <t>19149</t>
  </si>
  <si>
    <t>CANDIES,NESTLE,RAISINETS CHOC COVERED RAISINS</t>
  </si>
  <si>
    <t>19150</t>
  </si>
  <si>
    <t>CANDIES,REESE'S PNUT BUTTER CUPS</t>
  </si>
  <si>
    <t>19151</t>
  </si>
  <si>
    <t>CANDIES,REESE'S PIECES CANDY</t>
  </si>
  <si>
    <t>19152</t>
  </si>
  <si>
    <t>CANDIES,ROLO CARAMELS IN MILK CHOC</t>
  </si>
  <si>
    <t>19153</t>
  </si>
  <si>
    <t>CANDIES,NESTLE,AFTER EIGHT MINTS</t>
  </si>
  <si>
    <t>19154</t>
  </si>
  <si>
    <t>CANDIES,SESAME CRUNCH</t>
  </si>
  <si>
    <t>19155</t>
  </si>
  <si>
    <t>CANDIES,MARS SNACKFOOD US,SNICKERS BAR</t>
  </si>
  <si>
    <t>19156</t>
  </si>
  <si>
    <t>CANDIES,MARS SNACKFOOD US,STARBURST FRUIT CHEWS,ORIG FRUIT</t>
  </si>
  <si>
    <t>19157</t>
  </si>
  <si>
    <t>CANDIES,MARS SNACKFOOD US,M&amp;M'S MINIS MILK CHOC CANDIES</t>
  </si>
  <si>
    <t>19159</t>
  </si>
  <si>
    <t>CANDIES,MARS SNACKFOOD US,3 MUSKETEERS BAR</t>
  </si>
  <si>
    <t>19160</t>
  </si>
  <si>
    <t>CANDIES,MARS SNACKFOOD US,TWIX CARAMEL COOKIE BARS</t>
  </si>
  <si>
    <t>19161</t>
  </si>
  <si>
    <t>CANDIES,MARS SNACKFOOD US,TWIX PNUT BUTTER COOKIE BARS</t>
  </si>
  <si>
    <t>19162</t>
  </si>
  <si>
    <t>CANDIES,WHATCHAMACALLIT CANDY BAR</t>
  </si>
  <si>
    <t>19163</t>
  </si>
  <si>
    <t>CHEWING GUM</t>
  </si>
  <si>
    <t>19164</t>
  </si>
  <si>
    <t>CANDIES,SPL DK CHOC BAR</t>
  </si>
  <si>
    <t>19165</t>
  </si>
  <si>
    <t>COCOA,DRY PDR,UNSWTND</t>
  </si>
  <si>
    <t>19166</t>
  </si>
  <si>
    <t>COCOA,DRY PDR,UNSWTND,PROC W/ALKALI</t>
  </si>
  <si>
    <t>19168</t>
  </si>
  <si>
    <t>DESSERTS,EGG CUSTARD,BKD,PREPARED-FROM-RECIPE</t>
  </si>
  <si>
    <t>19169</t>
  </si>
  <si>
    <t>EGG CUSTARDS,DRY MIX</t>
  </si>
  <si>
    <t>19170</t>
  </si>
  <si>
    <t>EGG CUSTARDS,DRY MIX,PREP W/ WHL MILK</t>
  </si>
  <si>
    <t>19171</t>
  </si>
  <si>
    <t>COCOA,DRY PDR,UNSWTND,HERSHEY'S EUROPEAN STYLE COCOA</t>
  </si>
  <si>
    <t>19172</t>
  </si>
  <si>
    <t>GELATIN DSSRT,DRY MIX</t>
  </si>
  <si>
    <t>19173</t>
  </si>
  <si>
    <t>GELATIN DSSRT,DRY MIX,PREP W/ H2O</t>
  </si>
  <si>
    <t>19175</t>
  </si>
  <si>
    <t>GELATIN DSSRT,DRY MIX,RED CAL,W/ ASPRT</t>
  </si>
  <si>
    <t>19176</t>
  </si>
  <si>
    <t>GELATIN DSSRT,DRY MIX,RED CAL,W/ ASPRT,PREP W/ H2O</t>
  </si>
  <si>
    <t>19177</t>
  </si>
  <si>
    <t>GELATINS,DRY PDR,UNSWTND</t>
  </si>
  <si>
    <t>19181</t>
  </si>
  <si>
    <t>CANDIES,YORK BITES</t>
  </si>
  <si>
    <t>19182</t>
  </si>
  <si>
    <t>DESSERTS,MOUSSE,CHOC,PREPARED-FROM-RECIPE</t>
  </si>
  <si>
    <t>19183</t>
  </si>
  <si>
    <t>PUDDINGS,CHOC,RTE</t>
  </si>
  <si>
    <t>19184</t>
  </si>
  <si>
    <t>PUDDINGS,CHOC,DRY MIX,INST</t>
  </si>
  <si>
    <t>19185</t>
  </si>
  <si>
    <t>PUDDINGS,CHOC,DRY MIX,INST,PREP W/ WHL MILK</t>
  </si>
  <si>
    <t>19186</t>
  </si>
  <si>
    <t>DESSERTS,APPL CRISP,PREPARED-FROM-RECIPE</t>
  </si>
  <si>
    <t>19187</t>
  </si>
  <si>
    <t>FLAN,CARAMEL CUSTARD,DRY MIX</t>
  </si>
  <si>
    <t>19188</t>
  </si>
  <si>
    <t>DESSERTS,PUDD,CHOC,DRY MIX,REG</t>
  </si>
  <si>
    <t>19189</t>
  </si>
  <si>
    <t>PUDDINGS,CHOC,DRY MIX,INST,PREP W/ WHOLE MILK</t>
  </si>
  <si>
    <t>19190</t>
  </si>
  <si>
    <t>PUDDINGS,CHOC,DRY MIX,REG,PREP W/ 2% MILK</t>
  </si>
  <si>
    <t>19191</t>
  </si>
  <si>
    <t>PUDDINGS,COCNT CRM,DRY MIX,INST,PREP W/ 2% MILK</t>
  </si>
  <si>
    <t>19193</t>
  </si>
  <si>
    <t>Puddings, rice, ready-to-eat</t>
  </si>
  <si>
    <t>19194</t>
  </si>
  <si>
    <t>PUDDINGS,RICE,DRY MIX</t>
  </si>
  <si>
    <t>19195</t>
  </si>
  <si>
    <t>PUDDINGS,RICE,DRY MIX,PREP W/ WHL MILK</t>
  </si>
  <si>
    <t>19198</t>
  </si>
  <si>
    <t>PUDDINGS,TAPIOCA,DRY MIX</t>
  </si>
  <si>
    <t>19199</t>
  </si>
  <si>
    <t>PUDDINGS,TAPIOCA,DRY MIX,PREP W/ WHL MILK</t>
  </si>
  <si>
    <t>19201</t>
  </si>
  <si>
    <t>PUDDINGS,VANILLA,RTE</t>
  </si>
  <si>
    <t>19202</t>
  </si>
  <si>
    <t>PUDDINGS,VANILLA,DRY MIX,INST</t>
  </si>
  <si>
    <t>19203</t>
  </si>
  <si>
    <t>PUDDINGS,VANILLA,DRY MIX,INST,PREP W/ WHL MILK</t>
  </si>
  <si>
    <t>19204</t>
  </si>
  <si>
    <t>PUDDINGS,LEMON,DRY MIX,INST,PREP W/ 2% MILK</t>
  </si>
  <si>
    <t>19205</t>
  </si>
  <si>
    <t>EGG CUSTARDS,DRY MIX,PREP W/ 2% MILK</t>
  </si>
  <si>
    <t>19206</t>
  </si>
  <si>
    <t>PUDDINGS,VANILLA,DRY MIX,REG</t>
  </si>
  <si>
    <t>19207</t>
  </si>
  <si>
    <t>PUDDINGS,VANILLA,DRY MIX,REG,PREP W/ WHL MILK</t>
  </si>
  <si>
    <t>19208</t>
  </si>
  <si>
    <t>PUDDINGS,RICE,DRY MIX,PREP W/ 2% MILK</t>
  </si>
  <si>
    <t>19209</t>
  </si>
  <si>
    <t>PUDDINGS,TAPIOCA,DRY MIX,PREP W/ 2% MILK</t>
  </si>
  <si>
    <t>19212</t>
  </si>
  <si>
    <t>PUDDINGS,VANILLA,DRY MIX,REG,PREP W/ 2% MILK</t>
  </si>
  <si>
    <t>19213</t>
  </si>
  <si>
    <t>RENNIN,CHOC,DRY MIX,PREP W/ 2% MILK</t>
  </si>
  <si>
    <t>19214</t>
  </si>
  <si>
    <t>RENNIN,VANILLA,DRY MIX,PREP W/ 2% MILK</t>
  </si>
  <si>
    <t>19216</t>
  </si>
  <si>
    <t>CANDIES,PRALINE,PREPARED-FROM-RECIPE</t>
  </si>
  <si>
    <t>19217</t>
  </si>
  <si>
    <t>FROZEN NOVELTIES,ICE TYPE,FRUIT,NO SUGAR ADDED</t>
  </si>
  <si>
    <t>19218</t>
  </si>
  <si>
    <t>PUDDINGS,TAPIOCA,RTE</t>
  </si>
  <si>
    <t>19219</t>
  </si>
  <si>
    <t>PUDDINGS,COCNT CRM,DRY MIX,REG,PREP W/ 2% MILK</t>
  </si>
  <si>
    <t>19220</t>
  </si>
  <si>
    <t>DESSERTS,RENNIN,CHOC,DRY MIX</t>
  </si>
  <si>
    <t>19221</t>
  </si>
  <si>
    <t>RENNIN,CHOC,DRY MIX,PREP W/ WHL MILK</t>
  </si>
  <si>
    <t>19222</t>
  </si>
  <si>
    <t>DESSERTS,RENNIN,VANILLA,DRY MIX</t>
  </si>
  <si>
    <t>19223</t>
  </si>
  <si>
    <t>RENNIN,VANILLA,DRY MIX,PREP W/ WHL MILK</t>
  </si>
  <si>
    <t>19225</t>
  </si>
  <si>
    <t>DESSERTS,RENNIN,TABLETS,UNSWTND</t>
  </si>
  <si>
    <t>19226</t>
  </si>
  <si>
    <t>FROSTINGS,CHOC,CREAMY,RTE</t>
  </si>
  <si>
    <t>19227</t>
  </si>
  <si>
    <t>FROSTINGS,COCONUT-NUT,RTE</t>
  </si>
  <si>
    <t>19228</t>
  </si>
  <si>
    <t>FROSTINGS,CRM CHEESE-FLAVOR,RTE</t>
  </si>
  <si>
    <t>19230</t>
  </si>
  <si>
    <t>FROSTINGS,VANILLA,CREAMY,RTE</t>
  </si>
  <si>
    <t>20001</t>
  </si>
  <si>
    <t>AMARANTH GRAIN,UNCKD</t>
  </si>
  <si>
    <t>20002</t>
  </si>
  <si>
    <t>AMARANTH GRAIN,CKD</t>
  </si>
  <si>
    <t>20003</t>
  </si>
  <si>
    <t>ARROWROOT FLOUR</t>
  </si>
  <si>
    <t>20004</t>
  </si>
  <si>
    <t>BARLEY,HULLED</t>
  </si>
  <si>
    <t>20005</t>
  </si>
  <si>
    <t>BARLEY,PEARLED,RAW</t>
  </si>
  <si>
    <t>20006</t>
  </si>
  <si>
    <t>BARLEY,PEARLED,COOKED</t>
  </si>
  <si>
    <t>20008</t>
  </si>
  <si>
    <t>BUCKWHEAT</t>
  </si>
  <si>
    <t>20009</t>
  </si>
  <si>
    <t>BUCKWHEAT GROATS,RSTD,DRY</t>
  </si>
  <si>
    <t>20010</t>
  </si>
  <si>
    <t>BUCKWHEAT GROATS,RSTD,CKD</t>
  </si>
  <si>
    <t>20011</t>
  </si>
  <si>
    <t>BUCKWHEAT FLR,WHOLE-GROAT</t>
  </si>
  <si>
    <t>20012</t>
  </si>
  <si>
    <t>BULGUR,DRY</t>
  </si>
  <si>
    <t>20013</t>
  </si>
  <si>
    <t>BULGUR,COOKED</t>
  </si>
  <si>
    <t>20014</t>
  </si>
  <si>
    <t>CORN GRAIN,YEL</t>
  </si>
  <si>
    <t>20015</t>
  </si>
  <si>
    <t>CORN BRAN,CRUDE</t>
  </si>
  <si>
    <t>20016</t>
  </si>
  <si>
    <t>CORN FLR,WHOLE-GRAIN,YEL</t>
  </si>
  <si>
    <t>20017</t>
  </si>
  <si>
    <t>CORN FLR,MASA,ENR,WHITE</t>
  </si>
  <si>
    <t>20018</t>
  </si>
  <si>
    <t>CORN FLR,YEL,DEGERMED,UNENR</t>
  </si>
  <si>
    <t>20019</t>
  </si>
  <si>
    <t>CORN FLR,MASA,UNENR,WHITE</t>
  </si>
  <si>
    <t>20020</t>
  </si>
  <si>
    <t>CORNMEAL,WHOLE-GRAIN,YEL</t>
  </si>
  <si>
    <t>20022</t>
  </si>
  <si>
    <t>CORNMEAL,DEGERMED,ENR,YEL</t>
  </si>
  <si>
    <t>20023</t>
  </si>
  <si>
    <t>CORNMEAL,YEL,SELF-RISING,BOLTED,PLN,ENR</t>
  </si>
  <si>
    <t>20024</t>
  </si>
  <si>
    <t>CORNMEAL,YEL,SELF-RISING,BOLTED,W/ WHEAT FLR ADDED,ENR</t>
  </si>
  <si>
    <t>20025</t>
  </si>
  <si>
    <t>CORNMEAL,YEL,SELF-RISING,DEGERMED,ENR</t>
  </si>
  <si>
    <t>20027</t>
  </si>
  <si>
    <t>CORNSTARCH</t>
  </si>
  <si>
    <t>20028</t>
  </si>
  <si>
    <t>COUSCOUS,DRY</t>
  </si>
  <si>
    <t>20029</t>
  </si>
  <si>
    <t>COUSCOUS,COOKED</t>
  </si>
  <si>
    <t>20030</t>
  </si>
  <si>
    <t>HOMINY,CANNED,WHITE</t>
  </si>
  <si>
    <t>20031</t>
  </si>
  <si>
    <t>MILLET,RAW</t>
  </si>
  <si>
    <t>20032</t>
  </si>
  <si>
    <t>MILLET,COOKED</t>
  </si>
  <si>
    <t>20033</t>
  </si>
  <si>
    <t>OAT BRAN,RAW</t>
  </si>
  <si>
    <t>20034</t>
  </si>
  <si>
    <t>OAT BRAN,COOKED</t>
  </si>
  <si>
    <t>20035</t>
  </si>
  <si>
    <t>QUINOA,UNCKD</t>
  </si>
  <si>
    <t>20036</t>
  </si>
  <si>
    <t>RICE,BROWN,LONG-GRAIN,RAW</t>
  </si>
  <si>
    <t>20037</t>
  </si>
  <si>
    <t>RICE,BROWN,LONG-GRAIN,CKD</t>
  </si>
  <si>
    <t>20038</t>
  </si>
  <si>
    <t>OATS</t>
  </si>
  <si>
    <t>20040</t>
  </si>
  <si>
    <t>RICE,BROWN,MEDIUM-GRAIN,RAW</t>
  </si>
  <si>
    <t>20041</t>
  </si>
  <si>
    <t>RICE,BROWN,MEDIUM-GRAIN,CKD</t>
  </si>
  <si>
    <t>20042</t>
  </si>
  <si>
    <t>RICE,BROWN,PARBLD,DRY,UNCLE BEN'S</t>
  </si>
  <si>
    <t>20044</t>
  </si>
  <si>
    <t>RICE,WHITE,LONG-GRAIN,REG,RAW,ENR</t>
  </si>
  <si>
    <t>20045</t>
  </si>
  <si>
    <t>RICE,WHITE,LONG-GRAIN,REG,ENR,CKD</t>
  </si>
  <si>
    <t>20046</t>
  </si>
  <si>
    <t>RICE,WHITE,LONG-GRAIN,PARBLD,ENR,DRY</t>
  </si>
  <si>
    <t>20047</t>
  </si>
  <si>
    <t>RICE,WHITE,LONG-GRAIN,PARBLD,ENR,CKD</t>
  </si>
  <si>
    <t>20048</t>
  </si>
  <si>
    <t>RICE,WHITE,LONG-GRAIN,PRECKD OR INST,ENR,DRY</t>
  </si>
  <si>
    <t>20049</t>
  </si>
  <si>
    <t>RICE,WHITE,LONG-GRAIN,PRECKD OR INST,ENR,PREP</t>
  </si>
  <si>
    <t>20050</t>
  </si>
  <si>
    <t>RICE,WHITE,MEDIUM-GRAIN,RAW,ENR</t>
  </si>
  <si>
    <t>20051</t>
  </si>
  <si>
    <t>RICE,WHITE,MEDIUM-GRAIN,ENR,CKD</t>
  </si>
  <si>
    <t>20052</t>
  </si>
  <si>
    <t>RICE,WHITE,SHORT-GRAIN,ENR,UNCKD</t>
  </si>
  <si>
    <t>20053</t>
  </si>
  <si>
    <t>RICE,WHITE,SHORT-GRAIN,ENR,CKD</t>
  </si>
  <si>
    <t>20054</t>
  </si>
  <si>
    <t>RICE,WHITE,GLUTINOUS,UNENR,UNCKD</t>
  </si>
  <si>
    <t>20055</t>
  </si>
  <si>
    <t>RICE,WHITE,GLUTINOUS,UNENR,CKD</t>
  </si>
  <si>
    <t>20058</t>
  </si>
  <si>
    <t>RICE,WHITE,STMD,CHINESE RESTAURANT</t>
  </si>
  <si>
    <t>20060</t>
  </si>
  <si>
    <t>RICE BRAN,CRUDE</t>
  </si>
  <si>
    <t>20061</t>
  </si>
  <si>
    <t>RICE FLR,WHITE,UNENR</t>
  </si>
  <si>
    <t>20062</t>
  </si>
  <si>
    <t>RYE GRAIN</t>
  </si>
  <si>
    <t>20063</t>
  </si>
  <si>
    <t>RYE FLOUR,DARK</t>
  </si>
  <si>
    <t>20064</t>
  </si>
  <si>
    <t>RYE FLOUR,MEDIUM</t>
  </si>
  <si>
    <t>20065</t>
  </si>
  <si>
    <t>RYE FLOUR,LIGHT</t>
  </si>
  <si>
    <t>20066</t>
  </si>
  <si>
    <t>SEMOLINA,ENRICHED</t>
  </si>
  <si>
    <t>20067</t>
  </si>
  <si>
    <t>SORGHUM GRAIN</t>
  </si>
  <si>
    <t>20068</t>
  </si>
  <si>
    <t>TAPIOCA,PEARL,DRY</t>
  </si>
  <si>
    <t>20069</t>
  </si>
  <si>
    <t>TRITICALE</t>
  </si>
  <si>
    <t>20070</t>
  </si>
  <si>
    <t>TRITICALE FLR,WHOLE-GRAIN</t>
  </si>
  <si>
    <t>20071</t>
  </si>
  <si>
    <t>WHEAT,HARD RED SPRING</t>
  </si>
  <si>
    <t>20072</t>
  </si>
  <si>
    <t>WHEAT,HARD RED WINTER</t>
  </si>
  <si>
    <t>20073</t>
  </si>
  <si>
    <t>WHEAT,SOFT RED WINTER</t>
  </si>
  <si>
    <t>20074</t>
  </si>
  <si>
    <t>WHEAT,HARD WHITE</t>
  </si>
  <si>
    <t>20075</t>
  </si>
  <si>
    <t>WHEAT,SOFT WHITE</t>
  </si>
  <si>
    <t>20076</t>
  </si>
  <si>
    <t>WHEAT,DURUM</t>
  </si>
  <si>
    <t>20077</t>
  </si>
  <si>
    <t>WHEAT BRAN,CRUDE</t>
  </si>
  <si>
    <t>20078</t>
  </si>
  <si>
    <t>WHEAT GERM,CRUDE</t>
  </si>
  <si>
    <t>20080</t>
  </si>
  <si>
    <t>WHEAT FLOUR,WHOLE-GRAIN</t>
  </si>
  <si>
    <t>20081</t>
  </si>
  <si>
    <t>WHEAT FLR,WHITE,ALL-PURPOSE,ENR,BLEACHED</t>
  </si>
  <si>
    <t>20082</t>
  </si>
  <si>
    <t>WHEAT FLR,WHITE,ALL-PURPOSE,SELF-RISING,ENR</t>
  </si>
  <si>
    <t>20083</t>
  </si>
  <si>
    <t>WHEAT FLR,WHITE,BREAD,ENR</t>
  </si>
  <si>
    <t>20084</t>
  </si>
  <si>
    <t>WHEAT FLR,WHITE,CAKE,ENR</t>
  </si>
  <si>
    <t>20086</t>
  </si>
  <si>
    <t>WHEAT FLR,WHITE,TORTILLA MIX,ENR</t>
  </si>
  <si>
    <t>20087</t>
  </si>
  <si>
    <t>WHEAT,SPROUTED</t>
  </si>
  <si>
    <t>20088</t>
  </si>
  <si>
    <t>WILD RICE,RAW</t>
  </si>
  <si>
    <t>20089</t>
  </si>
  <si>
    <t>WILD RICE,COOKED</t>
  </si>
  <si>
    <t>20090</t>
  </si>
  <si>
    <t>RICE FLOUR,BROWN</t>
  </si>
  <si>
    <t>20091</t>
  </si>
  <si>
    <t>PASTA,GLUTEN-FREE,CORN,DRY</t>
  </si>
  <si>
    <t>20092</t>
  </si>
  <si>
    <t>PASTA,GLUTEN-FREE,CORN,CKD</t>
  </si>
  <si>
    <t>20093</t>
  </si>
  <si>
    <t>PASTA,FRESH-REFRIGERATED,PLN,AS PURCHASED</t>
  </si>
  <si>
    <t>20094</t>
  </si>
  <si>
    <t>PASTA,FRESH-REFRIGERATED,PLN,CKD</t>
  </si>
  <si>
    <t>20095</t>
  </si>
  <si>
    <t>PASTA,FRESH-REFRIGERATED,SPINACH,AS PURCHASED</t>
  </si>
  <si>
    <t>20096</t>
  </si>
  <si>
    <t>PASTA,FRESH-REFRIGERATED,SPINACH,CKD</t>
  </si>
  <si>
    <t>20097</t>
  </si>
  <si>
    <t>PASTA,HOMEMADE,MADE W/EGG,CKD</t>
  </si>
  <si>
    <t>20098</t>
  </si>
  <si>
    <t>PASTA,HOMEMADE,MADE WO/EGG,CKD</t>
  </si>
  <si>
    <t>20105</t>
  </si>
  <si>
    <t>MACARONI,VEG,ENR,DRY</t>
  </si>
  <si>
    <t>20106</t>
  </si>
  <si>
    <t>MACARONI,VEG,ENR,CKD</t>
  </si>
  <si>
    <t>20109</t>
  </si>
  <si>
    <t>NOODLES,EGG,DRY,ENRICHED</t>
  </si>
  <si>
    <t>20110</t>
  </si>
  <si>
    <t>NOODLES,EGG,ENR,CKD</t>
  </si>
  <si>
    <t>20111</t>
  </si>
  <si>
    <t>NOODLES,EGG,SPINACH,ENR,DRY</t>
  </si>
  <si>
    <t>20112</t>
  </si>
  <si>
    <t>NOODLES,EGG,SPINACH,ENR,CKD</t>
  </si>
  <si>
    <t>20113</t>
  </si>
  <si>
    <t>NOODLES,CHINESE,CHOW MEIN</t>
  </si>
  <si>
    <t>20114</t>
  </si>
  <si>
    <t>NOODLES,JAPANESE,SOBA,DRY</t>
  </si>
  <si>
    <t>20115</t>
  </si>
  <si>
    <t>NOODLES,JAPANESE,SOBA,CKD</t>
  </si>
  <si>
    <t>20116</t>
  </si>
  <si>
    <t>NOODLES,JAPANESE,SOMEN,DRY</t>
  </si>
  <si>
    <t>20117</t>
  </si>
  <si>
    <t>NOODLES,JAPANESE,SOMEN,CKD</t>
  </si>
  <si>
    <t>20118</t>
  </si>
  <si>
    <t>NOODLES,FLAT,CRUNCHY,CHINESE RESTAURANT</t>
  </si>
  <si>
    <t>20120</t>
  </si>
  <si>
    <t>PASTA,DRY,ENR</t>
  </si>
  <si>
    <t>20121</t>
  </si>
  <si>
    <t>PASTA,CKD,ENR,WO/ ADDED SALT</t>
  </si>
  <si>
    <t>20124</t>
  </si>
  <si>
    <t>PASTA,WHOLE-WHEAT,DRY</t>
  </si>
  <si>
    <t>20125</t>
  </si>
  <si>
    <t>PASTA,WHOLE-WHEAT,CKD</t>
  </si>
  <si>
    <t>20126</t>
  </si>
  <si>
    <t>SPAGHETTI,SPINACH,DRY</t>
  </si>
  <si>
    <t>20127</t>
  </si>
  <si>
    <t>SPAGHETTI,SPINACH,COOKED</t>
  </si>
  <si>
    <t>20129</t>
  </si>
  <si>
    <t>WHEAT FLOURS,BREAD,UNENR</t>
  </si>
  <si>
    <t>20130</t>
  </si>
  <si>
    <t>BARLEY FLOUR OR MEAL</t>
  </si>
  <si>
    <t>20131</t>
  </si>
  <si>
    <t>BARLEY MALT FLR</t>
  </si>
  <si>
    <t>20132</t>
  </si>
  <si>
    <t>OAT FLR,PART DEBRANNED</t>
  </si>
  <si>
    <t>20133</t>
  </si>
  <si>
    <t>RICE NOODLES,DRY</t>
  </si>
  <si>
    <t>20134</t>
  </si>
  <si>
    <t>RICE NOODLES,CKD</t>
  </si>
  <si>
    <t>20135</t>
  </si>
  <si>
    <t>PASTA,WHL GRAIN,51% WHL WHEAT,REMAINING UNENR SEMOLINA,DRY</t>
  </si>
  <si>
    <t>20136</t>
  </si>
  <si>
    <t>PASTA,WHL GRAIN,51% WHL WHEAT,REMAINING UNENR SEMOLINA,CKD</t>
  </si>
  <si>
    <t>20137</t>
  </si>
  <si>
    <t>QUINOA,CKD</t>
  </si>
  <si>
    <t>20138</t>
  </si>
  <si>
    <t>WHEAT,KAMUT KHORASAN,UNCKD</t>
  </si>
  <si>
    <t>20139</t>
  </si>
  <si>
    <t>WHEAT,KAMUT KHORASAN,CKD</t>
  </si>
  <si>
    <t>20140</t>
  </si>
  <si>
    <t>SPELT,UNCKD</t>
  </si>
  <si>
    <t>20141</t>
  </si>
  <si>
    <t>SPELT,CKD</t>
  </si>
  <si>
    <t>20142</t>
  </si>
  <si>
    <t>TEFF,UNCKD</t>
  </si>
  <si>
    <t>20143</t>
  </si>
  <si>
    <t>TEFF,CKD</t>
  </si>
  <si>
    <t>20310</t>
  </si>
  <si>
    <t>NOODLES,EGG,CKD,ENR,W/ SALT</t>
  </si>
  <si>
    <t>20314</t>
  </si>
  <si>
    <t>CORN GRAIN,WHITE</t>
  </si>
  <si>
    <t>20315</t>
  </si>
  <si>
    <t>CORN FLR,WHOLE-GRAIN,BLUE (HARINA DE MAIZ MORADO)</t>
  </si>
  <si>
    <t>20316</t>
  </si>
  <si>
    <t>CORN FLR,WHOLE-GRAIN,WHITE</t>
  </si>
  <si>
    <t>20317</t>
  </si>
  <si>
    <t>CORN FLR,YEL,MASA,ENR</t>
  </si>
  <si>
    <t>20320</t>
  </si>
  <si>
    <t>CORNMEAL,WHOLE-GRAIN,WHITE</t>
  </si>
  <si>
    <t>20321</t>
  </si>
  <si>
    <t>PASTA,CKD,ENR,W/ ADDED SALT</t>
  </si>
  <si>
    <t>20322</t>
  </si>
  <si>
    <t>CORNMEAL,DEGERMED,ENR,WHITE</t>
  </si>
  <si>
    <t>20323</t>
  </si>
  <si>
    <t>CORNMEAL,WHITE,SELF-RISING,BOLTED,PLN,ENR</t>
  </si>
  <si>
    <t>20324</t>
  </si>
  <si>
    <t>CORNMEAL,WHITE,SELF-RISING,BOLTED,W/ WHEAT FLR ADDED,ENR</t>
  </si>
  <si>
    <t>20325</t>
  </si>
  <si>
    <t>CORNMEAL,WHITE,SELF-RISING,DEGERMED,ENR</t>
  </si>
  <si>
    <t>20330</t>
  </si>
  <si>
    <t>HOMINY,CANNED,YELLOW</t>
  </si>
  <si>
    <t>20345</t>
  </si>
  <si>
    <t>RICE,WHITE,LONG-GRAIN,REG,CKD,ENR,W/SALT</t>
  </si>
  <si>
    <t>20381</t>
  </si>
  <si>
    <t>WHEAT FLR,WHITE,ALL-PURPOSE,ENR,CALCIUM-FORTIFIED</t>
  </si>
  <si>
    <t>20409</t>
  </si>
  <si>
    <t>NOODLES,EGG,DRY,UNENR</t>
  </si>
  <si>
    <t>20410</t>
  </si>
  <si>
    <t>NOODLES,EGG,UNENR,CKD,WO/ ADDED SALT</t>
  </si>
  <si>
    <t>20420</t>
  </si>
  <si>
    <t>PASTA,DRY,UNENR</t>
  </si>
  <si>
    <t>20421</t>
  </si>
  <si>
    <t>PASTA,CKD,UNENR,WO/ ADDED SALT</t>
  </si>
  <si>
    <t>20422</t>
  </si>
  <si>
    <t>CORNMEAL,DEGERMED,UNENR,YEL</t>
  </si>
  <si>
    <t>20444</t>
  </si>
  <si>
    <t>RICE,WHITE,LONG-GRAIN,REG,RAW,UNENR</t>
  </si>
  <si>
    <t>20445</t>
  </si>
  <si>
    <t>RICE,WHITE,LONG-GRAIN,REG,UNENR,CKD WO/ SALT</t>
  </si>
  <si>
    <t>20446</t>
  </si>
  <si>
    <t>RICE,WHITE,LONG-GRAIN,PARBLD,UNENR,DRY</t>
  </si>
  <si>
    <t>20447</t>
  </si>
  <si>
    <t>RICE,WHITE,LONG-GRAIN,PARBLD,UNENR,CKD</t>
  </si>
  <si>
    <t>20450</t>
  </si>
  <si>
    <t>RICE,WHITE,MEDIUM-GRAIN,RAW,UNENR</t>
  </si>
  <si>
    <t>20451</t>
  </si>
  <si>
    <t>RICE,WHITE,MEDIUM-GRAIN,CKD,UNENR</t>
  </si>
  <si>
    <t>20452</t>
  </si>
  <si>
    <t>RICE,WHITE,SHORT-GRAIN,RAW,UNENR</t>
  </si>
  <si>
    <t>20453</t>
  </si>
  <si>
    <t>RICE,WHITE,SHORT-GRAIN,CKD,UNENR</t>
  </si>
  <si>
    <t>20466</t>
  </si>
  <si>
    <t>SEMOLINA,UNENRICHED</t>
  </si>
  <si>
    <t>20481</t>
  </si>
  <si>
    <t>WHEAT FLR,WHITE,ALL-PURPOSE,UNENR</t>
  </si>
  <si>
    <t>20510</t>
  </si>
  <si>
    <t>NOODLES,EGG,CKD,UNENR,W/ SALT</t>
  </si>
  <si>
    <t>20521</t>
  </si>
  <si>
    <t>PASTA,CKD,UNENR,W/ ADDED SALT</t>
  </si>
  <si>
    <t>20522</t>
  </si>
  <si>
    <t>CORNMEAL,DEGERMED,UNENR,WHITE</t>
  </si>
  <si>
    <t>20523</t>
  </si>
  <si>
    <t>SPAGHETTI,PROTEIN-FORTIFIED,CKD,ENR (N X 6.25)</t>
  </si>
  <si>
    <t>20545</t>
  </si>
  <si>
    <t>RICE,WHITE,LONG-GRAIN,REG,CKD,UNENR,W/SALT</t>
  </si>
  <si>
    <t>20581</t>
  </si>
  <si>
    <t>WHEAT FLR,WHITE,ALL-PURPOSE,ENR,UNBLEACHED</t>
  </si>
  <si>
    <t>20622</t>
  </si>
  <si>
    <t>SPAGHETTI,PROTEIN-FORTIFIED,DRY,ENR (N X 6.25)</t>
  </si>
  <si>
    <t>20623</t>
  </si>
  <si>
    <t>WHEAT FLR,WHITE (INDUSTRIAL),9% PROT,BLEACHED,ENR</t>
  </si>
  <si>
    <t>20624</t>
  </si>
  <si>
    <t>WHEAT FLR,WHITE (INDUSTRIAL),9% PROT,BLEACHED,UNENR</t>
  </si>
  <si>
    <t>20628</t>
  </si>
  <si>
    <t>WHEAT FLR,WHITE (INDUSTRIAL),10% PROT,BLEACHED,ENR</t>
  </si>
  <si>
    <t>20629</t>
  </si>
  <si>
    <t>WHEAT FLR,WHITE (INDUSTRIAL),10% PROT,BLEACHED,UNENR</t>
  </si>
  <si>
    <t>20630</t>
  </si>
  <si>
    <t>WHEAT FLR,WHITE (INDUSTRIAL),10% PROT,UNBLEACHED,ENR</t>
  </si>
  <si>
    <t>20634</t>
  </si>
  <si>
    <t>WHEAT FLR,WHITE (INDUSTRIAL),11.5% PROT,BLEACHED,ENR</t>
  </si>
  <si>
    <t>20635</t>
  </si>
  <si>
    <t>WHEAT FLR,WHITE (INDUSTRIAL),11.5% PROT,BLEACHED,UNENR</t>
  </si>
  <si>
    <t>20636</t>
  </si>
  <si>
    <t>WHEAT FLR,WHITE (INDUSTRIAL),11.5% PROT,UNBLEACHED,ENR</t>
  </si>
  <si>
    <t>20640</t>
  </si>
  <si>
    <t>WHEAT FLR,WHITE (INDUSTRIAL),13% PROT,BLEACHED,ENR</t>
  </si>
  <si>
    <t>20641</t>
  </si>
  <si>
    <t>WHEAT FLR,WHITE (INDUSTRIAL),13% PROT,BLEACHED,UNENR</t>
  </si>
  <si>
    <t>20645</t>
  </si>
  <si>
    <t>WHEAT FLR,WHITE (INDUSTRIAL),15% PROT,BLEACHED,ENR</t>
  </si>
  <si>
    <t>20646</t>
  </si>
  <si>
    <t>WHEAT FLR,WHITE (INDUSTRIAL),15% PROT,BLEACHED,UNENR</t>
  </si>
  <si>
    <t>20647</t>
  </si>
  <si>
    <t>MILLET FLR</t>
  </si>
  <si>
    <t>20648</t>
  </si>
  <si>
    <t>SORGHUM FLR,WHOLE-GRAIN</t>
  </si>
  <si>
    <t>20649</t>
  </si>
  <si>
    <t>WHEAT FLR,WHOLE-GRAIN,SOFT WHEAT</t>
  </si>
  <si>
    <t>20650</t>
  </si>
  <si>
    <t>SORGHUM FLR,REFINED,UNENR</t>
  </si>
  <si>
    <t>20651</t>
  </si>
  <si>
    <t>RICE,BROWN,PARBLD,CKD,UNCLE BENS</t>
  </si>
  <si>
    <t>20652</t>
  </si>
  <si>
    <t>PASTA,WHL GRAIN,51% WHL WHEAT,REMAINING ENR SEMOLINA,CKD</t>
  </si>
  <si>
    <t>20653</t>
  </si>
  <si>
    <t>PASTA,WHL GRAIN,51% WHL WHEAT,REMAINING ENR SEMOLINA,DRY</t>
  </si>
  <si>
    <t>20654</t>
  </si>
  <si>
    <t>PASTA,GLUTEN-FREE,BROWN RICE FLR,CKD,TINKYADA</t>
  </si>
  <si>
    <t>20655</t>
  </si>
  <si>
    <t>PASTA,GLUTEN-FREE,CORN FLR &amp; QUINOA FLR,CKD,ANCIENT HARVEST</t>
  </si>
  <si>
    <t>20656</t>
  </si>
  <si>
    <t>PASTA,GLUTEN-FREE,RICE FLR &amp; RICE BRAN EXTRACT,CKD,DE BOLES</t>
  </si>
  <si>
    <t>20657</t>
  </si>
  <si>
    <t>PASTA,GLUTEN-FREE,CORN &amp; RICE FLR,CKD</t>
  </si>
  <si>
    <t>21002</t>
  </si>
  <si>
    <t>FAST FOODS  BISCUIT  W/ EGG</t>
  </si>
  <si>
    <t>21003</t>
  </si>
  <si>
    <t>FAST FOODS,BISCUIT,W/EGG&amp;BACON</t>
  </si>
  <si>
    <t>21004</t>
  </si>
  <si>
    <t>FAST FOODS,BISCUIT,W/EGG&amp;HAM</t>
  </si>
  <si>
    <t>21005</t>
  </si>
  <si>
    <t>BREAKFAST ITEMS,BISCUIT W/EGG&amp;SAUSAGE</t>
  </si>
  <si>
    <t>21006</t>
  </si>
  <si>
    <t>FAST FOODS,BISCUIT W/ EGG &amp; STEAK</t>
  </si>
  <si>
    <t>21007</t>
  </si>
  <si>
    <t>FAST FOODS,BISCUIT,W/EGG,CHS,&amp;BACON</t>
  </si>
  <si>
    <t>21008</t>
  </si>
  <si>
    <t>FAST FOODS,BISCUIT,W/HAM</t>
  </si>
  <si>
    <t>21009</t>
  </si>
  <si>
    <t>FAST FOODS,BISCUIT,W/SAUSAGE</t>
  </si>
  <si>
    <t>21010</t>
  </si>
  <si>
    <t>FAST FOODS,BISCUIT,W/ CRISPY CHICK FILLET</t>
  </si>
  <si>
    <t>21011</t>
  </si>
  <si>
    <t>FAST FOODS,CROISSANT,W/EGG&amp;CHS</t>
  </si>
  <si>
    <t>21012</t>
  </si>
  <si>
    <t>FAST FOODS,CROISSANT,W/EGG,CHS,&amp;BACON</t>
  </si>
  <si>
    <t>21013</t>
  </si>
  <si>
    <t>FAST FOODS,CROISSANT,W/EGG,CHS,&amp;HAM</t>
  </si>
  <si>
    <t>21014</t>
  </si>
  <si>
    <t>FAST FOODS,CROISSANT,W/EGG,CHS,&amp;SAUSAGE</t>
  </si>
  <si>
    <t>21018</t>
  </si>
  <si>
    <t>FAST FOODS,EGG,SCRAMBLED</t>
  </si>
  <si>
    <t>21020</t>
  </si>
  <si>
    <t>FAST FOODS,ENG MUFFIN,W/CHS&amp;SAUSAGE</t>
  </si>
  <si>
    <t>21021</t>
  </si>
  <si>
    <t>FAST FOODS,ENG MUFFIN,W/EGG,CHS,&amp;CANADIAN BACON</t>
  </si>
  <si>
    <t>21022</t>
  </si>
  <si>
    <t>FAST FOODS,ENG MUFFIN,W/EGG,CHS,&amp;SAUSAGE</t>
  </si>
  <si>
    <t>21023</t>
  </si>
  <si>
    <t>FAST FOODS,FRENCH TOAST W/ BUTTER</t>
  </si>
  <si>
    <t>21024</t>
  </si>
  <si>
    <t>FAST FOODS,FRENCH TOAST STKS</t>
  </si>
  <si>
    <t>21026</t>
  </si>
  <si>
    <t>FAST FOODS,POTATOES,HASH BROWNS,RND PIECES OR PATTY</t>
  </si>
  <si>
    <t>21028</t>
  </si>
  <si>
    <t>FAST FOODS,VANILLA,LT,SOFT-SERVE ICE CRM,W/ CONE</t>
  </si>
  <si>
    <t>21032</t>
  </si>
  <si>
    <t>FAST FOODS,SUNDAE,CARAMEL</t>
  </si>
  <si>
    <t>21033</t>
  </si>
  <si>
    <t>FAST FOODS,SUNDAE,HOT FUDGE</t>
  </si>
  <si>
    <t>21034</t>
  </si>
  <si>
    <t>FAST FOODS,SUNDAE,STRAWBERRY</t>
  </si>
  <si>
    <t>21059</t>
  </si>
  <si>
    <t>FAST FOODS,SHRIMP,BREADED&amp;FRIED</t>
  </si>
  <si>
    <t>21060</t>
  </si>
  <si>
    <t>FAST FOODS,BURRITO,W/BNS</t>
  </si>
  <si>
    <t>21061</t>
  </si>
  <si>
    <t>FAST FOODS,BURRITO,W/BNS&amp;CHS</t>
  </si>
  <si>
    <t>21063</t>
  </si>
  <si>
    <t>FAST FOODS,BURRITO,W/ BNS &amp; BF</t>
  </si>
  <si>
    <t>21064</t>
  </si>
  <si>
    <t>FAST FOODS,BURRITO,W/BNS,CHS,&amp;BF</t>
  </si>
  <si>
    <t>21078</t>
  </si>
  <si>
    <t>FAST FOODS,NACHOS,W/CHS</t>
  </si>
  <si>
    <t>21080</t>
  </si>
  <si>
    <t>FAST FOODS,NACHOS,W/ CHS,BNS,GROUND BF,&amp; TOMATOES</t>
  </si>
  <si>
    <t>21082</t>
  </si>
  <si>
    <t>FAST FOODS,TACO W/ BF,CHS &amp; LETTUCE,HARD SHELL</t>
  </si>
  <si>
    <t>21083</t>
  </si>
  <si>
    <t>FAST FOODS,TACO SALAD</t>
  </si>
  <si>
    <t>21089</t>
  </si>
  <si>
    <t>FAST FOODS,CHEESEBURGER; SINGLE,REG PATTY; PLN</t>
  </si>
  <si>
    <t>21090</t>
  </si>
  <si>
    <t>FAST FOODS,CHEESEBURGER; SINGLE,REG PATTY,W/ CONDMNT</t>
  </si>
  <si>
    <t>21091</t>
  </si>
  <si>
    <t>FAST FOODS,CHEESEBURGER; SINGLE,REG PATTY,W/ CONDMNT &amp; VEG</t>
  </si>
  <si>
    <t>21092</t>
  </si>
  <si>
    <t>FAST FOODS,CHEESEBURGER; DOUBLE,REG PATTY; PLN</t>
  </si>
  <si>
    <t>21093</t>
  </si>
  <si>
    <t>FAST FOODS,CHEESEBURGER; DOUBLE,REG PATTY,W/ CONDMNT &amp; VEG</t>
  </si>
  <si>
    <t>21094</t>
  </si>
  <si>
    <t>FAST FOODS,CHEESEBURGER,DOUBLE,REG PATTY &amp; BUN,W/ CONDMNT</t>
  </si>
  <si>
    <t>21095</t>
  </si>
  <si>
    <t>FAST FOODS,CHSEBURGER; DBLE,REG,PATTY &amp; BN; W/ CONDMNT &amp; VEG</t>
  </si>
  <si>
    <t>21096</t>
  </si>
  <si>
    <t>FAST FOODS,CHEESEBURGER; SINGLE,LRG PATTY; PLN</t>
  </si>
  <si>
    <t>21097</t>
  </si>
  <si>
    <t>FAST FOODS,CHESEBURGER; SINGLE,LRG PATTY; W/ CONDMNT &amp; BACON</t>
  </si>
  <si>
    <t>21098</t>
  </si>
  <si>
    <t>FAST FOODS,CHEESEBURGER; SINGLE,LRG PATTY; W/ CONDMNT &amp; VEG</t>
  </si>
  <si>
    <t>21099</t>
  </si>
  <si>
    <t>FAST FOODS,CHSBURGER; SINGLE,LRG PATTY; W/ CONDMNT,VEG &amp; HAM</t>
  </si>
  <si>
    <t>21100</t>
  </si>
  <si>
    <t>FAST FOODS,CHEESEBURGER; DOUBLE,LRG PATTY,W/ CONDMNT &amp; VEG</t>
  </si>
  <si>
    <t>21101</t>
  </si>
  <si>
    <t>FAST FOODS,CHEESEBURGER; TRIPLE,REG PATTY; PLN</t>
  </si>
  <si>
    <t>21102</t>
  </si>
  <si>
    <t>FAST FOODS,CHICK FILLET SNDWCH,PLN W/ PICKLES</t>
  </si>
  <si>
    <t>21105</t>
  </si>
  <si>
    <t>FAST FOODS,FISH SNDWCH,W/TARTAR SAU</t>
  </si>
  <si>
    <t>21106</t>
  </si>
  <si>
    <t>FAST FOODS,FISH SNDWCH,W/TARTAR SAU&amp;CHS</t>
  </si>
  <si>
    <t>21107</t>
  </si>
  <si>
    <t>FAST FOODS,HAMBURGER; SINGLE,REG PATTY; PLN</t>
  </si>
  <si>
    <t>21108</t>
  </si>
  <si>
    <t>FAST FOODS,HAMBURGER; SINGLE,REG PATTY; W/ CONDMNT</t>
  </si>
  <si>
    <t>21109</t>
  </si>
  <si>
    <t>FAST FOODS,HAMBURGER; SINGLE,REG PATTY; W/ CONDMNT &amp; VEG</t>
  </si>
  <si>
    <t>21110</t>
  </si>
  <si>
    <t>FAST FOODS,HAMBURGER; DOUBLE,REG,PATTY; PLN</t>
  </si>
  <si>
    <t>21111</t>
  </si>
  <si>
    <t>FAST FOODS,HAMBURGER; DOUBLE,REG PATTY; W/ CONDMNT</t>
  </si>
  <si>
    <t>21112</t>
  </si>
  <si>
    <t>FAST FOODS,HAMBURGER; SINGLE,LRG PATTY; PLN</t>
  </si>
  <si>
    <t>21113</t>
  </si>
  <si>
    <t>FAST FOODS,HAMBURGER; SINGLE,LRG PATTY; W/ CONDMNT &amp; VEG</t>
  </si>
  <si>
    <t>21114</t>
  </si>
  <si>
    <t>FAST FOODS,HAMBURGER; DOUBLE,LRG PATTY; W/ CONDMNT &amp; VEG</t>
  </si>
  <si>
    <t>21115</t>
  </si>
  <si>
    <t>FAST FOODS,HAMBURGER,LRG,TRIPLE PATTY,W/CONDMNT</t>
  </si>
  <si>
    <t>21118</t>
  </si>
  <si>
    <t>FAST FOODS,HOTDOG,PLAIN</t>
  </si>
  <si>
    <t>21119</t>
  </si>
  <si>
    <t>FAST FOODS,HOTDOG,W/CHILI</t>
  </si>
  <si>
    <t>21120</t>
  </si>
  <si>
    <t>FAST FOODS,HOTDOG,W/CORN FLR COATING (CORNDOG)</t>
  </si>
  <si>
    <t>21121</t>
  </si>
  <si>
    <t>FAST FOODS,RST BF SNDWCH,PLN</t>
  </si>
  <si>
    <t>21124</t>
  </si>
  <si>
    <t>FAST FOODS,SUBMARINE SNDWCH,COLD CUT BRD W/ LETTUCE &amp; TOMATO</t>
  </si>
  <si>
    <t>21125</t>
  </si>
  <si>
    <t>FAST FOODS,SUBMARINE SNDWCH,RST BF BREAD W/ LETTUCE &amp; TOMATO</t>
  </si>
  <si>
    <t>21126</t>
  </si>
  <si>
    <t>FAST FOODS,SUBMARINE SNDWCH,TUNA BREAD W/ LETTUCE &amp; TOMATO</t>
  </si>
  <si>
    <t>21127</t>
  </si>
  <si>
    <t>FAST FOODS, COLESLAW</t>
  </si>
  <si>
    <t>21129</t>
  </si>
  <si>
    <t>FAST FOODS,HUSH PUPPIES</t>
  </si>
  <si>
    <t>21130</t>
  </si>
  <si>
    <t>FAST FOODS,ONION RINGS,BREADED&amp;FRIED</t>
  </si>
  <si>
    <t>21138</t>
  </si>
  <si>
    <t>FST FOODS, POTATO, FRNCH FRIED IN VEG OIL</t>
  </si>
  <si>
    <t>21139</t>
  </si>
  <si>
    <t>FAST FOODS,POTATO,MASHED</t>
  </si>
  <si>
    <t>21140</t>
  </si>
  <si>
    <t>SIDE DISHES,POTATO SALAD</t>
  </si>
  <si>
    <t>21141</t>
  </si>
  <si>
    <t>BURGER KING,VANILLA SHAKE</t>
  </si>
  <si>
    <t>21142</t>
  </si>
  <si>
    <t>FAST FD,BISCUIT</t>
  </si>
  <si>
    <t>21143</t>
  </si>
  <si>
    <t>CHICK-FIL-A,CHICK-N-STRIPS</t>
  </si>
  <si>
    <t>21144</t>
  </si>
  <si>
    <t>CHICK-FIL-A,HASH BROWNS</t>
  </si>
  <si>
    <t>21145</t>
  </si>
  <si>
    <t>SCHOOL LUNCH,PIZZA,BIG DADDY'S LS 16" 51% WHL CHS PIZZA,FRZ</t>
  </si>
  <si>
    <t>21146</t>
  </si>
  <si>
    <t>SCHOOL LUNCH,PIZZA,BIG DADDY'S 51% WHL TRKY PEP PIZZA,FRZ</t>
  </si>
  <si>
    <t>21147</t>
  </si>
  <si>
    <t>SCHOOL LUNCH,PIZZA,TONY'S SMARTPIZZA PIZZA 50/50 CHS,FRZ</t>
  </si>
  <si>
    <t>21148</t>
  </si>
  <si>
    <t>SCHOOL LUNCH,PIZZA,TONY'S SMARTPIZZA PEP PIZZA 50/50 CHS,FRZ</t>
  </si>
  <si>
    <t>21149</t>
  </si>
  <si>
    <t>SCHOOL LUNCH,PIZZA,TONY'S BRKFST PIZZA SAUSAGE,FRZ</t>
  </si>
  <si>
    <t>21150</t>
  </si>
  <si>
    <t>SUBWAY,SWT ONION CHICK SUB WHT BRD LTTC,TMT &amp; SWT ONION SAU</t>
  </si>
  <si>
    <t>21151</t>
  </si>
  <si>
    <t>FAST FOODS,SUB,SWT ONION CHICK WIT BRD W/ LTTC,TMT SWT ONION</t>
  </si>
  <si>
    <t>21152</t>
  </si>
  <si>
    <t>SUBWAY,SUBWAY CLUB SUB ON WHITE BREAD W/ LETTUCE &amp; TOMATO</t>
  </si>
  <si>
    <t>21153</t>
  </si>
  <si>
    <t>FAST FOODS,SUBMARINE SNDWCH,TRKY RST BF HM BRD W/ LTTC &amp; TMT</t>
  </si>
  <si>
    <t>21154</t>
  </si>
  <si>
    <t>FAST FOODS,SUBMARINE SNDWCH,OVEN RSTD CHCK WHT BRD LTTC  TMT</t>
  </si>
  <si>
    <t>21155</t>
  </si>
  <si>
    <t>FAST FOODS,SUBMARINE SNDWCH,TRKY BRST WHT BRD LTTC &amp; TMT</t>
  </si>
  <si>
    <t>21156</t>
  </si>
  <si>
    <t>FAST FOODS,SUBMARINE SNDWCH,HAM ON WHT BRD W/ LTTC &amp; TMT</t>
  </si>
  <si>
    <t>21157</t>
  </si>
  <si>
    <t>SUBWAY,MEATBALL MARINARA SUB ON WHITE BREAD (NO TOPPINGS)</t>
  </si>
  <si>
    <t>21158</t>
  </si>
  <si>
    <t>FAST FOODS,SUBMARINE SNDWCH,MEATBALL MARINARA ON WHITE BREAD</t>
  </si>
  <si>
    <t>21159</t>
  </si>
  <si>
    <t>SUBWAY,STEAK &amp; CHS SUB ON WHT BRD W/ AMERICAN CHS,LTTC &amp; TMT</t>
  </si>
  <si>
    <t>21160</t>
  </si>
  <si>
    <t>FAST FOODS,SUBMARINE SNDWCH,STK CHS WHT BRD W/ CHS,LTTC TMT</t>
  </si>
  <si>
    <t>21161</t>
  </si>
  <si>
    <t>SUBWAY,B.L.T. SUB ON WHITE BREAD W/ BACON,LETTUCE &amp; TOMATO</t>
  </si>
  <si>
    <t>21162</t>
  </si>
  <si>
    <t>FAST FOODS,SUBMARINE SNDWCH,BACON,LETTUCE,&amp; TOMATO WHT BRD</t>
  </si>
  <si>
    <t>21202</t>
  </si>
  <si>
    <t>FAST FOODS,HAMBURGER,LRG,SINGLE PATTY,W/CONDMNT</t>
  </si>
  <si>
    <t>21207</t>
  </si>
  <si>
    <t>SUBWAY,TURKEY BREAST SUB ON WHITE BREAD W/ LETTUCE &amp; TOMATO</t>
  </si>
  <si>
    <t>21209</t>
  </si>
  <si>
    <t>SUBWAY,BLACK FOREST HAM SUB ON WHITE BRD W/ LETTUCE &amp; TOMATO</t>
  </si>
  <si>
    <t>21210</t>
  </si>
  <si>
    <t>SUBWAY,RST BF SUB ON WHITE BREAD W/ LETTUCE &amp; TOMATO</t>
  </si>
  <si>
    <t>21211</t>
  </si>
  <si>
    <t>SUBWAY,OVEN RSTD CHICK SUB ON WHITE BRD W/ LETTUCE &amp; TOMATO</t>
  </si>
  <si>
    <t>21213</t>
  </si>
  <si>
    <t>SUBWAY,COLD CUT SUB ON WHITE BREAD W/ LETTUCE &amp; TOMATO</t>
  </si>
  <si>
    <t>21214</t>
  </si>
  <si>
    <t>SUBWAY,TUNA SUB ON WHITE BREAD W/ LETTUCE &amp; TOMATO</t>
  </si>
  <si>
    <t>21224</t>
  </si>
  <si>
    <t>PIZZA,CHS TOPPING,REG CRUST,FRZ,CKD</t>
  </si>
  <si>
    <t>21225</t>
  </si>
  <si>
    <t>PIZZA,CHS TOPPING,RISING CRUST,FRZ,CKD</t>
  </si>
  <si>
    <t>21226</t>
  </si>
  <si>
    <t>PIZZA,MEAT &amp; VEG TOPPING,REG CRUST,FRZ,CKD</t>
  </si>
  <si>
    <t>21227</t>
  </si>
  <si>
    <t>PIZZA,MEAT &amp; VEG TOPPING,RISING CRUST,FRZ,CKD</t>
  </si>
  <si>
    <t>21228</t>
  </si>
  <si>
    <t>MCDONALD'S,HAMBURGER</t>
  </si>
  <si>
    <t>21229</t>
  </si>
  <si>
    <t>FAST FOODS,CHICK,BREADED &amp; FRIED,BNLESS PIECES,PLN</t>
  </si>
  <si>
    <t>21230</t>
  </si>
  <si>
    <t>FAST FOODS,CRISPY CHICK FILET SNDWCH,W/ LETTUCE &amp; MAYO</t>
  </si>
  <si>
    <t>21232</t>
  </si>
  <si>
    <t>MCDONALD'S, FLT-O-FSH</t>
  </si>
  <si>
    <t>21233</t>
  </si>
  <si>
    <t>MCDONALD'S, CHEESEBURGER</t>
  </si>
  <si>
    <t>21234</t>
  </si>
  <si>
    <t>MCDONALD'S,QUARTER POUNDER</t>
  </si>
  <si>
    <t>21235</t>
  </si>
  <si>
    <t>MCDONALD'S,QUARTER POUNDER W/ CHS</t>
  </si>
  <si>
    <t>21237</t>
  </si>
  <si>
    <t>MCDONALD'S,BIG MAC</t>
  </si>
  <si>
    <t>21238</t>
  </si>
  <si>
    <t>MCDONALD'S,FRENCH FR</t>
  </si>
  <si>
    <t>21239</t>
  </si>
  <si>
    <t>WENDY'S,CLASSIC SINGLE HAMBURGER,NO CHS</t>
  </si>
  <si>
    <t>21240</t>
  </si>
  <si>
    <t>WENDY'S,CLASSIC SINGLE HAMBURGER,W/ CHS</t>
  </si>
  <si>
    <t>21241</t>
  </si>
  <si>
    <t>WENDY'S,JR. HAMBURGER,WO/ CHS</t>
  </si>
  <si>
    <t>21242</t>
  </si>
  <si>
    <t>WENDY'S,JR. HAMBURGER,W/ CHS</t>
  </si>
  <si>
    <t>21243</t>
  </si>
  <si>
    <t>WENDY'S,CLASSIC DOUBLE,W/ CHS</t>
  </si>
  <si>
    <t>21244</t>
  </si>
  <si>
    <t>WENDY'S,HOMESTYLE CHICK FILLET SNDWCH</t>
  </si>
  <si>
    <t>21245</t>
  </si>
  <si>
    <t>WENDY'S,ULTIMATE CHICK GRILL SNDWCH</t>
  </si>
  <si>
    <t>21246</t>
  </si>
  <si>
    <t>WENDY'S,CHICK NUGGETS</t>
  </si>
  <si>
    <t>21247</t>
  </si>
  <si>
    <t>WENDY'S,FRENCH FR</t>
  </si>
  <si>
    <t>21248</t>
  </si>
  <si>
    <t>WENDY'S,FROSTY DAIRY DSSRT</t>
  </si>
  <si>
    <t>21249</t>
  </si>
  <si>
    <t>BURGER KING,FRENCH FR</t>
  </si>
  <si>
    <t>21250</t>
  </si>
  <si>
    <t>BURGER KING,HAMBURGER</t>
  </si>
  <si>
    <t>21251</t>
  </si>
  <si>
    <t>BURGER KING, CHSBRGR</t>
  </si>
  <si>
    <t>21252</t>
  </si>
  <si>
    <t>BURGER KING,WHOPPER,NO CHS</t>
  </si>
  <si>
    <t>21253</t>
  </si>
  <si>
    <t>BURGER KING,WHOPPER,W/ CHS</t>
  </si>
  <si>
    <t>21254</t>
  </si>
  <si>
    <t>BURGER KING,DOUBLE WHOPPER,NO CHS</t>
  </si>
  <si>
    <t>21255</t>
  </si>
  <si>
    <t>BURGER KING,DOUBLE WHOPPER,W/ CHS</t>
  </si>
  <si>
    <t>21256</t>
  </si>
  <si>
    <t>BURGER KING,CHICK STRIPS</t>
  </si>
  <si>
    <t>21258</t>
  </si>
  <si>
    <t>BURGER KING,PREMIUM FISH SNDWCH</t>
  </si>
  <si>
    <t>21259</t>
  </si>
  <si>
    <t>BURGER KING,ORIGINAL CHICK SNDWCH</t>
  </si>
  <si>
    <t>21260</t>
  </si>
  <si>
    <t>TACO BELL,ORIGINAL TACO W/ BF,CHS &amp; LETTUCE</t>
  </si>
  <si>
    <t>21261</t>
  </si>
  <si>
    <t>TACO BELL,SOFT TACO W/ BF,CHS &amp; LETTUCE</t>
  </si>
  <si>
    <t>21262</t>
  </si>
  <si>
    <t>TACO BELL,SOFT TACO W/ CHICK,CHS &amp; LETTUCE</t>
  </si>
  <si>
    <t>21263</t>
  </si>
  <si>
    <t>TACO BELL,SOFT TACO W/ STEAK</t>
  </si>
  <si>
    <t>21264</t>
  </si>
  <si>
    <t>TACO BELL,BEAN BURRITO</t>
  </si>
  <si>
    <t>21265</t>
  </si>
  <si>
    <t>TACO BELL,BURRITO SUPREME W/ BF</t>
  </si>
  <si>
    <t>21266</t>
  </si>
  <si>
    <t>TACO BELL,BURRITO SUPREME W/ CHICK</t>
  </si>
  <si>
    <t>21267</t>
  </si>
  <si>
    <t>TACO BELL,BURRITO SUPREME W/ STEAK</t>
  </si>
  <si>
    <t>21268</t>
  </si>
  <si>
    <t>TACO BELL,NACHOS</t>
  </si>
  <si>
    <t>21269</t>
  </si>
  <si>
    <t>TACO BELL,NACHOS SUPREME</t>
  </si>
  <si>
    <t>21270</t>
  </si>
  <si>
    <t>TACO BELL,TACO SALAD</t>
  </si>
  <si>
    <t>21271</t>
  </si>
  <si>
    <t>PIZZA HUT 12" CHS PIZZA,HAND-TOSSED CRUST</t>
  </si>
  <si>
    <t>21272</t>
  </si>
  <si>
    <t>PIZZA HUT 12" CHS PIZZA,PAN CRUST</t>
  </si>
  <si>
    <t>21273</t>
  </si>
  <si>
    <t>PIZZA HUT 12" CHS PIZZA,THIN 'N CRISPY CRUST</t>
  </si>
  <si>
    <t>21274</t>
  </si>
  <si>
    <t>PIZZA HUT 12" PEPPERONI PIZZA,HAND-TOSSED CRUST</t>
  </si>
  <si>
    <t>21275</t>
  </si>
  <si>
    <t>PIZZA HUT 12" PEPPERONI PIZZA,PAN CRUST</t>
  </si>
  <si>
    <t>21276</t>
  </si>
  <si>
    <t>PIZZA HUT 12" SUPER SUPREME PIZZA,HAND-TOSSED CRUST</t>
  </si>
  <si>
    <t>21277</t>
  </si>
  <si>
    <t>DOMINO'S 14" CHS PIZZA,CLASSIC HAND-TOSSED CRUST</t>
  </si>
  <si>
    <t>21278</t>
  </si>
  <si>
    <t>DOMINO'S 14" CHS PIZZA,ULTIMATE DEEP DISH CRUST</t>
  </si>
  <si>
    <t>21279</t>
  </si>
  <si>
    <t>DOMINO'S 14" CHS PIZZA,CRUNCHY THIN CRUST</t>
  </si>
  <si>
    <t>21280</t>
  </si>
  <si>
    <t>DOMINO'S 14" PEPPERONI PIZZA,CLASSIC HAND-TOSSED CRUST</t>
  </si>
  <si>
    <t>21281</t>
  </si>
  <si>
    <t>DOMINO'S 14" PEPPERONI PIZZA,ULTIMATE DEEP DISH CRUST</t>
  </si>
  <si>
    <t>21282</t>
  </si>
  <si>
    <t>DOMINO'S 14" EXTRAVAGANZZA FST PIZZA,CLSSIC HAND-TOSSED CRST</t>
  </si>
  <si>
    <t>21283</t>
  </si>
  <si>
    <t>PAPA JOHN'S 14" CHS PIZZA,ORIGINAL CRUST</t>
  </si>
  <si>
    <t>21284</t>
  </si>
  <si>
    <t>PAPA JOHN'S 14" PEPPERONI PIZZA,ORIGINAL CRUST</t>
  </si>
  <si>
    <t>21285</t>
  </si>
  <si>
    <t>PAPA JOHN'S 14" THE WORKS PIZZA,ORIGINAL CRUST</t>
  </si>
  <si>
    <t>21286</t>
  </si>
  <si>
    <t>PAPA JOHN'S 14" CHS PIZZA,THIN CRUST</t>
  </si>
  <si>
    <t>21287</t>
  </si>
  <si>
    <t>LITTLE CAESARS 14" ORIGINAL RND CHS PIZZA,REG CRUST</t>
  </si>
  <si>
    <t>21288</t>
  </si>
  <si>
    <t>LITTLE CAESARS 14" ORIGINAL RND PEPPERONI PIZZA,REG CRUST</t>
  </si>
  <si>
    <t>21289</t>
  </si>
  <si>
    <t>LITTLE CAESARS 14" ORIGINAL RND MEAT &amp; VEG PIZZA,REG CRUST</t>
  </si>
  <si>
    <t>21290</t>
  </si>
  <si>
    <t>LITTLE CAESARS 14" CHS PIZZA,LRG DEEP DISH CRUST</t>
  </si>
  <si>
    <t>21291</t>
  </si>
  <si>
    <t>LITTLE CAESARS 14" PEPPERONI PIZZA,LRG DEEP DISH CRUST</t>
  </si>
  <si>
    <t>21292</t>
  </si>
  <si>
    <t>LITTLE CAESARS 14" CHS PIZZA,THIN CRUST</t>
  </si>
  <si>
    <t>21293</t>
  </si>
  <si>
    <t>PIZZA HUT 14" CHS PIZZA,HAND-TOSSED CRUST</t>
  </si>
  <si>
    <t>21294</t>
  </si>
  <si>
    <t>PIZZA HUT 14" CHS PIZZA,PAN CRUST</t>
  </si>
  <si>
    <t>21295</t>
  </si>
  <si>
    <t>PIZZA HUT 14" CHS PIZZA,THIN 'N CRISPY CRUST</t>
  </si>
  <si>
    <t>21296</t>
  </si>
  <si>
    <t>PIZZA HUT 14" PEPPERONI PIZZA,HAND-TOSSED CRUST</t>
  </si>
  <si>
    <t>21297</t>
  </si>
  <si>
    <t>PIZZA HUT 14" PEPPERONI PIZZA,PAN CRUST</t>
  </si>
  <si>
    <t>21298</t>
  </si>
  <si>
    <t>PIZZA HUT 14" SUPER SUPREME PIZZA,HAND-TOSSED CRUST</t>
  </si>
  <si>
    <t>21299</t>
  </si>
  <si>
    <t>FAST FD,PIZZA CHAIN,14" PIZZA,CHS TOPPING,REG CRUST</t>
  </si>
  <si>
    <t>21300</t>
  </si>
  <si>
    <t>FAST FD,PIZZA CHAIN,14" PIZZA,CHS TOPPING,THICK CRUST</t>
  </si>
  <si>
    <t>21301</t>
  </si>
  <si>
    <t>FAST FD,PIZZA CHAIN,14" PIZZA,CHS TOPPING,THIN CRUST</t>
  </si>
  <si>
    <t>21302</t>
  </si>
  <si>
    <t>FAST FD,PIZZA CHAIN,14" PIZZA,PEPPERONI TOPPING,REG CRUST</t>
  </si>
  <si>
    <t>21303</t>
  </si>
  <si>
    <t>FAST FD,PIZZA CHAIN,14" PIZZA,PEPPERONI TOPPING,THICK CRUST</t>
  </si>
  <si>
    <t>21304</t>
  </si>
  <si>
    <t>FAST FD,PIZZA CHAIN,14" PIZZA,MEAT &amp; VEG TOPPING,REG CRUST</t>
  </si>
  <si>
    <t>21305</t>
  </si>
  <si>
    <t>FAST FOODS,GRIDDLE CAKE SNDWCH,EGG,CHS,&amp; SAUSAGE</t>
  </si>
  <si>
    <t>21306</t>
  </si>
  <si>
    <t>FAST FOODS,GRIDDLE CAKE SNDWCH,SAUSAGE</t>
  </si>
  <si>
    <t>21307</t>
  </si>
  <si>
    <t>FAST FOODS,GRIDDLE CAKE SNDWCH,EGG,CHS,&amp; BACON</t>
  </si>
  <si>
    <t>21309</t>
  </si>
  <si>
    <t>MCDONALD'S,CHICK MCNUGGETS</t>
  </si>
  <si>
    <t>21310</t>
  </si>
  <si>
    <t>MCDONALD'S,BARBEQUE SAU</t>
  </si>
  <si>
    <t>21311</t>
  </si>
  <si>
    <t>MCDONALD'S,CREAMY RANCH SAU</t>
  </si>
  <si>
    <t>21313</t>
  </si>
  <si>
    <t>MCDONALD'S,HOT MUSTARD SAU</t>
  </si>
  <si>
    <t>21314</t>
  </si>
  <si>
    <t>MCDONALD'S,SPICY BUFFALO SAU</t>
  </si>
  <si>
    <t>21315</t>
  </si>
  <si>
    <t>MCDONALD'S,SWT 'N SOUR SAU</t>
  </si>
  <si>
    <t>21316</t>
  </si>
  <si>
    <t>MCDONALD'S,TANGY HONEY MUSTARD SAU</t>
  </si>
  <si>
    <t>21319</t>
  </si>
  <si>
    <t>MCDONALD'S,HASH BROWN</t>
  </si>
  <si>
    <t>21321</t>
  </si>
  <si>
    <t>MCDONALD'S,HOTCAKES (PLAIN)</t>
  </si>
  <si>
    <t>21324</t>
  </si>
  <si>
    <t>MCDONALD'S,BKD APPL PIE</t>
  </si>
  <si>
    <t>21327</t>
  </si>
  <si>
    <t>MCDONALD'S,BACON,EGG &amp; CHS MCGRIDDLES</t>
  </si>
  <si>
    <t>21328</t>
  </si>
  <si>
    <t>MCDONALD'S,SAUSAGE MCGRIDDLES</t>
  </si>
  <si>
    <t>21329</t>
  </si>
  <si>
    <t>MCDONALD'S,SAUSAGE,EGG &amp; CHS MCGRIDDLES</t>
  </si>
  <si>
    <t>21333</t>
  </si>
  <si>
    <t>MCDONALD'S,VANILLA RED FAT ICE CRM CONE</t>
  </si>
  <si>
    <t>21334</t>
  </si>
  <si>
    <t>MCDONALD'S,STRAWBERRY SUNDAE</t>
  </si>
  <si>
    <t>21335</t>
  </si>
  <si>
    <t>MCDONALD'S,HOT CARAMEL SUNDAE</t>
  </si>
  <si>
    <t>21336</t>
  </si>
  <si>
    <t>MCDONALD'S,HOT FUDGE SUNDAE</t>
  </si>
  <si>
    <t>22118</t>
  </si>
  <si>
    <t>WORTHINGTON FOODS,MORNINGSTAR FARMS GARDEN VEGE PATTIES,FRZ</t>
  </si>
  <si>
    <t>22119</t>
  </si>
  <si>
    <t>WORTHINGTON FOODS,MORNINGSTAR FARMS DELI FRANKS</t>
  </si>
  <si>
    <t>22120</t>
  </si>
  <si>
    <t>MORNINGSTAR FARMS GRILLERS BRGR STYL RECIPE CRMBL,FRZ,UNPREP</t>
  </si>
  <si>
    <t>22121</t>
  </si>
  <si>
    <t>WORTHINGTON FOODS,MORNINGSTAR FARMS BETTER'N BURGERS,FRZ</t>
  </si>
  <si>
    <t>22122</t>
  </si>
  <si>
    <t>MORNINGSTAR FARMS BRKFST SAUSAGE PATTIES,FRZ,UNPREP</t>
  </si>
  <si>
    <t>22123</t>
  </si>
  <si>
    <t>WORTHINGTON FOODS,MORNINGSTAR FARMS,SPICY BLACK BEAN BURGER</t>
  </si>
  <si>
    <t>22126</t>
  </si>
  <si>
    <t>LOMA LINDA BIG FRANKS,CND,UNPREP</t>
  </si>
  <si>
    <t>22247</t>
  </si>
  <si>
    <t>MACARONI &amp; CHS,CND ENTREE</t>
  </si>
  <si>
    <t>22401</t>
  </si>
  <si>
    <t>SPAGHETTI W/ MEAT SAU,FRZ ENTREE</t>
  </si>
  <si>
    <t>22402</t>
  </si>
  <si>
    <t>BEEF MACARONI W/ TOMATO SAU,FRZ ENTREE,RED FAT</t>
  </si>
  <si>
    <t>22522</t>
  </si>
  <si>
    <t>PASTA W/SLICED FRANKS IN TOMATO SAU,CND ENTREE</t>
  </si>
  <si>
    <t>22528</t>
  </si>
  <si>
    <t>TURKEY POT PIE,FRZ ENTREE</t>
  </si>
  <si>
    <t>22529</t>
  </si>
  <si>
    <t>BEEF POT PIE,FRZ ENTREE,PREP</t>
  </si>
  <si>
    <t>22535</t>
  </si>
  <si>
    <t>HOT POCKETS,CROISSANT POCKTS CHIK,BROC&amp;CHDR STUFD SNDWCH,FRZ</t>
  </si>
  <si>
    <t>22537</t>
  </si>
  <si>
    <t>HOT POCKETS HAM 'N CHS STUFFED SNDWCH,FRZ</t>
  </si>
  <si>
    <t>22899</t>
  </si>
  <si>
    <t>RAVIOLI,CHEESE-FILLED,CND</t>
  </si>
  <si>
    <t>22900</t>
  </si>
  <si>
    <t>RAVIOLI,MEAT-FILLED,W/ TOMATO SAU OR MEAT SAU,CND</t>
  </si>
  <si>
    <t>22901</t>
  </si>
  <si>
    <t>TORTELLINI,PASTA W/ CHS FILLING,FRESH-REFRIGERATED</t>
  </si>
  <si>
    <t>22902</t>
  </si>
  <si>
    <t>PIZZA,MEAT TOPPING,THICK CRUST,FRZ,CKD</t>
  </si>
  <si>
    <t>22903</t>
  </si>
  <si>
    <t>PIZZA,PEPPERONI TOPPING,REG CRUST,FRZ,CKD</t>
  </si>
  <si>
    <t>22904</t>
  </si>
  <si>
    <t>CHILI CON CARNE W/BNS,CND ENTREE</t>
  </si>
  <si>
    <t>22905</t>
  </si>
  <si>
    <t>BEEF STEW,CANNED ENTREE</t>
  </si>
  <si>
    <t>22906</t>
  </si>
  <si>
    <t>CHICKEN POT PIE,FRZ ENTREE,PREP</t>
  </si>
  <si>
    <t>22908</t>
  </si>
  <si>
    <t>BEEF,CORNED BF HASH,W/ POTATO,CND</t>
  </si>
  <si>
    <t>22910</t>
  </si>
  <si>
    <t>LASAGNA,CHS,FRZ,PREP</t>
  </si>
  <si>
    <t>22911</t>
  </si>
  <si>
    <t>CHILI,NO BNS,CND ENTREE</t>
  </si>
  <si>
    <t>22912</t>
  </si>
  <si>
    <t>SPAGHETTI,W/ MEATBALLS IN TOMATO SAU,CND</t>
  </si>
  <si>
    <t>22914</t>
  </si>
  <si>
    <t>PASTA W/ TOMATO SAU,NO MEAT,CND</t>
  </si>
  <si>
    <t>22915</t>
  </si>
  <si>
    <t>LASAGNA W/ MEAT &amp; SAU,LOW-FAT,FRZ ENTREE</t>
  </si>
  <si>
    <t>22916</t>
  </si>
  <si>
    <t>LASAGNA W/ MEAT &amp; SAU,FRZ ENTREE</t>
  </si>
  <si>
    <t>22917</t>
  </si>
  <si>
    <t>BURRITO,BF &amp; BEAN,FRZ</t>
  </si>
  <si>
    <t>22918</t>
  </si>
  <si>
    <t>BURRITO, BEAN AND CHEESE, FROZEN</t>
  </si>
  <si>
    <t>22919</t>
  </si>
  <si>
    <t>MACARONI &amp; CHS,CND,MICROWAVABLE</t>
  </si>
  <si>
    <t>22928</t>
  </si>
  <si>
    <t>BURRITO,BF &amp; BEAN,MICROWAVED</t>
  </si>
  <si>
    <t>22929</t>
  </si>
  <si>
    <t>CAMPBELL'S,SPAGHETTIOS,MINI BF RAVIOLI IN MEAT SAU</t>
  </si>
  <si>
    <t>22930</t>
  </si>
  <si>
    <t>CAMPBELL'S,SPAGHETTIOS,SPAGHETTI IN TOMATO &amp; CHS SAU</t>
  </si>
  <si>
    <t>22931</t>
  </si>
  <si>
    <t>CAMPBELL'S,SPAGHETTIOS,SPAGHETTIOS ORIGINAL</t>
  </si>
  <si>
    <t>22932</t>
  </si>
  <si>
    <t>CAMPBELL'S,SPAGHETTIOS,SPAGHETTIOS A TO Z'S</t>
  </si>
  <si>
    <t>22937</t>
  </si>
  <si>
    <t>CAMPBELL'S,SPAGHETTIOS,SPAGHETTIOS IN MEAT SAU</t>
  </si>
  <si>
    <t>22938</t>
  </si>
  <si>
    <t>CAMPBELL'S,SPAGHETTIOS,SPAGHETTIOS PLUS CA</t>
  </si>
  <si>
    <t>22939</t>
  </si>
  <si>
    <t>CAMPBELL'S,SPAGHETTIOS RAVIOLIOS BF RAVIOLI IN MEAT SAU</t>
  </si>
  <si>
    <t>22940</t>
  </si>
  <si>
    <t>SPAGHETTIOS,SPAGHETTIOS W/ MEATBALLS</t>
  </si>
  <si>
    <t>22941</t>
  </si>
  <si>
    <t>SPAGHETTIOS,SPAGHETTIOS W/ SLICED FRANKS</t>
  </si>
  <si>
    <t>22942</t>
  </si>
  <si>
    <t>CAMPBELL'S,SPAGHETTIOS,SPAGHETTIOS A TO Z'S W/ MEATBALLS</t>
  </si>
  <si>
    <t>22943</t>
  </si>
  <si>
    <t>SUPPER BAKES MEAL,CHEESY CHICK W/ PASTA (CHICK NOT INCLUDED)</t>
  </si>
  <si>
    <t>22944</t>
  </si>
  <si>
    <t>SUPPER BAKES MEAL KITS,CREAMY STROGANOFF SAU W/ PASTA</t>
  </si>
  <si>
    <t>22945</t>
  </si>
  <si>
    <t>SUPPER BAKES MEAL KITS,GARLIC CHICK W/ PASTA</t>
  </si>
  <si>
    <t>22946</t>
  </si>
  <si>
    <t>SUPPER BAKES MEAL KITS,HERB CHICK W/ RICE</t>
  </si>
  <si>
    <t>22947</t>
  </si>
  <si>
    <t>SUPPER BAKES MEAL KITS,LEMON CHICK W/ HERB RICE</t>
  </si>
  <si>
    <t>22948</t>
  </si>
  <si>
    <t>SUPPER MEAL KITS,SAVORY PORK CHOPS W/ HERB STUFFING</t>
  </si>
  <si>
    <t>22949</t>
  </si>
  <si>
    <t>SUPPER BAKES MEAL KITS,SOUTHWESTERN-STYLE CHICK W/RICE</t>
  </si>
  <si>
    <t>22950</t>
  </si>
  <si>
    <t>SUPPER BAKES MEAL,CHICK W/ STUFFING (CHICK NOT INCLUDED)</t>
  </si>
  <si>
    <t>22951</t>
  </si>
  <si>
    <t>SWANSON,CHICK A LA KING</t>
  </si>
  <si>
    <t>22952</t>
  </si>
  <si>
    <t>SWANSON,CHICK &amp; DUMPLINGS</t>
  </si>
  <si>
    <t>22953</t>
  </si>
  <si>
    <t>EGG ROLLS,PORK,REFR,HTD</t>
  </si>
  <si>
    <t>22954</t>
  </si>
  <si>
    <t>EGG ROLLS,CHICK,REFR,HTD</t>
  </si>
  <si>
    <t>22955</t>
  </si>
  <si>
    <t>EGG ROLLS,VEG,FRZ,PREP</t>
  </si>
  <si>
    <t>22956</t>
  </si>
  <si>
    <t>LASAGNA,VEG,FRZ,BKD</t>
  </si>
  <si>
    <t>22957</t>
  </si>
  <si>
    <t>TKY,STUFFING,MSHD POTATO W/GRAVY,ASSORTED VEG,FRZ,MICROWAVE</t>
  </si>
  <si>
    <t>22958</t>
  </si>
  <si>
    <t>RICE BOWL W/ CHICK,FRZ ENTREE,PREP</t>
  </si>
  <si>
    <t>22959</t>
  </si>
  <si>
    <t>MACARONI &amp; CHS DINNER W/ DRY SAU MIX,BOXED,UNCKD</t>
  </si>
  <si>
    <t>22960</t>
  </si>
  <si>
    <t>MAC &amp; CHS,DRY MIX,PREP W/ 2% MILK &amp; 80% STK MARGARINE DRY MX</t>
  </si>
  <si>
    <t>22961</t>
  </si>
  <si>
    <t>HOT POCKETS,MEATBALLS &amp; MOZZARELLA STUFFED SNDWCH,FRZ</t>
  </si>
  <si>
    <t>22962</t>
  </si>
  <si>
    <t>LEAN POCKETS,HAM N CHEDDAR</t>
  </si>
  <si>
    <t>22963</t>
  </si>
  <si>
    <t>LEAN POCKETS,MEATBALLS &amp; MOZZARELLA</t>
  </si>
  <si>
    <t>22965</t>
  </si>
  <si>
    <t>CAMPBELL'S,SPAGHETTIOS ORIGINAL,EASY OPEN</t>
  </si>
  <si>
    <t>22966</t>
  </si>
  <si>
    <t>CAMPBELL'S,SPAGHETTIOS,W/ MEATBALLS -</t>
  </si>
  <si>
    <t>22969</t>
  </si>
  <si>
    <t>CHILI W/ BNS,MICROWAVABLE BOWLS</t>
  </si>
  <si>
    <t>22970</t>
  </si>
  <si>
    <t>MACARONI &amp; CHS,FRZ ENTREE</t>
  </si>
  <si>
    <t>22971</t>
  </si>
  <si>
    <t>POTATO SALAD W/ EGG</t>
  </si>
  <si>
    <t>22972</t>
  </si>
  <si>
    <t>PULLED PORK IN BARBECUE SAU</t>
  </si>
  <si>
    <t>22973</t>
  </si>
  <si>
    <t>CORN DOGS,FRZ,PREP</t>
  </si>
  <si>
    <t>22974</t>
  </si>
  <si>
    <t>CHICKEN,NUGGETS,DK &amp; WHITE MEAT,PRECKD,FRZ,NOT REHTD</t>
  </si>
  <si>
    <t>22975</t>
  </si>
  <si>
    <t>CHICKEN,NUGGETS,WHITE MEAT,PRECKD,FRZ,NOT REHTD</t>
  </si>
  <si>
    <t>22976</t>
  </si>
  <si>
    <t>RAVIOLI,CHS W/ TOMATO SAU,FRZ,NOT PREP,INCL REG &amp; LT ENTREES</t>
  </si>
  <si>
    <t>22977</t>
  </si>
  <si>
    <t>LASAGNA W/ MEAT SAU,FRZ,PREP</t>
  </si>
  <si>
    <t>22978</t>
  </si>
  <si>
    <t>CHICKEN TENDERS,BREADED,FRZ,PREP</t>
  </si>
  <si>
    <t>22979</t>
  </si>
  <si>
    <t>KASHI BLACK BEAN MANGO,FRZ,UNPREP</t>
  </si>
  <si>
    <t>22980</t>
  </si>
  <si>
    <t>KASHI,CHICK &amp; CHIPOTLE BBQ SAU W/ MANGO,FRZ ENTREE</t>
  </si>
  <si>
    <t>22981</t>
  </si>
  <si>
    <t>KASHI,CHICK ENCHILADA W/ ANCHO SAU,FRZ ENTREE</t>
  </si>
  <si>
    <t>22982</t>
  </si>
  <si>
    <t>KASHI,STEAM MEAL,CHICK FETTUCCINE,FRZ ENTREE</t>
  </si>
  <si>
    <t>22983</t>
  </si>
  <si>
    <t>KASHI,CHICK FLORENTINE,FRZ ENTREE</t>
  </si>
  <si>
    <t>22984</t>
  </si>
  <si>
    <t>KASHI,CHICK PASTA POMODORO,FRZ ENTREE</t>
  </si>
  <si>
    <t>22985</t>
  </si>
  <si>
    <t>KASHI,LEMONGRASS COCNT CHICK,FRZ ENTREE</t>
  </si>
  <si>
    <t>22986</t>
  </si>
  <si>
    <t>KASHI MAYAN HARVEST BAKE,FRZ,UNPREP</t>
  </si>
  <si>
    <t>22987</t>
  </si>
  <si>
    <t>KASHI PESTO PASTA PRIMAVERA,FRZ,UNPREP</t>
  </si>
  <si>
    <t>22988</t>
  </si>
  <si>
    <t>KASHI,PILAF,7 WHL GRAIN,UNPREP</t>
  </si>
  <si>
    <t>22989</t>
  </si>
  <si>
    <t>KASHI,RED CURRY CHICK,FRZ ENTREE</t>
  </si>
  <si>
    <t>22990</t>
  </si>
  <si>
    <t>KASHI,STEAM MEAL,RSTD GARLIC CHICK FARFALLE,FRZ ENTREE</t>
  </si>
  <si>
    <t>22991</t>
  </si>
  <si>
    <t>KASHI,STEAM MEAL,SESAME CHICK,FRZ ENTREE</t>
  </si>
  <si>
    <t>22992</t>
  </si>
  <si>
    <t>KASHI,SOUTHWEST STYLE CHICK,FRZ ENTREE</t>
  </si>
  <si>
    <t>22993</t>
  </si>
  <si>
    <t>KASHI SPICY BLACK BEAN ENCHILADA,FRZ,UNPREP</t>
  </si>
  <si>
    <t>22994</t>
  </si>
  <si>
    <t>KASHI SPINACH ARTICHOKE PASTA,FRZ,UNPREP</t>
  </si>
  <si>
    <t>22995</t>
  </si>
  <si>
    <t>KASHI,SWT &amp; SOUR CHICK,FRZ ENTREE</t>
  </si>
  <si>
    <t>22996</t>
  </si>
  <si>
    <t>KASHI THREE CHS PENNE,FRZ,UNPREP</t>
  </si>
  <si>
    <t>22997</t>
  </si>
  <si>
    <t>KASHI,TUSCAN VEGGIE BAKE,FRZ ENTREE</t>
  </si>
  <si>
    <t>22998</t>
  </si>
  <si>
    <t>RICE &amp; VERMICELLI MIX,CHICK FLAVOR,UNPREP</t>
  </si>
  <si>
    <t>22999</t>
  </si>
  <si>
    <t>RICE &amp; VERMICELLI MIX,CHICK FLAVOR,PREP W/ 80% MARGARINE</t>
  </si>
  <si>
    <t>25000</t>
  </si>
  <si>
    <t>POPCORN,OIL-POPPED,LOFAT</t>
  </si>
  <si>
    <t>25001</t>
  </si>
  <si>
    <t>25003</t>
  </si>
  <si>
    <t>SNACKS,CANDY ROLLS,YOGURT-COVERED,FRUIT FLAV W/ HI VIT C</t>
  </si>
  <si>
    <t>25004</t>
  </si>
  <si>
    <t>FORMULATE BAR,MAR SNACKFOO US,SNICKE MARATH CHE CHOC PNUT BA</t>
  </si>
  <si>
    <t>25005</t>
  </si>
  <si>
    <t>FORM BAR,MARS SNKF US,SNICKERS MARATHON MULTIGRNCRUNCH</t>
  </si>
  <si>
    <t>25006</t>
  </si>
  <si>
    <t>FORMULAT BAR,MARSNACKFOO US,SNICKE MARATHO DOUBL CHOC NUT BA</t>
  </si>
  <si>
    <t>25007</t>
  </si>
  <si>
    <t>SNACKS,M&amp;M MARS,KUDOS WHL GRAIN BARS,PNUT BUTTER</t>
  </si>
  <si>
    <t>25008</t>
  </si>
  <si>
    <t>FORMULAT BAR,MAR SNACFOO US,SNICKER MARATHO HONE NUT OAT BAR</t>
  </si>
  <si>
    <t>25009</t>
  </si>
  <si>
    <t>SNACKS,M&amp;M MARS,KUDOS WHL GRAIN BAR,M&amp;M'S MILK CHOC</t>
  </si>
  <si>
    <t>25010</t>
  </si>
  <si>
    <t>FORM BAR,MARS SNACKFOOD US,COCOAVIA,CHOC ALMOND</t>
  </si>
  <si>
    <t>25012</t>
  </si>
  <si>
    <t>SNACKS,SWT POTATO CHIPS,UNSALTED</t>
  </si>
  <si>
    <t>25013</t>
  </si>
  <si>
    <t>SNACKS,FRITOLAY,SUNCHIPS,MULTIGRAIN SNACK,ORIGINAL FLAVOR</t>
  </si>
  <si>
    <t>25014</t>
  </si>
  <si>
    <t>SNACKS,POPCORN,MICROWAVE,REG (BUTTER) FLAVOR, W/PARHYD OIL</t>
  </si>
  <si>
    <t>25015</t>
  </si>
  <si>
    <t>FORMBAR,MARSSNACK,SNICKERS MARATHONPROTPERFBAR,CARMELNUTRUSH</t>
  </si>
  <si>
    <t>25016</t>
  </si>
  <si>
    <t>FORMUL BAR,MA SNACKFO US,SNICKE MARATH ENER BAR,ALL FLAVO</t>
  </si>
  <si>
    <t>25017</t>
  </si>
  <si>
    <t>FORMULATED BAR,POWER BAR,CHOC</t>
  </si>
  <si>
    <t>25018</t>
  </si>
  <si>
    <t>FORM BAR,MARS SNACKFOOD US,COCOAVIA,CHOC BLUEBERRY</t>
  </si>
  <si>
    <t>25020</t>
  </si>
  <si>
    <t>FORMULATED BAR,SLIM-FAST OPTIMA MEAL BAR,MILK CHOC PNUT</t>
  </si>
  <si>
    <t>25021</t>
  </si>
  <si>
    <t>FORMULATED BAR,LUNA BAR,NUTZ OVER CHOC</t>
  </si>
  <si>
    <t>25022</t>
  </si>
  <si>
    <t>SNACKS,FRITOLAY,SUNCHIPS,MULTIGRAIN,FRENCH ONION FLAVOR</t>
  </si>
  <si>
    <t>25023</t>
  </si>
  <si>
    <t>SNACKS,FRITOLAY,SUNCHIPS,MULTIGRAIN,HARVEST CHEDDAR</t>
  </si>
  <si>
    <t>25024</t>
  </si>
  <si>
    <t>PRETZELS,SOFT,UNSALTED</t>
  </si>
  <si>
    <t>25025</t>
  </si>
  <si>
    <t>SNACKS,SOY CHIPS OR CRISPS,SALTED</t>
  </si>
  <si>
    <t>25026</t>
  </si>
  <si>
    <t>Popcor, microwav, regula (butter) flavo, mad with pal oil</t>
  </si>
  <si>
    <t>25027</t>
  </si>
  <si>
    <t>SNACKS,PLANTAIN CHIPS,SALTED</t>
  </si>
  <si>
    <t>25028</t>
  </si>
  <si>
    <t>Tortilla chips, yellow, plain, salted</t>
  </si>
  <si>
    <t>25030</t>
  </si>
  <si>
    <t>SNACKS,VEG CHIPS,HAIN CELESTIAL GROUP,TERRA CHIPS</t>
  </si>
  <si>
    <t>25031</t>
  </si>
  <si>
    <t>FORM BAR,ZONE PERFECT CLASSIC CRUNCH BAR,MXD FLAVORS</t>
  </si>
  <si>
    <t>25032</t>
  </si>
  <si>
    <t>SNACKS,GRANOLA BAR,KASHI GOLEAN,CHEWY,MXD FLAVORS</t>
  </si>
  <si>
    <t>25033</t>
  </si>
  <si>
    <t>SNACKS,GRANOLA BAR,KASHI TLC BAR,CHEWY,MXD FLAVORS</t>
  </si>
  <si>
    <t>25034</t>
  </si>
  <si>
    <t>SNACKS,GRANOLA BAR,KASHI GOLEAN,CRUNCHY,MXD FLAVORS</t>
  </si>
  <si>
    <t>25035</t>
  </si>
  <si>
    <t>SNACKS,GRANOLA BAR,CHEWY,RED SUGAR,ALL FLAVORS</t>
  </si>
  <si>
    <t>25036</t>
  </si>
  <si>
    <t>SNACKS,GRANOLA BITES,MXD FLAVORS</t>
  </si>
  <si>
    <t>25037</t>
  </si>
  <si>
    <t>SNACKS,PITA CHIPS,SALTED</t>
  </si>
  <si>
    <t>25038</t>
  </si>
  <si>
    <t>SNACKS,GRANOLA BARS,SOFT,ALMOND,CONFECTIONERS COATING</t>
  </si>
  <si>
    <t>25039</t>
  </si>
  <si>
    <t>SNACKS,GRANOLA BARS,QUAKER OATMEAL TO GO,ALL FLAVORS</t>
  </si>
  <si>
    <t>25040</t>
  </si>
  <si>
    <t>SNACKS,VEG CHIPS,MADE FROM GARDEN VEG</t>
  </si>
  <si>
    <t>25041</t>
  </si>
  <si>
    <t>SNACKS,GRANOLA BAR,KASHI TLC BAR,CRUNCHY,MXD FLAVORS</t>
  </si>
  <si>
    <t>25043</t>
  </si>
  <si>
    <t>SNACKS,CANDY BITS,YOGURT COVERED W/ VIT C</t>
  </si>
  <si>
    <t>25045</t>
  </si>
  <si>
    <t>Formulated bar, high fiber, chewy, oats and chocolate</t>
  </si>
  <si>
    <t>25046</t>
  </si>
  <si>
    <t>SNACKS,BAGEL CHIPS,PLN</t>
  </si>
  <si>
    <t>25048</t>
  </si>
  <si>
    <t>SNACKS,NUTRI-GRAIN FRUIT &amp; NUT BAR</t>
  </si>
  <si>
    <t>25050</t>
  </si>
  <si>
    <t>SNACKS,YUCCA (CASSAVA) CHIPS,SALTED</t>
  </si>
  <si>
    <t>25051</t>
  </si>
  <si>
    <t>Snacks, CLIF BAR, mixed flavors</t>
  </si>
  <si>
    <t>25052</t>
  </si>
  <si>
    <t>SNACKS,GRANOLA BAR,QUAKER,CHEWY,90 CAL BAR</t>
  </si>
  <si>
    <t>25053</t>
  </si>
  <si>
    <t>Snac, grano bar, GENER MILLS NATURE VALL, SWE&amp;SAL NUT, peanu</t>
  </si>
  <si>
    <t>25054</t>
  </si>
  <si>
    <t>Snack,gran bar,GENERAL MILLS, NATURE VALLEY, w yogu coati</t>
  </si>
  <si>
    <t>25055</t>
  </si>
  <si>
    <t>Snac, grano bar, GENER MILLS, NATUR VALLE, CHEWY TRAIL MIX</t>
  </si>
  <si>
    <t>25056</t>
  </si>
  <si>
    <t>Snacks, granola bar, QUAKER, DIPPS, all flavors</t>
  </si>
  <si>
    <t>25059</t>
  </si>
  <si>
    <t>Snacks, brown rice chips</t>
  </si>
  <si>
    <t>25060</t>
  </si>
  <si>
    <t>SNACK,PRETZEL,HARD CHOC COATD</t>
  </si>
  <si>
    <t>25062</t>
  </si>
  <si>
    <t>Snack, Mixed Berry Bar</t>
  </si>
  <si>
    <t>25063</t>
  </si>
  <si>
    <t>Snacks, potato chips, fr dried potatoes, multigrain</t>
  </si>
  <si>
    <t>25064</t>
  </si>
  <si>
    <t>SNACKS,POTATO CHIPS,LIGHTLY SALTED</t>
  </si>
  <si>
    <t>25065</t>
  </si>
  <si>
    <t>SNACKS,PRETZELS,GLUTEN- FREE MADE W/ CORNSTARCH &amp; POTATO FLR</t>
  </si>
  <si>
    <t>25066</t>
  </si>
  <si>
    <t>SNACKS,PEAS,RSTD,WASABI-FLAVORED</t>
  </si>
  <si>
    <t>25067</t>
  </si>
  <si>
    <t>FORMULATED BAR,SOUTH BEACH PROT BAR</t>
  </si>
  <si>
    <t>25068</t>
  </si>
  <si>
    <t>SNACK,BALANCE,ORIGINAL BAR</t>
  </si>
  <si>
    <t>25070</t>
  </si>
  <si>
    <t>SNACKS,SHRIMP CRACKER</t>
  </si>
  <si>
    <t>25071</t>
  </si>
  <si>
    <t>RICE CRACKERS</t>
  </si>
  <si>
    <t>35001</t>
  </si>
  <si>
    <t>AGUTUK,FISH/BERRY W/ SEAL OIL (ICE CREAM) (ALASKA NATIVE)</t>
  </si>
  <si>
    <t>35003</t>
  </si>
  <si>
    <t>AGUTUK,MEAT-CARIBOU (ALASKAN ICE CREAM) (ALASKA NATIVE)</t>
  </si>
  <si>
    <t>35004</t>
  </si>
  <si>
    <t>ASCIDIANS (TUNUGHNAK) (ALASKA NATIVE)</t>
  </si>
  <si>
    <t>35007</t>
  </si>
  <si>
    <t>BEAR,BLACK,MEAT (ALASKA NATIVE)</t>
  </si>
  <si>
    <t>35008</t>
  </si>
  <si>
    <t>BEAR,POLAR,MEAT,RAW (ALASKA NATIVE)</t>
  </si>
  <si>
    <t>35009</t>
  </si>
  <si>
    <t>WHALE,BELUGA,MEAT,DRIED (ALASKA NATIVE)</t>
  </si>
  <si>
    <t>35010</t>
  </si>
  <si>
    <t>WHALE,BELUGA,EYES (ALASKA NATIVE)</t>
  </si>
  <si>
    <t>35011</t>
  </si>
  <si>
    <t>Whale, beluga, meat, raw (Alaska Native)</t>
  </si>
  <si>
    <t>35012</t>
  </si>
  <si>
    <t>WHALE,BELUGA,FLIPPER,RAW (ALASKA NATIVE)</t>
  </si>
  <si>
    <t>35013</t>
  </si>
  <si>
    <t>WHALE,BELUGA,LIVER,RAW (ALASKA NATIVE)</t>
  </si>
  <si>
    <t>35014</t>
  </si>
  <si>
    <t>OIL,BELUGA,WHALE (ALASKA NATIVE)</t>
  </si>
  <si>
    <t>35015</t>
  </si>
  <si>
    <t>BLACKBERRIES,WILD,RAW (ALASKA NATIVE)</t>
  </si>
  <si>
    <t>35016</t>
  </si>
  <si>
    <t>FISH,BLACKFISH,WHL (ALASKA NATIVE)</t>
  </si>
  <si>
    <t>35017</t>
  </si>
  <si>
    <t>BLUEBERRIES,WILD,FRZ (ALASKA NATIVE)</t>
  </si>
  <si>
    <t>35021</t>
  </si>
  <si>
    <t>CARIBOU,BONE MARROW,RAW (ALASKA NATIVE)</t>
  </si>
  <si>
    <t>35022</t>
  </si>
  <si>
    <t>CARIBOU,EYE,RAW (ALASKA NATIVE)</t>
  </si>
  <si>
    <t>35023</t>
  </si>
  <si>
    <t>CARIBOU,LIVER,RAW (ALASKA NATIVE)</t>
  </si>
  <si>
    <t>35024</t>
  </si>
  <si>
    <t>STEW/SOUP,CARIBOU (ALASKA NATIVE)</t>
  </si>
  <si>
    <t>35025</t>
  </si>
  <si>
    <t>CARIBOU,TONGUE,RAW (ALASKA NATIVE)</t>
  </si>
  <si>
    <t>35026</t>
  </si>
  <si>
    <t>CHITON,LEATHERY,GUMBOOTS (ALASKA NATIVE)</t>
  </si>
  <si>
    <t>35027</t>
  </si>
  <si>
    <t>CLOUDBERRIES,RAW (ALASKA NATIVE)</t>
  </si>
  <si>
    <t>35028</t>
  </si>
  <si>
    <t>COCKLES,RAW (ALASKA NATIVE)</t>
  </si>
  <si>
    <t>35029</t>
  </si>
  <si>
    <t>CRANBERRIES,WILD,BUSH,RAW (ALASKA NATIVE)</t>
  </si>
  <si>
    <t>35030</t>
  </si>
  <si>
    <t>CRANBERRY,LO BUSH OR LINGENBERRY,RAW (ALASKA NATIVE)</t>
  </si>
  <si>
    <t>35034</t>
  </si>
  <si>
    <t>FISH,DEVILFISH,MEAT (ALASKA NATIVE)</t>
  </si>
  <si>
    <t>35038</t>
  </si>
  <si>
    <t>FIREWEED,YOUNG LEAVES,RAW (ALASKA NATIVE)</t>
  </si>
  <si>
    <t>35039</t>
  </si>
  <si>
    <t>FISH,HERRING EGGS ON GIANT KELP,PACIFIC (ALASKA NATIVE)</t>
  </si>
  <si>
    <t>35040</t>
  </si>
  <si>
    <t>FISH,HERRING EGGS,PACIFIC,DRY (ALASKA NATIVE)</t>
  </si>
  <si>
    <t>35041</t>
  </si>
  <si>
    <t>FISH,HERRING EGGS,PACIFIC,PLN (ALASKA NATIVE)</t>
  </si>
  <si>
    <t>35042</t>
  </si>
  <si>
    <t>FISH,HERRING,PACIFIC,FLSH,AIR-DRIED,PACK OIL (ALASKA NATIVE)</t>
  </si>
  <si>
    <t>35043</t>
  </si>
  <si>
    <t>HUCKLEBERRIES,RAW (ALASKA NATIVE)</t>
  </si>
  <si>
    <t>35046</t>
  </si>
  <si>
    <t>FISH,LINGCOD,MEAT,RAW (ALASKA NATIVE)</t>
  </si>
  <si>
    <t>35047</t>
  </si>
  <si>
    <t>FISH,LINGCOD,LIVER (ALASKA NATIVE)</t>
  </si>
  <si>
    <t>35048</t>
  </si>
  <si>
    <t>STEW,MOOSE (ALASKA NATIVE)</t>
  </si>
  <si>
    <t>35049</t>
  </si>
  <si>
    <t>MOOSE,MEAT,RAW (ALASKA NATIVE)</t>
  </si>
  <si>
    <t>35050</t>
  </si>
  <si>
    <t>MASHU ROOTS,RAW (ALASKA NATIVE)</t>
  </si>
  <si>
    <t>35051</t>
  </si>
  <si>
    <t>MOOSE,LIVER,BRSD (ALASKA NATIVE)</t>
  </si>
  <si>
    <t>35052</t>
  </si>
  <si>
    <t>MOUSE NUTS,ROOTS (ALASKA NATIVE)</t>
  </si>
  <si>
    <t>35053</t>
  </si>
  <si>
    <t>MOUSE NUTS,SEEDLINGS (ALASKA NATIVE)</t>
  </si>
  <si>
    <t>35054</t>
  </si>
  <si>
    <t>OCTOPUS (ALASKA NATIVE)</t>
  </si>
  <si>
    <t>35055</t>
  </si>
  <si>
    <t>SEAL,BEARDED (OOGRUK),MEAT,DRIED (ALASKA NATIVE)</t>
  </si>
  <si>
    <t>35056</t>
  </si>
  <si>
    <t>SEAL,BEARDED (OOGRUK),MEAT,RAW (ALASKA NATIVE)</t>
  </si>
  <si>
    <t>35057</t>
  </si>
  <si>
    <t>OIL,BEARDED SEAL (OOGRUK) (ALASKA NATIVE)</t>
  </si>
  <si>
    <t>35058</t>
  </si>
  <si>
    <t>OOPAH (TUNICATE),WHL ANIMAL (ALASKA NATIVE)</t>
  </si>
  <si>
    <t>35059</t>
  </si>
  <si>
    <t>OWL,HORNED,FLESH,RAW (ALASKA NATIVE)</t>
  </si>
  <si>
    <t>35060</t>
  </si>
  <si>
    <t>FISH,PIKE,NORTHERN,LIVER (ALASKA NATIVE)</t>
  </si>
  <si>
    <t>35063</t>
  </si>
  <si>
    <t>RHUBARB,WILD,LEAVES (ALASKA NATIVE)</t>
  </si>
  <si>
    <t>35064</t>
  </si>
  <si>
    <t>FISH,SALMON,TIPNUK,FERMENTED (ALASKA NATIVE)</t>
  </si>
  <si>
    <t>35065</t>
  </si>
  <si>
    <t>FISH,SALMON,KING,CHINOOK,KIPPERED,CND (ALASKA NATIVE)</t>
  </si>
  <si>
    <t>35066</t>
  </si>
  <si>
    <t>FISH,SALMON,KING,CHINOOK,SMOKED &amp; CND (ALASKA NATIVE)</t>
  </si>
  <si>
    <t>35067</t>
  </si>
  <si>
    <t>FISH,SALMON,KING,CHINOOK,SMOKED,BRINED (ALASKA NATIVE)</t>
  </si>
  <si>
    <t>35068</t>
  </si>
  <si>
    <t>FISH,SALMON,KING,CHINOOK,LIVER (ALASKA NATIVE)</t>
  </si>
  <si>
    <t>35069</t>
  </si>
  <si>
    <t>DUCK,SCOTER,WHITE-WINGED,MEAT (ALASKA NATIVE)</t>
  </si>
  <si>
    <t>35070</t>
  </si>
  <si>
    <t>SEA CUCUMBER,YANE (ALASKA NATIVE)</t>
  </si>
  <si>
    <t>35071</t>
  </si>
  <si>
    <t>SEAL,RINGED,MEAT (ALASKA NATIVE)</t>
  </si>
  <si>
    <t>35072</t>
  </si>
  <si>
    <t>SEAL,RINGED,LIVER (ALASKA NATIVE)</t>
  </si>
  <si>
    <t>35073</t>
  </si>
  <si>
    <t>SOUP,FISH,HOMEMADE (ALASKA NATIVE)</t>
  </si>
  <si>
    <t>35074</t>
  </si>
  <si>
    <t>SOURDOCK,YOUNG LEAVES (ALASKA NATIVE)</t>
  </si>
  <si>
    <t>35075</t>
  </si>
  <si>
    <t>SQUIRREL,GROUND,MEAT (ALASKA NATIVE)</t>
  </si>
  <si>
    <t>35078</t>
  </si>
  <si>
    <t>TEA,TUNDRA,HERB &amp; LABORADOR COMBINATION (ALASKA NATIVE)</t>
  </si>
  <si>
    <t>35079</t>
  </si>
  <si>
    <t>WALRUS,MEAT,DRIED (ALASKA NATIVE)</t>
  </si>
  <si>
    <t>35080</t>
  </si>
  <si>
    <t>DEER (VENISON),SITKA,RAW (ALASKA NATIVE)</t>
  </si>
  <si>
    <t>35081</t>
  </si>
  <si>
    <t>WALRUS,MEAT,RAW (ALASKA NATIVE)</t>
  </si>
  <si>
    <t>35082</t>
  </si>
  <si>
    <t>WALRUS,MEAT &amp; SUBCUTANEOUS FAT RAW (ALASKA NATIVE)</t>
  </si>
  <si>
    <t>35083</t>
  </si>
  <si>
    <t>WALRUS,LIVER,RAW (ALASKA NATIVE)</t>
  </si>
  <si>
    <t>35084</t>
  </si>
  <si>
    <t>OIL,WALRUS (ALASKA NATIVE)</t>
  </si>
  <si>
    <t>35085</t>
  </si>
  <si>
    <t>WHALE,BOWHEAD,SUBCUTANEOUS FAT (BLUBBER) (ALASKA NATIVE)</t>
  </si>
  <si>
    <t>35086</t>
  </si>
  <si>
    <t>WHALE,BOWHEAD,SKN &amp; SUBCUTANEOUS FATMUKTUK(ALASKA NATIVE)</t>
  </si>
  <si>
    <t>35087</t>
  </si>
  <si>
    <t>OIL,WHALE,BOWHEAD (ALASKA NATIVE)</t>
  </si>
  <si>
    <t>35088</t>
  </si>
  <si>
    <t>FISH,WHITEFISH,BROAD,LIVER (ALASKA NATIVE)</t>
  </si>
  <si>
    <t>35089</t>
  </si>
  <si>
    <t>FISH,WHITEFISH,MXD SP,RAW (ALASKA NATIVE)</t>
  </si>
  <si>
    <t>35091</t>
  </si>
  <si>
    <t>FISH,WHITEFISH,HEAD,EYES,CHEEKS &amp; SOFT BONES (ALASKA NATIVE)</t>
  </si>
  <si>
    <t>35092</t>
  </si>
  <si>
    <t>WILLOW,LEAVES IN OIL (ALASKA NATIVE)</t>
  </si>
  <si>
    <t>35093</t>
  </si>
  <si>
    <t>WILLOW,YOUNG LEAVES,CHOPD (ALASKA NATIVE)</t>
  </si>
  <si>
    <t>35130</t>
  </si>
  <si>
    <t>MUSH,BLUE CORN W/ ASH (NAVAJO)</t>
  </si>
  <si>
    <t>35131</t>
  </si>
  <si>
    <t>CORNMEAL,BLUE (NAVAJO)</t>
  </si>
  <si>
    <t>35132</t>
  </si>
  <si>
    <t>MELON,BANANA (NAVAJO)</t>
  </si>
  <si>
    <t>35133</t>
  </si>
  <si>
    <t>CHILCHEN (RED BERRY BEVERAGE) (NAVAJO)</t>
  </si>
  <si>
    <t>35134</t>
  </si>
  <si>
    <t>CORN,DRIED (NAVAJO)</t>
  </si>
  <si>
    <t>35135</t>
  </si>
  <si>
    <t>CORN,WHITE,STMD (NAVAJO)</t>
  </si>
  <si>
    <t>35136</t>
  </si>
  <si>
    <t>CORNMEAL,WHITE (NAVAJO)</t>
  </si>
  <si>
    <t>35137</t>
  </si>
  <si>
    <t>CORNMEAL,YEL (NAVAJO)</t>
  </si>
  <si>
    <t>35138</t>
  </si>
  <si>
    <t>SQUASH,INDIAN,RAW (NAVAJO)</t>
  </si>
  <si>
    <t>35139</t>
  </si>
  <si>
    <t>SQUASH,INDIAN,CKD,BLD (NAVAJO)</t>
  </si>
  <si>
    <t>35140</t>
  </si>
  <si>
    <t>BREAD,KNEEL DOWN (NAVAJO)</t>
  </si>
  <si>
    <t>35141</t>
  </si>
  <si>
    <t>MUTTON,CKD,RSTD (NAVAJO)</t>
  </si>
  <si>
    <t>35142</t>
  </si>
  <si>
    <t>FRYBREAD,MADE W/ LARD (NAVAJO)</t>
  </si>
  <si>
    <t>35143</t>
  </si>
  <si>
    <t>TORTILLA,INCL PLN &amp; FROM MUTTON SNDWCH (NAVAJO)</t>
  </si>
  <si>
    <t>35144</t>
  </si>
  <si>
    <t>STEW,DUMPLING W/ MUTTON (NAVAJO)</t>
  </si>
  <si>
    <t>35145</t>
  </si>
  <si>
    <t>STEW,HOMINY W/ MUTTON (NAVAJO)</t>
  </si>
  <si>
    <t>35146</t>
  </si>
  <si>
    <t>STEW,MUTTON,CORN,SQUASH (NAVAJO)</t>
  </si>
  <si>
    <t>35147</t>
  </si>
  <si>
    <t>TAMALES (NAVAJO)</t>
  </si>
  <si>
    <t>35148</t>
  </si>
  <si>
    <t>STEW,STMD CORN (NAVAJO)</t>
  </si>
  <si>
    <t>35149</t>
  </si>
  <si>
    <t>FISH,HALIBUT,RAW,W/ SKN (ALASKA NATIVE)</t>
  </si>
  <si>
    <t>35150</t>
  </si>
  <si>
    <t>FISH,SALMON,COHO (SILVER),RAW (ALASKA NATIVE)</t>
  </si>
  <si>
    <t>35151</t>
  </si>
  <si>
    <t>FISH,SALMON,SOCKEYE (RED),RAW (ALASKA NATIVE)</t>
  </si>
  <si>
    <t>35152</t>
  </si>
  <si>
    <t>FISH,SALMON,CHUM,RAW (ALASKA NATIVE)</t>
  </si>
  <si>
    <t>35153</t>
  </si>
  <si>
    <t>FISH,SALMON,KING (CHINOOK),RAW (ALASKA NATIVE)</t>
  </si>
  <si>
    <t>35154</t>
  </si>
  <si>
    <t>SALMONBERRIES,RAW (ALASKA NATIVE)</t>
  </si>
  <si>
    <t>35155</t>
  </si>
  <si>
    <t>BLUEBERRIES,WILD,RAW (ALASKA NATIVE)</t>
  </si>
  <si>
    <t>35156</t>
  </si>
  <si>
    <t>OIL,SPOTTED SEAL (ALASKA NATIVE)</t>
  </si>
  <si>
    <t>35157</t>
  </si>
  <si>
    <t>FISH,SALMON,RED,CND,BONES REMOVED (ALASKA NATIVE)</t>
  </si>
  <si>
    <t>35158</t>
  </si>
  <si>
    <t>FISH,WHITEFISH,EGGS (ALASKA NATIVE)</t>
  </si>
  <si>
    <t>35160</t>
  </si>
  <si>
    <t>CARIBOU,RUMP MEAT,HALF DRIED (ALASKA NATIVE)</t>
  </si>
  <si>
    <t>35161</t>
  </si>
  <si>
    <t>CARIBOU,SHLDR MEAT,DRIED (ALASKA NATIVE)</t>
  </si>
  <si>
    <t>35162</t>
  </si>
  <si>
    <t>CARIBOU,HIND QUARTER MEAT,RAW (ALASKA NATIVE)</t>
  </si>
  <si>
    <t>35164</t>
  </si>
  <si>
    <t>SEAL,BEARDED (OOGRUK),MEAT,DRIED,IN OIL (ALASKA NATIVE)</t>
  </si>
  <si>
    <t>35165</t>
  </si>
  <si>
    <t>FISH,WHITEFISH,DRIED (ALASKA NATIVE)</t>
  </si>
  <si>
    <t>35166</t>
  </si>
  <si>
    <t>FISH,SALMON,RED,(SOCKEYE),CND,SMOKED (ALASKA NATIVE)</t>
  </si>
  <si>
    <t>35167</t>
  </si>
  <si>
    <t>FISH,SALMON,RED,(SOCKEYE),KIPPERED (ALASKA NATIVE)</t>
  </si>
  <si>
    <t>35168</t>
  </si>
  <si>
    <t>FISH,SALMON,KING,W/ SKN,KIPPERED,(ALASKA NATIVE)</t>
  </si>
  <si>
    <t>35169</t>
  </si>
  <si>
    <t>FISH,SHEEFISH,RAW (ALASKA NATIVE)</t>
  </si>
  <si>
    <t>35170</t>
  </si>
  <si>
    <t>SEAL,BEARDED (OOGRUK),MEAT,LO QUADRANT,RAW (ALASKA NATIVE)</t>
  </si>
  <si>
    <t>35171</t>
  </si>
  <si>
    <t>FISH,SALMON,CHUM,DRIED (ALASKA NATIVE)</t>
  </si>
  <si>
    <t>35172</t>
  </si>
  <si>
    <t>ELK,FREE RANGE,GROUND,CKD PATTIES (SHOSHONE BANNOCK)</t>
  </si>
  <si>
    <t>35173</t>
  </si>
  <si>
    <t>ELK,FREE RANGE,GROUND,RAW (SHOSHONE BANNOCK)</t>
  </si>
  <si>
    <t>35174</t>
  </si>
  <si>
    <t>BUFFALO,FREE RANGE,TOP RND STEAK,RAW (SHOSHONE BANNOCK)</t>
  </si>
  <si>
    <t>35175</t>
  </si>
  <si>
    <t>SEAL,BEARDED (OOGRUK),MEAT,PART DRIED (ALASKA NATIVE)</t>
  </si>
  <si>
    <t>35176</t>
  </si>
  <si>
    <t>BUFFALO,FREE RANGE,TOP RND STEAK,CKD (SHOSHONE BANNOCK)</t>
  </si>
  <si>
    <t>35177</t>
  </si>
  <si>
    <t>ELK,FREE RANGE,RST,EYE OF RND,RAW (SHOSHONE BANNOCK)</t>
  </si>
  <si>
    <t>35178</t>
  </si>
  <si>
    <t>ELK,FREE RANGE,RST,EYE OF RND,CKD (SHOSHONE BANNOCK)</t>
  </si>
  <si>
    <t>35179</t>
  </si>
  <si>
    <t>CHOKECHERRIES,RAW,PITTED (SHOSHONE BANNOCK)</t>
  </si>
  <si>
    <t>35180</t>
  </si>
  <si>
    <t>STEELHEAD TROUT,DRIED,FLESH (SHOSHONE BANNOCK)</t>
  </si>
  <si>
    <t>35181</t>
  </si>
  <si>
    <t>STEELHEAD TROUT,BLD,CND (ALASKA NATIVE)</t>
  </si>
  <si>
    <t>35182</t>
  </si>
  <si>
    <t>ACORN STEW (APACHE)</t>
  </si>
  <si>
    <t>35183</t>
  </si>
  <si>
    <t>CORN,DRIED,YEL (NORTHERN PLAINS INDIANS)</t>
  </si>
  <si>
    <t>35184</t>
  </si>
  <si>
    <t>SMELT,DRIED (ALASKA NATIVE)</t>
  </si>
  <si>
    <t>35185</t>
  </si>
  <si>
    <t>FRYBREAD,MADE W/ LARD (APACHE)</t>
  </si>
  <si>
    <t>35186</t>
  </si>
  <si>
    <t>CORNED BF &amp; POTATOES IN TORTILLA (APACHE)</t>
  </si>
  <si>
    <t>35187</t>
  </si>
  <si>
    <t>TENNIS BREAD,PLN (APACHE)</t>
  </si>
  <si>
    <t>35188</t>
  </si>
  <si>
    <t>FISH,HALIBUT,CKD,W/ SKN (ALASKA NATIVE)</t>
  </si>
  <si>
    <t>35190</t>
  </si>
  <si>
    <t>SALMON,RED (SOCKEYE),FILETS W/ SKN,SMOKED (ALASKA NATIVE)</t>
  </si>
  <si>
    <t>35192</t>
  </si>
  <si>
    <t>AGAVE,RAW (SOUTHWEST)</t>
  </si>
  <si>
    <t>35193</t>
  </si>
  <si>
    <t>AGAVE,CKD (SOUTHWEST)</t>
  </si>
  <si>
    <t>35194</t>
  </si>
  <si>
    <t>AGAVE,DRIED (SOUTHWEST)</t>
  </si>
  <si>
    <t>35195</t>
  </si>
  <si>
    <t>CATTAIL,NARROW LEAF SHOOTS (NORTHERN PLAINS INDIANS)</t>
  </si>
  <si>
    <t>35196</t>
  </si>
  <si>
    <t>LAMBSQUARTERS,RAW (NORTHERN PLAINS INDIANS)</t>
  </si>
  <si>
    <t>35197</t>
  </si>
  <si>
    <t>LAMBSQUARTERS,STMD (NORTHERN PLAINS INDIANS)</t>
  </si>
  <si>
    <t>35198</t>
  </si>
  <si>
    <t>PRICKLY PEARS,RAW (NORTHERN PLAINS INDIANS)</t>
  </si>
  <si>
    <t>35199</t>
  </si>
  <si>
    <t>PRICKLY PEARS,BRLD (NORTHERN PLAINS INDIANS)</t>
  </si>
  <si>
    <t>35200</t>
  </si>
  <si>
    <t>PRAIRIE TURNIPS,RAW (NORTHERN PLAINS INDIANS)</t>
  </si>
  <si>
    <t>35201</t>
  </si>
  <si>
    <t>PRAIRIE TURNIPS,BLD (NORTHERN PLAINS INDIANS)</t>
  </si>
  <si>
    <t>35202</t>
  </si>
  <si>
    <t>RASPBERRIES,WILD (NORTHERN PLAINS INDIANS)</t>
  </si>
  <si>
    <t>35203</t>
  </si>
  <si>
    <t>ROSE HIPS,WILD (NORTHERN PLAINS INDIANS)</t>
  </si>
  <si>
    <t>35204</t>
  </si>
  <si>
    <t>CHOKECHERRIES,RAW,PITTED (NORTHERN PLAINS INDIANS)</t>
  </si>
  <si>
    <t>35205</t>
  </si>
  <si>
    <t>STINGING NETTLES,BLANCHED (NORTHERN PLAINS INDIANS)</t>
  </si>
  <si>
    <t>35206</t>
  </si>
  <si>
    <t>PLUMS,WILD (NORTHERN PLAINS INDIANS)</t>
  </si>
  <si>
    <t>35207</t>
  </si>
  <si>
    <t>PINON NUTS,RSTD (NAVAJO)</t>
  </si>
  <si>
    <t>35211</t>
  </si>
  <si>
    <t>CARIBOU,HIND QUARTER,MEAT,CKD (ALASKA NATIVE)</t>
  </si>
  <si>
    <t>35225</t>
  </si>
  <si>
    <t>AGUTUK,FISH W/ SHORTENING (ALASKAN ICE CREAM) (ALASKA NATIVE</t>
  </si>
  <si>
    <t>35226</t>
  </si>
  <si>
    <t>SEA LION,STELLER,LIVER (ALASKA NATIVE)</t>
  </si>
  <si>
    <t>35227</t>
  </si>
  <si>
    <t>SEA LION,STELLER,KIDNEY (ALASKA NATIVE)</t>
  </si>
  <si>
    <t>35228</t>
  </si>
  <si>
    <t>SEA LION,STELLER,HEART (ALASKA NATIVE)</t>
  </si>
  <si>
    <t>35229</t>
  </si>
  <si>
    <t>SEA LION,STELLER,MEAT (ALASKA NATIVE)</t>
  </si>
  <si>
    <t>35230</t>
  </si>
  <si>
    <t>SEA LION,STELLER,MEAT W/ FAT (ALASKA NATIVE)</t>
  </si>
  <si>
    <t>35231</t>
  </si>
  <si>
    <t>SEA LION,STELLER,FAT (ALASKA NATIVE)</t>
  </si>
  <si>
    <t>35232</t>
  </si>
  <si>
    <t>WOCAS,DRIED SEEDS,OREGON,YEL POND LILY (KLAMATH)</t>
  </si>
  <si>
    <t>35233</t>
  </si>
  <si>
    <t>HAZELNUTS,BEAKED (NORTHERN PLAINS INDIANS)</t>
  </si>
  <si>
    <t>35234</t>
  </si>
  <si>
    <t>PIKI BREAD,MADE FROM BLUE CORNMEAL (HOPI)</t>
  </si>
  <si>
    <t>35235</t>
  </si>
  <si>
    <t>WOCAS,TUBER,CKD,OREGON,YEL POND LILY (KLAMATH)</t>
  </si>
  <si>
    <t>35236</t>
  </si>
  <si>
    <t>STEW,PINTO BEAN &amp; HOMINY,BADUFSUKI (HOPI)</t>
  </si>
  <si>
    <t>35237</t>
  </si>
  <si>
    <t>TAMALES,MASA &amp; PORK FILLING (HOPI)</t>
  </si>
  <si>
    <t>35238</t>
  </si>
  <si>
    <t>TEA,HERBAL,BREWED,HOHOYSI (HOPI)</t>
  </si>
  <si>
    <t>35239</t>
  </si>
  <si>
    <t>TORTILLA,BLUE CORN,SAKWAVIKAVIKI (HOPI)</t>
  </si>
  <si>
    <t>35240</t>
  </si>
  <si>
    <t>BREAD,BLUE CORN,SOMIVIKI (HOPI)</t>
  </si>
  <si>
    <t>36000</t>
  </si>
  <si>
    <t>APPLEBEE'S,9 OZ HOUSE SIRLOIN STEAK</t>
  </si>
  <si>
    <t>36001</t>
  </si>
  <si>
    <t>APPLEBEE'S,DOUBLE CRUNCH SHRIMP</t>
  </si>
  <si>
    <t>36002</t>
  </si>
  <si>
    <t>APPLEBEE'S,FRENCH FR</t>
  </si>
  <si>
    <t>36003</t>
  </si>
  <si>
    <t>APPLEBEE'S,KRAFT,MACARONI &amp; CHS,FROM KID'S MENU</t>
  </si>
  <si>
    <t>36004</t>
  </si>
  <si>
    <t>APPLEBEE'S,MOZZARELLA STKS</t>
  </si>
  <si>
    <t>36005</t>
  </si>
  <si>
    <t>APPLEBEE'S,CHICK TENDERS,FROM KIDS' MENU</t>
  </si>
  <si>
    <t>36006</t>
  </si>
  <si>
    <t>T.G.I. FRIDAY'S,FRIDAY'S SHRIMP,BREADED</t>
  </si>
  <si>
    <t>36007</t>
  </si>
  <si>
    <t>T.G.I. FRIDAY'S,FRENCH FR</t>
  </si>
  <si>
    <t>36008</t>
  </si>
  <si>
    <t>T.G.I. FRIDAY'S, fried mozzarella</t>
  </si>
  <si>
    <t>36009</t>
  </si>
  <si>
    <t>T.G.I. FRIDAY'S,MACARONI &amp; CHS,FROM KID'S MENU</t>
  </si>
  <si>
    <t>36010</t>
  </si>
  <si>
    <t>T.G.I. FRIDAY'S,CHICK FINGERS,FROM KIDS' MENU</t>
  </si>
  <si>
    <t>36011</t>
  </si>
  <si>
    <t>T.G.I. FRIDAY'S, classic sirloin steak (10 oz)</t>
  </si>
  <si>
    <t>36012</t>
  </si>
  <si>
    <t>RESTAURANT,FAMILY STYLE,FRIED MOZZARELLA STKS</t>
  </si>
  <si>
    <t>36013</t>
  </si>
  <si>
    <t>RESTAURANT,FAMILY STYLE,SIRLOIN STEAK</t>
  </si>
  <si>
    <t>36014</t>
  </si>
  <si>
    <t>RESTAURANT,FAMILY STYLE,FRENCH FR</t>
  </si>
  <si>
    <t>36015</t>
  </si>
  <si>
    <t>RESTAURANT,FAMILY STYLE,CHICK FINGERS,FROM KID'S MENU</t>
  </si>
  <si>
    <t>36016</t>
  </si>
  <si>
    <t>RESTAURANT,FAMILY STYLE,SHRIMP,BREADED &amp; FRIED</t>
  </si>
  <si>
    <t>36017</t>
  </si>
  <si>
    <t>RESTAURANT,FAMILY STYLE,MACARONI &amp; CHS,FROM KIDS' MENU</t>
  </si>
  <si>
    <t>36018</t>
  </si>
  <si>
    <t>APPLEBEE'S,FISH,HAND BATTERED</t>
  </si>
  <si>
    <t>36019</t>
  </si>
  <si>
    <t>APPLEBEE'S,CHILI</t>
  </si>
  <si>
    <t>36020</t>
  </si>
  <si>
    <t>T.G.I. FRIDAY'S,CHICK FINGERS</t>
  </si>
  <si>
    <t>36021</t>
  </si>
  <si>
    <t>APPLEBEE'S,COLESLAW</t>
  </si>
  <si>
    <t>36022</t>
  </si>
  <si>
    <t>APPLEBEE'S,CRUNCHY ONION RINGS</t>
  </si>
  <si>
    <t>36023</t>
  </si>
  <si>
    <t>APPLEBEE'S,CHICK TENDERS PLATTER</t>
  </si>
  <si>
    <t>36024</t>
  </si>
  <si>
    <t>CRACKER BARREL,CHICK TENDERLOIN PLATTER,FRIED</t>
  </si>
  <si>
    <t>36025</t>
  </si>
  <si>
    <t>CRACKER BARREL,COLESLAW</t>
  </si>
  <si>
    <t>36026</t>
  </si>
  <si>
    <t>CRACKER BARREL,ONION RINGS,THICK-CUT</t>
  </si>
  <si>
    <t>36027</t>
  </si>
  <si>
    <t>DENNY'S,CHICK STRIPS</t>
  </si>
  <si>
    <t>36028</t>
  </si>
  <si>
    <t>DENNY'S,COLESLAW</t>
  </si>
  <si>
    <t>36029</t>
  </si>
  <si>
    <t>DENNY'S,FISH FILLET,BATTERED OR BREADED,FRIED</t>
  </si>
  <si>
    <t>36030</t>
  </si>
  <si>
    <t>DENNY'S,HASH BROWNS</t>
  </si>
  <si>
    <t>36031</t>
  </si>
  <si>
    <t>DENNY'S,ONION RINGS</t>
  </si>
  <si>
    <t>36032</t>
  </si>
  <si>
    <t>DENNY'S,SPAGHETTI &amp; MEATBALLS</t>
  </si>
  <si>
    <t>36033</t>
  </si>
  <si>
    <t>RESTAURANT,FAMILY STYLE,FISH FILLET,BATTERED OR BREAD,FRIED</t>
  </si>
  <si>
    <t>36034</t>
  </si>
  <si>
    <t>RESTAURANT,FAMILY STYLE,CHICK TENDERS</t>
  </si>
  <si>
    <t>36035</t>
  </si>
  <si>
    <t>RESTAURANT,FAMILY STYLE,COLESLAW</t>
  </si>
  <si>
    <t>36036</t>
  </si>
  <si>
    <t>RESTAURANT,FAMILY STYLE,ONION RINGS</t>
  </si>
  <si>
    <t>36037</t>
  </si>
  <si>
    <t>RESTAURANT,FAMILY STYLE,CHILI W/ MEAT &amp; BNS</t>
  </si>
  <si>
    <t>36038</t>
  </si>
  <si>
    <t>RESTAURANT,FAMILY STYLE,SPAGHETTI &amp; MEATBALLS</t>
  </si>
  <si>
    <t>36039</t>
  </si>
  <si>
    <t>RESTAURANT,FAMILY STYLE,HASH BROWNS</t>
  </si>
  <si>
    <t>36040</t>
  </si>
  <si>
    <t>CRACKER BARREL,MACARONI N' CHS</t>
  </si>
  <si>
    <t>36041</t>
  </si>
  <si>
    <t>RESTAURANT,ITALIAN,LASAGNA W/ MEAT</t>
  </si>
  <si>
    <t>36042</t>
  </si>
  <si>
    <t>OLIVE GARDEN,LASAGNA CLASSICO</t>
  </si>
  <si>
    <t>36043</t>
  </si>
  <si>
    <t>CARRABBA'S ITALIAN GRILL,LASAGNE</t>
  </si>
  <si>
    <t>36044</t>
  </si>
  <si>
    <t>ON THE BORDER,MEXICAN RICE</t>
  </si>
  <si>
    <t>36045</t>
  </si>
  <si>
    <t>ON THE BORDER,REFRIED BNS</t>
  </si>
  <si>
    <t>36046</t>
  </si>
  <si>
    <t>RESTAURANT,ITALIAN,SPAGHETTI W/ POMODORO SAU (NO MEAT)</t>
  </si>
  <si>
    <t>36047</t>
  </si>
  <si>
    <t>OLIVE GARDEN,SPAGHETTI W/ POMODORO SAU</t>
  </si>
  <si>
    <t>36048</t>
  </si>
  <si>
    <t>CARRABBA'S ITALIAN GRILL,SPAGHETTI W/ POMODORO SAU</t>
  </si>
  <si>
    <t>36049</t>
  </si>
  <si>
    <t>ON THE BORDER,CHS ENCHILADA</t>
  </si>
  <si>
    <t>36050</t>
  </si>
  <si>
    <t>RESTAURANT,MEXICAN,CHS ENCHILADA</t>
  </si>
  <si>
    <t>36051</t>
  </si>
  <si>
    <t>ON THE BORDER,CHS QUESADILLA</t>
  </si>
  <si>
    <t>36052</t>
  </si>
  <si>
    <t>RESTAURANT,MEXICAN,CHS QUESADILLA</t>
  </si>
  <si>
    <t>36053</t>
  </si>
  <si>
    <t>CARRABBA'S ITALIAN GRILL,CHS RAVIOLI W/ MARINARA SAU</t>
  </si>
  <si>
    <t>36054</t>
  </si>
  <si>
    <t>OLIVE GARDEN,CHS RAVIOLI W/ MARINARA SAU</t>
  </si>
  <si>
    <t>36055</t>
  </si>
  <si>
    <t>RESTAURANT,ITALIAN,CHS RAVIOLI W/ MARINARA SAU</t>
  </si>
  <si>
    <t>36056</t>
  </si>
  <si>
    <t>RESTAURANT,MEXICAN,CHS TAMALES</t>
  </si>
  <si>
    <t>36057</t>
  </si>
  <si>
    <t>CARRABBA'S ITALIAN GRILL,CHICK PARMESAN WO/ CAVATAPPI PASTA</t>
  </si>
  <si>
    <t>36058</t>
  </si>
  <si>
    <t>OLIVE GARDEN,CHICK PARMIGIANA WO/ PASTA</t>
  </si>
  <si>
    <t>36059</t>
  </si>
  <si>
    <t>RESTAURANT,ITALIAN,CHICK PARMESAN WO/ PASTA</t>
  </si>
  <si>
    <t>36060</t>
  </si>
  <si>
    <t>ON THE BORDER,SOFT TACO W/ GROUND BF,CHS &amp; LETTUCE</t>
  </si>
  <si>
    <t>36061</t>
  </si>
  <si>
    <t>RESTAURANT,MEXICAN,SOFT TACO W/ GROUND BF,CHS &amp; LETTUCE</t>
  </si>
  <si>
    <t>36401</t>
  </si>
  <si>
    <t>RESTAURANT,LATINO,CHICK &amp; RICE,ENTREE,PREP</t>
  </si>
  <si>
    <t>36403</t>
  </si>
  <si>
    <t>RESTAURANT,LATINO,EMPANADAS,BF,PREP</t>
  </si>
  <si>
    <t>36404</t>
  </si>
  <si>
    <t>RESTAURANT,LATINO,ARROZ CON LECHE (RICE PUDDING)</t>
  </si>
  <si>
    <t>36405</t>
  </si>
  <si>
    <t>RESTAURANT,LATINO,ARROZ CON FRIJOLES NEGROS (RICE&amp;BLACK BNS)</t>
  </si>
  <si>
    <t>36406</t>
  </si>
  <si>
    <t>REST,LATINO,ARROZ CON ABICHUELAS COLORADOS (RICE&amp;RED BNS)</t>
  </si>
  <si>
    <t>36407</t>
  </si>
  <si>
    <t>RESTAURANT,LATINO,ARROZ CON GRANDULES (RICE &amp; PIGEONPEAS)</t>
  </si>
  <si>
    <t>36408</t>
  </si>
  <si>
    <t>RESTAURANT,LATINO,PUPUSAS CON FRIJOLES (PUPUSAS,BEAN)</t>
  </si>
  <si>
    <t>36409</t>
  </si>
  <si>
    <t>RESTAURANT,LATINO,PUPUSAS CON QUESO (PUPUSAS,CHEESE)</t>
  </si>
  <si>
    <t>36410</t>
  </si>
  <si>
    <t>RESTAURANT,LATINO,PUPUSAS DEL CERDO (PUPUSAS,PORK)</t>
  </si>
  <si>
    <t>36411</t>
  </si>
  <si>
    <t>RESTAURANT,LATINO,TAMALE,CORN</t>
  </si>
  <si>
    <t>36412</t>
  </si>
  <si>
    <t>RESTAURANT,LATINO,TAMALE,PORK</t>
  </si>
  <si>
    <t>36413</t>
  </si>
  <si>
    <t>RESTAURANT,LATINO,BLACK BEAN SOUP</t>
  </si>
  <si>
    <t>36414</t>
  </si>
  <si>
    <t>RESTAURANT,LATINO,TRIPE SOUP</t>
  </si>
  <si>
    <t>36415</t>
  </si>
  <si>
    <t>RESTAURANT,LATINO,AREPA (UNLEAVENED CORNMEAL BREAD)</t>
  </si>
  <si>
    <t>36416</t>
  </si>
  <si>
    <t>RESTAURANT,LATINO,BUNUELOS (FRIED YEAST BREAD)</t>
  </si>
  <si>
    <t>36417</t>
  </si>
  <si>
    <t>RESTAURANT,MEXICAN,SPANISH RICE</t>
  </si>
  <si>
    <t>36418</t>
  </si>
  <si>
    <t>RESTAURANT,MEXICAN,REFRIED BNS</t>
  </si>
  <si>
    <t>36601</t>
  </si>
  <si>
    <t>RESTAURANT,CHINESE,EGG ROLLS,ASSORTED</t>
  </si>
  <si>
    <t>36602</t>
  </si>
  <si>
    <t>RESTAURANT,CHINESE,FRIED RICE,WO/ MEAT</t>
  </si>
  <si>
    <t>36603</t>
  </si>
  <si>
    <t>RESTAURANT,CHINESE,BF &amp; VEG</t>
  </si>
  <si>
    <t>36604</t>
  </si>
  <si>
    <t>CRACKER BARREL,CHICK TENDERLOIN PLATTER,FRIED,FRM KID'S MENU</t>
  </si>
  <si>
    <t>36605</t>
  </si>
  <si>
    <t>CRACKER BARREL,COUNTRY FRIED SHRIMP PLATTER</t>
  </si>
  <si>
    <t>36606</t>
  </si>
  <si>
    <t>CRACKER BARREL,FARM RAISED CATFISH PLATTER</t>
  </si>
  <si>
    <t>36607</t>
  </si>
  <si>
    <t>CRACKER BARREL,STEAK FRIES</t>
  </si>
  <si>
    <t>36608</t>
  </si>
  <si>
    <t>CRACKER BARREL,GRILLED SIRLOIN STEAK</t>
  </si>
  <si>
    <t>36609</t>
  </si>
  <si>
    <t>CRACKER BARREL,MACARONI N' CHS PLATE,FROM KID'S MENU</t>
  </si>
  <si>
    <t>36610</t>
  </si>
  <si>
    <t>DENNY'S,FRENCH FR</t>
  </si>
  <si>
    <t>36611</t>
  </si>
  <si>
    <t>DENNY'S,MOZZARELLA CHS STKS</t>
  </si>
  <si>
    <t>36612</t>
  </si>
  <si>
    <t>DENNY'S,GOLDEN FRIED SHRIMP</t>
  </si>
  <si>
    <t>36613</t>
  </si>
  <si>
    <t>DENNY'S,MACARONI &amp; CHS,FROM KID'S MENU</t>
  </si>
  <si>
    <t>36614</t>
  </si>
  <si>
    <t>DENNY'S,CHICK NUGGETS,STAR SHAPED,FROM KID'S MENU</t>
  </si>
  <si>
    <t>36615</t>
  </si>
  <si>
    <t>DENNY'S,TOP SIRLOIN STEAK</t>
  </si>
  <si>
    <t>36617</t>
  </si>
  <si>
    <t>RESTAURANT,CHINESE,LEMON CHICK</t>
  </si>
  <si>
    <t>36618</t>
  </si>
  <si>
    <t>RESTAURANT,CHINESE,GENERAL TSO'S CHICK</t>
  </si>
  <si>
    <t>36619</t>
  </si>
  <si>
    <t>RESTAURANT,CHINESE,KUNG PAO CHICK</t>
  </si>
  <si>
    <t>36620</t>
  </si>
  <si>
    <t>RESTAURANT,CHINESE,SHRIMP &amp; VEG</t>
  </si>
  <si>
    <t>36621</t>
  </si>
  <si>
    <t>RESTAURANT,CHINESE,SWT &amp; SOUR CHICK</t>
  </si>
  <si>
    <t>36622</t>
  </si>
  <si>
    <t>RESTAURANT,CHINESE,SWT &amp; SOUR PORK</t>
  </si>
  <si>
    <t>36623</t>
  </si>
  <si>
    <t>RESTAURANT,CHINESE,CHICK CHOW MEIN</t>
  </si>
  <si>
    <t>36624</t>
  </si>
  <si>
    <t>RESTAURANT,CHINESE,VEG CHOW MEIN,WO/ MEAT OR NOODLES</t>
  </si>
  <si>
    <t>36625</t>
  </si>
  <si>
    <t>RESTAURANT,CHINESE,VEG LO MEIN,WO/ MEAT</t>
  </si>
  <si>
    <t>36626</t>
  </si>
  <si>
    <t>RESTAURANT,CHINESE,CHICK &amp; VEG</t>
  </si>
  <si>
    <t>36629</t>
  </si>
  <si>
    <t>RESTAURANT,CHINESE,ORANGE CHICK</t>
  </si>
  <si>
    <t>36630</t>
  </si>
  <si>
    <t>RESTAURANT,ITALIAN,SPAGHETTI W/ MEAT SAU</t>
  </si>
  <si>
    <t>36631</t>
  </si>
  <si>
    <t>OLIVE GARDEN,SPAGHETTI W/ MEAT SAU</t>
  </si>
  <si>
    <t>36632</t>
  </si>
  <si>
    <t>CARRABBA'S ITALIAN GRILL,SPAGHETTI W/ MEAT SAU</t>
  </si>
  <si>
    <t>36633</t>
  </si>
  <si>
    <t>RESTAURANT,CHINESE,SESAME CHICK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</si>
</sst>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等线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等线"/>
      <family val="2"/>
      <scheme val="minor"/>
    </font>
    <font>
      <sz val="11"/>
      <color theme="1"/>
      <name val="Calibri"/>
      <family val="2"/>
    </font>
    <font>
      <sz val="9"/>
      <name val="等线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等线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rgb="FFC0C0C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DADAD"/>
        <bgColor rgb="FFC0C0C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/>
      <right/>
      <top/>
      <bottom style="thin">
        <color auto="1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3" fillId="0" borderId="0" xfId="0" applyFont="1"/>
    <xf numFmtId="0" fontId="1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2" fillId="0" borderId="0" xfId="0" applyFont="1" applyAlignment="1">
      <alignment horizontal="right" vertical="center"/>
    </xf>
    <xf numFmtId="0" fontId="4" fillId="0" borderId="0" xfId="0" quotePrefix="1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/>
    </xf>
    <xf numFmtId="0" fontId="6" fillId="3" borderId="0" xfId="0" applyFont="1" applyFill="1"/>
    <xf numFmtId="0" fontId="6" fillId="0" borderId="0" xfId="0" quotePrefix="1" applyFont="1"/>
    <xf numFmtId="0" fontId="6" fillId="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2" fillId="0" borderId="2" xfId="0" applyFont="1" applyBorder="1"/>
    <xf numFmtId="0" fontId="2" fillId="0" borderId="4" xfId="0" applyFont="1" applyBorder="1"/>
    <xf numFmtId="0" fontId="1" fillId="2" borderId="1" xfId="0" applyFont="1" applyFill="1" applyBorder="1" applyAlignment="1">
      <alignment horizontal="center"/>
    </xf>
    <xf numFmtId="0" fontId="6" fillId="3" borderId="0" xfId="0" applyFont="1" applyFill="1" applyAlignment="1">
      <alignment horizontal="right"/>
    </xf>
    <xf numFmtId="0" fontId="8" fillId="0" borderId="0" xfId="0" applyFont="1"/>
    <xf numFmtId="0" fontId="6" fillId="0" borderId="2" xfId="0" applyFont="1" applyBorder="1"/>
    <xf numFmtId="0" fontId="6" fillId="5" borderId="3" xfId="0" applyFont="1" applyFill="1" applyBorder="1" applyAlignment="1">
      <alignment horizontal="center"/>
    </xf>
    <xf numFmtId="0" fontId="6" fillId="6" borderId="0" xfId="0" applyFont="1" applyFill="1"/>
    <xf numFmtId="0" fontId="6" fillId="7" borderId="0" xfId="0" applyFont="1" applyFill="1"/>
    <xf numFmtId="0" fontId="6" fillId="5" borderId="0" xfId="0" applyFont="1" applyFill="1"/>
    <xf numFmtId="0" fontId="6" fillId="8" borderId="0" xfId="0" applyFont="1" applyFill="1"/>
    <xf numFmtId="0" fontId="1" fillId="9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0" fillId="10" borderId="0" xfId="0" applyFill="1"/>
    <xf numFmtId="0" fontId="0" fillId="11" borderId="0" xfId="0" applyFill="1"/>
    <xf numFmtId="0" fontId="6" fillId="6" borderId="3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75EC7-59AA-D047-9062-00DE811AC108}">
  <sheetPr codeName="Sheet2"/>
  <dimension ref="A1:HU208"/>
  <sheetViews>
    <sheetView tabSelected="1" zoomScaleNormal="100" workbookViewId="0">
      <pane ySplit="10" topLeftCell="A11" activePane="bottomLeft" state="frozen"/>
      <selection pane="bottomLeft" activeCell="AF208" sqref="AF208:HU208"/>
    </sheetView>
  </sheetViews>
  <sheetFormatPr defaultColWidth="11" defaultRowHeight="15.75" x14ac:dyDescent="0.25"/>
  <cols>
    <col min="1" max="1" width="11" style="10"/>
    <col min="2" max="2" width="7.5" style="10" bestFit="1" customWidth="1"/>
    <col min="3" max="3" width="58.5" style="10" bestFit="1" customWidth="1"/>
    <col min="4" max="4" width="10.625" style="10" customWidth="1"/>
    <col min="5" max="5" width="9.625" style="10" bestFit="1" customWidth="1"/>
    <col min="6" max="6" width="12.5" style="10" bestFit="1" customWidth="1"/>
    <col min="7" max="7" width="10.625" style="10" bestFit="1" customWidth="1"/>
    <col min="8" max="8" width="11.375" style="10" bestFit="1" customWidth="1"/>
    <col min="9" max="9" width="11.125" style="10" bestFit="1" customWidth="1"/>
    <col min="10" max="10" width="11.375" style="10" bestFit="1" customWidth="1"/>
    <col min="11" max="11" width="10" style="10" bestFit="1" customWidth="1"/>
    <col min="12" max="12" width="12.375" style="10" bestFit="1" customWidth="1"/>
    <col min="13" max="18" width="11" style="10"/>
    <col min="19" max="19" width="10.875" style="10"/>
    <col min="20" max="48" width="11" style="10"/>
    <col min="49" max="52" width="10.875" style="10"/>
    <col min="53" max="16384" width="11" style="10"/>
  </cols>
  <sheetData>
    <row r="1" spans="1:229" x14ac:dyDescent="0.25"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229" x14ac:dyDescent="0.25"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  <c r="N2" s="15" t="s">
        <v>428</v>
      </c>
      <c r="O2" s="9" t="s">
        <v>429</v>
      </c>
      <c r="P2" s="9" t="s">
        <v>2</v>
      </c>
      <c r="Q2" s="9" t="s">
        <v>3</v>
      </c>
      <c r="R2" s="9" t="s">
        <v>4</v>
      </c>
      <c r="S2" s="9" t="s">
        <v>5</v>
      </c>
      <c r="T2" s="9" t="s">
        <v>6</v>
      </c>
      <c r="U2" s="9" t="s">
        <v>7</v>
      </c>
      <c r="V2" s="9" t="s">
        <v>8</v>
      </c>
      <c r="W2" s="9" t="s">
        <v>9</v>
      </c>
      <c r="X2" s="9" t="s">
        <v>2</v>
      </c>
      <c r="Y2" s="9" t="s">
        <v>3</v>
      </c>
      <c r="Z2" s="9" t="s">
        <v>4</v>
      </c>
      <c r="AA2" s="9" t="s">
        <v>5</v>
      </c>
      <c r="AB2" s="9" t="s">
        <v>6</v>
      </c>
      <c r="AC2" s="9" t="s">
        <v>7</v>
      </c>
      <c r="AD2" s="9" t="s">
        <v>8</v>
      </c>
      <c r="AE2" s="9" t="s">
        <v>9</v>
      </c>
    </row>
    <row r="3" spans="1:229" x14ac:dyDescent="0.25">
      <c r="A3" s="10">
        <v>198</v>
      </c>
      <c r="B3" s="10" t="str" cm="1">
        <f t="array" ref="B3">INDEX($B$11:$K$208, $A$3, B1)</f>
        <v>01303</v>
      </c>
      <c r="C3" s="10" t="str" cm="1">
        <f t="array" ref="C3">INDEX($B$11:$K$208, $A$3, C1)</f>
        <v>CREAM,HALF &amp; HALF,LOWFAT</v>
      </c>
      <c r="D3" s="10" cm="1">
        <f t="array" ref="D3">INDEX($B$11:$K$208, $A$3, D1)</f>
        <v>3.2759999999999998</v>
      </c>
      <c r="E3" s="10" cm="1">
        <f t="array" ref="E3">INDEX($B$11:$K$208, $A$3, E1)</f>
        <v>3.33</v>
      </c>
      <c r="F3" s="10" cm="1">
        <f t="array" ref="F3">INDEX($B$11:$K$208, $A$3, F1)</f>
        <v>3.33</v>
      </c>
      <c r="G3" s="10" cm="1">
        <f t="array" ref="G3">INDEX($B$11:$K$208, $A$3, G1)</f>
        <v>0</v>
      </c>
      <c r="H3" s="10" cm="1">
        <f t="array" ref="H3">INDEX($B$11:$K$208, $A$3, H1)</f>
        <v>3.33</v>
      </c>
      <c r="I3" s="10" cm="1">
        <f t="array" ref="I3">INDEX($B$11:$K$208, $A$3, I1)</f>
        <v>50</v>
      </c>
      <c r="J3" s="10" cm="1">
        <f t="array" ref="J3">INDEX($B$11:$K$208, $A$3, J1)</f>
        <v>1.526</v>
      </c>
      <c r="K3" s="10" cm="1">
        <f t="array" ref="K3">INDEX($B$11:$K$208, $A$3, K1)</f>
        <v>0.25700000000000001</v>
      </c>
      <c r="M3" s="10" t="s">
        <v>422</v>
      </c>
      <c r="N3" s="24">
        <f>_xlfn.AGGREGATE(1,6,N11:N208)</f>
        <v>0.63971570512190157</v>
      </c>
      <c r="O3" s="24">
        <f t="shared" ref="O3:AE3" si="0">_xlfn.AGGREGATE(1,6,O11:O208)</f>
        <v>1.3602842948780978</v>
      </c>
      <c r="P3" s="26">
        <f t="shared" si="0"/>
        <v>0.63088335221567338</v>
      </c>
      <c r="Q3" s="26">
        <f t="shared" si="0"/>
        <v>2.1155483438473563</v>
      </c>
      <c r="R3" s="26">
        <f t="shared" si="0"/>
        <v>1.5896944326977018</v>
      </c>
      <c r="S3" s="26">
        <f t="shared" si="0"/>
        <v>0.75685788390292297</v>
      </c>
      <c r="T3" s="26">
        <f t="shared" si="0"/>
        <v>0.50875474764340967</v>
      </c>
      <c r="U3" s="26">
        <f t="shared" si="0"/>
        <v>0.61500864291153678</v>
      </c>
      <c r="V3" s="26">
        <f t="shared" si="0"/>
        <v>1.9266613555337417</v>
      </c>
      <c r="W3" s="26">
        <f t="shared" si="0"/>
        <v>4.0009603687554556</v>
      </c>
      <c r="X3" s="25">
        <f t="shared" si="0"/>
        <v>4.7815005525374508</v>
      </c>
      <c r="Y3" s="25">
        <f t="shared" si="0"/>
        <v>19.886354616944548</v>
      </c>
      <c r="Z3" s="25">
        <f t="shared" si="0"/>
        <v>6.478532491839859</v>
      </c>
      <c r="AA3" s="25">
        <f t="shared" si="0"/>
        <v>0.44339585782599833</v>
      </c>
      <c r="AB3" s="25">
        <f t="shared" si="0"/>
        <v>2.382536464039839</v>
      </c>
      <c r="AC3" s="25">
        <f t="shared" si="0"/>
        <v>192.5530230228207</v>
      </c>
      <c r="AD3" s="25">
        <f t="shared" si="0"/>
        <v>5.3985664838838936</v>
      </c>
      <c r="AE3" s="25">
        <f t="shared" si="0"/>
        <v>1.5769452066880751</v>
      </c>
    </row>
    <row r="4" spans="1:229" x14ac:dyDescent="0.25">
      <c r="C4" s="11" t="s">
        <v>406</v>
      </c>
      <c r="D4" s="12">
        <f t="shared" ref="D4:K4" si="1">SUMPRODUCT($A$11:$A$208, D11:D208)</f>
        <v>2.0701616065008857</v>
      </c>
      <c r="E4" s="12">
        <f t="shared" si="1"/>
        <v>4.5557148505347014</v>
      </c>
      <c r="F4" s="10">
        <f t="shared" si="1"/>
        <v>4.4983838785820121</v>
      </c>
      <c r="G4" s="10">
        <f t="shared" si="1"/>
        <v>0</v>
      </c>
      <c r="H4" s="12">
        <f t="shared" si="1"/>
        <v>2.1042851494652792</v>
      </c>
      <c r="I4" s="12">
        <f t="shared" si="1"/>
        <v>31.595873115094363</v>
      </c>
      <c r="J4" s="12">
        <f t="shared" si="1"/>
        <v>2.0876939525273142</v>
      </c>
      <c r="K4" s="10">
        <f t="shared" si="1"/>
        <v>0.68229333473117248</v>
      </c>
      <c r="M4" s="10" t="s">
        <v>425</v>
      </c>
      <c r="N4" s="24">
        <f>_xlfn.AGGREGATE(7,6,N11:N208)</f>
        <v>0.24120305078720694</v>
      </c>
      <c r="O4" s="24">
        <f t="shared" ref="O4:AE4" si="2">_xlfn.AGGREGATE(7,6,O11:O208)</f>
        <v>0.24120305078721066</v>
      </c>
      <c r="P4" s="26">
        <f t="shared" si="2"/>
        <v>0.23984904241888369</v>
      </c>
      <c r="Q4" s="26">
        <f t="shared" si="2"/>
        <v>3.8648827216589687</v>
      </c>
      <c r="R4" s="26">
        <f t="shared" si="2"/>
        <v>2.3729820482984523</v>
      </c>
      <c r="S4" s="26">
        <f t="shared" si="2"/>
        <v>0.93076140389610607</v>
      </c>
      <c r="T4" s="26">
        <f t="shared" si="2"/>
        <v>0.28327501768846031</v>
      </c>
      <c r="U4" s="26">
        <f t="shared" si="2"/>
        <v>0.25731283298459595</v>
      </c>
      <c r="V4" s="26">
        <f t="shared" si="2"/>
        <v>2.3396037365450946</v>
      </c>
      <c r="W4" s="26">
        <f t="shared" si="2"/>
        <v>8.4815176598424937</v>
      </c>
      <c r="X4" s="25">
        <f t="shared" si="2"/>
        <v>7.5512850696349911</v>
      </c>
      <c r="Y4" s="25">
        <f t="shared" si="2"/>
        <v>16.203491081072649</v>
      </c>
      <c r="Z4" s="25">
        <f t="shared" si="2"/>
        <v>3.6679264559108304</v>
      </c>
      <c r="AA4" s="25">
        <f t="shared" si="2"/>
        <v>0.8525985685159615</v>
      </c>
      <c r="AB4" s="25">
        <f t="shared" si="2"/>
        <v>2.5946353218820457</v>
      </c>
      <c r="AC4" s="25">
        <f t="shared" si="2"/>
        <v>214.07370162377973</v>
      </c>
      <c r="AD4" s="25">
        <f t="shared" si="2"/>
        <v>5.4772251499340729</v>
      </c>
      <c r="AE4" s="25">
        <f t="shared" si="2"/>
        <v>1.6046528630414736</v>
      </c>
    </row>
    <row r="5" spans="1:229" x14ac:dyDescent="0.25">
      <c r="A5" s="10">
        <f>A7-A6</f>
        <v>0.73616507539622611</v>
      </c>
      <c r="B5" s="13" t="s">
        <v>407</v>
      </c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  <c r="M5" s="10" t="s">
        <v>423</v>
      </c>
      <c r="N5" s="24">
        <f>_xlfn.AGGREGATE(5,6,N11:N208)</f>
        <v>9.7218090918276587E-2</v>
      </c>
      <c r="O5" s="24">
        <f t="shared" ref="O5:AE5" si="3">_xlfn.AGGREGATE(5,6,O11:O208)</f>
        <v>0.99999999999745115</v>
      </c>
      <c r="P5" s="26">
        <f t="shared" si="3"/>
        <v>9.7218090918277628E-2</v>
      </c>
      <c r="Q5" s="26">
        <f t="shared" si="3"/>
        <v>0.99999999999774014</v>
      </c>
      <c r="R5" s="26">
        <f t="shared" si="3"/>
        <v>7.1033013522083646E-2</v>
      </c>
      <c r="S5" s="26">
        <f t="shared" si="3"/>
        <v>0</v>
      </c>
      <c r="T5" s="26">
        <f t="shared" si="3"/>
        <v>0</v>
      </c>
      <c r="U5" s="26">
        <f t="shared" si="3"/>
        <v>4.2955751487712829E-2</v>
      </c>
      <c r="V5" s="26">
        <f t="shared" si="3"/>
        <v>0.99999999999593758</v>
      </c>
      <c r="W5" s="26">
        <f t="shared" si="3"/>
        <v>0.2353213520682971</v>
      </c>
      <c r="X5" s="25">
        <f t="shared" si="3"/>
        <v>-4.4368420049198519E-13</v>
      </c>
      <c r="Y5" s="25">
        <f t="shared" si="3"/>
        <v>0.28000000000000003</v>
      </c>
      <c r="Z5" s="25">
        <f t="shared" si="3"/>
        <v>0</v>
      </c>
      <c r="AA5" s="25">
        <f t="shared" si="3"/>
        <v>-8.4549040297618513E-14</v>
      </c>
      <c r="AB5" s="25">
        <f t="shared" si="3"/>
        <v>-4.4621586855825974E-18</v>
      </c>
      <c r="AC5" s="25">
        <f t="shared" si="3"/>
        <v>2</v>
      </c>
      <c r="AD5" s="25">
        <f t="shared" si="3"/>
        <v>-1.780214384690064E-13</v>
      </c>
      <c r="AE5" s="25">
        <f t="shared" si="3"/>
        <v>-2.4649122249554732E-14</v>
      </c>
    </row>
    <row r="6" spans="1:229" x14ac:dyDescent="0.25">
      <c r="A6" s="10">
        <v>0.63191746230188706</v>
      </c>
      <c r="B6" s="13" t="s">
        <v>413</v>
      </c>
      <c r="C6" s="11" t="s">
        <v>414</v>
      </c>
      <c r="D6" s="19">
        <f>A6*D3</f>
        <v>2.070161606500982</v>
      </c>
      <c r="E6" s="12">
        <f>A7*E3</f>
        <v>4.5557148505347174</v>
      </c>
      <c r="F6" s="10">
        <f>A6*F3</f>
        <v>2.1042851494652841</v>
      </c>
      <c r="G6" s="10">
        <f>A7*G3</f>
        <v>0</v>
      </c>
      <c r="H6" s="12">
        <f>A6*H3</f>
        <v>2.1042851494652841</v>
      </c>
      <c r="I6" s="12">
        <f>A6*I3</f>
        <v>31.595873115094353</v>
      </c>
      <c r="J6" s="12">
        <f>A7*J3</f>
        <v>2.0876939525273208</v>
      </c>
      <c r="K6" s="10">
        <f>A7*K3</f>
        <v>0.35159721218841511</v>
      </c>
      <c r="M6" s="10" t="s">
        <v>424</v>
      </c>
      <c r="N6" s="24">
        <f>_xlfn.AGGREGATE(4,6,N11:N208)</f>
        <v>1.0000000000025486</v>
      </c>
      <c r="O6" s="24">
        <f t="shared" ref="O6:AE6" si="4">_xlfn.AGGREGATE(4,6,O11:O208)</f>
        <v>1.9027819090817237</v>
      </c>
      <c r="P6" s="26">
        <f t="shared" si="4"/>
        <v>1.0000000000006906</v>
      </c>
      <c r="Q6" s="26">
        <f t="shared" si="4"/>
        <v>48.975924938478499</v>
      </c>
      <c r="R6" s="26">
        <f t="shared" si="4"/>
        <v>15.800832610479324</v>
      </c>
      <c r="S6" s="26">
        <f t="shared" si="4"/>
        <v>3.7683685297531655</v>
      </c>
      <c r="T6" s="26">
        <f t="shared" si="4"/>
        <v>1.0000000000025839</v>
      </c>
      <c r="U6" s="26">
        <f t="shared" si="4"/>
        <v>1.0000000000025491</v>
      </c>
      <c r="V6" s="26">
        <f t="shared" si="4"/>
        <v>18.633260746825364</v>
      </c>
      <c r="W6" s="26">
        <f t="shared" si="4"/>
        <v>113.16122894707212</v>
      </c>
      <c r="X6" s="25">
        <f t="shared" si="4"/>
        <v>61.923999999999999</v>
      </c>
      <c r="Y6" s="25">
        <f t="shared" si="4"/>
        <v>84.080000000000013</v>
      </c>
      <c r="Z6" s="25">
        <f t="shared" si="4"/>
        <v>21.999999999999837</v>
      </c>
      <c r="AA6" s="25">
        <f t="shared" si="4"/>
        <v>7.0999999999999721</v>
      </c>
      <c r="AB6" s="25">
        <f t="shared" si="4"/>
        <v>11.269999999951605</v>
      </c>
      <c r="AC6" s="25">
        <f t="shared" si="4"/>
        <v>1299.0000000000002</v>
      </c>
      <c r="AD6" s="25">
        <f t="shared" si="4"/>
        <v>28.731999999999999</v>
      </c>
      <c r="AE6" s="25">
        <f t="shared" si="4"/>
        <v>8.313999999999945</v>
      </c>
    </row>
    <row r="7" spans="1:229" x14ac:dyDescent="0.25">
      <c r="A7" s="10">
        <v>1.3680825376981132</v>
      </c>
      <c r="B7" s="13" t="s">
        <v>415</v>
      </c>
      <c r="C7" s="11" t="s">
        <v>416</v>
      </c>
      <c r="D7" s="10">
        <f>D4/D3</f>
        <v>0.63191746230185764</v>
      </c>
      <c r="E7" s="10">
        <f>E4/E3</f>
        <v>1.3680825376981085</v>
      </c>
      <c r="F7" s="10">
        <f t="shared" ref="F7:J7" si="5">F4/F3</f>
        <v>1.3508660296042079</v>
      </c>
      <c r="G7" s="10" t="e">
        <f>G4/G3</f>
        <v>#DIV/0!</v>
      </c>
      <c r="H7" s="10">
        <f t="shared" si="5"/>
        <v>0.63191746230188561</v>
      </c>
      <c r="I7" s="10">
        <f t="shared" si="5"/>
        <v>0.63191746230188728</v>
      </c>
      <c r="J7" s="10">
        <f t="shared" si="5"/>
        <v>1.3680825376981089</v>
      </c>
      <c r="K7" s="10">
        <f>K4/K3</f>
        <v>2.6548378783314104</v>
      </c>
      <c r="M7" s="10" t="s">
        <v>426</v>
      </c>
      <c r="N7" s="24">
        <f>_xlfn.AGGREGATE(12,6,N11:N208)</f>
        <v>0.58631584792217595</v>
      </c>
      <c r="O7" s="24">
        <f t="shared" ref="O7:AE7" si="6">_xlfn.AGGREGATE(12,6,O11:O208)</f>
        <v>1.4136841520778241</v>
      </c>
      <c r="P7" s="26">
        <f t="shared" si="6"/>
        <v>0.5835004488368476</v>
      </c>
      <c r="Q7" s="26">
        <f t="shared" si="6"/>
        <v>1.4961334484978619</v>
      </c>
      <c r="R7" s="26">
        <f t="shared" si="6"/>
        <v>0.97853718470042039</v>
      </c>
      <c r="S7" s="26">
        <f t="shared" si="6"/>
        <v>0.37113366806332498</v>
      </c>
      <c r="T7" s="26">
        <f t="shared" si="6"/>
        <v>0.49409464072336617</v>
      </c>
      <c r="U7" s="26">
        <f t="shared" si="6"/>
        <v>0.5782772168683733</v>
      </c>
      <c r="V7" s="26">
        <f t="shared" si="6"/>
        <v>1.4409407764846778</v>
      </c>
      <c r="W7" s="26">
        <f t="shared" si="6"/>
        <v>2.8269559707221488</v>
      </c>
      <c r="X7" s="25">
        <f t="shared" si="6"/>
        <v>2.3252588341325868</v>
      </c>
      <c r="Y7" s="25">
        <f t="shared" si="6"/>
        <v>12.953644403128369</v>
      </c>
      <c r="Z7" s="25">
        <f t="shared" si="6"/>
        <v>5.3009791710977563</v>
      </c>
      <c r="AA7" s="25">
        <f t="shared" si="6"/>
        <v>0.12869339462116022</v>
      </c>
      <c r="AB7" s="25">
        <f t="shared" si="6"/>
        <v>1.4257002102980927</v>
      </c>
      <c r="AC7" s="25">
        <f t="shared" si="6"/>
        <v>85.017257482491104</v>
      </c>
      <c r="AD7" s="25">
        <f t="shared" si="6"/>
        <v>3.3903884826634805</v>
      </c>
      <c r="AE7" s="25">
        <f t="shared" si="6"/>
        <v>1.0097467805495077</v>
      </c>
    </row>
    <row r="8" spans="1:229" x14ac:dyDescent="0.25">
      <c r="A8" s="10">
        <f>A6+A7</f>
        <v>2</v>
      </c>
      <c r="B8" s="13" t="s">
        <v>417</v>
      </c>
    </row>
    <row r="9" spans="1:229" x14ac:dyDescent="0.25">
      <c r="A9" s="10">
        <f>SUM(A11:A208)</f>
        <v>1.0000000000000004</v>
      </c>
      <c r="B9" s="13" t="s">
        <v>418</v>
      </c>
      <c r="D9" s="34" t="s">
        <v>430</v>
      </c>
      <c r="E9" s="34"/>
      <c r="F9" s="34"/>
      <c r="G9" s="34"/>
      <c r="H9" s="34"/>
      <c r="I9" s="34"/>
      <c r="J9" s="34"/>
      <c r="K9" s="34"/>
      <c r="N9" s="24"/>
      <c r="O9" s="24"/>
      <c r="P9" s="23"/>
      <c r="Q9" s="32" t="s">
        <v>431</v>
      </c>
      <c r="R9" s="32"/>
      <c r="S9" s="32"/>
      <c r="T9" s="32"/>
      <c r="U9" s="32"/>
      <c r="V9" s="32"/>
      <c r="W9" s="32"/>
      <c r="X9" s="22"/>
      <c r="Y9" s="33" t="s">
        <v>432</v>
      </c>
      <c r="Z9" s="33"/>
      <c r="AA9" s="33"/>
      <c r="AB9" s="33"/>
      <c r="AC9" s="33"/>
      <c r="AD9" s="33"/>
      <c r="AE9" s="33"/>
    </row>
    <row r="10" spans="1:229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  <c r="M10" s="1" t="s">
        <v>0</v>
      </c>
      <c r="N10" s="15"/>
      <c r="O10" s="9"/>
      <c r="P10" s="18"/>
      <c r="Q10" s="1"/>
      <c r="R10" s="1"/>
      <c r="S10" s="1"/>
      <c r="T10" s="1"/>
      <c r="U10" s="1"/>
      <c r="V10" s="1"/>
      <c r="W10" s="1"/>
      <c r="X10" s="18"/>
      <c r="Y10" s="1"/>
      <c r="Z10" s="1"/>
      <c r="AA10" s="1"/>
      <c r="AB10" s="1"/>
      <c r="AC10" s="1"/>
      <c r="AD10" s="1"/>
      <c r="AE10" s="1"/>
    </row>
    <row r="11" spans="1:229" x14ac:dyDescent="0.25">
      <c r="A11" s="10">
        <v>0</v>
      </c>
      <c r="B11" s="2" t="s">
        <v>10</v>
      </c>
      <c r="C11" s="2" t="s">
        <v>11</v>
      </c>
      <c r="D11" s="16">
        <v>51.368000000000002</v>
      </c>
      <c r="E11" s="3">
        <v>0.85</v>
      </c>
      <c r="F11" s="3">
        <v>0.06</v>
      </c>
      <c r="G11" s="3">
        <v>0</v>
      </c>
      <c r="H11" s="3">
        <v>0.06</v>
      </c>
      <c r="I11" s="3">
        <v>643</v>
      </c>
      <c r="J11" s="3">
        <v>21.021000000000001</v>
      </c>
      <c r="K11" s="3">
        <v>3.0430000000000001</v>
      </c>
      <c r="L11" s="3"/>
      <c r="M11" s="2" t="str">
        <f>B11</f>
        <v>01001</v>
      </c>
      <c r="N11" s="3">
        <v>0.83864498215203109</v>
      </c>
      <c r="O11" s="3">
        <v>1.1613550178479677</v>
      </c>
      <c r="P11" s="16">
        <v>0.83864498215195071</v>
      </c>
      <c r="Q11" s="3">
        <v>22.119019569840493</v>
      </c>
      <c r="R11" s="3">
        <v>15.340842413095048</v>
      </c>
      <c r="S11" s="3" t="e">
        <v>#DIV/0!</v>
      </c>
      <c r="T11" s="3">
        <v>0</v>
      </c>
      <c r="U11" s="3">
        <v>0.3315119499281165</v>
      </c>
      <c r="V11" s="3">
        <v>1.1613550178479628</v>
      </c>
      <c r="W11" s="3">
        <v>1.4705343369577137</v>
      </c>
      <c r="X11" s="3">
        <v>43.079515443181407</v>
      </c>
      <c r="Y11" s="3">
        <v>18.801166634364417</v>
      </c>
      <c r="Z11" s="3">
        <v>0.92045054478570287</v>
      </c>
      <c r="AA11" s="3">
        <v>0</v>
      </c>
      <c r="AB11" s="3">
        <v>0</v>
      </c>
      <c r="AC11" s="3">
        <v>213.1621838037789</v>
      </c>
      <c r="AD11" s="3">
        <v>24.412843830182027</v>
      </c>
      <c r="AE11" s="3">
        <v>4.4748359873623231</v>
      </c>
      <c r="AF11" s="3">
        <v>0</v>
      </c>
      <c r="AG11" s="3">
        <v>0</v>
      </c>
      <c r="AH11" s="3">
        <v>0.61325607361945189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10">
        <v>0</v>
      </c>
      <c r="BB11" s="10">
        <v>0</v>
      </c>
      <c r="BC11" s="10">
        <v>0</v>
      </c>
      <c r="BD11" s="10">
        <v>0</v>
      </c>
      <c r="BE11" s="10">
        <v>0</v>
      </c>
      <c r="BF11" s="10">
        <v>0</v>
      </c>
      <c r="BG11" s="10">
        <v>0</v>
      </c>
      <c r="BH11" s="10">
        <v>0</v>
      </c>
      <c r="BI11" s="10">
        <v>0</v>
      </c>
      <c r="BJ11" s="10">
        <v>0</v>
      </c>
      <c r="BK11" s="10">
        <v>0</v>
      </c>
      <c r="BL11" s="10">
        <v>0</v>
      </c>
      <c r="BM11" s="10">
        <v>0</v>
      </c>
      <c r="BN11" s="10">
        <v>0</v>
      </c>
      <c r="BO11" s="10">
        <v>0</v>
      </c>
      <c r="BP11" s="10">
        <v>0</v>
      </c>
      <c r="BQ11" s="10">
        <v>0</v>
      </c>
      <c r="BR11" s="10">
        <v>0</v>
      </c>
      <c r="BS11" s="10">
        <v>0</v>
      </c>
      <c r="BT11" s="10">
        <v>0</v>
      </c>
      <c r="BU11" s="10">
        <v>0</v>
      </c>
      <c r="BV11" s="10">
        <v>0</v>
      </c>
      <c r="BW11" s="10">
        <v>0</v>
      </c>
      <c r="BX11" s="10">
        <v>0</v>
      </c>
      <c r="BY11" s="10">
        <v>0</v>
      </c>
      <c r="BZ11" s="10">
        <v>0</v>
      </c>
      <c r="CA11" s="10">
        <v>0</v>
      </c>
      <c r="CB11" s="10">
        <v>0</v>
      </c>
      <c r="CC11" s="10">
        <v>0</v>
      </c>
      <c r="CD11" s="10">
        <v>0</v>
      </c>
      <c r="CE11" s="10">
        <v>0</v>
      </c>
      <c r="CF11" s="10">
        <v>0</v>
      </c>
      <c r="CG11" s="10">
        <v>0</v>
      </c>
      <c r="CH11" s="10">
        <v>0</v>
      </c>
      <c r="CI11" s="10">
        <v>0</v>
      </c>
      <c r="CJ11" s="10">
        <v>0</v>
      </c>
      <c r="CK11" s="10">
        <v>0</v>
      </c>
      <c r="CL11" s="10">
        <v>0</v>
      </c>
      <c r="CM11" s="10">
        <v>0</v>
      </c>
      <c r="CN11" s="10">
        <v>0</v>
      </c>
      <c r="CO11" s="10">
        <v>0</v>
      </c>
      <c r="CP11" s="10">
        <v>0</v>
      </c>
      <c r="CQ11" s="10">
        <v>0</v>
      </c>
      <c r="CR11" s="10">
        <v>0</v>
      </c>
      <c r="CS11" s="10">
        <v>0</v>
      </c>
      <c r="CT11" s="10">
        <v>0</v>
      </c>
      <c r="CU11" s="10">
        <v>0</v>
      </c>
      <c r="CV11" s="10">
        <v>0</v>
      </c>
      <c r="CW11" s="10">
        <v>0</v>
      </c>
      <c r="CX11" s="10">
        <v>0</v>
      </c>
      <c r="CY11" s="10">
        <v>0</v>
      </c>
      <c r="CZ11" s="10">
        <v>0</v>
      </c>
      <c r="DA11" s="10">
        <v>0</v>
      </c>
      <c r="DB11" s="10">
        <v>0</v>
      </c>
      <c r="DC11" s="10">
        <v>0</v>
      </c>
      <c r="DD11" s="10">
        <v>0</v>
      </c>
      <c r="DE11" s="10">
        <v>0</v>
      </c>
      <c r="DF11" s="10">
        <v>0</v>
      </c>
      <c r="DG11" s="10">
        <v>0</v>
      </c>
      <c r="DH11" s="10">
        <v>0</v>
      </c>
      <c r="DI11" s="10">
        <v>0</v>
      </c>
      <c r="DJ11" s="10">
        <v>0</v>
      </c>
      <c r="DK11" s="10">
        <v>0</v>
      </c>
      <c r="DL11" s="10">
        <v>0</v>
      </c>
      <c r="DM11" s="10">
        <v>0</v>
      </c>
      <c r="DN11" s="10">
        <v>0</v>
      </c>
      <c r="DO11" s="10">
        <v>0</v>
      </c>
      <c r="DP11" s="10">
        <v>0</v>
      </c>
      <c r="DQ11" s="10">
        <v>0</v>
      </c>
      <c r="DR11" s="10">
        <v>0</v>
      </c>
      <c r="DS11" s="10">
        <v>0</v>
      </c>
      <c r="DT11" s="10">
        <v>0</v>
      </c>
      <c r="DU11" s="10">
        <v>0</v>
      </c>
      <c r="DV11" s="10">
        <v>0</v>
      </c>
      <c r="DW11" s="10">
        <v>0</v>
      </c>
      <c r="DX11" s="10">
        <v>0</v>
      </c>
      <c r="DY11" s="10">
        <v>0.38674392638054744</v>
      </c>
      <c r="DZ11" s="10">
        <v>0</v>
      </c>
      <c r="EA11" s="10">
        <v>0</v>
      </c>
      <c r="EB11" s="10">
        <v>0</v>
      </c>
      <c r="EC11" s="10">
        <v>0</v>
      </c>
      <c r="ED11" s="10">
        <v>0</v>
      </c>
      <c r="EE11" s="10">
        <v>0</v>
      </c>
      <c r="EF11" s="10">
        <v>0</v>
      </c>
      <c r="EG11" s="10">
        <v>0</v>
      </c>
      <c r="EH11" s="10">
        <v>0</v>
      </c>
      <c r="EI11" s="10">
        <v>0</v>
      </c>
      <c r="EJ11" s="10">
        <v>0</v>
      </c>
      <c r="EK11" s="10">
        <v>0</v>
      </c>
      <c r="EL11" s="10">
        <v>0</v>
      </c>
      <c r="EM11" s="10">
        <v>0</v>
      </c>
      <c r="EN11" s="10">
        <v>0</v>
      </c>
      <c r="EO11" s="10">
        <v>0</v>
      </c>
      <c r="EP11" s="10">
        <v>0</v>
      </c>
      <c r="EQ11" s="10">
        <v>0</v>
      </c>
      <c r="ER11" s="10">
        <v>0</v>
      </c>
      <c r="ES11" s="10">
        <v>0</v>
      </c>
      <c r="ET11" s="10">
        <v>0</v>
      </c>
      <c r="EU11" s="10">
        <v>0</v>
      </c>
      <c r="EV11" s="10">
        <v>0</v>
      </c>
      <c r="EW11" s="10">
        <v>0</v>
      </c>
      <c r="EX11" s="10">
        <v>0</v>
      </c>
      <c r="EY11" s="10">
        <v>0</v>
      </c>
      <c r="EZ11" s="10">
        <v>0</v>
      </c>
      <c r="FA11" s="10">
        <v>0</v>
      </c>
      <c r="FB11" s="10">
        <v>0</v>
      </c>
      <c r="FC11" s="10">
        <v>0</v>
      </c>
      <c r="FD11" s="10">
        <v>0</v>
      </c>
      <c r="FE11" s="10">
        <v>0</v>
      </c>
      <c r="FF11" s="10">
        <v>0</v>
      </c>
      <c r="FG11" s="10">
        <v>0</v>
      </c>
      <c r="FH11" s="10">
        <v>0</v>
      </c>
      <c r="FI11" s="10">
        <v>0</v>
      </c>
      <c r="FJ11" s="10">
        <v>0</v>
      </c>
      <c r="FK11" s="10">
        <v>0</v>
      </c>
      <c r="FL11" s="10">
        <v>0</v>
      </c>
      <c r="FM11" s="10">
        <v>0</v>
      </c>
      <c r="FN11" s="10">
        <v>0</v>
      </c>
      <c r="FO11" s="10">
        <v>0</v>
      </c>
      <c r="FP11" s="10">
        <v>0</v>
      </c>
      <c r="FQ11" s="10">
        <v>0</v>
      </c>
      <c r="FR11" s="10">
        <v>0</v>
      </c>
      <c r="FS11" s="10">
        <v>0</v>
      </c>
      <c r="FT11" s="10">
        <v>0</v>
      </c>
      <c r="FU11" s="10">
        <v>0</v>
      </c>
      <c r="FV11" s="10">
        <v>0</v>
      </c>
      <c r="FW11" s="10">
        <v>0</v>
      </c>
      <c r="FX11" s="10">
        <v>0</v>
      </c>
      <c r="FY11" s="10">
        <v>0</v>
      </c>
      <c r="FZ11" s="10">
        <v>0</v>
      </c>
      <c r="GA11" s="10">
        <v>0</v>
      </c>
      <c r="GB11" s="10">
        <v>0</v>
      </c>
      <c r="GC11" s="10">
        <v>0</v>
      </c>
      <c r="GD11" s="10">
        <v>0</v>
      </c>
      <c r="GE11" s="10">
        <v>0</v>
      </c>
      <c r="GF11" s="10">
        <v>0</v>
      </c>
      <c r="GG11" s="10">
        <v>0</v>
      </c>
      <c r="GH11" s="10">
        <v>0</v>
      </c>
      <c r="GI11" s="10">
        <v>0</v>
      </c>
      <c r="GJ11" s="10">
        <v>0</v>
      </c>
      <c r="GK11" s="10">
        <v>0</v>
      </c>
      <c r="GL11" s="10">
        <v>0</v>
      </c>
      <c r="GM11" s="10">
        <v>0</v>
      </c>
      <c r="GN11" s="10">
        <v>0</v>
      </c>
      <c r="GO11" s="10">
        <v>0</v>
      </c>
      <c r="GP11" s="10">
        <v>0</v>
      </c>
      <c r="GQ11" s="10">
        <v>0</v>
      </c>
      <c r="GR11" s="10">
        <v>0</v>
      </c>
      <c r="GS11" s="10">
        <v>0</v>
      </c>
      <c r="GT11" s="10">
        <v>0</v>
      </c>
      <c r="GU11" s="10">
        <v>0</v>
      </c>
      <c r="GV11" s="10">
        <v>0</v>
      </c>
      <c r="GW11" s="10">
        <v>0</v>
      </c>
      <c r="GX11" s="10">
        <v>0</v>
      </c>
      <c r="GY11" s="10">
        <v>0</v>
      </c>
      <c r="GZ11" s="10">
        <v>0</v>
      </c>
      <c r="HA11" s="10">
        <v>0</v>
      </c>
      <c r="HB11" s="10">
        <v>0</v>
      </c>
      <c r="HC11" s="10">
        <v>0</v>
      </c>
      <c r="HD11" s="10">
        <v>0</v>
      </c>
      <c r="HE11" s="10">
        <v>0</v>
      </c>
      <c r="HF11" s="10">
        <v>0</v>
      </c>
      <c r="HG11" s="10">
        <v>0</v>
      </c>
      <c r="HH11" s="10">
        <v>0</v>
      </c>
      <c r="HI11" s="10">
        <v>0</v>
      </c>
      <c r="HJ11" s="10">
        <v>0</v>
      </c>
      <c r="HK11" s="10">
        <v>0</v>
      </c>
      <c r="HL11" s="10">
        <v>0</v>
      </c>
      <c r="HM11" s="10">
        <v>0</v>
      </c>
      <c r="HN11" s="10">
        <v>0</v>
      </c>
      <c r="HO11" s="10">
        <v>0</v>
      </c>
      <c r="HP11" s="10">
        <v>0</v>
      </c>
      <c r="HQ11" s="10">
        <v>0</v>
      </c>
      <c r="HR11" s="10">
        <v>0</v>
      </c>
      <c r="HS11" s="10">
        <v>0</v>
      </c>
      <c r="HT11" s="10">
        <v>0</v>
      </c>
      <c r="HU11" s="10">
        <v>0</v>
      </c>
    </row>
    <row r="12" spans="1:229" x14ac:dyDescent="0.25">
      <c r="A12" s="10">
        <v>0</v>
      </c>
      <c r="B12" s="2" t="s">
        <v>12</v>
      </c>
      <c r="C12" s="2" t="s">
        <v>13</v>
      </c>
      <c r="D12" s="17">
        <v>45.39</v>
      </c>
      <c r="E12" s="3">
        <v>0.49</v>
      </c>
      <c r="F12" s="3">
        <v>2.87</v>
      </c>
      <c r="G12" s="3">
        <v>0</v>
      </c>
      <c r="H12" s="3">
        <v>0.06</v>
      </c>
      <c r="I12" s="3">
        <v>583</v>
      </c>
      <c r="J12" s="3">
        <v>19.873999999999999</v>
      </c>
      <c r="K12" s="3">
        <v>3.331</v>
      </c>
      <c r="L12" s="3"/>
      <c r="M12" s="2" t="str">
        <f t="shared" ref="M12:M75" si="7">B12</f>
        <v>01002</v>
      </c>
      <c r="N12" s="3">
        <v>0.83260092304564415</v>
      </c>
      <c r="O12" s="3">
        <v>1.1673990769543616</v>
      </c>
      <c r="P12" s="17">
        <v>0.83260092304565525</v>
      </c>
      <c r="Q12" s="3">
        <v>48.975924938478499</v>
      </c>
      <c r="R12" s="3">
        <v>0.41070690936803944</v>
      </c>
      <c r="S12" s="3" t="e">
        <v>#DIV/0!</v>
      </c>
      <c r="T12" s="3">
        <v>0</v>
      </c>
      <c r="U12" s="3">
        <v>0.46726288331716936</v>
      </c>
      <c r="V12" s="3">
        <v>1.1673990769543445</v>
      </c>
      <c r="W12" s="3">
        <v>1.4091679521303995</v>
      </c>
      <c r="X12" s="3">
        <v>37.791755897042293</v>
      </c>
      <c r="Y12" s="3">
        <v>23.998203219854464</v>
      </c>
      <c r="Z12" s="3">
        <v>1.1787288298862733</v>
      </c>
      <c r="AA12" s="3">
        <v>0</v>
      </c>
      <c r="AB12" s="3">
        <v>0</v>
      </c>
      <c r="AC12" s="3">
        <v>272.41426097390973</v>
      </c>
      <c r="AD12" s="3">
        <v>23.200889255390642</v>
      </c>
      <c r="AE12" s="3">
        <v>4.6939384485463602</v>
      </c>
      <c r="AF12" s="3">
        <v>0</v>
      </c>
      <c r="AG12" s="3">
        <v>0</v>
      </c>
      <c r="AH12" s="3">
        <v>0.50473578576206468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10">
        <v>0</v>
      </c>
      <c r="BB12" s="10">
        <v>0</v>
      </c>
      <c r="BC12" s="10">
        <v>0</v>
      </c>
      <c r="BD12" s="1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0">
        <v>0</v>
      </c>
      <c r="BM12" s="10">
        <v>0</v>
      </c>
      <c r="BN12" s="10">
        <v>0</v>
      </c>
      <c r="BO12" s="10">
        <v>0</v>
      </c>
      <c r="BP12" s="10">
        <v>0</v>
      </c>
      <c r="BQ12" s="10">
        <v>0</v>
      </c>
      <c r="BR12" s="10">
        <v>0</v>
      </c>
      <c r="BS12" s="10">
        <v>0</v>
      </c>
      <c r="BT12" s="10">
        <v>0</v>
      </c>
      <c r="BU12" s="10">
        <v>0</v>
      </c>
      <c r="BV12" s="10">
        <v>0</v>
      </c>
      <c r="BW12" s="10">
        <v>0</v>
      </c>
      <c r="BX12" s="10">
        <v>0</v>
      </c>
      <c r="BY12" s="10">
        <v>0</v>
      </c>
      <c r="BZ12" s="10">
        <v>0</v>
      </c>
      <c r="CA12" s="10">
        <v>0</v>
      </c>
      <c r="CB12" s="10">
        <v>0</v>
      </c>
      <c r="CC12" s="10">
        <v>0</v>
      </c>
      <c r="CD12" s="10">
        <v>0</v>
      </c>
      <c r="CE12" s="10">
        <v>0</v>
      </c>
      <c r="CF12" s="10">
        <v>0</v>
      </c>
      <c r="CG12" s="10">
        <v>0</v>
      </c>
      <c r="CH12" s="10">
        <v>0</v>
      </c>
      <c r="CI12" s="10">
        <v>0</v>
      </c>
      <c r="CJ12" s="10">
        <v>0</v>
      </c>
      <c r="CK12" s="10">
        <v>0</v>
      </c>
      <c r="CL12" s="10">
        <v>0</v>
      </c>
      <c r="CM12" s="10">
        <v>0</v>
      </c>
      <c r="CN12" s="10">
        <v>0</v>
      </c>
      <c r="CO12" s="10">
        <v>0</v>
      </c>
      <c r="CP12" s="10">
        <v>0</v>
      </c>
      <c r="CQ12" s="10">
        <v>0</v>
      </c>
      <c r="CR12" s="10">
        <v>0</v>
      </c>
      <c r="CS12" s="10">
        <v>0</v>
      </c>
      <c r="CT12" s="10">
        <v>0</v>
      </c>
      <c r="CU12" s="10">
        <v>0</v>
      </c>
      <c r="CV12" s="10">
        <v>0</v>
      </c>
      <c r="CW12" s="10">
        <v>0</v>
      </c>
      <c r="CX12" s="10">
        <v>0</v>
      </c>
      <c r="CY12" s="10">
        <v>0</v>
      </c>
      <c r="CZ12" s="10">
        <v>0</v>
      </c>
      <c r="DA12" s="10">
        <v>0</v>
      </c>
      <c r="DB12" s="10">
        <v>0</v>
      </c>
      <c r="DC12" s="10">
        <v>0</v>
      </c>
      <c r="DD12" s="10">
        <v>0</v>
      </c>
      <c r="DE12" s="10">
        <v>0</v>
      </c>
      <c r="DF12" s="10">
        <v>0</v>
      </c>
      <c r="DG12" s="10">
        <v>0</v>
      </c>
      <c r="DH12" s="10">
        <v>0</v>
      </c>
      <c r="DI12" s="10">
        <v>0</v>
      </c>
      <c r="DJ12" s="10">
        <v>0</v>
      </c>
      <c r="DK12" s="10">
        <v>0</v>
      </c>
      <c r="DL12" s="10">
        <v>0</v>
      </c>
      <c r="DM12" s="10">
        <v>0</v>
      </c>
      <c r="DN12" s="10">
        <v>0</v>
      </c>
      <c r="DO12" s="10">
        <v>0</v>
      </c>
      <c r="DP12" s="10">
        <v>0</v>
      </c>
      <c r="DQ12" s="10">
        <v>0</v>
      </c>
      <c r="DR12" s="10">
        <v>0</v>
      </c>
      <c r="DS12" s="10">
        <v>0</v>
      </c>
      <c r="DT12" s="10">
        <v>0</v>
      </c>
      <c r="DU12" s="10">
        <v>0</v>
      </c>
      <c r="DV12" s="10">
        <v>0</v>
      </c>
      <c r="DW12" s="10">
        <v>0</v>
      </c>
      <c r="DX12" s="10">
        <v>0</v>
      </c>
      <c r="DY12" s="10">
        <v>0.49526421423792993</v>
      </c>
      <c r="DZ12" s="10">
        <v>0</v>
      </c>
      <c r="EA12" s="10">
        <v>0</v>
      </c>
      <c r="EB12" s="10">
        <v>0</v>
      </c>
      <c r="EC12" s="10">
        <v>0</v>
      </c>
      <c r="ED12" s="10">
        <v>0</v>
      </c>
      <c r="EE12" s="10">
        <v>0</v>
      </c>
      <c r="EF12" s="10">
        <v>0</v>
      </c>
      <c r="EG12" s="10">
        <v>0</v>
      </c>
      <c r="EH12" s="10">
        <v>0</v>
      </c>
      <c r="EI12" s="10">
        <v>0</v>
      </c>
      <c r="EJ12" s="10">
        <v>0</v>
      </c>
      <c r="EK12" s="10">
        <v>0</v>
      </c>
      <c r="EL12" s="10">
        <v>0</v>
      </c>
      <c r="EM12" s="10">
        <v>0</v>
      </c>
      <c r="EN12" s="10">
        <v>0</v>
      </c>
      <c r="EO12" s="10">
        <v>0</v>
      </c>
      <c r="EP12" s="10">
        <v>0</v>
      </c>
      <c r="EQ12" s="10">
        <v>0</v>
      </c>
      <c r="ER12" s="10">
        <v>0</v>
      </c>
      <c r="ES12" s="10">
        <v>0</v>
      </c>
      <c r="ET12" s="10">
        <v>0</v>
      </c>
      <c r="EU12" s="10">
        <v>0</v>
      </c>
      <c r="EV12" s="10">
        <v>0</v>
      </c>
      <c r="EW12" s="10">
        <v>0</v>
      </c>
      <c r="EX12" s="10">
        <v>0</v>
      </c>
      <c r="EY12" s="10">
        <v>0</v>
      </c>
      <c r="EZ12" s="10">
        <v>0</v>
      </c>
      <c r="FA12" s="10">
        <v>0</v>
      </c>
      <c r="FB12" s="10">
        <v>0</v>
      </c>
      <c r="FC12" s="10">
        <v>0</v>
      </c>
      <c r="FD12" s="10">
        <v>0</v>
      </c>
      <c r="FE12" s="10">
        <v>0</v>
      </c>
      <c r="FF12" s="10">
        <v>0</v>
      </c>
      <c r="FG12" s="10">
        <v>0</v>
      </c>
      <c r="FH12" s="10">
        <v>0</v>
      </c>
      <c r="FI12" s="10">
        <v>0</v>
      </c>
      <c r="FJ12" s="10">
        <v>0</v>
      </c>
      <c r="FK12" s="10">
        <v>0</v>
      </c>
      <c r="FL12" s="10">
        <v>0</v>
      </c>
      <c r="FM12" s="10">
        <v>0</v>
      </c>
      <c r="FN12" s="10">
        <v>0</v>
      </c>
      <c r="FO12" s="10">
        <v>0</v>
      </c>
      <c r="FP12" s="10">
        <v>0</v>
      </c>
      <c r="FQ12" s="10">
        <v>0</v>
      </c>
      <c r="FR12" s="10">
        <v>0</v>
      </c>
      <c r="FS12" s="10">
        <v>0</v>
      </c>
      <c r="FT12" s="10">
        <v>0</v>
      </c>
      <c r="FU12" s="10">
        <v>0</v>
      </c>
      <c r="FV12" s="10">
        <v>0</v>
      </c>
      <c r="FW12" s="10">
        <v>0</v>
      </c>
      <c r="FX12" s="10">
        <v>0</v>
      </c>
      <c r="FY12" s="10">
        <v>0</v>
      </c>
      <c r="FZ12" s="10">
        <v>0</v>
      </c>
      <c r="GA12" s="10">
        <v>0</v>
      </c>
      <c r="GB12" s="10">
        <v>0</v>
      </c>
      <c r="GC12" s="10">
        <v>0</v>
      </c>
      <c r="GD12" s="10">
        <v>0</v>
      </c>
      <c r="GE12" s="10">
        <v>0</v>
      </c>
      <c r="GF12" s="10">
        <v>0</v>
      </c>
      <c r="GG12" s="10">
        <v>0</v>
      </c>
      <c r="GH12" s="10">
        <v>0</v>
      </c>
      <c r="GI12" s="10">
        <v>0</v>
      </c>
      <c r="GJ12" s="10">
        <v>0</v>
      </c>
      <c r="GK12" s="10">
        <v>0</v>
      </c>
      <c r="GL12" s="10">
        <v>0</v>
      </c>
      <c r="GM12" s="10">
        <v>0</v>
      </c>
      <c r="GN12" s="10">
        <v>0</v>
      </c>
      <c r="GO12" s="10">
        <v>0</v>
      </c>
      <c r="GP12" s="10">
        <v>0</v>
      </c>
      <c r="GQ12" s="10">
        <v>0</v>
      </c>
      <c r="GR12" s="10">
        <v>0</v>
      </c>
      <c r="GS12" s="10">
        <v>0</v>
      </c>
      <c r="GT12" s="10">
        <v>0</v>
      </c>
      <c r="GU12" s="10">
        <v>0</v>
      </c>
      <c r="GV12" s="10">
        <v>0</v>
      </c>
      <c r="GW12" s="10">
        <v>0</v>
      </c>
      <c r="GX12" s="10">
        <v>0</v>
      </c>
      <c r="GY12" s="10">
        <v>0</v>
      </c>
      <c r="GZ12" s="10">
        <v>0</v>
      </c>
      <c r="HA12" s="10">
        <v>0</v>
      </c>
      <c r="HB12" s="10">
        <v>0</v>
      </c>
      <c r="HC12" s="10">
        <v>0</v>
      </c>
      <c r="HD12" s="10">
        <v>0</v>
      </c>
      <c r="HE12" s="10">
        <v>0</v>
      </c>
      <c r="HF12" s="10">
        <v>0</v>
      </c>
      <c r="HG12" s="10">
        <v>0</v>
      </c>
      <c r="HH12" s="10">
        <v>0</v>
      </c>
      <c r="HI12" s="10">
        <v>0</v>
      </c>
      <c r="HJ12" s="10">
        <v>0</v>
      </c>
      <c r="HK12" s="10">
        <v>0</v>
      </c>
      <c r="HL12" s="10">
        <v>0</v>
      </c>
      <c r="HM12" s="10">
        <v>0</v>
      </c>
      <c r="HN12" s="10">
        <v>0</v>
      </c>
      <c r="HO12" s="10">
        <v>0</v>
      </c>
      <c r="HP12" s="10">
        <v>0</v>
      </c>
      <c r="HQ12" s="10">
        <v>0</v>
      </c>
      <c r="HR12" s="10">
        <v>0</v>
      </c>
      <c r="HS12" s="10">
        <v>0</v>
      </c>
      <c r="HT12" s="10">
        <v>0</v>
      </c>
      <c r="HU12" s="10">
        <v>0</v>
      </c>
    </row>
    <row r="13" spans="1:229" x14ac:dyDescent="0.25">
      <c r="A13" s="10">
        <v>0</v>
      </c>
      <c r="B13" s="2" t="s">
        <v>14</v>
      </c>
      <c r="C13" s="2" t="s">
        <v>15</v>
      </c>
      <c r="D13" s="17">
        <v>61.923999999999999</v>
      </c>
      <c r="E13" s="3">
        <v>0.28000000000000003</v>
      </c>
      <c r="F13" s="3">
        <v>0</v>
      </c>
      <c r="G13" s="3">
        <v>0</v>
      </c>
      <c r="H13" s="3">
        <v>0</v>
      </c>
      <c r="I13" s="3">
        <v>2</v>
      </c>
      <c r="J13" s="3">
        <v>28.731999999999999</v>
      </c>
      <c r="K13" s="3">
        <v>3.694</v>
      </c>
      <c r="L13" s="3"/>
      <c r="M13" s="2" t="str">
        <f t="shared" si="7"/>
        <v>01003</v>
      </c>
      <c r="N13" s="3">
        <v>1</v>
      </c>
      <c r="O13" s="3">
        <v>1</v>
      </c>
      <c r="P13" s="17">
        <v>1</v>
      </c>
      <c r="Q13" s="3">
        <v>1</v>
      </c>
      <c r="R13" s="3" t="e">
        <v>#DIV/0!</v>
      </c>
      <c r="S13" s="3" t="e">
        <v>#DIV/0!</v>
      </c>
      <c r="T13" s="3" t="e">
        <v>#DIV/0!</v>
      </c>
      <c r="U13" s="3">
        <v>1</v>
      </c>
      <c r="V13" s="3">
        <v>1</v>
      </c>
      <c r="W13" s="3">
        <v>1</v>
      </c>
      <c r="X13" s="3">
        <v>61.923999999999999</v>
      </c>
      <c r="Y13" s="3">
        <v>0.28000000000000003</v>
      </c>
      <c r="Z13" s="3">
        <v>0</v>
      </c>
      <c r="AA13" s="3">
        <v>0</v>
      </c>
      <c r="AB13" s="3">
        <v>0</v>
      </c>
      <c r="AC13" s="3">
        <v>2</v>
      </c>
      <c r="AD13" s="3">
        <v>28.731999999999999</v>
      </c>
      <c r="AE13" s="3">
        <v>3.694</v>
      </c>
      <c r="AF13" s="3">
        <v>0</v>
      </c>
      <c r="AG13" s="3">
        <v>0</v>
      </c>
      <c r="AH13" s="3">
        <v>1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10">
        <v>0</v>
      </c>
      <c r="BB13" s="10">
        <v>0</v>
      </c>
      <c r="BC13" s="10">
        <v>0</v>
      </c>
      <c r="BD13" s="10">
        <v>0</v>
      </c>
      <c r="BE13" s="10">
        <v>0</v>
      </c>
      <c r="BF13" s="10">
        <v>0</v>
      </c>
      <c r="BG13" s="10">
        <v>0</v>
      </c>
      <c r="BH13" s="10">
        <v>0</v>
      </c>
      <c r="BI13" s="10">
        <v>0</v>
      </c>
      <c r="BJ13" s="10">
        <v>0</v>
      </c>
      <c r="BK13" s="10">
        <v>0</v>
      </c>
      <c r="BL13" s="10">
        <v>0</v>
      </c>
      <c r="BM13" s="10">
        <v>0</v>
      </c>
      <c r="BN13" s="10">
        <v>0</v>
      </c>
      <c r="BO13" s="10">
        <v>0</v>
      </c>
      <c r="BP13" s="10">
        <v>0</v>
      </c>
      <c r="BQ13" s="10">
        <v>0</v>
      </c>
      <c r="BR13" s="10">
        <v>0</v>
      </c>
      <c r="BS13" s="10">
        <v>0</v>
      </c>
      <c r="BT13" s="10">
        <v>0</v>
      </c>
      <c r="BU13" s="10">
        <v>0</v>
      </c>
      <c r="BV13" s="10">
        <v>0</v>
      </c>
      <c r="BW13" s="10">
        <v>0</v>
      </c>
      <c r="BX13" s="10">
        <v>0</v>
      </c>
      <c r="BY13" s="10">
        <v>0</v>
      </c>
      <c r="BZ13" s="10">
        <v>0</v>
      </c>
      <c r="CA13" s="10">
        <v>0</v>
      </c>
      <c r="CB13" s="10">
        <v>0</v>
      </c>
      <c r="CC13" s="10">
        <v>0</v>
      </c>
      <c r="CD13" s="10">
        <v>0</v>
      </c>
      <c r="CE13" s="10">
        <v>0</v>
      </c>
      <c r="CF13" s="10">
        <v>0</v>
      </c>
      <c r="CG13" s="10">
        <v>0</v>
      </c>
      <c r="CH13" s="10">
        <v>0</v>
      </c>
      <c r="CI13" s="10">
        <v>0</v>
      </c>
      <c r="CJ13" s="10">
        <v>0</v>
      </c>
      <c r="CK13" s="10">
        <v>0</v>
      </c>
      <c r="CL13" s="10">
        <v>0</v>
      </c>
      <c r="CM13" s="10">
        <v>0</v>
      </c>
      <c r="CN13" s="10">
        <v>0</v>
      </c>
      <c r="CO13" s="10">
        <v>0</v>
      </c>
      <c r="CP13" s="10">
        <v>0</v>
      </c>
      <c r="CQ13" s="10">
        <v>0</v>
      </c>
      <c r="CR13" s="10">
        <v>0</v>
      </c>
      <c r="CS13" s="10">
        <v>0</v>
      </c>
      <c r="CT13" s="10">
        <v>0</v>
      </c>
      <c r="CU13" s="10">
        <v>0</v>
      </c>
      <c r="CV13" s="10">
        <v>0</v>
      </c>
      <c r="CW13" s="10">
        <v>0</v>
      </c>
      <c r="CX13" s="10">
        <v>0</v>
      </c>
      <c r="CY13" s="10">
        <v>0</v>
      </c>
      <c r="CZ13" s="10">
        <v>0</v>
      </c>
      <c r="DA13" s="10">
        <v>0</v>
      </c>
      <c r="DB13" s="10">
        <v>0</v>
      </c>
      <c r="DC13" s="10">
        <v>0</v>
      </c>
      <c r="DD13" s="10">
        <v>0</v>
      </c>
      <c r="DE13" s="10">
        <v>0</v>
      </c>
      <c r="DF13" s="10">
        <v>0</v>
      </c>
      <c r="DG13" s="10">
        <v>0</v>
      </c>
      <c r="DH13" s="10">
        <v>0</v>
      </c>
      <c r="DI13" s="10">
        <v>0</v>
      </c>
      <c r="DJ13" s="10">
        <v>0</v>
      </c>
      <c r="DK13" s="10">
        <v>0</v>
      </c>
      <c r="DL13" s="10">
        <v>0</v>
      </c>
      <c r="DM13" s="10">
        <v>0</v>
      </c>
      <c r="DN13" s="10">
        <v>0</v>
      </c>
      <c r="DO13" s="10">
        <v>0</v>
      </c>
      <c r="DP13" s="10">
        <v>0</v>
      </c>
      <c r="DQ13" s="10">
        <v>0</v>
      </c>
      <c r="DR13" s="10">
        <v>0</v>
      </c>
      <c r="DS13" s="10">
        <v>0</v>
      </c>
      <c r="DT13" s="10">
        <v>0</v>
      </c>
      <c r="DU13" s="10">
        <v>0</v>
      </c>
      <c r="DV13" s="10">
        <v>0</v>
      </c>
      <c r="DW13" s="10">
        <v>0</v>
      </c>
      <c r="DX13" s="10">
        <v>0</v>
      </c>
      <c r="DY13" s="10">
        <v>0</v>
      </c>
      <c r="DZ13" s="10">
        <v>0</v>
      </c>
      <c r="EA13" s="10">
        <v>0</v>
      </c>
      <c r="EB13" s="10">
        <v>0</v>
      </c>
      <c r="EC13" s="10">
        <v>0</v>
      </c>
      <c r="ED13" s="10">
        <v>0</v>
      </c>
      <c r="EE13" s="10">
        <v>0</v>
      </c>
      <c r="EF13" s="10">
        <v>0</v>
      </c>
      <c r="EG13" s="10">
        <v>0</v>
      </c>
      <c r="EH13" s="10">
        <v>0</v>
      </c>
      <c r="EI13" s="10">
        <v>0</v>
      </c>
      <c r="EJ13" s="10">
        <v>0</v>
      </c>
      <c r="EK13" s="10">
        <v>0</v>
      </c>
      <c r="EL13" s="10">
        <v>0</v>
      </c>
      <c r="EM13" s="10">
        <v>0</v>
      </c>
      <c r="EN13" s="10">
        <v>0</v>
      </c>
      <c r="EO13" s="10">
        <v>0</v>
      </c>
      <c r="EP13" s="10">
        <v>0</v>
      </c>
      <c r="EQ13" s="10">
        <v>0</v>
      </c>
      <c r="ER13" s="10">
        <v>0</v>
      </c>
      <c r="ES13" s="10">
        <v>0</v>
      </c>
      <c r="ET13" s="10">
        <v>0</v>
      </c>
      <c r="EU13" s="10">
        <v>0</v>
      </c>
      <c r="EV13" s="10">
        <v>0</v>
      </c>
      <c r="EW13" s="10">
        <v>0</v>
      </c>
      <c r="EX13" s="10">
        <v>0</v>
      </c>
      <c r="EY13" s="10">
        <v>0</v>
      </c>
      <c r="EZ13" s="10">
        <v>0</v>
      </c>
      <c r="FA13" s="10">
        <v>0</v>
      </c>
      <c r="FB13" s="10">
        <v>0</v>
      </c>
      <c r="FC13" s="10">
        <v>0</v>
      </c>
      <c r="FD13" s="10">
        <v>0</v>
      </c>
      <c r="FE13" s="10">
        <v>0</v>
      </c>
      <c r="FF13" s="10">
        <v>0</v>
      </c>
      <c r="FG13" s="10">
        <v>0</v>
      </c>
      <c r="FH13" s="10">
        <v>0</v>
      </c>
      <c r="FI13" s="10">
        <v>0</v>
      </c>
      <c r="FJ13" s="10">
        <v>0</v>
      </c>
      <c r="FK13" s="10">
        <v>0</v>
      </c>
      <c r="FL13" s="10">
        <v>0</v>
      </c>
      <c r="FM13" s="10">
        <v>0</v>
      </c>
      <c r="FN13" s="10">
        <v>0</v>
      </c>
      <c r="FO13" s="10">
        <v>0</v>
      </c>
      <c r="FP13" s="10">
        <v>0</v>
      </c>
      <c r="FQ13" s="10">
        <v>0</v>
      </c>
      <c r="FR13" s="10">
        <v>0</v>
      </c>
      <c r="FS13" s="10">
        <v>0</v>
      </c>
      <c r="FT13" s="10">
        <v>0</v>
      </c>
      <c r="FU13" s="10">
        <v>0</v>
      </c>
      <c r="FV13" s="10">
        <v>0</v>
      </c>
      <c r="FW13" s="10">
        <v>0</v>
      </c>
      <c r="FX13" s="10">
        <v>0</v>
      </c>
      <c r="FY13" s="10">
        <v>0</v>
      </c>
      <c r="FZ13" s="10">
        <v>0</v>
      </c>
      <c r="GA13" s="10">
        <v>0</v>
      </c>
      <c r="GB13" s="10">
        <v>0</v>
      </c>
      <c r="GC13" s="10">
        <v>0</v>
      </c>
      <c r="GD13" s="10">
        <v>0</v>
      </c>
      <c r="GE13" s="10">
        <v>0</v>
      </c>
      <c r="GF13" s="10">
        <v>0</v>
      </c>
      <c r="GG13" s="10">
        <v>0</v>
      </c>
      <c r="GH13" s="10">
        <v>0</v>
      </c>
      <c r="GI13" s="10">
        <v>0</v>
      </c>
      <c r="GJ13" s="10">
        <v>0</v>
      </c>
      <c r="GK13" s="10">
        <v>0</v>
      </c>
      <c r="GL13" s="10">
        <v>0</v>
      </c>
      <c r="GM13" s="10">
        <v>0</v>
      </c>
      <c r="GN13" s="10">
        <v>0</v>
      </c>
      <c r="GO13" s="10">
        <v>0</v>
      </c>
      <c r="GP13" s="10">
        <v>0</v>
      </c>
      <c r="GQ13" s="10">
        <v>0</v>
      </c>
      <c r="GR13" s="10">
        <v>0</v>
      </c>
      <c r="GS13" s="10">
        <v>0</v>
      </c>
      <c r="GT13" s="10">
        <v>0</v>
      </c>
      <c r="GU13" s="10">
        <v>0</v>
      </c>
      <c r="GV13" s="10">
        <v>0</v>
      </c>
      <c r="GW13" s="10">
        <v>0</v>
      </c>
      <c r="GX13" s="10">
        <v>0</v>
      </c>
      <c r="GY13" s="10">
        <v>0</v>
      </c>
      <c r="GZ13" s="10">
        <v>0</v>
      </c>
      <c r="HA13" s="10">
        <v>0</v>
      </c>
      <c r="HB13" s="10">
        <v>0</v>
      </c>
      <c r="HC13" s="10">
        <v>0</v>
      </c>
      <c r="HD13" s="10">
        <v>0</v>
      </c>
      <c r="HE13" s="10">
        <v>0</v>
      </c>
      <c r="HF13" s="10">
        <v>0</v>
      </c>
      <c r="HG13" s="10">
        <v>0</v>
      </c>
      <c r="HH13" s="10">
        <v>0</v>
      </c>
      <c r="HI13" s="10">
        <v>0</v>
      </c>
      <c r="HJ13" s="10">
        <v>0</v>
      </c>
      <c r="HK13" s="10">
        <v>0</v>
      </c>
      <c r="HL13" s="10">
        <v>0</v>
      </c>
      <c r="HM13" s="10">
        <v>0</v>
      </c>
      <c r="HN13" s="10">
        <v>0</v>
      </c>
      <c r="HO13" s="10">
        <v>0</v>
      </c>
      <c r="HP13" s="10">
        <v>0</v>
      </c>
      <c r="HQ13" s="10">
        <v>0</v>
      </c>
      <c r="HR13" s="10">
        <v>0</v>
      </c>
      <c r="HS13" s="10">
        <v>0</v>
      </c>
      <c r="HT13" s="10">
        <v>0</v>
      </c>
      <c r="HU13" s="10">
        <v>0</v>
      </c>
    </row>
    <row r="14" spans="1:229" x14ac:dyDescent="0.25">
      <c r="A14" s="10">
        <v>0</v>
      </c>
      <c r="B14" s="2" t="s">
        <v>16</v>
      </c>
      <c r="C14" s="2" t="s">
        <v>17</v>
      </c>
      <c r="D14" s="17">
        <v>18.669</v>
      </c>
      <c r="E14" s="3">
        <v>21.4</v>
      </c>
      <c r="F14" s="3">
        <v>2.34</v>
      </c>
      <c r="G14" s="3">
        <v>0</v>
      </c>
      <c r="H14" s="3">
        <v>0.5</v>
      </c>
      <c r="I14" s="3">
        <v>1146</v>
      </c>
      <c r="J14" s="3">
        <v>7.7779999999999996</v>
      </c>
      <c r="K14" s="3">
        <v>0.8</v>
      </c>
      <c r="L14" s="3"/>
      <c r="M14" s="2" t="str">
        <f t="shared" si="7"/>
        <v>01004</v>
      </c>
      <c r="N14" s="3">
        <v>0.45668481416697321</v>
      </c>
      <c r="O14" s="3">
        <v>1.5433151858330272</v>
      </c>
      <c r="P14" s="17">
        <v>0.45668481416692808</v>
      </c>
      <c r="Q14" s="3">
        <v>1.5433151858330241</v>
      </c>
      <c r="R14" s="3">
        <v>1.6336492943327654</v>
      </c>
      <c r="S14" s="3" t="e">
        <v>#DIV/0!</v>
      </c>
      <c r="T14" s="3">
        <v>0.45668481416696988</v>
      </c>
      <c r="U14" s="3">
        <v>0.32727829388348262</v>
      </c>
      <c r="V14" s="3">
        <v>1.5433151858331178</v>
      </c>
      <c r="W14" s="3">
        <v>4.8438530973601557</v>
      </c>
      <c r="X14" s="3">
        <v>8.5258487956823803</v>
      </c>
      <c r="Y14" s="3">
        <v>33.026944976826712</v>
      </c>
      <c r="Z14" s="3">
        <v>3.8227393487386707</v>
      </c>
      <c r="AA14" s="3">
        <v>0.28392838709154866</v>
      </c>
      <c r="AB14" s="3">
        <v>0.22834240708348494</v>
      </c>
      <c r="AC14" s="3">
        <v>375.06092479047106</v>
      </c>
      <c r="AD14" s="3">
        <v>12.00390551540999</v>
      </c>
      <c r="AE14" s="3">
        <v>3.8750824778881245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10">
        <v>0</v>
      </c>
      <c r="BB14" s="10">
        <v>0</v>
      </c>
      <c r="BC14" s="10">
        <v>0</v>
      </c>
      <c r="BD14" s="10">
        <v>0</v>
      </c>
      <c r="BE14" s="10">
        <v>0</v>
      </c>
      <c r="BF14" s="10">
        <v>0</v>
      </c>
      <c r="BG14" s="10">
        <v>0</v>
      </c>
      <c r="BH14" s="10">
        <v>0</v>
      </c>
      <c r="BI14" s="10">
        <v>0</v>
      </c>
      <c r="BJ14" s="10">
        <v>0</v>
      </c>
      <c r="BK14" s="10">
        <v>0</v>
      </c>
      <c r="BL14" s="10">
        <v>0</v>
      </c>
      <c r="BM14" s="10">
        <v>0</v>
      </c>
      <c r="BN14" s="10">
        <v>0</v>
      </c>
      <c r="BO14" s="10">
        <v>0</v>
      </c>
      <c r="BP14" s="10">
        <v>0</v>
      </c>
      <c r="BQ14" s="10">
        <v>0</v>
      </c>
      <c r="BR14" s="10">
        <v>0</v>
      </c>
      <c r="BS14" s="10">
        <v>0</v>
      </c>
      <c r="BT14" s="10">
        <v>0</v>
      </c>
      <c r="BU14" s="10">
        <v>0</v>
      </c>
      <c r="BV14" s="10">
        <v>0</v>
      </c>
      <c r="BW14" s="10">
        <v>0</v>
      </c>
      <c r="BX14" s="10">
        <v>0</v>
      </c>
      <c r="BY14" s="10">
        <v>0</v>
      </c>
      <c r="BZ14" s="10">
        <v>0</v>
      </c>
      <c r="CA14" s="10">
        <v>0.33676959052780508</v>
      </c>
      <c r="CB14" s="10">
        <v>0</v>
      </c>
      <c r="CC14" s="10">
        <v>0</v>
      </c>
      <c r="CD14" s="10">
        <v>0</v>
      </c>
      <c r="CE14" s="10">
        <v>0</v>
      </c>
      <c r="CF14" s="10">
        <v>0</v>
      </c>
      <c r="CG14" s="10">
        <v>0</v>
      </c>
      <c r="CH14" s="10">
        <v>0</v>
      </c>
      <c r="CI14" s="10">
        <v>0</v>
      </c>
      <c r="CJ14" s="10">
        <v>0</v>
      </c>
      <c r="CK14" s="10">
        <v>0</v>
      </c>
      <c r="CL14" s="10">
        <v>0</v>
      </c>
      <c r="CM14" s="10">
        <v>0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>
        <v>0</v>
      </c>
      <c r="CY14" s="10">
        <v>0</v>
      </c>
      <c r="CZ14" s="10">
        <v>0</v>
      </c>
      <c r="DA14" s="10">
        <v>0</v>
      </c>
      <c r="DB14" s="10">
        <v>0</v>
      </c>
      <c r="DC14" s="10">
        <v>0</v>
      </c>
      <c r="DD14" s="10">
        <v>0</v>
      </c>
      <c r="DE14" s="10">
        <v>0</v>
      </c>
      <c r="DF14" s="10">
        <v>0</v>
      </c>
      <c r="DG14" s="10">
        <v>0</v>
      </c>
      <c r="DH14" s="10">
        <v>0</v>
      </c>
      <c r="DI14" s="10">
        <v>0</v>
      </c>
      <c r="DJ14" s="10">
        <v>0</v>
      </c>
      <c r="DK14" s="10">
        <v>0</v>
      </c>
      <c r="DL14" s="10">
        <v>0</v>
      </c>
      <c r="DM14" s="10">
        <v>0</v>
      </c>
      <c r="DN14" s="10">
        <v>0</v>
      </c>
      <c r="DO14" s="10">
        <v>0</v>
      </c>
      <c r="DP14" s="10">
        <v>0</v>
      </c>
      <c r="DQ14" s="10">
        <v>0</v>
      </c>
      <c r="DR14" s="10">
        <v>0</v>
      </c>
      <c r="DS14" s="10">
        <v>0</v>
      </c>
      <c r="DT14" s="10">
        <v>0</v>
      </c>
      <c r="DU14" s="10">
        <v>0</v>
      </c>
      <c r="DV14" s="10">
        <v>0</v>
      </c>
      <c r="DW14" s="10">
        <v>0</v>
      </c>
      <c r="DX14" s="10">
        <v>0</v>
      </c>
      <c r="DY14" s="10">
        <v>0.62167913117093831</v>
      </c>
      <c r="DZ14" s="10">
        <v>0</v>
      </c>
      <c r="EA14" s="10">
        <v>0</v>
      </c>
      <c r="EB14" s="10">
        <v>0</v>
      </c>
      <c r="EC14" s="10">
        <v>0</v>
      </c>
      <c r="ED14" s="10">
        <v>0</v>
      </c>
      <c r="EE14" s="10">
        <v>0</v>
      </c>
      <c r="EF14" s="10">
        <v>0</v>
      </c>
      <c r="EG14" s="10">
        <v>0</v>
      </c>
      <c r="EH14" s="10">
        <v>0</v>
      </c>
      <c r="EI14" s="10">
        <v>0</v>
      </c>
      <c r="EJ14" s="10">
        <v>0</v>
      </c>
      <c r="EK14" s="10">
        <v>0</v>
      </c>
      <c r="EL14" s="10">
        <v>0</v>
      </c>
      <c r="EM14" s="10">
        <v>0</v>
      </c>
      <c r="EN14" s="10">
        <v>0</v>
      </c>
      <c r="EO14" s="10">
        <v>0</v>
      </c>
      <c r="EP14" s="10">
        <v>0</v>
      </c>
      <c r="EQ14" s="10">
        <v>0</v>
      </c>
      <c r="ER14" s="10">
        <v>0</v>
      </c>
      <c r="ES14" s="10">
        <v>0</v>
      </c>
      <c r="ET14" s="10">
        <v>0</v>
      </c>
      <c r="EU14" s="10">
        <v>0</v>
      </c>
      <c r="EV14" s="10">
        <v>0</v>
      </c>
      <c r="EW14" s="10">
        <v>0</v>
      </c>
      <c r="EX14" s="10">
        <v>0</v>
      </c>
      <c r="EY14" s="10">
        <v>0</v>
      </c>
      <c r="EZ14" s="10">
        <v>0</v>
      </c>
      <c r="FA14" s="10">
        <v>0</v>
      </c>
      <c r="FB14" s="10">
        <v>0</v>
      </c>
      <c r="FC14" s="10">
        <v>0</v>
      </c>
      <c r="FD14" s="10">
        <v>0</v>
      </c>
      <c r="FE14" s="10">
        <v>0</v>
      </c>
      <c r="FF14" s="10">
        <v>0</v>
      </c>
      <c r="FG14" s="10">
        <v>0</v>
      </c>
      <c r="FH14" s="10">
        <v>0</v>
      </c>
      <c r="FI14" s="10">
        <v>0</v>
      </c>
      <c r="FJ14" s="10">
        <v>0</v>
      </c>
      <c r="FK14" s="10">
        <v>0</v>
      </c>
      <c r="FL14" s="10">
        <v>0</v>
      </c>
      <c r="FM14" s="10">
        <v>0</v>
      </c>
      <c r="FN14" s="10">
        <v>0</v>
      </c>
      <c r="FO14" s="10">
        <v>0</v>
      </c>
      <c r="FP14" s="10">
        <v>0</v>
      </c>
      <c r="FQ14" s="10">
        <v>0</v>
      </c>
      <c r="FR14" s="10">
        <v>0</v>
      </c>
      <c r="FS14" s="10">
        <v>0</v>
      </c>
      <c r="FT14" s="10">
        <v>0</v>
      </c>
      <c r="FU14" s="10">
        <v>0</v>
      </c>
      <c r="FV14" s="10">
        <v>0</v>
      </c>
      <c r="FW14" s="10">
        <v>0</v>
      </c>
      <c r="FX14" s="10">
        <v>0</v>
      </c>
      <c r="FY14" s="10">
        <v>0</v>
      </c>
      <c r="FZ14" s="10">
        <v>0</v>
      </c>
      <c r="GA14" s="10">
        <v>3.9989913674866012E-2</v>
      </c>
      <c r="GB14" s="10">
        <v>0</v>
      </c>
      <c r="GC14" s="10">
        <v>0</v>
      </c>
      <c r="GD14" s="10">
        <v>0</v>
      </c>
      <c r="GE14" s="10">
        <v>0</v>
      </c>
      <c r="GF14" s="10">
        <v>0</v>
      </c>
      <c r="GG14" s="10">
        <v>0</v>
      </c>
      <c r="GH14" s="10">
        <v>0</v>
      </c>
      <c r="GI14" s="10">
        <v>0</v>
      </c>
      <c r="GJ14" s="10">
        <v>0</v>
      </c>
      <c r="GK14" s="10">
        <v>0</v>
      </c>
      <c r="GL14" s="10">
        <v>0</v>
      </c>
      <c r="GM14" s="10">
        <v>0</v>
      </c>
      <c r="GN14" s="10">
        <v>0</v>
      </c>
      <c r="GO14" s="10">
        <v>0</v>
      </c>
      <c r="GP14" s="10">
        <v>0</v>
      </c>
      <c r="GQ14" s="10">
        <v>0</v>
      </c>
      <c r="GR14" s="10">
        <v>0</v>
      </c>
      <c r="GS14" s="10">
        <v>0</v>
      </c>
      <c r="GT14" s="10">
        <v>0</v>
      </c>
      <c r="GU14" s="10">
        <v>0</v>
      </c>
      <c r="GV14" s="10">
        <v>0</v>
      </c>
      <c r="GW14" s="10">
        <v>1.5613646263903103E-3</v>
      </c>
      <c r="GX14" s="10">
        <v>0</v>
      </c>
      <c r="GY14" s="10">
        <v>0</v>
      </c>
      <c r="GZ14" s="10">
        <v>0</v>
      </c>
      <c r="HA14" s="10">
        <v>0</v>
      </c>
      <c r="HB14" s="10">
        <v>0</v>
      </c>
      <c r="HC14" s="10">
        <v>0</v>
      </c>
      <c r="HD14" s="10">
        <v>0</v>
      </c>
      <c r="HE14" s="10">
        <v>0</v>
      </c>
      <c r="HF14" s="10">
        <v>0</v>
      </c>
      <c r="HG14" s="10">
        <v>0</v>
      </c>
      <c r="HH14" s="10">
        <v>0</v>
      </c>
      <c r="HI14" s="10">
        <v>0</v>
      </c>
      <c r="HJ14" s="10">
        <v>0</v>
      </c>
      <c r="HK14" s="10">
        <v>0</v>
      </c>
      <c r="HL14" s="10">
        <v>0</v>
      </c>
      <c r="HM14" s="10">
        <v>0</v>
      </c>
      <c r="HN14" s="10">
        <v>0</v>
      </c>
      <c r="HO14" s="10">
        <v>0</v>
      </c>
      <c r="HP14" s="10">
        <v>0</v>
      </c>
      <c r="HQ14" s="10">
        <v>0</v>
      </c>
      <c r="HR14" s="10">
        <v>0</v>
      </c>
      <c r="HS14" s="10">
        <v>0</v>
      </c>
      <c r="HT14" s="10">
        <v>0</v>
      </c>
      <c r="HU14" s="10">
        <v>0</v>
      </c>
    </row>
    <row r="15" spans="1:229" x14ac:dyDescent="0.25">
      <c r="A15" s="10">
        <v>0</v>
      </c>
      <c r="B15" s="2" t="s">
        <v>18</v>
      </c>
      <c r="C15" s="2" t="s">
        <v>19</v>
      </c>
      <c r="D15" s="17">
        <v>17.41</v>
      </c>
      <c r="E15" s="3">
        <v>20.75</v>
      </c>
      <c r="F15" s="3">
        <v>0.45</v>
      </c>
      <c r="G15" s="3">
        <v>0</v>
      </c>
      <c r="H15" s="21">
        <v>0.45</v>
      </c>
      <c r="I15" s="3">
        <v>629</v>
      </c>
      <c r="J15" s="3">
        <v>8.0129999999999999</v>
      </c>
      <c r="K15" s="3">
        <v>0.82599999999999996</v>
      </c>
      <c r="L15" s="3"/>
      <c r="M15" s="2" t="str">
        <f t="shared" si="7"/>
        <v>01006</v>
      </c>
      <c r="N15" s="3">
        <v>0.507390985733291</v>
      </c>
      <c r="O15" s="3">
        <v>1.4926090142667092</v>
      </c>
      <c r="P15" s="17">
        <v>0.50739098573334807</v>
      </c>
      <c r="Q15" s="3">
        <v>1.492609014266707</v>
      </c>
      <c r="R15" s="3">
        <v>8.0250810790494285</v>
      </c>
      <c r="S15" s="3" t="e">
        <v>#DIV/0!</v>
      </c>
      <c r="T15" s="3">
        <v>0.50739098573330865</v>
      </c>
      <c r="U15" s="3">
        <v>0.50739098573329156</v>
      </c>
      <c r="V15" s="3">
        <v>1.4926090142667339</v>
      </c>
      <c r="W15" s="3">
        <v>5.0034958887358627</v>
      </c>
      <c r="X15" s="3">
        <v>8.833677061617589</v>
      </c>
      <c r="Y15" s="3">
        <v>30.971637046034171</v>
      </c>
      <c r="Z15" s="3">
        <v>3.6112864855722431</v>
      </c>
      <c r="AA15" s="3">
        <v>8.8128712461107983E-2</v>
      </c>
      <c r="AB15" s="3">
        <v>0.22832594357998889</v>
      </c>
      <c r="AC15" s="3">
        <v>319.14893002624041</v>
      </c>
      <c r="AD15" s="3">
        <v>11.960276031319339</v>
      </c>
      <c r="AE15" s="3">
        <v>4.1328876040958225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10">
        <v>0</v>
      </c>
      <c r="BB15" s="10">
        <v>0</v>
      </c>
      <c r="BC15" s="10">
        <v>0</v>
      </c>
      <c r="BD15" s="10">
        <v>0</v>
      </c>
      <c r="BE15" s="10">
        <v>0</v>
      </c>
      <c r="BF15" s="10">
        <v>0</v>
      </c>
      <c r="BG15" s="10">
        <v>0</v>
      </c>
      <c r="BH15" s="10">
        <v>0</v>
      </c>
      <c r="BI15" s="10">
        <v>0</v>
      </c>
      <c r="BJ15" s="10">
        <v>0</v>
      </c>
      <c r="BK15" s="10">
        <v>0</v>
      </c>
      <c r="BL15" s="10">
        <v>0</v>
      </c>
      <c r="BM15" s="10">
        <v>0</v>
      </c>
      <c r="BN15" s="10">
        <v>0</v>
      </c>
      <c r="BO15" s="10">
        <v>0</v>
      </c>
      <c r="BP15" s="10">
        <v>0</v>
      </c>
      <c r="BQ15" s="10">
        <v>0</v>
      </c>
      <c r="BR15" s="10">
        <v>0</v>
      </c>
      <c r="BS15" s="10">
        <v>0</v>
      </c>
      <c r="BT15" s="10">
        <v>0</v>
      </c>
      <c r="BU15" s="10">
        <v>0</v>
      </c>
      <c r="BV15" s="10">
        <v>0</v>
      </c>
      <c r="BW15" s="10">
        <v>0</v>
      </c>
      <c r="BX15" s="10">
        <v>0</v>
      </c>
      <c r="BY15" s="10">
        <v>0</v>
      </c>
      <c r="BZ15" s="10">
        <v>0</v>
      </c>
      <c r="CA15" s="10">
        <v>0.23591270328060568</v>
      </c>
      <c r="CB15" s="10">
        <v>0</v>
      </c>
      <c r="CC15" s="10">
        <v>0</v>
      </c>
      <c r="CD15" s="10">
        <v>0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0</v>
      </c>
      <c r="CK15" s="10">
        <v>0</v>
      </c>
      <c r="CL15" s="10">
        <v>0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>
        <v>0</v>
      </c>
      <c r="CY15" s="10">
        <v>0</v>
      </c>
      <c r="CZ15" s="10">
        <v>0</v>
      </c>
      <c r="DA15" s="10">
        <v>0</v>
      </c>
      <c r="DB15" s="10">
        <v>0</v>
      </c>
      <c r="DC15" s="10">
        <v>0</v>
      </c>
      <c r="DD15" s="10">
        <v>0</v>
      </c>
      <c r="DE15" s="10">
        <v>0</v>
      </c>
      <c r="DF15" s="10">
        <v>0</v>
      </c>
      <c r="DG15" s="10">
        <v>0</v>
      </c>
      <c r="DH15" s="10">
        <v>0</v>
      </c>
      <c r="DI15" s="10">
        <v>0</v>
      </c>
      <c r="DJ15" s="10">
        <v>0</v>
      </c>
      <c r="DK15" s="10">
        <v>0</v>
      </c>
      <c r="DL15" s="10">
        <v>0</v>
      </c>
      <c r="DM15" s="10">
        <v>0</v>
      </c>
      <c r="DN15" s="10">
        <v>0</v>
      </c>
      <c r="DO15" s="10">
        <v>0</v>
      </c>
      <c r="DP15" s="10">
        <v>0</v>
      </c>
      <c r="DQ15" s="10">
        <v>0</v>
      </c>
      <c r="DR15" s="10">
        <v>0</v>
      </c>
      <c r="DS15" s="10">
        <v>4.7861622060543098E-2</v>
      </c>
      <c r="DT15" s="10">
        <v>0.15791256439917997</v>
      </c>
      <c r="DU15" s="10">
        <v>0</v>
      </c>
      <c r="DV15" s="10">
        <v>0</v>
      </c>
      <c r="DW15" s="10">
        <v>0</v>
      </c>
      <c r="DX15" s="10">
        <v>0</v>
      </c>
      <c r="DY15" s="10">
        <v>0.51424875402911718</v>
      </c>
      <c r="DZ15" s="10">
        <v>0</v>
      </c>
      <c r="EA15" s="10">
        <v>0</v>
      </c>
      <c r="EB15" s="10">
        <v>0</v>
      </c>
      <c r="EC15" s="10">
        <v>0</v>
      </c>
      <c r="ED15" s="10">
        <v>0</v>
      </c>
      <c r="EE15" s="10">
        <v>0</v>
      </c>
      <c r="EF15" s="10">
        <v>0</v>
      </c>
      <c r="EG15" s="10">
        <v>0</v>
      </c>
      <c r="EH15" s="10">
        <v>0</v>
      </c>
      <c r="EI15" s="10">
        <v>0</v>
      </c>
      <c r="EJ15" s="10">
        <v>0</v>
      </c>
      <c r="EK15" s="10">
        <v>0</v>
      </c>
      <c r="EL15" s="10">
        <v>0</v>
      </c>
      <c r="EM15" s="10">
        <v>0</v>
      </c>
      <c r="EN15" s="10">
        <v>0</v>
      </c>
      <c r="EO15" s="10">
        <v>0</v>
      </c>
      <c r="EP15" s="10">
        <v>0</v>
      </c>
      <c r="EQ15" s="10">
        <v>0</v>
      </c>
      <c r="ER15" s="10">
        <v>0</v>
      </c>
      <c r="ES15" s="10">
        <v>0</v>
      </c>
      <c r="ET15" s="10">
        <v>0</v>
      </c>
      <c r="EU15" s="10">
        <v>0</v>
      </c>
      <c r="EV15" s="10">
        <v>0</v>
      </c>
      <c r="EW15" s="10">
        <v>0</v>
      </c>
      <c r="EX15" s="10">
        <v>0</v>
      </c>
      <c r="EY15" s="10">
        <v>0</v>
      </c>
      <c r="EZ15" s="10">
        <v>0</v>
      </c>
      <c r="FA15" s="10">
        <v>0</v>
      </c>
      <c r="FB15" s="10">
        <v>0</v>
      </c>
      <c r="FC15" s="10">
        <v>0</v>
      </c>
      <c r="FD15" s="10">
        <v>0</v>
      </c>
      <c r="FE15" s="10">
        <v>0</v>
      </c>
      <c r="FF15" s="10">
        <v>0</v>
      </c>
      <c r="FG15" s="10">
        <v>0</v>
      </c>
      <c r="FH15" s="10">
        <v>0</v>
      </c>
      <c r="FI15" s="10">
        <v>0</v>
      </c>
      <c r="FJ15" s="10">
        <v>0</v>
      </c>
      <c r="FK15" s="10">
        <v>0</v>
      </c>
      <c r="FL15" s="10">
        <v>0</v>
      </c>
      <c r="FM15" s="10">
        <v>0</v>
      </c>
      <c r="FN15" s="10">
        <v>0</v>
      </c>
      <c r="FO15" s="10">
        <v>0</v>
      </c>
      <c r="FP15" s="10">
        <v>0</v>
      </c>
      <c r="FQ15" s="10">
        <v>0</v>
      </c>
      <c r="FR15" s="10">
        <v>0</v>
      </c>
      <c r="FS15" s="10">
        <v>0</v>
      </c>
      <c r="FT15" s="10">
        <v>0</v>
      </c>
      <c r="FU15" s="10">
        <v>0</v>
      </c>
      <c r="FV15" s="10">
        <v>0</v>
      </c>
      <c r="FW15" s="10">
        <v>0</v>
      </c>
      <c r="FX15" s="10">
        <v>0</v>
      </c>
      <c r="FY15" s="10">
        <v>0</v>
      </c>
      <c r="FZ15" s="10">
        <v>0</v>
      </c>
      <c r="GA15" s="10">
        <v>0</v>
      </c>
      <c r="GB15" s="10">
        <v>4.4064356230553992E-2</v>
      </c>
      <c r="GC15" s="10">
        <v>0</v>
      </c>
      <c r="GD15" s="10">
        <v>0</v>
      </c>
      <c r="GE15" s="10">
        <v>0</v>
      </c>
      <c r="GF15" s="10">
        <v>0</v>
      </c>
      <c r="GG15" s="10">
        <v>0</v>
      </c>
      <c r="GH15" s="10">
        <v>0</v>
      </c>
      <c r="GI15" s="10">
        <v>0</v>
      </c>
      <c r="GJ15" s="10">
        <v>0</v>
      </c>
      <c r="GK15" s="10">
        <v>0</v>
      </c>
      <c r="GL15" s="10">
        <v>0</v>
      </c>
      <c r="GM15" s="10">
        <v>0</v>
      </c>
      <c r="GN15" s="10">
        <v>0</v>
      </c>
      <c r="GO15" s="10">
        <v>0</v>
      </c>
      <c r="GP15" s="10">
        <v>0</v>
      </c>
      <c r="GQ15" s="10">
        <v>0</v>
      </c>
      <c r="GR15" s="10">
        <v>0</v>
      </c>
      <c r="GS15" s="10">
        <v>0</v>
      </c>
      <c r="GT15" s="10">
        <v>0</v>
      </c>
      <c r="GU15" s="10">
        <v>0</v>
      </c>
      <c r="GV15" s="10">
        <v>0</v>
      </c>
      <c r="GW15" s="10">
        <v>0</v>
      </c>
      <c r="GX15" s="10">
        <v>0</v>
      </c>
      <c r="GY15" s="10">
        <v>0</v>
      </c>
      <c r="GZ15" s="10">
        <v>0</v>
      </c>
      <c r="HA15" s="10">
        <v>0</v>
      </c>
      <c r="HB15" s="10">
        <v>0</v>
      </c>
      <c r="HC15" s="10">
        <v>0</v>
      </c>
      <c r="HD15" s="10">
        <v>0</v>
      </c>
      <c r="HE15" s="10">
        <v>0</v>
      </c>
      <c r="HF15" s="10">
        <v>0</v>
      </c>
      <c r="HG15" s="10">
        <v>0</v>
      </c>
      <c r="HH15" s="10">
        <v>0</v>
      </c>
      <c r="HI15" s="10">
        <v>0</v>
      </c>
      <c r="HJ15" s="10">
        <v>0</v>
      </c>
      <c r="HK15" s="10">
        <v>0</v>
      </c>
      <c r="HL15" s="10">
        <v>0</v>
      </c>
      <c r="HM15" s="10">
        <v>0</v>
      </c>
      <c r="HN15" s="10">
        <v>0</v>
      </c>
      <c r="HO15" s="10">
        <v>0</v>
      </c>
      <c r="HP15" s="10">
        <v>0</v>
      </c>
      <c r="HQ15" s="10">
        <v>0</v>
      </c>
      <c r="HR15" s="10">
        <v>0</v>
      </c>
      <c r="HS15" s="10">
        <v>0</v>
      </c>
      <c r="HT15" s="10">
        <v>0</v>
      </c>
      <c r="HU15" s="10">
        <v>0</v>
      </c>
    </row>
    <row r="16" spans="1:229" x14ac:dyDescent="0.25">
      <c r="A16" s="10">
        <v>0</v>
      </c>
      <c r="B16" s="2" t="s">
        <v>20</v>
      </c>
      <c r="C16" s="2" t="s">
        <v>21</v>
      </c>
      <c r="D16" s="17">
        <v>15.259</v>
      </c>
      <c r="E16" s="3">
        <v>19.8</v>
      </c>
      <c r="F16" s="3">
        <v>0.46</v>
      </c>
      <c r="G16" s="3">
        <v>0</v>
      </c>
      <c r="H16" s="8">
        <v>0.46</v>
      </c>
      <c r="I16" s="3">
        <v>842</v>
      </c>
      <c r="J16" s="3">
        <v>7.0229999999999997</v>
      </c>
      <c r="K16" s="3">
        <v>0.72399999999999998</v>
      </c>
      <c r="L16" s="3"/>
      <c r="M16" s="2" t="str">
        <f t="shared" si="7"/>
        <v>01007</v>
      </c>
      <c r="N16" s="3">
        <v>0.4879992218360783</v>
      </c>
      <c r="O16" s="3">
        <v>1.5120007781639224</v>
      </c>
      <c r="P16" s="17">
        <v>0.48799922183611016</v>
      </c>
      <c r="Q16" s="3">
        <v>1.5120007781639189</v>
      </c>
      <c r="R16" s="3">
        <v>8.7277064176909693</v>
      </c>
      <c r="S16" s="3" t="e">
        <v>#DIV/0!</v>
      </c>
      <c r="T16" s="3">
        <v>0.48799922183607475</v>
      </c>
      <c r="U16" s="3">
        <v>0.40967075754745591</v>
      </c>
      <c r="V16" s="3">
        <v>1.5120007781639111</v>
      </c>
      <c r="W16" s="3">
        <v>4.7501946756503903</v>
      </c>
      <c r="X16" s="3">
        <v>7.4463801259972051</v>
      </c>
      <c r="Y16" s="3">
        <v>29.937615407645595</v>
      </c>
      <c r="Z16" s="3">
        <v>4.0147449521378462</v>
      </c>
      <c r="AA16" s="3">
        <v>0.2791252992148196</v>
      </c>
      <c r="AB16" s="3">
        <v>0.22447964204459439</v>
      </c>
      <c r="AC16" s="3">
        <v>344.94277785495785</v>
      </c>
      <c r="AD16" s="3">
        <v>10.618781465045148</v>
      </c>
      <c r="AE16" s="3">
        <v>3.4391409451708825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10">
        <v>0</v>
      </c>
      <c r="BB16" s="10">
        <v>0</v>
      </c>
      <c r="BC16" s="10">
        <v>0</v>
      </c>
      <c r="BD16" s="10">
        <v>0</v>
      </c>
      <c r="BE16" s="10">
        <v>0</v>
      </c>
      <c r="BF16" s="10">
        <v>0</v>
      </c>
      <c r="BG16" s="10">
        <v>0</v>
      </c>
      <c r="BH16" s="10">
        <v>0</v>
      </c>
      <c r="BI16" s="10">
        <v>0</v>
      </c>
      <c r="BJ16" s="10">
        <v>0</v>
      </c>
      <c r="BK16" s="10">
        <v>0</v>
      </c>
      <c r="BL16" s="10">
        <v>0</v>
      </c>
      <c r="BM16" s="10">
        <v>0</v>
      </c>
      <c r="BN16" s="10">
        <v>0</v>
      </c>
      <c r="BO16" s="10">
        <v>0</v>
      </c>
      <c r="BP16" s="10">
        <v>0</v>
      </c>
      <c r="BQ16" s="10">
        <v>0</v>
      </c>
      <c r="BR16" s="10">
        <v>0</v>
      </c>
      <c r="BS16" s="10">
        <v>0</v>
      </c>
      <c r="BT16" s="10">
        <v>0</v>
      </c>
      <c r="BU16" s="10">
        <v>0</v>
      </c>
      <c r="BV16" s="10">
        <v>0</v>
      </c>
      <c r="BW16" s="10">
        <v>0</v>
      </c>
      <c r="BX16" s="10">
        <v>0</v>
      </c>
      <c r="BY16" s="10">
        <v>0</v>
      </c>
      <c r="BZ16" s="10">
        <v>0</v>
      </c>
      <c r="CA16" s="10">
        <v>0.41371724425353784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10">
        <v>0</v>
      </c>
      <c r="CI16" s="10">
        <v>0</v>
      </c>
      <c r="CJ16" s="10">
        <v>0</v>
      </c>
      <c r="CK16" s="10">
        <v>0</v>
      </c>
      <c r="CL16" s="10">
        <v>0</v>
      </c>
      <c r="CM16" s="10">
        <v>0</v>
      </c>
      <c r="CN16" s="10">
        <v>0</v>
      </c>
      <c r="CO16" s="10">
        <v>0</v>
      </c>
      <c r="CP16" s="10">
        <v>0</v>
      </c>
      <c r="CQ16" s="10">
        <v>0</v>
      </c>
      <c r="CR16" s="10">
        <v>0</v>
      </c>
      <c r="CS16" s="10">
        <v>0</v>
      </c>
      <c r="CT16" s="10">
        <v>0</v>
      </c>
      <c r="CU16" s="10">
        <v>0</v>
      </c>
      <c r="CV16" s="10">
        <v>0</v>
      </c>
      <c r="CW16" s="10">
        <v>0</v>
      </c>
      <c r="CX16" s="10">
        <v>0</v>
      </c>
      <c r="CY16" s="10">
        <v>0</v>
      </c>
      <c r="CZ16" s="10">
        <v>0</v>
      </c>
      <c r="DA16" s="10">
        <v>0</v>
      </c>
      <c r="DB16" s="10">
        <v>0</v>
      </c>
      <c r="DC16" s="10">
        <v>0</v>
      </c>
      <c r="DD16" s="10">
        <v>0</v>
      </c>
      <c r="DE16" s="10">
        <v>0</v>
      </c>
      <c r="DF16" s="10">
        <v>0</v>
      </c>
      <c r="DG16" s="10">
        <v>0</v>
      </c>
      <c r="DH16" s="10">
        <v>0</v>
      </c>
      <c r="DI16" s="10">
        <v>0</v>
      </c>
      <c r="DJ16" s="10">
        <v>0</v>
      </c>
      <c r="DK16" s="10">
        <v>0</v>
      </c>
      <c r="DL16" s="10">
        <v>0</v>
      </c>
      <c r="DM16" s="10">
        <v>0</v>
      </c>
      <c r="DN16" s="10">
        <v>0</v>
      </c>
      <c r="DO16" s="10">
        <v>0</v>
      </c>
      <c r="DP16" s="10">
        <v>0</v>
      </c>
      <c r="DQ16" s="10">
        <v>0</v>
      </c>
      <c r="DR16" s="10">
        <v>0</v>
      </c>
      <c r="DS16" s="10">
        <v>0</v>
      </c>
      <c r="DT16" s="10">
        <v>0</v>
      </c>
      <c r="DU16" s="10">
        <v>0</v>
      </c>
      <c r="DV16" s="10">
        <v>0</v>
      </c>
      <c r="DW16" s="10">
        <v>0</v>
      </c>
      <c r="DX16" s="10">
        <v>0</v>
      </c>
      <c r="DY16" s="10">
        <v>0.5354013116248526</v>
      </c>
      <c r="DZ16" s="10">
        <v>0</v>
      </c>
      <c r="EA16" s="10">
        <v>0</v>
      </c>
      <c r="EB16" s="10">
        <v>0</v>
      </c>
      <c r="EC16" s="10">
        <v>0</v>
      </c>
      <c r="ED16" s="10">
        <v>0</v>
      </c>
      <c r="EE16" s="10">
        <v>0</v>
      </c>
      <c r="EF16" s="10">
        <v>0</v>
      </c>
      <c r="EG16" s="10">
        <v>0</v>
      </c>
      <c r="EH16" s="10">
        <v>0</v>
      </c>
      <c r="EI16" s="10">
        <v>0</v>
      </c>
      <c r="EJ16" s="10">
        <v>0</v>
      </c>
      <c r="EK16" s="10">
        <v>0</v>
      </c>
      <c r="EL16" s="10">
        <v>0</v>
      </c>
      <c r="EM16" s="10">
        <v>0</v>
      </c>
      <c r="EN16" s="10">
        <v>0</v>
      </c>
      <c r="EO16" s="10">
        <v>0</v>
      </c>
      <c r="EP16" s="10">
        <v>0</v>
      </c>
      <c r="EQ16" s="10">
        <v>0</v>
      </c>
      <c r="ER16" s="10">
        <v>0</v>
      </c>
      <c r="ES16" s="10">
        <v>0</v>
      </c>
      <c r="ET16" s="10">
        <v>0</v>
      </c>
      <c r="EU16" s="10">
        <v>0</v>
      </c>
      <c r="EV16" s="10">
        <v>0</v>
      </c>
      <c r="EW16" s="10">
        <v>0</v>
      </c>
      <c r="EX16" s="10">
        <v>0</v>
      </c>
      <c r="EY16" s="10">
        <v>0</v>
      </c>
      <c r="EZ16" s="10">
        <v>0</v>
      </c>
      <c r="FA16" s="10">
        <v>0</v>
      </c>
      <c r="FB16" s="10">
        <v>0</v>
      </c>
      <c r="FC16" s="10">
        <v>0</v>
      </c>
      <c r="FD16" s="10">
        <v>0</v>
      </c>
      <c r="FE16" s="10">
        <v>0</v>
      </c>
      <c r="FF16" s="10">
        <v>0</v>
      </c>
      <c r="FG16" s="10">
        <v>0</v>
      </c>
      <c r="FH16" s="10">
        <v>0</v>
      </c>
      <c r="FI16" s="10">
        <v>0</v>
      </c>
      <c r="FJ16" s="10">
        <v>0</v>
      </c>
      <c r="FK16" s="10">
        <v>0</v>
      </c>
      <c r="FL16" s="10">
        <v>0</v>
      </c>
      <c r="FM16" s="10">
        <v>0</v>
      </c>
      <c r="FN16" s="10">
        <v>0</v>
      </c>
      <c r="FO16" s="10">
        <v>0</v>
      </c>
      <c r="FP16" s="10">
        <v>0</v>
      </c>
      <c r="FQ16" s="10">
        <v>0</v>
      </c>
      <c r="FR16" s="10">
        <v>0</v>
      </c>
      <c r="FS16" s="10">
        <v>0</v>
      </c>
      <c r="FT16" s="10">
        <v>0</v>
      </c>
      <c r="FU16" s="10">
        <v>0</v>
      </c>
      <c r="FV16" s="10">
        <v>0</v>
      </c>
      <c r="FW16" s="10">
        <v>0</v>
      </c>
      <c r="FX16" s="10">
        <v>0</v>
      </c>
      <c r="FY16" s="10">
        <v>0</v>
      </c>
      <c r="FZ16" s="10">
        <v>0</v>
      </c>
      <c r="GA16" s="10">
        <v>3.9313422424622484E-2</v>
      </c>
      <c r="GB16" s="10">
        <v>0</v>
      </c>
      <c r="GC16" s="10">
        <v>0</v>
      </c>
      <c r="GD16" s="10">
        <v>0</v>
      </c>
      <c r="GE16" s="10">
        <v>0</v>
      </c>
      <c r="GF16" s="10">
        <v>0</v>
      </c>
      <c r="GG16" s="10">
        <v>0</v>
      </c>
      <c r="GH16" s="10">
        <v>0</v>
      </c>
      <c r="GI16" s="10">
        <v>0</v>
      </c>
      <c r="GJ16" s="10">
        <v>0</v>
      </c>
      <c r="GK16" s="10">
        <v>0</v>
      </c>
      <c r="GL16" s="10">
        <v>0</v>
      </c>
      <c r="GM16" s="10">
        <v>0</v>
      </c>
      <c r="GN16" s="10">
        <v>0</v>
      </c>
      <c r="GO16" s="10">
        <v>0</v>
      </c>
      <c r="GP16" s="10">
        <v>0</v>
      </c>
      <c r="GQ16" s="10">
        <v>0</v>
      </c>
      <c r="GR16" s="10">
        <v>0</v>
      </c>
      <c r="GS16" s="10">
        <v>0</v>
      </c>
      <c r="GT16" s="10">
        <v>0</v>
      </c>
      <c r="GU16" s="10">
        <v>0</v>
      </c>
      <c r="GV16" s="10">
        <v>0</v>
      </c>
      <c r="GW16" s="10">
        <v>1.1568021696987073E-2</v>
      </c>
      <c r="GX16" s="10">
        <v>0</v>
      </c>
      <c r="GY16" s="10">
        <v>0</v>
      </c>
      <c r="GZ16" s="10">
        <v>0</v>
      </c>
      <c r="HA16" s="10">
        <v>0</v>
      </c>
      <c r="HB16" s="10">
        <v>0</v>
      </c>
      <c r="HC16" s="10">
        <v>0</v>
      </c>
      <c r="HD16" s="10">
        <v>0</v>
      </c>
      <c r="HE16" s="10">
        <v>0</v>
      </c>
      <c r="HF16" s="10">
        <v>0</v>
      </c>
      <c r="HG16" s="10">
        <v>0</v>
      </c>
      <c r="HH16" s="10">
        <v>0</v>
      </c>
      <c r="HI16" s="10">
        <v>0</v>
      </c>
      <c r="HJ16" s="10">
        <v>0</v>
      </c>
      <c r="HK16" s="10">
        <v>0</v>
      </c>
      <c r="HL16" s="10">
        <v>0</v>
      </c>
      <c r="HM16" s="10">
        <v>0</v>
      </c>
      <c r="HN16" s="10">
        <v>0</v>
      </c>
      <c r="HO16" s="10">
        <v>0</v>
      </c>
      <c r="HP16" s="10">
        <v>0</v>
      </c>
      <c r="HQ16" s="10">
        <v>0</v>
      </c>
      <c r="HR16" s="10">
        <v>0</v>
      </c>
      <c r="HS16" s="10">
        <v>0</v>
      </c>
      <c r="HT16" s="10">
        <v>0</v>
      </c>
      <c r="HU16" s="10">
        <v>0</v>
      </c>
    </row>
    <row r="17" spans="1:229" x14ac:dyDescent="0.25">
      <c r="A17" s="10">
        <v>0</v>
      </c>
      <c r="B17" s="2" t="s">
        <v>22</v>
      </c>
      <c r="C17" s="2" t="s">
        <v>23</v>
      </c>
      <c r="D17" s="17">
        <v>18.584</v>
      </c>
      <c r="E17" s="3">
        <v>25.18</v>
      </c>
      <c r="F17" s="3">
        <v>3.06</v>
      </c>
      <c r="G17" s="3">
        <v>0</v>
      </c>
      <c r="H17" s="3"/>
      <c r="I17" s="3">
        <v>690</v>
      </c>
      <c r="J17" s="3">
        <v>8.2750000000000004</v>
      </c>
      <c r="K17" s="3">
        <v>0.83</v>
      </c>
      <c r="L17" s="3"/>
      <c r="M17" s="2" t="str">
        <f t="shared" si="7"/>
        <v>01008</v>
      </c>
      <c r="N17" s="3">
        <v>0.57728587426785405</v>
      </c>
      <c r="O17" s="3">
        <v>1.4227141257321458</v>
      </c>
      <c r="P17" s="17">
        <v>0.57728587426789801</v>
      </c>
      <c r="Q17" s="3">
        <v>1.4227141257321432</v>
      </c>
      <c r="R17" s="3">
        <v>0.98438493476199118</v>
      </c>
      <c r="S17" s="3" t="e">
        <v>#DIV/0!</v>
      </c>
      <c r="T17" s="3" t="e">
        <v>#DIV/0!</v>
      </c>
      <c r="U17" s="3">
        <v>0.57728587426785438</v>
      </c>
      <c r="V17" s="3">
        <v>1.5179148496413459</v>
      </c>
      <c r="W17" s="3">
        <v>4.7595320993126924</v>
      </c>
      <c r="X17" s="3">
        <v>10.728280687394616</v>
      </c>
      <c r="Y17" s="3">
        <v>35.823941685935367</v>
      </c>
      <c r="Z17" s="3">
        <v>3.0122179003716929</v>
      </c>
      <c r="AA17" s="3">
        <v>0</v>
      </c>
      <c r="AB17" s="3">
        <v>0</v>
      </c>
      <c r="AC17" s="3">
        <v>398.32725324481953</v>
      </c>
      <c r="AD17" s="3">
        <v>12.560745380782139</v>
      </c>
      <c r="AE17" s="3">
        <v>3.9504116424295344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10">
        <v>0</v>
      </c>
      <c r="BB17" s="10">
        <v>0</v>
      </c>
      <c r="BC17" s="10">
        <v>0</v>
      </c>
      <c r="BD17" s="10">
        <v>0</v>
      </c>
      <c r="BE17" s="10">
        <v>0</v>
      </c>
      <c r="BF17" s="10">
        <v>0</v>
      </c>
      <c r="BG17" s="10">
        <v>0</v>
      </c>
      <c r="BH17" s="10">
        <v>0</v>
      </c>
      <c r="BI17" s="10">
        <v>0</v>
      </c>
      <c r="BJ17" s="10">
        <v>0</v>
      </c>
      <c r="BK17" s="10">
        <v>0</v>
      </c>
      <c r="BL17" s="10">
        <v>0.10375754609223173</v>
      </c>
      <c r="BM17" s="10">
        <v>0</v>
      </c>
      <c r="BN17" s="10">
        <v>0</v>
      </c>
      <c r="BO17" s="10">
        <v>0</v>
      </c>
      <c r="BP17" s="10">
        <v>0</v>
      </c>
      <c r="BQ17" s="10">
        <v>0</v>
      </c>
      <c r="BR17" s="10">
        <v>0</v>
      </c>
      <c r="BS17" s="10">
        <v>0</v>
      </c>
      <c r="BT17" s="10">
        <v>0</v>
      </c>
      <c r="BU17" s="10">
        <v>0</v>
      </c>
      <c r="BV17" s="10">
        <v>0</v>
      </c>
      <c r="BW17" s="10">
        <v>0</v>
      </c>
      <c r="BX17" s="10">
        <v>0</v>
      </c>
      <c r="BY17" s="10">
        <v>0</v>
      </c>
      <c r="BZ17" s="10">
        <v>0</v>
      </c>
      <c r="CA17" s="10">
        <v>0</v>
      </c>
      <c r="CB17" s="10">
        <v>0</v>
      </c>
      <c r="CC17" s="10">
        <v>0</v>
      </c>
      <c r="CD17" s="10">
        <v>0</v>
      </c>
      <c r="CE17" s="10">
        <v>0</v>
      </c>
      <c r="CF17" s="10">
        <v>0</v>
      </c>
      <c r="CG17" s="10">
        <v>0</v>
      </c>
      <c r="CH17" s="10">
        <v>0</v>
      </c>
      <c r="CI17" s="10">
        <v>0</v>
      </c>
      <c r="CJ17" s="10">
        <v>0</v>
      </c>
      <c r="CK17" s="10">
        <v>0</v>
      </c>
      <c r="CL17" s="10">
        <v>0</v>
      </c>
      <c r="CM17" s="10">
        <v>0</v>
      </c>
      <c r="CN17" s="10">
        <v>0</v>
      </c>
      <c r="CO17" s="10">
        <v>0</v>
      </c>
      <c r="CP17" s="10">
        <v>0</v>
      </c>
      <c r="CQ17" s="10">
        <v>0.22948113009383372</v>
      </c>
      <c r="CR17" s="10">
        <v>0</v>
      </c>
      <c r="CS17" s="10">
        <v>0</v>
      </c>
      <c r="CT17" s="10">
        <v>0</v>
      </c>
      <c r="CU17" s="10">
        <v>0</v>
      </c>
      <c r="CV17" s="10">
        <v>0</v>
      </c>
      <c r="CW17" s="10">
        <v>0</v>
      </c>
      <c r="CX17" s="10">
        <v>0</v>
      </c>
      <c r="CY17" s="10">
        <v>0</v>
      </c>
      <c r="CZ17" s="10">
        <v>0</v>
      </c>
      <c r="DA17" s="10">
        <v>0</v>
      </c>
      <c r="DB17" s="10">
        <v>0</v>
      </c>
      <c r="DC17" s="10">
        <v>0</v>
      </c>
      <c r="DD17" s="10">
        <v>0</v>
      </c>
      <c r="DE17" s="10">
        <v>0</v>
      </c>
      <c r="DF17" s="10">
        <v>0</v>
      </c>
      <c r="DG17" s="10">
        <v>0</v>
      </c>
      <c r="DH17" s="10">
        <v>0</v>
      </c>
      <c r="DI17" s="10">
        <v>0</v>
      </c>
      <c r="DJ17" s="10">
        <v>0</v>
      </c>
      <c r="DK17" s="10">
        <v>0</v>
      </c>
      <c r="DL17" s="10">
        <v>0</v>
      </c>
      <c r="DM17" s="10">
        <v>0</v>
      </c>
      <c r="DN17" s="10">
        <v>0</v>
      </c>
      <c r="DO17" s="10">
        <v>0</v>
      </c>
      <c r="DP17" s="10">
        <v>0</v>
      </c>
      <c r="DQ17" s="10">
        <v>0</v>
      </c>
      <c r="DR17" s="10">
        <v>0</v>
      </c>
      <c r="DS17" s="10">
        <v>0</v>
      </c>
      <c r="DT17" s="10">
        <v>0</v>
      </c>
      <c r="DU17" s="10">
        <v>0</v>
      </c>
      <c r="DV17" s="10">
        <v>0</v>
      </c>
      <c r="DW17" s="10">
        <v>0</v>
      </c>
      <c r="DX17" s="10">
        <v>0</v>
      </c>
      <c r="DY17" s="10">
        <v>0.66676132381393438</v>
      </c>
      <c r="DZ17" s="10">
        <v>0</v>
      </c>
      <c r="EA17" s="10">
        <v>0</v>
      </c>
      <c r="EB17" s="10">
        <v>0</v>
      </c>
      <c r="EC17" s="10">
        <v>0</v>
      </c>
      <c r="ED17" s="10">
        <v>0</v>
      </c>
      <c r="EE17" s="10">
        <v>0</v>
      </c>
      <c r="EF17" s="10">
        <v>0</v>
      </c>
      <c r="EG17" s="10">
        <v>0</v>
      </c>
      <c r="EH17" s="10">
        <v>0</v>
      </c>
      <c r="EI17" s="10">
        <v>0</v>
      </c>
      <c r="EJ17" s="10">
        <v>0</v>
      </c>
      <c r="EK17" s="10">
        <v>0</v>
      </c>
      <c r="EL17" s="10">
        <v>0</v>
      </c>
      <c r="EM17" s="10">
        <v>0</v>
      </c>
      <c r="EN17" s="10">
        <v>0</v>
      </c>
      <c r="EO17" s="10">
        <v>0</v>
      </c>
      <c r="EP17" s="10">
        <v>0</v>
      </c>
      <c r="EQ17" s="10">
        <v>0</v>
      </c>
      <c r="ER17" s="10">
        <v>0</v>
      </c>
      <c r="ES17" s="10">
        <v>0</v>
      </c>
      <c r="ET17" s="10">
        <v>0</v>
      </c>
      <c r="EU17" s="10">
        <v>0</v>
      </c>
      <c r="EV17" s="10">
        <v>0</v>
      </c>
      <c r="EW17" s="10">
        <v>0</v>
      </c>
      <c r="EX17" s="10">
        <v>0</v>
      </c>
      <c r="EY17" s="10">
        <v>0</v>
      </c>
      <c r="EZ17" s="10">
        <v>0</v>
      </c>
      <c r="FA17" s="10">
        <v>0</v>
      </c>
      <c r="FB17" s="10">
        <v>0</v>
      </c>
      <c r="FC17" s="10">
        <v>0</v>
      </c>
      <c r="FD17" s="10">
        <v>0</v>
      </c>
      <c r="FE17" s="10">
        <v>0</v>
      </c>
      <c r="FF17" s="10">
        <v>0</v>
      </c>
      <c r="FG17" s="10">
        <v>0</v>
      </c>
      <c r="FH17" s="10">
        <v>0</v>
      </c>
      <c r="FI17" s="10">
        <v>0</v>
      </c>
      <c r="FJ17" s="10">
        <v>0</v>
      </c>
      <c r="FK17" s="10">
        <v>0</v>
      </c>
      <c r="FL17" s="10">
        <v>0</v>
      </c>
      <c r="FM17" s="10">
        <v>0</v>
      </c>
      <c r="FN17" s="10">
        <v>0</v>
      </c>
      <c r="FO17" s="10">
        <v>0</v>
      </c>
      <c r="FP17" s="10">
        <v>0</v>
      </c>
      <c r="FQ17" s="10">
        <v>0</v>
      </c>
      <c r="FR17" s="10">
        <v>0</v>
      </c>
      <c r="FS17" s="10">
        <v>0</v>
      </c>
      <c r="FT17" s="10">
        <v>0</v>
      </c>
      <c r="FU17" s="10">
        <v>0</v>
      </c>
      <c r="FV17" s="10">
        <v>0</v>
      </c>
      <c r="FW17" s="10">
        <v>0</v>
      </c>
      <c r="FX17" s="10">
        <v>0</v>
      </c>
      <c r="FY17" s="10">
        <v>0</v>
      </c>
      <c r="FZ17" s="10">
        <v>0</v>
      </c>
      <c r="GA17" s="10">
        <v>0</v>
      </c>
      <c r="GB17" s="10">
        <v>0</v>
      </c>
      <c r="GC17" s="10">
        <v>0</v>
      </c>
      <c r="GD17" s="10">
        <v>0</v>
      </c>
      <c r="GE17" s="10">
        <v>0</v>
      </c>
      <c r="GF17" s="10">
        <v>0</v>
      </c>
      <c r="GG17" s="10">
        <v>0</v>
      </c>
      <c r="GH17" s="10">
        <v>0</v>
      </c>
      <c r="GI17" s="10">
        <v>0</v>
      </c>
      <c r="GJ17" s="10">
        <v>0</v>
      </c>
      <c r="GK17" s="10">
        <v>0</v>
      </c>
      <c r="GL17" s="10">
        <v>0</v>
      </c>
      <c r="GM17" s="10">
        <v>0</v>
      </c>
      <c r="GN17" s="10">
        <v>0</v>
      </c>
      <c r="GO17" s="10">
        <v>0</v>
      </c>
      <c r="GP17" s="10">
        <v>0</v>
      </c>
      <c r="GQ17" s="10">
        <v>0</v>
      </c>
      <c r="GR17" s="10">
        <v>0</v>
      </c>
      <c r="GS17" s="10">
        <v>0</v>
      </c>
      <c r="GT17" s="10">
        <v>0</v>
      </c>
      <c r="GU17" s="10">
        <v>0</v>
      </c>
      <c r="GV17" s="10">
        <v>0</v>
      </c>
      <c r="GW17" s="10">
        <v>0</v>
      </c>
      <c r="GX17" s="10">
        <v>0</v>
      </c>
      <c r="GY17" s="10">
        <v>0</v>
      </c>
      <c r="GZ17" s="10">
        <v>0</v>
      </c>
      <c r="HA17" s="10">
        <v>0</v>
      </c>
      <c r="HB17" s="10">
        <v>0</v>
      </c>
      <c r="HC17" s="10">
        <v>0</v>
      </c>
      <c r="HD17" s="10">
        <v>0</v>
      </c>
      <c r="HE17" s="10">
        <v>0</v>
      </c>
      <c r="HF17" s="10">
        <v>0</v>
      </c>
      <c r="HG17" s="10">
        <v>0</v>
      </c>
      <c r="HH17" s="10">
        <v>0</v>
      </c>
      <c r="HI17" s="10">
        <v>0</v>
      </c>
      <c r="HJ17" s="10">
        <v>0</v>
      </c>
      <c r="HK17" s="10">
        <v>0</v>
      </c>
      <c r="HL17" s="10">
        <v>0</v>
      </c>
      <c r="HM17" s="10">
        <v>0</v>
      </c>
      <c r="HN17" s="10">
        <v>0</v>
      </c>
      <c r="HO17" s="10">
        <v>0</v>
      </c>
      <c r="HP17" s="10">
        <v>0</v>
      </c>
      <c r="HQ17" s="10">
        <v>0</v>
      </c>
      <c r="HR17" s="10">
        <v>0</v>
      </c>
      <c r="HS17" s="10">
        <v>0</v>
      </c>
      <c r="HT17" s="10">
        <v>0</v>
      </c>
      <c r="HU17" s="10">
        <v>0</v>
      </c>
    </row>
    <row r="18" spans="1:229" x14ac:dyDescent="0.25">
      <c r="A18" s="10">
        <v>0</v>
      </c>
      <c r="B18" s="2" t="s">
        <v>24</v>
      </c>
      <c r="C18" s="2" t="s">
        <v>25</v>
      </c>
      <c r="D18" s="17">
        <v>18.867000000000001</v>
      </c>
      <c r="E18" s="3">
        <v>22.87</v>
      </c>
      <c r="F18" s="3">
        <v>3.09</v>
      </c>
      <c r="G18" s="3">
        <v>0</v>
      </c>
      <c r="H18" s="3">
        <v>0.48</v>
      </c>
      <c r="I18" s="3">
        <v>653</v>
      </c>
      <c r="J18" s="3">
        <v>9.2460000000000004</v>
      </c>
      <c r="K18" s="3">
        <v>1.421</v>
      </c>
      <c r="L18" s="3"/>
      <c r="M18" s="2" t="str">
        <f t="shared" si="7"/>
        <v>01009</v>
      </c>
      <c r="N18" s="3">
        <v>0.53461104513127089</v>
      </c>
      <c r="O18" s="3">
        <v>1.4653889548687291</v>
      </c>
      <c r="P18" s="17">
        <v>0.53461104513120183</v>
      </c>
      <c r="Q18" s="3">
        <v>1.465388954868728</v>
      </c>
      <c r="R18" s="3">
        <v>1.1094403479211605</v>
      </c>
      <c r="S18" s="3" t="e">
        <v>#DIV/0!</v>
      </c>
      <c r="T18" s="3">
        <v>0.53461104513129543</v>
      </c>
      <c r="U18" s="3">
        <v>0.53461104513127089</v>
      </c>
      <c r="V18" s="3">
        <v>1.465388954868756</v>
      </c>
      <c r="W18" s="3">
        <v>3.1484880162084257</v>
      </c>
      <c r="X18" s="3">
        <v>10.086506588490385</v>
      </c>
      <c r="Y18" s="3">
        <v>33.513445397847811</v>
      </c>
      <c r="Z18" s="3">
        <v>3.4281706750763856</v>
      </c>
      <c r="AA18" s="3">
        <v>0.14951253418680271</v>
      </c>
      <c r="AB18" s="3">
        <v>0.25661330166302182</v>
      </c>
      <c r="AC18" s="3">
        <v>349.10101247071992</v>
      </c>
      <c r="AD18" s="3">
        <v>13.548986276716519</v>
      </c>
      <c r="AE18" s="3">
        <v>4.4740014710321727</v>
      </c>
      <c r="AF18" s="3">
        <v>0</v>
      </c>
      <c r="AG18" s="3">
        <v>0</v>
      </c>
      <c r="AH18" s="3">
        <v>0</v>
      </c>
      <c r="AI18" s="10">
        <v>0</v>
      </c>
      <c r="AJ18" s="3">
        <v>0</v>
      </c>
      <c r="AK18" s="3">
        <v>0</v>
      </c>
      <c r="AL18" s="3">
        <v>0</v>
      </c>
      <c r="AM18" s="3">
        <v>0</v>
      </c>
      <c r="AN18" s="10">
        <v>0</v>
      </c>
      <c r="AO18" s="10">
        <v>0</v>
      </c>
      <c r="AP18" s="10">
        <v>0</v>
      </c>
      <c r="AQ18" s="10">
        <v>0</v>
      </c>
      <c r="AR18" s="10">
        <v>0</v>
      </c>
      <c r="AS18" s="10">
        <v>0</v>
      </c>
      <c r="AT18" s="10">
        <v>0</v>
      </c>
      <c r="AU18" s="10">
        <v>0</v>
      </c>
      <c r="AV18" s="10">
        <v>0</v>
      </c>
      <c r="AW18" s="3">
        <v>0</v>
      </c>
      <c r="AX18" s="3">
        <v>0</v>
      </c>
      <c r="AY18" s="3">
        <v>0</v>
      </c>
      <c r="AZ18" s="3">
        <v>0</v>
      </c>
      <c r="BA18" s="10">
        <v>0</v>
      </c>
      <c r="BB18" s="10">
        <v>0</v>
      </c>
      <c r="BC18" s="10">
        <v>0</v>
      </c>
      <c r="BD18" s="10">
        <v>0</v>
      </c>
      <c r="BE18" s="10">
        <v>0</v>
      </c>
      <c r="BF18" s="10">
        <v>0</v>
      </c>
      <c r="BG18" s="10">
        <v>0</v>
      </c>
      <c r="BH18" s="10">
        <v>0</v>
      </c>
      <c r="BI18" s="10">
        <v>0</v>
      </c>
      <c r="BJ18" s="10">
        <v>0</v>
      </c>
      <c r="BK18" s="10">
        <v>0</v>
      </c>
      <c r="BL18" s="10">
        <v>0</v>
      </c>
      <c r="BM18" s="10">
        <v>0</v>
      </c>
      <c r="BN18" s="10">
        <v>0</v>
      </c>
      <c r="BO18" s="10">
        <v>0</v>
      </c>
      <c r="BP18" s="10">
        <v>0</v>
      </c>
      <c r="BQ18" s="10">
        <v>0</v>
      </c>
      <c r="BR18" s="10">
        <v>0</v>
      </c>
      <c r="BS18" s="10">
        <v>0</v>
      </c>
      <c r="BT18" s="10">
        <v>0</v>
      </c>
      <c r="BU18" s="10">
        <v>0</v>
      </c>
      <c r="BV18" s="10">
        <v>0</v>
      </c>
      <c r="BW18" s="10">
        <v>0</v>
      </c>
      <c r="BX18" s="10">
        <v>0</v>
      </c>
      <c r="BY18" s="10">
        <v>0</v>
      </c>
      <c r="BZ18" s="10">
        <v>0</v>
      </c>
      <c r="CA18" s="10">
        <v>0.16100861854022072</v>
      </c>
      <c r="CB18" s="10">
        <v>0</v>
      </c>
      <c r="CC18" s="10">
        <v>0</v>
      </c>
      <c r="CD18" s="10">
        <v>0</v>
      </c>
      <c r="CE18" s="10">
        <v>0</v>
      </c>
      <c r="CF18" s="10">
        <v>0</v>
      </c>
      <c r="CG18" s="10">
        <v>0</v>
      </c>
      <c r="CH18" s="10">
        <v>0</v>
      </c>
      <c r="CI18" s="10">
        <v>0</v>
      </c>
      <c r="CJ18" s="10">
        <v>0</v>
      </c>
      <c r="CK18" s="10">
        <v>0</v>
      </c>
      <c r="CL18" s="10">
        <v>0</v>
      </c>
      <c r="CM18" s="10">
        <v>0</v>
      </c>
      <c r="CN18" s="10">
        <v>0</v>
      </c>
      <c r="CO18" s="10">
        <v>0</v>
      </c>
      <c r="CP18" s="10">
        <v>0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>
        <v>0</v>
      </c>
      <c r="CW18" s="10">
        <v>0</v>
      </c>
      <c r="CX18" s="10">
        <v>0</v>
      </c>
      <c r="CY18" s="10">
        <v>0</v>
      </c>
      <c r="CZ18" s="10">
        <v>0</v>
      </c>
      <c r="DA18" s="10">
        <v>0</v>
      </c>
      <c r="DB18" s="10">
        <v>0</v>
      </c>
      <c r="DC18" s="10">
        <v>0</v>
      </c>
      <c r="DD18" s="10">
        <v>0</v>
      </c>
      <c r="DE18" s="10">
        <v>0</v>
      </c>
      <c r="DF18" s="10">
        <v>0</v>
      </c>
      <c r="DG18" s="10">
        <v>0</v>
      </c>
      <c r="DH18" s="10">
        <v>0</v>
      </c>
      <c r="DI18" s="10">
        <v>0</v>
      </c>
      <c r="DJ18" s="10">
        <v>0</v>
      </c>
      <c r="DK18" s="10">
        <v>0</v>
      </c>
      <c r="DL18" s="10">
        <v>0</v>
      </c>
      <c r="DM18" s="10">
        <v>0</v>
      </c>
      <c r="DN18" s="10">
        <v>0</v>
      </c>
      <c r="DO18" s="10">
        <v>0</v>
      </c>
      <c r="DP18" s="10">
        <v>0</v>
      </c>
      <c r="DQ18" s="10">
        <v>0</v>
      </c>
      <c r="DR18" s="10">
        <v>0</v>
      </c>
      <c r="DS18" s="10">
        <v>0.22883932129575404</v>
      </c>
      <c r="DT18" s="10">
        <v>0</v>
      </c>
      <c r="DU18" s="10">
        <v>0</v>
      </c>
      <c r="DV18" s="10">
        <v>0</v>
      </c>
      <c r="DW18" s="10">
        <v>0</v>
      </c>
      <c r="DX18" s="10">
        <v>0</v>
      </c>
      <c r="DY18" s="10">
        <v>0.58662459824404278</v>
      </c>
      <c r="DZ18" s="10">
        <v>0</v>
      </c>
      <c r="EA18" s="10">
        <v>0</v>
      </c>
      <c r="EB18" s="10">
        <v>0</v>
      </c>
      <c r="EC18" s="10">
        <v>0</v>
      </c>
      <c r="ED18" s="10">
        <v>0</v>
      </c>
      <c r="EE18" s="10">
        <v>0</v>
      </c>
      <c r="EF18" s="10">
        <v>0</v>
      </c>
      <c r="EG18" s="10">
        <v>0</v>
      </c>
      <c r="EH18" s="10">
        <v>0</v>
      </c>
      <c r="EI18" s="10">
        <v>0</v>
      </c>
      <c r="EJ18" s="10">
        <v>0</v>
      </c>
      <c r="EK18" s="10">
        <v>0</v>
      </c>
      <c r="EL18" s="10">
        <v>0</v>
      </c>
      <c r="EM18" s="10">
        <v>0</v>
      </c>
      <c r="EN18" s="10">
        <v>0</v>
      </c>
      <c r="EO18" s="10">
        <v>0</v>
      </c>
      <c r="EP18" s="10">
        <v>0</v>
      </c>
      <c r="EQ18" s="10">
        <v>0</v>
      </c>
      <c r="ER18" s="10">
        <v>0</v>
      </c>
      <c r="ES18" s="10">
        <v>0</v>
      </c>
      <c r="ET18" s="10">
        <v>0</v>
      </c>
      <c r="EU18" s="10">
        <v>0</v>
      </c>
      <c r="EV18" s="10">
        <v>0</v>
      </c>
      <c r="EW18" s="10">
        <v>0</v>
      </c>
      <c r="EX18" s="10">
        <v>0</v>
      </c>
      <c r="EY18" s="10">
        <v>0</v>
      </c>
      <c r="EZ18" s="10">
        <v>0</v>
      </c>
      <c r="FA18" s="10">
        <v>0</v>
      </c>
      <c r="FB18" s="10">
        <v>0</v>
      </c>
      <c r="FC18" s="10">
        <v>0</v>
      </c>
      <c r="FD18" s="10">
        <v>0</v>
      </c>
      <c r="FE18" s="10">
        <v>0</v>
      </c>
      <c r="FF18" s="10">
        <v>0</v>
      </c>
      <c r="FG18" s="10">
        <v>0</v>
      </c>
      <c r="FH18" s="10">
        <v>0</v>
      </c>
      <c r="FI18" s="10">
        <v>0</v>
      </c>
      <c r="FJ18" s="10">
        <v>0</v>
      </c>
      <c r="FK18" s="10">
        <v>0</v>
      </c>
      <c r="FL18" s="10">
        <v>0</v>
      </c>
      <c r="FM18" s="10">
        <v>0</v>
      </c>
      <c r="FN18" s="10">
        <v>0</v>
      </c>
      <c r="FO18" s="10">
        <v>0</v>
      </c>
      <c r="FP18" s="10">
        <v>0</v>
      </c>
      <c r="FQ18" s="10">
        <v>0</v>
      </c>
      <c r="FR18" s="10">
        <v>0</v>
      </c>
      <c r="FS18" s="10">
        <v>0</v>
      </c>
      <c r="FT18" s="10">
        <v>0</v>
      </c>
      <c r="FU18" s="10">
        <v>0</v>
      </c>
      <c r="FV18" s="10">
        <v>0</v>
      </c>
      <c r="FW18" s="10">
        <v>0</v>
      </c>
      <c r="FX18" s="10">
        <v>0</v>
      </c>
      <c r="FY18" s="10">
        <v>0</v>
      </c>
      <c r="FZ18" s="10">
        <v>0</v>
      </c>
      <c r="GA18" s="10">
        <v>2.0089727518987743E-2</v>
      </c>
      <c r="GB18" s="10">
        <v>3.4377344009948775E-3</v>
      </c>
      <c r="GC18" s="10">
        <v>0</v>
      </c>
      <c r="GD18" s="10">
        <v>0</v>
      </c>
      <c r="GE18" s="10">
        <v>0</v>
      </c>
      <c r="GF18" s="10">
        <v>0</v>
      </c>
      <c r="GG18" s="10">
        <v>0</v>
      </c>
      <c r="GH18" s="10">
        <v>0</v>
      </c>
      <c r="GI18" s="10">
        <v>0</v>
      </c>
      <c r="GJ18" s="10">
        <v>0</v>
      </c>
      <c r="GK18" s="10">
        <v>0</v>
      </c>
      <c r="GL18" s="10">
        <v>0</v>
      </c>
      <c r="GM18" s="10">
        <v>0</v>
      </c>
      <c r="GN18" s="10">
        <v>0</v>
      </c>
      <c r="GO18" s="10">
        <v>0</v>
      </c>
      <c r="GP18" s="10">
        <v>0</v>
      </c>
      <c r="GQ18" s="10">
        <v>0</v>
      </c>
      <c r="GR18" s="10">
        <v>0</v>
      </c>
      <c r="GS18" s="10">
        <v>0</v>
      </c>
      <c r="GT18" s="10">
        <v>0</v>
      </c>
      <c r="GU18" s="10">
        <v>0</v>
      </c>
      <c r="GV18" s="10">
        <v>0</v>
      </c>
      <c r="GW18" s="10">
        <v>0</v>
      </c>
      <c r="GX18" s="10">
        <v>0</v>
      </c>
      <c r="GY18" s="10">
        <v>0</v>
      </c>
      <c r="GZ18" s="10">
        <v>0</v>
      </c>
      <c r="HA18" s="10">
        <v>0</v>
      </c>
      <c r="HB18" s="10">
        <v>0</v>
      </c>
      <c r="HC18" s="10">
        <v>0</v>
      </c>
      <c r="HD18" s="10">
        <v>0</v>
      </c>
      <c r="HE18" s="10">
        <v>0</v>
      </c>
      <c r="HF18" s="10">
        <v>0</v>
      </c>
      <c r="HG18" s="10">
        <v>0</v>
      </c>
      <c r="HH18" s="10">
        <v>0</v>
      </c>
      <c r="HI18" s="10">
        <v>0</v>
      </c>
      <c r="HJ18" s="10">
        <v>0</v>
      </c>
      <c r="HK18" s="10">
        <v>0</v>
      </c>
      <c r="HL18" s="10">
        <v>0</v>
      </c>
      <c r="HM18" s="10">
        <v>0</v>
      </c>
      <c r="HN18" s="10">
        <v>0</v>
      </c>
      <c r="HO18" s="10">
        <v>0</v>
      </c>
      <c r="HP18" s="10">
        <v>0</v>
      </c>
      <c r="HQ18" s="10">
        <v>0</v>
      </c>
      <c r="HR18" s="10">
        <v>0</v>
      </c>
      <c r="HS18" s="10">
        <v>0</v>
      </c>
      <c r="HT18" s="10">
        <v>0</v>
      </c>
      <c r="HU18" s="10">
        <v>0</v>
      </c>
    </row>
    <row r="19" spans="1:229" x14ac:dyDescent="0.25">
      <c r="A19" s="10">
        <v>0</v>
      </c>
      <c r="B19" s="2" t="s">
        <v>26</v>
      </c>
      <c r="C19" s="2" t="s">
        <v>27</v>
      </c>
      <c r="D19" s="17">
        <v>1.718</v>
      </c>
      <c r="E19" s="3">
        <v>11.12</v>
      </c>
      <c r="F19" s="3">
        <v>3.38</v>
      </c>
      <c r="G19" s="3">
        <v>0</v>
      </c>
      <c r="H19" s="3">
        <v>2.67</v>
      </c>
      <c r="I19" s="3">
        <v>364</v>
      </c>
      <c r="J19" s="3">
        <v>0.77800000000000002</v>
      </c>
      <c r="K19" s="3">
        <v>0.123</v>
      </c>
      <c r="L19" s="3"/>
      <c r="M19" s="2" t="str">
        <f t="shared" si="7"/>
        <v>01012</v>
      </c>
      <c r="N19" s="3">
        <v>0.38037947825154156</v>
      </c>
      <c r="O19" s="3">
        <v>1.6196205217484583</v>
      </c>
      <c r="P19" s="17">
        <v>0.38037947825155682</v>
      </c>
      <c r="Q19" s="3">
        <v>1.6196205217484556</v>
      </c>
      <c r="R19" s="3">
        <v>2.8186744546150848</v>
      </c>
      <c r="S19" s="3" t="e">
        <v>#DIV/0!</v>
      </c>
      <c r="T19" s="3">
        <v>0.3803794782515425</v>
      </c>
      <c r="U19" s="3">
        <v>0.38037947825154161</v>
      </c>
      <c r="V19" s="3">
        <v>3.2066585246939781</v>
      </c>
      <c r="W19" s="3">
        <v>3.8134423453615778</v>
      </c>
      <c r="X19" s="3">
        <v>0.65349194363617458</v>
      </c>
      <c r="Y19" s="3">
        <v>18.010180201842825</v>
      </c>
      <c r="Z19" s="3">
        <v>9.5271196565989857</v>
      </c>
      <c r="AA19" s="3">
        <v>0.50532369323545645</v>
      </c>
      <c r="AB19" s="3">
        <v>1.0156132069316184</v>
      </c>
      <c r="AC19" s="3">
        <v>138.45813008356114</v>
      </c>
      <c r="AD19" s="3">
        <v>2.4947803322119149</v>
      </c>
      <c r="AE19" s="3">
        <v>0.46905340847947408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10">
        <v>0</v>
      </c>
      <c r="BB19" s="10">
        <v>0</v>
      </c>
      <c r="BC19" s="10">
        <v>0</v>
      </c>
      <c r="BD19" s="10">
        <v>0</v>
      </c>
      <c r="BE19" s="10">
        <v>0</v>
      </c>
      <c r="BF19" s="10">
        <v>0</v>
      </c>
      <c r="BG19" s="10">
        <v>0</v>
      </c>
      <c r="BH19" s="10">
        <v>0</v>
      </c>
      <c r="BI19" s="10">
        <v>0</v>
      </c>
      <c r="BJ19" s="10">
        <v>0</v>
      </c>
      <c r="BK19" s="10">
        <v>0</v>
      </c>
      <c r="BL19" s="10">
        <v>0</v>
      </c>
      <c r="BM19" s="10">
        <v>0</v>
      </c>
      <c r="BN19" s="10">
        <v>0</v>
      </c>
      <c r="BO19" s="10">
        <v>0</v>
      </c>
      <c r="BP19" s="10">
        <v>0</v>
      </c>
      <c r="BQ19" s="10">
        <v>0</v>
      </c>
      <c r="BR19" s="10">
        <v>0</v>
      </c>
      <c r="BS19" s="10">
        <v>0</v>
      </c>
      <c r="BT19" s="10">
        <v>0</v>
      </c>
      <c r="BU19" s="10">
        <v>0</v>
      </c>
      <c r="BV19" s="10">
        <v>0</v>
      </c>
      <c r="BW19" s="10">
        <v>0</v>
      </c>
      <c r="BX19" s="10">
        <v>0</v>
      </c>
      <c r="BY19" s="10">
        <v>0</v>
      </c>
      <c r="BZ19" s="10">
        <v>0</v>
      </c>
      <c r="CA19" s="10">
        <v>0</v>
      </c>
      <c r="CB19" s="10">
        <v>0</v>
      </c>
      <c r="CC19" s="10">
        <v>0</v>
      </c>
      <c r="CD19" s="10">
        <v>0</v>
      </c>
      <c r="CE19" s="10">
        <v>0</v>
      </c>
      <c r="CF19" s="10">
        <v>0</v>
      </c>
      <c r="CG19" s="10">
        <v>0</v>
      </c>
      <c r="CH19" s="10">
        <v>0</v>
      </c>
      <c r="CI19" s="10">
        <v>0</v>
      </c>
      <c r="CJ19" s="10">
        <v>0</v>
      </c>
      <c r="CK19" s="10">
        <v>0</v>
      </c>
      <c r="CL19" s="10">
        <v>0</v>
      </c>
      <c r="CM19" s="10">
        <v>0</v>
      </c>
      <c r="CN19" s="10">
        <v>0</v>
      </c>
      <c r="CO19" s="10">
        <v>0</v>
      </c>
      <c r="CP19" s="10">
        <v>0</v>
      </c>
      <c r="CQ19" s="10">
        <v>0.68808716624439403</v>
      </c>
      <c r="CR19" s="10">
        <v>0</v>
      </c>
      <c r="CS19" s="10">
        <v>0</v>
      </c>
      <c r="CT19" s="10">
        <v>0</v>
      </c>
      <c r="CU19" s="10">
        <v>0</v>
      </c>
      <c r="CV19" s="10">
        <v>0</v>
      </c>
      <c r="CW19" s="10">
        <v>0</v>
      </c>
      <c r="CX19" s="10">
        <v>0</v>
      </c>
      <c r="CY19" s="10">
        <v>0</v>
      </c>
      <c r="CZ19" s="10">
        <v>0</v>
      </c>
      <c r="DA19" s="10">
        <v>0</v>
      </c>
      <c r="DB19" s="10">
        <v>0</v>
      </c>
      <c r="DC19" s="10">
        <v>0</v>
      </c>
      <c r="DD19" s="10">
        <v>0</v>
      </c>
      <c r="DE19" s="10">
        <v>0</v>
      </c>
      <c r="DF19" s="10">
        <v>0</v>
      </c>
      <c r="DG19" s="10">
        <v>0</v>
      </c>
      <c r="DH19" s="10">
        <v>0</v>
      </c>
      <c r="DI19" s="10">
        <v>0</v>
      </c>
      <c r="DJ19" s="10">
        <v>0</v>
      </c>
      <c r="DK19" s="10">
        <v>0</v>
      </c>
      <c r="DL19" s="10">
        <v>0</v>
      </c>
      <c r="DM19" s="10">
        <v>0</v>
      </c>
      <c r="DN19" s="10">
        <v>0</v>
      </c>
      <c r="DO19" s="10">
        <v>0</v>
      </c>
      <c r="DP19" s="10">
        <v>0</v>
      </c>
      <c r="DQ19" s="10">
        <v>0</v>
      </c>
      <c r="DR19" s="10">
        <v>0</v>
      </c>
      <c r="DS19" s="10">
        <v>0</v>
      </c>
      <c r="DT19" s="10">
        <v>3.1036377879409417E-2</v>
      </c>
      <c r="DU19" s="10">
        <v>0</v>
      </c>
      <c r="DV19" s="10">
        <v>0</v>
      </c>
      <c r="DW19" s="10">
        <v>0</v>
      </c>
      <c r="DX19" s="10">
        <v>0</v>
      </c>
      <c r="DY19" s="10">
        <v>0</v>
      </c>
      <c r="DZ19" s="10">
        <v>2.8214609258468349E-2</v>
      </c>
      <c r="EA19" s="10">
        <v>0</v>
      </c>
      <c r="EB19" s="10">
        <v>0</v>
      </c>
      <c r="EC19" s="10">
        <v>0</v>
      </c>
      <c r="ED19" s="10">
        <v>0</v>
      </c>
      <c r="EE19" s="10">
        <v>0</v>
      </c>
      <c r="EF19" s="10">
        <v>0</v>
      </c>
      <c r="EG19" s="10">
        <v>0</v>
      </c>
      <c r="EH19" s="10">
        <v>0</v>
      </c>
      <c r="EI19" s="10">
        <v>0</v>
      </c>
      <c r="EJ19" s="10">
        <v>0</v>
      </c>
      <c r="EK19" s="10">
        <v>0</v>
      </c>
      <c r="EL19" s="10">
        <v>0</v>
      </c>
      <c r="EM19" s="10">
        <v>0</v>
      </c>
      <c r="EN19" s="10">
        <v>0</v>
      </c>
      <c r="EO19" s="10">
        <v>0</v>
      </c>
      <c r="EP19" s="10">
        <v>0</v>
      </c>
      <c r="EQ19" s="10">
        <v>0</v>
      </c>
      <c r="ER19" s="10">
        <v>0</v>
      </c>
      <c r="ES19" s="10">
        <v>0</v>
      </c>
      <c r="ET19" s="10">
        <v>0</v>
      </c>
      <c r="EU19" s="10">
        <v>0</v>
      </c>
      <c r="EV19" s="10">
        <v>0</v>
      </c>
      <c r="EW19" s="10">
        <v>0</v>
      </c>
      <c r="EX19" s="10">
        <v>0</v>
      </c>
      <c r="EY19" s="10">
        <v>0</v>
      </c>
      <c r="EZ19" s="10">
        <v>0</v>
      </c>
      <c r="FA19" s="10">
        <v>0</v>
      </c>
      <c r="FB19" s="10">
        <v>0</v>
      </c>
      <c r="FC19" s="10">
        <v>0</v>
      </c>
      <c r="FD19" s="10">
        <v>0</v>
      </c>
      <c r="FE19" s="10">
        <v>0</v>
      </c>
      <c r="FF19" s="10">
        <v>0</v>
      </c>
      <c r="FG19" s="10">
        <v>0</v>
      </c>
      <c r="FH19" s="10">
        <v>0</v>
      </c>
      <c r="FI19" s="10">
        <v>0</v>
      </c>
      <c r="FJ19" s="10">
        <v>0</v>
      </c>
      <c r="FK19" s="10">
        <v>0</v>
      </c>
      <c r="FL19" s="10">
        <v>0</v>
      </c>
      <c r="FM19" s="10">
        <v>0</v>
      </c>
      <c r="FN19" s="10">
        <v>0</v>
      </c>
      <c r="FO19" s="10">
        <v>0</v>
      </c>
      <c r="FP19" s="10">
        <v>0</v>
      </c>
      <c r="FQ19" s="10">
        <v>0</v>
      </c>
      <c r="FR19" s="10">
        <v>0</v>
      </c>
      <c r="FS19" s="10">
        <v>0</v>
      </c>
      <c r="FT19" s="10">
        <v>0</v>
      </c>
      <c r="FU19" s="10">
        <v>0</v>
      </c>
      <c r="FV19" s="10">
        <v>0</v>
      </c>
      <c r="FW19" s="10">
        <v>0</v>
      </c>
      <c r="FX19" s="10">
        <v>0</v>
      </c>
      <c r="FY19" s="10">
        <v>0</v>
      </c>
      <c r="FZ19" s="10">
        <v>0</v>
      </c>
      <c r="GA19" s="10">
        <v>0</v>
      </c>
      <c r="GB19" s="10">
        <v>0.25266184661772823</v>
      </c>
      <c r="GC19" s="10">
        <v>0</v>
      </c>
      <c r="GD19" s="10">
        <v>0</v>
      </c>
      <c r="GE19" s="10">
        <v>0</v>
      </c>
      <c r="GF19" s="10">
        <v>0</v>
      </c>
      <c r="GG19" s="10">
        <v>0</v>
      </c>
      <c r="GH19" s="10">
        <v>0</v>
      </c>
      <c r="GI19" s="10">
        <v>0</v>
      </c>
      <c r="GJ19" s="10">
        <v>0</v>
      </c>
      <c r="GK19" s="10">
        <v>0</v>
      </c>
      <c r="GL19" s="10">
        <v>0</v>
      </c>
      <c r="GM19" s="10">
        <v>0</v>
      </c>
      <c r="GN19" s="10">
        <v>0</v>
      </c>
      <c r="GO19" s="10">
        <v>0</v>
      </c>
      <c r="GP19" s="10">
        <v>0</v>
      </c>
      <c r="GQ19" s="10">
        <v>0</v>
      </c>
      <c r="GR19" s="10">
        <v>0</v>
      </c>
      <c r="GS19" s="10">
        <v>0</v>
      </c>
      <c r="GT19" s="10">
        <v>0</v>
      </c>
      <c r="GU19" s="10">
        <v>0</v>
      </c>
      <c r="GV19" s="10">
        <v>0</v>
      </c>
      <c r="GW19" s="10">
        <v>0</v>
      </c>
      <c r="GX19" s="10">
        <v>0</v>
      </c>
      <c r="GY19" s="10">
        <v>0</v>
      </c>
      <c r="GZ19" s="10">
        <v>0</v>
      </c>
      <c r="HA19" s="10">
        <v>0</v>
      </c>
      <c r="HB19" s="10">
        <v>0</v>
      </c>
      <c r="HC19" s="10">
        <v>0</v>
      </c>
      <c r="HD19" s="10">
        <v>0</v>
      </c>
      <c r="HE19" s="10">
        <v>0</v>
      </c>
      <c r="HF19" s="10">
        <v>0</v>
      </c>
      <c r="HG19" s="10">
        <v>0</v>
      </c>
      <c r="HH19" s="10">
        <v>0</v>
      </c>
      <c r="HI19" s="10">
        <v>0</v>
      </c>
      <c r="HJ19" s="10">
        <v>0</v>
      </c>
      <c r="HK19" s="10">
        <v>0</v>
      </c>
      <c r="HL19" s="10">
        <v>0</v>
      </c>
      <c r="HM19" s="10">
        <v>0</v>
      </c>
      <c r="HN19" s="10">
        <v>0</v>
      </c>
      <c r="HO19" s="10">
        <v>0</v>
      </c>
      <c r="HP19" s="10">
        <v>0</v>
      </c>
      <c r="HQ19" s="10">
        <v>0</v>
      </c>
      <c r="HR19" s="10">
        <v>0</v>
      </c>
      <c r="HS19" s="10">
        <v>0</v>
      </c>
      <c r="HT19" s="10">
        <v>0</v>
      </c>
      <c r="HU19" s="10">
        <v>0</v>
      </c>
    </row>
    <row r="20" spans="1:229" x14ac:dyDescent="0.25">
      <c r="A20" s="10">
        <v>0</v>
      </c>
      <c r="B20" s="2" t="s">
        <v>28</v>
      </c>
      <c r="C20" s="2" t="s">
        <v>29</v>
      </c>
      <c r="D20" s="17">
        <v>2.3109999999999999</v>
      </c>
      <c r="E20" s="3">
        <v>10.69</v>
      </c>
      <c r="F20" s="3">
        <v>4.6100000000000003</v>
      </c>
      <c r="G20" s="3">
        <v>0.2</v>
      </c>
      <c r="H20" s="8">
        <v>2.38</v>
      </c>
      <c r="I20" s="3">
        <v>344</v>
      </c>
      <c r="J20" s="3">
        <v>1.036</v>
      </c>
      <c r="K20" s="3">
        <v>0.124</v>
      </c>
      <c r="L20" s="3"/>
      <c r="M20" s="2" t="str">
        <f t="shared" si="7"/>
        <v>01013</v>
      </c>
      <c r="N20" s="3">
        <v>0.38830698239377176</v>
      </c>
      <c r="O20" s="3">
        <v>1.6116930176062285</v>
      </c>
      <c r="P20" s="17">
        <v>0.38830698239369799</v>
      </c>
      <c r="Q20" s="3">
        <v>1.6116930176062261</v>
      </c>
      <c r="R20" s="3">
        <v>1.9483109397059872</v>
      </c>
      <c r="S20" s="3">
        <v>2.2854191237911405</v>
      </c>
      <c r="T20" s="3">
        <v>0.38830698239377154</v>
      </c>
      <c r="U20" s="3">
        <v>0.38830698239377121</v>
      </c>
      <c r="V20" s="3">
        <v>2.5129122986859591</v>
      </c>
      <c r="W20" s="3">
        <v>4.7667042197891272</v>
      </c>
      <c r="X20" s="3">
        <v>0.89737743631183597</v>
      </c>
      <c r="Y20" s="3">
        <v>17.228998358210557</v>
      </c>
      <c r="Z20" s="3">
        <v>8.9817134320446019</v>
      </c>
      <c r="AA20" s="3">
        <v>0.45708382475822812</v>
      </c>
      <c r="AB20" s="3">
        <v>0.92417061809717627</v>
      </c>
      <c r="AC20" s="3">
        <v>133.5776019434573</v>
      </c>
      <c r="AD20" s="3">
        <v>2.6033771414386537</v>
      </c>
      <c r="AE20" s="3">
        <v>0.59107132325385181</v>
      </c>
      <c r="AF20" s="3">
        <v>0</v>
      </c>
      <c r="AG20" s="3">
        <v>0</v>
      </c>
      <c r="AH20" s="3">
        <v>0</v>
      </c>
      <c r="AI20" s="10">
        <v>0</v>
      </c>
      <c r="AJ20" s="3">
        <v>0</v>
      </c>
      <c r="AK20" s="3">
        <v>0</v>
      </c>
      <c r="AL20" s="3">
        <v>0</v>
      </c>
      <c r="AM20" s="3">
        <v>0</v>
      </c>
      <c r="AN20" s="10">
        <v>0</v>
      </c>
      <c r="AO20" s="10">
        <v>0</v>
      </c>
      <c r="AP20" s="10">
        <v>0</v>
      </c>
      <c r="AQ20" s="10">
        <v>0</v>
      </c>
      <c r="AR20" s="10">
        <v>0</v>
      </c>
      <c r="AS20" s="10">
        <v>0</v>
      </c>
      <c r="AT20" s="10">
        <v>0</v>
      </c>
      <c r="AU20" s="10">
        <v>0</v>
      </c>
      <c r="AV20" s="10">
        <v>0</v>
      </c>
      <c r="AW20" s="3">
        <v>0</v>
      </c>
      <c r="AX20" s="3">
        <v>0</v>
      </c>
      <c r="AY20" s="3">
        <v>0</v>
      </c>
      <c r="AZ20" s="3">
        <v>0</v>
      </c>
      <c r="BA20" s="10">
        <v>0</v>
      </c>
      <c r="BB20" s="10">
        <v>0</v>
      </c>
      <c r="BC20" s="10">
        <v>0</v>
      </c>
      <c r="BD20" s="10">
        <v>0</v>
      </c>
      <c r="BE20" s="10">
        <v>0</v>
      </c>
      <c r="BF20" s="10">
        <v>0</v>
      </c>
      <c r="BG20" s="10">
        <v>0</v>
      </c>
      <c r="BH20" s="10">
        <v>0</v>
      </c>
      <c r="BI20" s="10">
        <v>0</v>
      </c>
      <c r="BJ20" s="10">
        <v>0</v>
      </c>
      <c r="BK20" s="10">
        <v>0</v>
      </c>
      <c r="BL20" s="10">
        <v>0</v>
      </c>
      <c r="BM20" s="10">
        <v>0</v>
      </c>
      <c r="BN20" s="10">
        <v>0</v>
      </c>
      <c r="BO20" s="10">
        <v>0</v>
      </c>
      <c r="BP20" s="10">
        <v>0</v>
      </c>
      <c r="BQ20" s="10">
        <v>0</v>
      </c>
      <c r="BR20" s="10">
        <v>0</v>
      </c>
      <c r="BS20" s="10">
        <v>0</v>
      </c>
      <c r="BT20" s="10">
        <v>0</v>
      </c>
      <c r="BU20" s="10">
        <v>0</v>
      </c>
      <c r="BV20" s="10">
        <v>0</v>
      </c>
      <c r="BW20" s="10">
        <v>0</v>
      </c>
      <c r="BX20" s="10">
        <v>0</v>
      </c>
      <c r="BY20" s="10">
        <v>0</v>
      </c>
      <c r="BZ20" s="10">
        <v>0</v>
      </c>
      <c r="CA20" s="10">
        <v>0</v>
      </c>
      <c r="CB20" s="10">
        <v>0</v>
      </c>
      <c r="CC20" s="10">
        <v>0</v>
      </c>
      <c r="CD20" s="10">
        <v>0</v>
      </c>
      <c r="CE20" s="10">
        <v>0</v>
      </c>
      <c r="CF20" s="10">
        <v>0</v>
      </c>
      <c r="CG20" s="10">
        <v>0</v>
      </c>
      <c r="CH20" s="10">
        <v>0</v>
      </c>
      <c r="CI20" s="10">
        <v>0</v>
      </c>
      <c r="CJ20" s="10">
        <v>0</v>
      </c>
      <c r="CK20" s="10">
        <v>0</v>
      </c>
      <c r="CL20" s="10">
        <v>0</v>
      </c>
      <c r="CM20" s="10">
        <v>0</v>
      </c>
      <c r="CN20" s="10">
        <v>0</v>
      </c>
      <c r="CO20" s="10">
        <v>0</v>
      </c>
      <c r="CP20" s="10">
        <v>0</v>
      </c>
      <c r="CQ20" s="10">
        <v>0.68120393850368255</v>
      </c>
      <c r="CR20" s="10">
        <v>0</v>
      </c>
      <c r="CS20" s="10">
        <v>0</v>
      </c>
      <c r="CT20" s="10">
        <v>0</v>
      </c>
      <c r="CU20" s="10">
        <v>0</v>
      </c>
      <c r="CV20" s="10">
        <v>0</v>
      </c>
      <c r="CW20" s="10">
        <v>0</v>
      </c>
      <c r="CX20" s="10">
        <v>0</v>
      </c>
      <c r="CY20" s="10">
        <v>0</v>
      </c>
      <c r="CZ20" s="10">
        <v>0</v>
      </c>
      <c r="DA20" s="10">
        <v>0</v>
      </c>
      <c r="DB20" s="10">
        <v>0</v>
      </c>
      <c r="DC20" s="10">
        <v>0</v>
      </c>
      <c r="DD20" s="10">
        <v>0</v>
      </c>
      <c r="DE20" s="10">
        <v>0</v>
      </c>
      <c r="DF20" s="10">
        <v>0</v>
      </c>
      <c r="DG20" s="10">
        <v>0</v>
      </c>
      <c r="DH20" s="10">
        <v>0</v>
      </c>
      <c r="DI20" s="10">
        <v>0</v>
      </c>
      <c r="DJ20" s="10">
        <v>0</v>
      </c>
      <c r="DK20" s="10">
        <v>0</v>
      </c>
      <c r="DL20" s="10">
        <v>0</v>
      </c>
      <c r="DM20" s="10">
        <v>0</v>
      </c>
      <c r="DN20" s="10">
        <v>0</v>
      </c>
      <c r="DO20" s="10">
        <v>0</v>
      </c>
      <c r="DP20" s="10">
        <v>0</v>
      </c>
      <c r="DQ20" s="10">
        <v>0</v>
      </c>
      <c r="DR20" s="10">
        <v>0</v>
      </c>
      <c r="DS20" s="10">
        <v>0</v>
      </c>
      <c r="DT20" s="10">
        <v>6.2518553629499984E-2</v>
      </c>
      <c r="DU20" s="10">
        <v>0</v>
      </c>
      <c r="DV20" s="10">
        <v>0</v>
      </c>
      <c r="DW20" s="10">
        <v>0</v>
      </c>
      <c r="DX20" s="10">
        <v>0</v>
      </c>
      <c r="DY20" s="10">
        <v>0</v>
      </c>
      <c r="DZ20" s="10">
        <v>2.77355954877033E-2</v>
      </c>
      <c r="EA20" s="10">
        <v>0</v>
      </c>
      <c r="EB20" s="10">
        <v>0</v>
      </c>
      <c r="EC20" s="10">
        <v>0</v>
      </c>
      <c r="ED20" s="10">
        <v>0</v>
      </c>
      <c r="EE20" s="10">
        <v>0</v>
      </c>
      <c r="EF20" s="10">
        <v>0</v>
      </c>
      <c r="EG20" s="10">
        <v>0</v>
      </c>
      <c r="EH20" s="10">
        <v>0</v>
      </c>
      <c r="EI20" s="10">
        <v>0</v>
      </c>
      <c r="EJ20" s="10">
        <v>0</v>
      </c>
      <c r="EK20" s="10">
        <v>0</v>
      </c>
      <c r="EL20" s="10">
        <v>0</v>
      </c>
      <c r="EM20" s="10">
        <v>0</v>
      </c>
      <c r="EN20" s="10">
        <v>0</v>
      </c>
      <c r="EO20" s="10">
        <v>0</v>
      </c>
      <c r="EP20" s="10">
        <v>0</v>
      </c>
      <c r="EQ20" s="10">
        <v>0</v>
      </c>
      <c r="ER20" s="10">
        <v>0</v>
      </c>
      <c r="ES20" s="10">
        <v>0</v>
      </c>
      <c r="ET20" s="10">
        <v>0</v>
      </c>
      <c r="EU20" s="10">
        <v>0</v>
      </c>
      <c r="EV20" s="10">
        <v>0</v>
      </c>
      <c r="EW20" s="10">
        <v>0</v>
      </c>
      <c r="EX20" s="10">
        <v>0</v>
      </c>
      <c r="EY20" s="10">
        <v>0</v>
      </c>
      <c r="EZ20" s="10">
        <v>0</v>
      </c>
      <c r="FA20" s="10">
        <v>0</v>
      </c>
      <c r="FB20" s="10">
        <v>0</v>
      </c>
      <c r="FC20" s="10">
        <v>0</v>
      </c>
      <c r="FD20" s="10">
        <v>0</v>
      </c>
      <c r="FE20" s="10">
        <v>0</v>
      </c>
      <c r="FF20" s="10">
        <v>0</v>
      </c>
      <c r="FG20" s="10">
        <v>0</v>
      </c>
      <c r="FH20" s="10">
        <v>0</v>
      </c>
      <c r="FI20" s="10">
        <v>0</v>
      </c>
      <c r="FJ20" s="10">
        <v>0</v>
      </c>
      <c r="FK20" s="10">
        <v>0</v>
      </c>
      <c r="FL20" s="10">
        <v>0</v>
      </c>
      <c r="FM20" s="10">
        <v>0</v>
      </c>
      <c r="FN20" s="10">
        <v>0</v>
      </c>
      <c r="FO20" s="10">
        <v>0</v>
      </c>
      <c r="FP20" s="10">
        <v>0</v>
      </c>
      <c r="FQ20" s="10">
        <v>0</v>
      </c>
      <c r="FR20" s="10">
        <v>0</v>
      </c>
      <c r="FS20" s="10">
        <v>0</v>
      </c>
      <c r="FT20" s="10">
        <v>0</v>
      </c>
      <c r="FU20" s="10">
        <v>0</v>
      </c>
      <c r="FV20" s="10">
        <v>0</v>
      </c>
      <c r="FW20" s="10">
        <v>0</v>
      </c>
      <c r="FX20" s="10">
        <v>0</v>
      </c>
      <c r="FY20" s="10">
        <v>0</v>
      </c>
      <c r="FZ20" s="10">
        <v>0</v>
      </c>
      <c r="GA20" s="10">
        <v>0</v>
      </c>
      <c r="GB20" s="10">
        <v>0.22854191237911406</v>
      </c>
      <c r="GC20" s="10">
        <v>0</v>
      </c>
      <c r="GD20" s="10">
        <v>0</v>
      </c>
      <c r="GE20" s="10">
        <v>0</v>
      </c>
      <c r="GF20" s="10">
        <v>0</v>
      </c>
      <c r="GG20" s="10">
        <v>0</v>
      </c>
      <c r="GH20" s="10">
        <v>0</v>
      </c>
      <c r="GI20" s="10">
        <v>0</v>
      </c>
      <c r="GJ20" s="10">
        <v>0</v>
      </c>
      <c r="GK20" s="10">
        <v>0</v>
      </c>
      <c r="GL20" s="10">
        <v>0</v>
      </c>
      <c r="GM20" s="10">
        <v>0</v>
      </c>
      <c r="GN20" s="10">
        <v>0</v>
      </c>
      <c r="GO20" s="10">
        <v>0</v>
      </c>
      <c r="GP20" s="10">
        <v>0</v>
      </c>
      <c r="GQ20" s="10">
        <v>0</v>
      </c>
      <c r="GR20" s="10">
        <v>0</v>
      </c>
      <c r="GS20" s="10">
        <v>0</v>
      </c>
      <c r="GT20" s="10">
        <v>0</v>
      </c>
      <c r="GU20" s="10">
        <v>0</v>
      </c>
      <c r="GV20" s="10">
        <v>0</v>
      </c>
      <c r="GW20" s="10">
        <v>0</v>
      </c>
      <c r="GX20" s="10">
        <v>0</v>
      </c>
      <c r="GY20" s="10">
        <v>0</v>
      </c>
      <c r="GZ20" s="10">
        <v>0</v>
      </c>
      <c r="HA20" s="10">
        <v>0</v>
      </c>
      <c r="HB20" s="10">
        <v>0</v>
      </c>
      <c r="HC20" s="10">
        <v>0</v>
      </c>
      <c r="HD20" s="10">
        <v>0</v>
      </c>
      <c r="HE20" s="10">
        <v>0</v>
      </c>
      <c r="HF20" s="10">
        <v>0</v>
      </c>
      <c r="HG20" s="10">
        <v>0</v>
      </c>
      <c r="HH20" s="10">
        <v>0</v>
      </c>
      <c r="HI20" s="10">
        <v>0</v>
      </c>
      <c r="HJ20" s="10">
        <v>0</v>
      </c>
      <c r="HK20" s="10">
        <v>0</v>
      </c>
      <c r="HL20" s="10">
        <v>0</v>
      </c>
      <c r="HM20" s="10">
        <v>0</v>
      </c>
      <c r="HN20" s="10">
        <v>0</v>
      </c>
      <c r="HO20" s="10">
        <v>0</v>
      </c>
      <c r="HP20" s="10">
        <v>0</v>
      </c>
      <c r="HQ20" s="10">
        <v>0</v>
      </c>
      <c r="HR20" s="10">
        <v>0</v>
      </c>
      <c r="HS20" s="10">
        <v>0</v>
      </c>
      <c r="HT20" s="10">
        <v>0</v>
      </c>
      <c r="HU20" s="10">
        <v>0</v>
      </c>
    </row>
    <row r="21" spans="1:229" x14ac:dyDescent="0.25">
      <c r="A21" s="10">
        <v>0</v>
      </c>
      <c r="B21" s="2" t="s">
        <v>30</v>
      </c>
      <c r="C21" s="2" t="s">
        <v>31</v>
      </c>
      <c r="D21" s="17">
        <v>0.16900000000000001</v>
      </c>
      <c r="E21" s="3">
        <v>10.34</v>
      </c>
      <c r="F21" s="3">
        <v>6.66</v>
      </c>
      <c r="G21" s="3">
        <v>0</v>
      </c>
      <c r="H21" s="3">
        <v>1.85</v>
      </c>
      <c r="I21" s="3">
        <v>372</v>
      </c>
      <c r="J21" s="3">
        <v>7.9000000000000001E-2</v>
      </c>
      <c r="K21" s="3">
        <v>3.0000000000000001E-3</v>
      </c>
      <c r="L21" s="3"/>
      <c r="M21" s="2" t="str">
        <f t="shared" si="7"/>
        <v>01014</v>
      </c>
      <c r="N21" s="3">
        <v>0.56510819312293703</v>
      </c>
      <c r="O21" s="3">
        <v>1.4348918068770631</v>
      </c>
      <c r="P21" s="17">
        <v>0.56510819312353844</v>
      </c>
      <c r="Q21" s="3">
        <v>1.434891806877062</v>
      </c>
      <c r="R21" s="3">
        <v>1.1448939061730554</v>
      </c>
      <c r="S21" s="3" t="e">
        <v>#DIV/0!</v>
      </c>
      <c r="T21" s="3">
        <v>0.5651081931229377</v>
      </c>
      <c r="U21" s="3">
        <v>0.56510819312293692</v>
      </c>
      <c r="V21" s="3">
        <v>1.434891806883908</v>
      </c>
      <c r="W21" s="3">
        <v>5.866406668118521</v>
      </c>
      <c r="X21" s="3">
        <v>9.5503284637877994E-2</v>
      </c>
      <c r="Y21" s="3">
        <v>14.83678128310882</v>
      </c>
      <c r="Z21" s="3">
        <v>7.6249934151125487</v>
      </c>
      <c r="AA21" s="3">
        <v>1.8249318651226705E-2</v>
      </c>
      <c r="AB21" s="3">
        <v>1.0454501572774348</v>
      </c>
      <c r="AC21" s="3">
        <v>210.22024784173254</v>
      </c>
      <c r="AD21" s="3">
        <v>0.11335645274382873</v>
      </c>
      <c r="AE21" s="3">
        <v>1.7599220004355563E-2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10">
        <v>0</v>
      </c>
      <c r="BB21" s="10">
        <v>0</v>
      </c>
      <c r="BC21" s="10">
        <v>0</v>
      </c>
      <c r="BD21" s="10">
        <v>0</v>
      </c>
      <c r="BE21" s="10">
        <v>0</v>
      </c>
      <c r="BF21" s="10">
        <v>0</v>
      </c>
      <c r="BG21" s="10">
        <v>0</v>
      </c>
      <c r="BH21" s="10">
        <v>0</v>
      </c>
      <c r="BI21" s="10">
        <v>0</v>
      </c>
      <c r="BJ21" s="10">
        <v>0</v>
      </c>
      <c r="BK21" s="10">
        <v>0</v>
      </c>
      <c r="BL21" s="10">
        <v>0</v>
      </c>
      <c r="BM21" s="10">
        <v>0</v>
      </c>
      <c r="BN21" s="10">
        <v>0</v>
      </c>
      <c r="BO21" s="10">
        <v>0</v>
      </c>
      <c r="BP21" s="10">
        <v>0</v>
      </c>
      <c r="BQ21" s="10">
        <v>0</v>
      </c>
      <c r="BR21" s="10">
        <v>0</v>
      </c>
      <c r="BS21" s="10">
        <v>0</v>
      </c>
      <c r="BT21" s="10">
        <v>0</v>
      </c>
      <c r="BU21" s="10">
        <v>0</v>
      </c>
      <c r="BV21" s="10">
        <v>0</v>
      </c>
      <c r="BW21" s="10">
        <v>0</v>
      </c>
      <c r="BX21" s="10">
        <v>0</v>
      </c>
      <c r="BY21" s="10">
        <v>0</v>
      </c>
      <c r="BZ21" s="10">
        <v>0</v>
      </c>
      <c r="CA21" s="10">
        <v>0</v>
      </c>
      <c r="CB21" s="10">
        <v>0</v>
      </c>
      <c r="CC21" s="10">
        <v>0</v>
      </c>
      <c r="CD21" s="10">
        <v>0</v>
      </c>
      <c r="CE21" s="10">
        <v>0</v>
      </c>
      <c r="CF21" s="10">
        <v>0</v>
      </c>
      <c r="CG21" s="10">
        <v>0</v>
      </c>
      <c r="CH21" s="10">
        <v>0</v>
      </c>
      <c r="CI21" s="10">
        <v>0</v>
      </c>
      <c r="CJ21" s="10">
        <v>0</v>
      </c>
      <c r="CK21" s="10">
        <v>0</v>
      </c>
      <c r="CL21" s="10">
        <v>0</v>
      </c>
      <c r="CM21" s="10">
        <v>0</v>
      </c>
      <c r="CN21" s="10">
        <v>0</v>
      </c>
      <c r="CO21" s="10">
        <v>0</v>
      </c>
      <c r="CP21" s="10">
        <v>0</v>
      </c>
      <c r="CQ21" s="10">
        <v>0.32620270339003721</v>
      </c>
      <c r="CR21" s="10">
        <v>0</v>
      </c>
      <c r="CS21" s="10">
        <v>0</v>
      </c>
      <c r="CT21" s="10">
        <v>0</v>
      </c>
      <c r="CU21" s="10">
        <v>0</v>
      </c>
      <c r="CV21" s="10">
        <v>0</v>
      </c>
      <c r="CW21" s="10">
        <v>0</v>
      </c>
      <c r="CX21" s="10">
        <v>0</v>
      </c>
      <c r="CY21" s="10">
        <v>0</v>
      </c>
      <c r="CZ21" s="10">
        <v>0</v>
      </c>
      <c r="DA21" s="10">
        <v>0</v>
      </c>
      <c r="DB21" s="10">
        <v>0</v>
      </c>
      <c r="DC21" s="10">
        <v>0</v>
      </c>
      <c r="DD21" s="10">
        <v>0</v>
      </c>
      <c r="DE21" s="10">
        <v>0</v>
      </c>
      <c r="DF21" s="10">
        <v>0</v>
      </c>
      <c r="DG21" s="10">
        <v>0</v>
      </c>
      <c r="DH21" s="10">
        <v>0</v>
      </c>
      <c r="DI21" s="10">
        <v>0</v>
      </c>
      <c r="DJ21" s="10">
        <v>0</v>
      </c>
      <c r="DK21" s="10">
        <v>0</v>
      </c>
      <c r="DL21" s="10">
        <v>0</v>
      </c>
      <c r="DM21" s="10">
        <v>0</v>
      </c>
      <c r="DN21" s="10">
        <v>0</v>
      </c>
      <c r="DO21" s="10">
        <v>0</v>
      </c>
      <c r="DP21" s="10">
        <v>0</v>
      </c>
      <c r="DQ21" s="10">
        <v>0</v>
      </c>
      <c r="DR21" s="10">
        <v>0</v>
      </c>
      <c r="DS21" s="10">
        <v>0</v>
      </c>
      <c r="DT21" s="10">
        <v>0</v>
      </c>
      <c r="DU21" s="10">
        <v>0</v>
      </c>
      <c r="DV21" s="10">
        <v>0</v>
      </c>
      <c r="DW21" s="10">
        <v>0</v>
      </c>
      <c r="DX21" s="10">
        <v>0</v>
      </c>
      <c r="DY21" s="10">
        <v>0</v>
      </c>
      <c r="DZ21" s="10">
        <v>0.12251850333553077</v>
      </c>
      <c r="EA21" s="10">
        <v>0</v>
      </c>
      <c r="EB21" s="10">
        <v>0</v>
      </c>
      <c r="EC21" s="10">
        <v>0</v>
      </c>
      <c r="ED21" s="10">
        <v>0</v>
      </c>
      <c r="EE21" s="10">
        <v>0</v>
      </c>
      <c r="EF21" s="10">
        <v>0</v>
      </c>
      <c r="EG21" s="10">
        <v>0</v>
      </c>
      <c r="EH21" s="10">
        <v>0</v>
      </c>
      <c r="EI21" s="10">
        <v>0</v>
      </c>
      <c r="EJ21" s="10">
        <v>0</v>
      </c>
      <c r="EK21" s="10">
        <v>0</v>
      </c>
      <c r="EL21" s="10">
        <v>0</v>
      </c>
      <c r="EM21" s="10">
        <v>0</v>
      </c>
      <c r="EN21" s="10">
        <v>0</v>
      </c>
      <c r="EO21" s="10">
        <v>0</v>
      </c>
      <c r="EP21" s="10">
        <v>0</v>
      </c>
      <c r="EQ21" s="10">
        <v>0</v>
      </c>
      <c r="ER21" s="10">
        <v>0</v>
      </c>
      <c r="ES21" s="10">
        <v>0</v>
      </c>
      <c r="ET21" s="10">
        <v>0</v>
      </c>
      <c r="EU21" s="10">
        <v>0</v>
      </c>
      <c r="EV21" s="10">
        <v>0</v>
      </c>
      <c r="EW21" s="10">
        <v>0</v>
      </c>
      <c r="EX21" s="10">
        <v>0.26232556983129485</v>
      </c>
      <c r="EY21" s="10">
        <v>0</v>
      </c>
      <c r="EZ21" s="10">
        <v>0</v>
      </c>
      <c r="FA21" s="10">
        <v>0</v>
      </c>
      <c r="FB21" s="10">
        <v>0</v>
      </c>
      <c r="FC21" s="10">
        <v>0</v>
      </c>
      <c r="FD21" s="10">
        <v>0</v>
      </c>
      <c r="FE21" s="10">
        <v>0</v>
      </c>
      <c r="FF21" s="10">
        <v>0</v>
      </c>
      <c r="FG21" s="10">
        <v>0</v>
      </c>
      <c r="FH21" s="10">
        <v>0</v>
      </c>
      <c r="FI21" s="10">
        <v>0</v>
      </c>
      <c r="FJ21" s="10">
        <v>0</v>
      </c>
      <c r="FK21" s="10">
        <v>0</v>
      </c>
      <c r="FL21" s="10">
        <v>0</v>
      </c>
      <c r="FM21" s="10">
        <v>0</v>
      </c>
      <c r="FN21" s="10">
        <v>0</v>
      </c>
      <c r="FO21" s="10">
        <v>0</v>
      </c>
      <c r="FP21" s="10">
        <v>0</v>
      </c>
      <c r="FQ21" s="10">
        <v>0</v>
      </c>
      <c r="FR21" s="10">
        <v>0</v>
      </c>
      <c r="FS21" s="10">
        <v>0</v>
      </c>
      <c r="FT21" s="10">
        <v>0</v>
      </c>
      <c r="FU21" s="10">
        <v>0</v>
      </c>
      <c r="FV21" s="10">
        <v>0</v>
      </c>
      <c r="FW21" s="10">
        <v>0</v>
      </c>
      <c r="FX21" s="10">
        <v>0</v>
      </c>
      <c r="FY21" s="10">
        <v>0</v>
      </c>
      <c r="FZ21" s="10">
        <v>0</v>
      </c>
      <c r="GA21" s="10">
        <v>0</v>
      </c>
      <c r="GB21" s="10">
        <v>9.1246593256133525E-3</v>
      </c>
      <c r="GC21" s="10">
        <v>0</v>
      </c>
      <c r="GD21" s="10">
        <v>0</v>
      </c>
      <c r="GE21" s="10">
        <v>0</v>
      </c>
      <c r="GF21" s="10">
        <v>0</v>
      </c>
      <c r="GG21" s="10">
        <v>0</v>
      </c>
      <c r="GH21" s="10">
        <v>0</v>
      </c>
      <c r="GI21" s="10">
        <v>0</v>
      </c>
      <c r="GJ21" s="10">
        <v>0</v>
      </c>
      <c r="GK21" s="10">
        <v>0</v>
      </c>
      <c r="GL21" s="10">
        <v>0</v>
      </c>
      <c r="GM21" s="10">
        <v>0</v>
      </c>
      <c r="GN21" s="10">
        <v>0</v>
      </c>
      <c r="GO21" s="10">
        <v>0</v>
      </c>
      <c r="GP21" s="10">
        <v>0</v>
      </c>
      <c r="GQ21" s="10">
        <v>0</v>
      </c>
      <c r="GR21" s="10">
        <v>0</v>
      </c>
      <c r="GS21" s="10">
        <v>0</v>
      </c>
      <c r="GT21" s="10">
        <v>0</v>
      </c>
      <c r="GU21" s="10">
        <v>0</v>
      </c>
      <c r="GV21" s="10">
        <v>0.2798285641175236</v>
      </c>
      <c r="GW21" s="10">
        <v>0</v>
      </c>
      <c r="GX21" s="10">
        <v>0</v>
      </c>
      <c r="GY21" s="10">
        <v>0</v>
      </c>
      <c r="GZ21" s="10">
        <v>0</v>
      </c>
      <c r="HA21" s="10">
        <v>0</v>
      </c>
      <c r="HB21" s="10">
        <v>0</v>
      </c>
      <c r="HC21" s="10">
        <v>0</v>
      </c>
      <c r="HD21" s="10">
        <v>0</v>
      </c>
      <c r="HE21" s="10">
        <v>0</v>
      </c>
      <c r="HF21" s="10">
        <v>0</v>
      </c>
      <c r="HG21" s="10">
        <v>0</v>
      </c>
      <c r="HH21" s="10">
        <v>0</v>
      </c>
      <c r="HI21" s="10">
        <v>0</v>
      </c>
      <c r="HJ21" s="10">
        <v>0</v>
      </c>
      <c r="HK21" s="10">
        <v>0</v>
      </c>
      <c r="HL21" s="10">
        <v>0</v>
      </c>
      <c r="HM21" s="10">
        <v>0</v>
      </c>
      <c r="HN21" s="10">
        <v>0</v>
      </c>
      <c r="HO21" s="10">
        <v>0</v>
      </c>
      <c r="HP21" s="10">
        <v>0</v>
      </c>
      <c r="HQ21" s="10">
        <v>0</v>
      </c>
      <c r="HR21" s="10">
        <v>0</v>
      </c>
      <c r="HS21" s="10">
        <v>0</v>
      </c>
      <c r="HT21" s="10">
        <v>0</v>
      </c>
      <c r="HU21" s="10">
        <v>0</v>
      </c>
    </row>
    <row r="22" spans="1:229" x14ac:dyDescent="0.25">
      <c r="A22" s="10">
        <v>0</v>
      </c>
      <c r="B22" s="2" t="s">
        <v>32</v>
      </c>
      <c r="C22" s="2" t="s">
        <v>33</v>
      </c>
      <c r="D22" s="17">
        <v>1.2350000000000001</v>
      </c>
      <c r="E22" s="3">
        <v>10.45</v>
      </c>
      <c r="F22" s="3">
        <v>4.76</v>
      </c>
      <c r="G22" s="3">
        <v>0</v>
      </c>
      <c r="H22" s="3">
        <v>4</v>
      </c>
      <c r="I22" s="3">
        <v>308</v>
      </c>
      <c r="J22" s="3">
        <v>0.51600000000000001</v>
      </c>
      <c r="K22" s="3">
        <v>8.3000000000000004E-2</v>
      </c>
      <c r="L22" s="3"/>
      <c r="M22" s="2" t="str">
        <f t="shared" si="7"/>
        <v>01015</v>
      </c>
      <c r="N22" s="3">
        <v>0.353665746203015</v>
      </c>
      <c r="O22" s="3">
        <v>1.6463342537969852</v>
      </c>
      <c r="P22" s="17">
        <v>0.35366574620335373</v>
      </c>
      <c r="Q22" s="3">
        <v>1.6463342537969825</v>
      </c>
      <c r="R22" s="3">
        <v>2.0714631316570866</v>
      </c>
      <c r="S22" s="3" t="e">
        <v>#DIV/0!</v>
      </c>
      <c r="T22" s="3">
        <v>0.35366574620301422</v>
      </c>
      <c r="U22" s="3">
        <v>0.35366574620301444</v>
      </c>
      <c r="V22" s="3">
        <v>4.6305766296488278</v>
      </c>
      <c r="W22" s="3">
        <v>4.2072773709742082</v>
      </c>
      <c r="X22" s="3">
        <v>0.43677719656114189</v>
      </c>
      <c r="Y22" s="3">
        <v>17.204192952178467</v>
      </c>
      <c r="Z22" s="3">
        <v>9.8601645066877328</v>
      </c>
      <c r="AA22" s="3">
        <v>0.55025619717181851</v>
      </c>
      <c r="AB22" s="3">
        <v>1.4146629848120569</v>
      </c>
      <c r="AC22" s="3">
        <v>108.92904983052846</v>
      </c>
      <c r="AD22" s="3">
        <v>2.3893775408987952</v>
      </c>
      <c r="AE22" s="3">
        <v>0.3492040217908593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10">
        <v>0</v>
      </c>
      <c r="BB22" s="10">
        <v>0</v>
      </c>
      <c r="BC22" s="10">
        <v>0</v>
      </c>
      <c r="BD22" s="10">
        <v>0</v>
      </c>
      <c r="BE22" s="10">
        <v>0</v>
      </c>
      <c r="BF22" s="10">
        <v>0</v>
      </c>
      <c r="BG22" s="10">
        <v>0</v>
      </c>
      <c r="BH22" s="10">
        <v>0</v>
      </c>
      <c r="BI22" s="10">
        <v>0</v>
      </c>
      <c r="BJ22" s="10">
        <v>0</v>
      </c>
      <c r="BK22" s="10">
        <v>0</v>
      </c>
      <c r="BL22" s="10">
        <v>0</v>
      </c>
      <c r="BM22" s="10">
        <v>0</v>
      </c>
      <c r="BN22" s="10">
        <v>0</v>
      </c>
      <c r="BO22" s="10">
        <v>0</v>
      </c>
      <c r="BP22" s="10">
        <v>0</v>
      </c>
      <c r="BQ22" s="10">
        <v>0</v>
      </c>
      <c r="BR22" s="10">
        <v>0</v>
      </c>
      <c r="BS22" s="10">
        <v>0</v>
      </c>
      <c r="BT22" s="10">
        <v>0</v>
      </c>
      <c r="BU22" s="10">
        <v>0</v>
      </c>
      <c r="BV22" s="10">
        <v>0</v>
      </c>
      <c r="BW22" s="10">
        <v>0</v>
      </c>
      <c r="BX22" s="10">
        <v>0</v>
      </c>
      <c r="BY22" s="10">
        <v>0</v>
      </c>
      <c r="BZ22" s="10">
        <v>0</v>
      </c>
      <c r="CA22" s="10">
        <v>0</v>
      </c>
      <c r="CB22" s="10">
        <v>0</v>
      </c>
      <c r="CC22" s="10">
        <v>0</v>
      </c>
      <c r="CD22" s="10">
        <v>0</v>
      </c>
      <c r="CE22" s="10">
        <v>0</v>
      </c>
      <c r="CF22" s="10">
        <v>0</v>
      </c>
      <c r="CG22" s="10">
        <v>0</v>
      </c>
      <c r="CH22" s="10">
        <v>0</v>
      </c>
      <c r="CI22" s="10">
        <v>0</v>
      </c>
      <c r="CJ22" s="10">
        <v>0</v>
      </c>
      <c r="CK22" s="10">
        <v>0</v>
      </c>
      <c r="CL22" s="10">
        <v>0</v>
      </c>
      <c r="CM22" s="10">
        <v>0</v>
      </c>
      <c r="CN22" s="10">
        <v>5.5762235327082708E-2</v>
      </c>
      <c r="CO22" s="10">
        <v>0</v>
      </c>
      <c r="CP22" s="10">
        <v>0</v>
      </c>
      <c r="CQ22" s="10">
        <v>0.57214960730045883</v>
      </c>
      <c r="CR22" s="10">
        <v>0</v>
      </c>
      <c r="CS22" s="10">
        <v>0</v>
      </c>
      <c r="CT22" s="10">
        <v>0</v>
      </c>
      <c r="CU22" s="10">
        <v>0</v>
      </c>
      <c r="CV22" s="10">
        <v>0</v>
      </c>
      <c r="CW22" s="10">
        <v>0</v>
      </c>
      <c r="CX22" s="10">
        <v>0</v>
      </c>
      <c r="CY22" s="10">
        <v>0</v>
      </c>
      <c r="CZ22" s="10">
        <v>0</v>
      </c>
      <c r="DA22" s="10">
        <v>0</v>
      </c>
      <c r="DB22" s="10">
        <v>0</v>
      </c>
      <c r="DC22" s="10">
        <v>0</v>
      </c>
      <c r="DD22" s="10">
        <v>0</v>
      </c>
      <c r="DE22" s="10">
        <v>0</v>
      </c>
      <c r="DF22" s="10">
        <v>0</v>
      </c>
      <c r="DG22" s="10">
        <v>0</v>
      </c>
      <c r="DH22" s="10">
        <v>0</v>
      </c>
      <c r="DI22" s="10">
        <v>0</v>
      </c>
      <c r="DJ22" s="10">
        <v>0</v>
      </c>
      <c r="DK22" s="10">
        <v>0</v>
      </c>
      <c r="DL22" s="10">
        <v>0</v>
      </c>
      <c r="DM22" s="10">
        <v>0</v>
      </c>
      <c r="DN22" s="10">
        <v>0</v>
      </c>
      <c r="DO22" s="10">
        <v>0</v>
      </c>
      <c r="DP22" s="10">
        <v>0</v>
      </c>
      <c r="DQ22" s="10">
        <v>0</v>
      </c>
      <c r="DR22" s="10">
        <v>0</v>
      </c>
      <c r="DS22" s="10">
        <v>0</v>
      </c>
      <c r="DT22" s="10">
        <v>0</v>
      </c>
      <c r="DU22" s="10">
        <v>0</v>
      </c>
      <c r="DV22" s="10">
        <v>0</v>
      </c>
      <c r="DW22" s="10">
        <v>0</v>
      </c>
      <c r="DX22" s="10">
        <v>0</v>
      </c>
      <c r="DY22" s="10">
        <v>0</v>
      </c>
      <c r="DZ22" s="10">
        <v>0</v>
      </c>
      <c r="EA22" s="10">
        <v>0</v>
      </c>
      <c r="EB22" s="10">
        <v>0</v>
      </c>
      <c r="EC22" s="10">
        <v>0</v>
      </c>
      <c r="ED22" s="10">
        <v>0</v>
      </c>
      <c r="EE22" s="10">
        <v>0</v>
      </c>
      <c r="EF22" s="10">
        <v>0</v>
      </c>
      <c r="EG22" s="10">
        <v>0</v>
      </c>
      <c r="EH22" s="10">
        <v>0</v>
      </c>
      <c r="EI22" s="10">
        <v>0</v>
      </c>
      <c r="EJ22" s="10">
        <v>0</v>
      </c>
      <c r="EK22" s="10">
        <v>0</v>
      </c>
      <c r="EL22" s="10">
        <v>0</v>
      </c>
      <c r="EM22" s="10">
        <v>0</v>
      </c>
      <c r="EN22" s="10">
        <v>0</v>
      </c>
      <c r="EO22" s="10">
        <v>0</v>
      </c>
      <c r="EP22" s="10">
        <v>0</v>
      </c>
      <c r="EQ22" s="10">
        <v>0</v>
      </c>
      <c r="ER22" s="10">
        <v>0</v>
      </c>
      <c r="ES22" s="10">
        <v>0</v>
      </c>
      <c r="ET22" s="10">
        <v>0</v>
      </c>
      <c r="EU22" s="10">
        <v>0</v>
      </c>
      <c r="EV22" s="10">
        <v>0</v>
      </c>
      <c r="EW22" s="10">
        <v>0</v>
      </c>
      <c r="EX22" s="10">
        <v>0</v>
      </c>
      <c r="EY22" s="10">
        <v>0</v>
      </c>
      <c r="EZ22" s="10">
        <v>0</v>
      </c>
      <c r="FA22" s="10">
        <v>0</v>
      </c>
      <c r="FB22" s="10">
        <v>0</v>
      </c>
      <c r="FC22" s="10">
        <v>0</v>
      </c>
      <c r="FD22" s="10">
        <v>0</v>
      </c>
      <c r="FE22" s="10">
        <v>0</v>
      </c>
      <c r="FF22" s="10">
        <v>0</v>
      </c>
      <c r="FG22" s="10">
        <v>0</v>
      </c>
      <c r="FH22" s="10">
        <v>0</v>
      </c>
      <c r="FI22" s="10">
        <v>0</v>
      </c>
      <c r="FJ22" s="10">
        <v>0</v>
      </c>
      <c r="FK22" s="10">
        <v>0</v>
      </c>
      <c r="FL22" s="10">
        <v>0</v>
      </c>
      <c r="FM22" s="10">
        <v>0</v>
      </c>
      <c r="FN22" s="10">
        <v>0</v>
      </c>
      <c r="FO22" s="10">
        <v>0</v>
      </c>
      <c r="FP22" s="10">
        <v>0</v>
      </c>
      <c r="FQ22" s="10">
        <v>0</v>
      </c>
      <c r="FR22" s="10">
        <v>0</v>
      </c>
      <c r="FS22" s="10">
        <v>0</v>
      </c>
      <c r="FT22" s="10">
        <v>0</v>
      </c>
      <c r="FU22" s="10">
        <v>0</v>
      </c>
      <c r="FV22" s="10">
        <v>0</v>
      </c>
      <c r="FW22" s="10">
        <v>0</v>
      </c>
      <c r="FX22" s="10">
        <v>0</v>
      </c>
      <c r="FY22" s="10">
        <v>0</v>
      </c>
      <c r="FZ22" s="10">
        <v>0</v>
      </c>
      <c r="GA22" s="10">
        <v>0</v>
      </c>
      <c r="GB22" s="10">
        <v>0.27512809858590925</v>
      </c>
      <c r="GC22" s="10">
        <v>0</v>
      </c>
      <c r="GD22" s="10">
        <v>0</v>
      </c>
      <c r="GE22" s="10">
        <v>0</v>
      </c>
      <c r="GF22" s="10">
        <v>0</v>
      </c>
      <c r="GG22" s="10">
        <v>0</v>
      </c>
      <c r="GH22" s="10">
        <v>0</v>
      </c>
      <c r="GI22" s="10">
        <v>0</v>
      </c>
      <c r="GJ22" s="10">
        <v>0</v>
      </c>
      <c r="GK22" s="10">
        <v>0</v>
      </c>
      <c r="GL22" s="10">
        <v>0</v>
      </c>
      <c r="GM22" s="10">
        <v>0</v>
      </c>
      <c r="GN22" s="10">
        <v>0</v>
      </c>
      <c r="GO22" s="10">
        <v>0</v>
      </c>
      <c r="GP22" s="10">
        <v>0</v>
      </c>
      <c r="GQ22" s="10">
        <v>0</v>
      </c>
      <c r="GR22" s="10">
        <v>0</v>
      </c>
      <c r="GS22" s="10">
        <v>0</v>
      </c>
      <c r="GT22" s="10">
        <v>0</v>
      </c>
      <c r="GU22" s="10">
        <v>0</v>
      </c>
      <c r="GV22" s="10">
        <v>9.6960058786549355E-2</v>
      </c>
      <c r="GW22" s="10">
        <v>0</v>
      </c>
      <c r="GX22" s="10">
        <v>0</v>
      </c>
      <c r="GY22" s="10">
        <v>0</v>
      </c>
      <c r="GZ22" s="10">
        <v>0</v>
      </c>
      <c r="HA22" s="10">
        <v>0</v>
      </c>
      <c r="HB22" s="10">
        <v>0</v>
      </c>
      <c r="HC22" s="10">
        <v>0</v>
      </c>
      <c r="HD22" s="10">
        <v>0</v>
      </c>
      <c r="HE22" s="10">
        <v>0</v>
      </c>
      <c r="HF22" s="10">
        <v>0</v>
      </c>
      <c r="HG22" s="10">
        <v>0</v>
      </c>
      <c r="HH22" s="10">
        <v>0</v>
      </c>
      <c r="HI22" s="10">
        <v>0</v>
      </c>
      <c r="HJ22" s="10">
        <v>0</v>
      </c>
      <c r="HK22" s="10">
        <v>0</v>
      </c>
      <c r="HL22" s="10">
        <v>0</v>
      </c>
      <c r="HM22" s="10">
        <v>0</v>
      </c>
      <c r="HN22" s="10">
        <v>0</v>
      </c>
      <c r="HO22" s="10">
        <v>0</v>
      </c>
      <c r="HP22" s="10">
        <v>0</v>
      </c>
      <c r="HQ22" s="10">
        <v>0</v>
      </c>
      <c r="HR22" s="10">
        <v>0</v>
      </c>
      <c r="HS22" s="10">
        <v>0</v>
      </c>
      <c r="HT22" s="10">
        <v>0</v>
      </c>
      <c r="HU22" s="10">
        <v>0</v>
      </c>
    </row>
    <row r="23" spans="1:229" x14ac:dyDescent="0.25">
      <c r="A23" s="10">
        <v>0</v>
      </c>
      <c r="B23" s="2" t="s">
        <v>34</v>
      </c>
      <c r="C23" s="2" t="s">
        <v>35</v>
      </c>
      <c r="D23" s="17">
        <v>0.64500000000000002</v>
      </c>
      <c r="E23" s="3">
        <v>12.39</v>
      </c>
      <c r="F23" s="3">
        <v>2.72</v>
      </c>
      <c r="G23" s="3">
        <v>0</v>
      </c>
      <c r="H23" s="21">
        <v>2.72</v>
      </c>
      <c r="I23" s="3">
        <v>406</v>
      </c>
      <c r="J23" s="3">
        <v>0.29099999999999998</v>
      </c>
      <c r="K23" s="3">
        <v>3.1E-2</v>
      </c>
      <c r="L23" s="3"/>
      <c r="M23" s="2" t="str">
        <f t="shared" si="7"/>
        <v>01016</v>
      </c>
      <c r="N23" s="3">
        <v>0.45348374598613361</v>
      </c>
      <c r="O23" s="3">
        <v>1.5465162540138666</v>
      </c>
      <c r="P23" s="17">
        <v>0.45348374598598307</v>
      </c>
      <c r="Q23" s="3">
        <v>1.5465162540138635</v>
      </c>
      <c r="R23" s="3">
        <v>2.8701641081856031</v>
      </c>
      <c r="S23" s="3" t="e">
        <v>#DIV/0!</v>
      </c>
      <c r="T23" s="3">
        <v>0.45348374598613317</v>
      </c>
      <c r="U23" s="3">
        <v>0.45348374598613411</v>
      </c>
      <c r="V23" s="3">
        <v>4.9716264174460303</v>
      </c>
      <c r="W23" s="3">
        <v>6.8385641463662825</v>
      </c>
      <c r="X23" s="3">
        <v>0.29249701616095908</v>
      </c>
      <c r="Y23" s="3">
        <v>19.161336387231771</v>
      </c>
      <c r="Z23" s="3">
        <v>7.8068463742648406</v>
      </c>
      <c r="AA23" s="3">
        <v>0.33051429036379182</v>
      </c>
      <c r="AB23" s="3">
        <v>1.2334757890822823</v>
      </c>
      <c r="AC23" s="3">
        <v>184.11440087037045</v>
      </c>
      <c r="AD23" s="3">
        <v>1.4467432874767947</v>
      </c>
      <c r="AE23" s="3">
        <v>0.21199548853735475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10">
        <v>0</v>
      </c>
      <c r="BB23" s="10">
        <v>0</v>
      </c>
      <c r="BC23" s="10">
        <v>0</v>
      </c>
      <c r="BD23" s="10">
        <v>0</v>
      </c>
      <c r="BE23" s="10">
        <v>0</v>
      </c>
      <c r="BF23" s="10">
        <v>0</v>
      </c>
      <c r="BG23" s="10">
        <v>0</v>
      </c>
      <c r="BH23" s="10">
        <v>0</v>
      </c>
      <c r="BI23" s="10">
        <v>0</v>
      </c>
      <c r="BJ23" s="10">
        <v>0</v>
      </c>
      <c r="BK23" s="10">
        <v>0</v>
      </c>
      <c r="BL23" s="10">
        <v>0</v>
      </c>
      <c r="BM23" s="10">
        <v>0</v>
      </c>
      <c r="BN23" s="10">
        <v>0</v>
      </c>
      <c r="BO23" s="10">
        <v>0</v>
      </c>
      <c r="BP23" s="10">
        <v>0</v>
      </c>
      <c r="BQ23" s="10">
        <v>0</v>
      </c>
      <c r="BR23" s="10">
        <v>0</v>
      </c>
      <c r="BS23" s="10">
        <v>0</v>
      </c>
      <c r="BT23" s="10">
        <v>0</v>
      </c>
      <c r="BU23" s="10">
        <v>0</v>
      </c>
      <c r="BV23" s="10">
        <v>0</v>
      </c>
      <c r="BW23" s="10">
        <v>0</v>
      </c>
      <c r="BX23" s="10">
        <v>0</v>
      </c>
      <c r="BY23" s="10">
        <v>0</v>
      </c>
      <c r="BZ23" s="10">
        <v>0</v>
      </c>
      <c r="CA23" s="10">
        <v>0</v>
      </c>
      <c r="CB23" s="10">
        <v>0</v>
      </c>
      <c r="CC23" s="10">
        <v>0</v>
      </c>
      <c r="CD23" s="10">
        <v>0</v>
      </c>
      <c r="CE23" s="10">
        <v>0</v>
      </c>
      <c r="CF23" s="10">
        <v>0</v>
      </c>
      <c r="CG23" s="10">
        <v>0</v>
      </c>
      <c r="CH23" s="10">
        <v>0</v>
      </c>
      <c r="CI23" s="10">
        <v>0</v>
      </c>
      <c r="CJ23" s="10">
        <v>0</v>
      </c>
      <c r="CK23" s="10">
        <v>0</v>
      </c>
      <c r="CL23" s="10">
        <v>0</v>
      </c>
      <c r="CM23" s="10">
        <v>0</v>
      </c>
      <c r="CN23" s="10">
        <v>0</v>
      </c>
      <c r="CO23" s="10">
        <v>0</v>
      </c>
      <c r="CP23" s="10">
        <v>0</v>
      </c>
      <c r="CQ23" s="10">
        <v>0.56907897902528604</v>
      </c>
      <c r="CR23" s="10">
        <v>0</v>
      </c>
      <c r="CS23" s="10">
        <v>0</v>
      </c>
      <c r="CT23" s="10">
        <v>0</v>
      </c>
      <c r="CU23" s="10">
        <v>0</v>
      </c>
      <c r="CV23" s="10">
        <v>0</v>
      </c>
      <c r="CW23" s="10">
        <v>0</v>
      </c>
      <c r="CX23" s="10">
        <v>0</v>
      </c>
      <c r="CY23" s="10">
        <v>0</v>
      </c>
      <c r="CZ23" s="10">
        <v>0</v>
      </c>
      <c r="DA23" s="10">
        <v>0</v>
      </c>
      <c r="DB23" s="10">
        <v>0</v>
      </c>
      <c r="DC23" s="10">
        <v>0</v>
      </c>
      <c r="DD23" s="10">
        <v>0</v>
      </c>
      <c r="DE23" s="10">
        <v>0</v>
      </c>
      <c r="DF23" s="10">
        <v>0</v>
      </c>
      <c r="DG23" s="10">
        <v>0</v>
      </c>
      <c r="DH23" s="10">
        <v>0</v>
      </c>
      <c r="DI23" s="10">
        <v>0</v>
      </c>
      <c r="DJ23" s="10">
        <v>0</v>
      </c>
      <c r="DK23" s="10">
        <v>0</v>
      </c>
      <c r="DL23" s="10">
        <v>0</v>
      </c>
      <c r="DM23" s="10">
        <v>0</v>
      </c>
      <c r="DN23" s="10">
        <v>0</v>
      </c>
      <c r="DO23" s="10">
        <v>0</v>
      </c>
      <c r="DP23" s="10">
        <v>0</v>
      </c>
      <c r="DQ23" s="10">
        <v>0</v>
      </c>
      <c r="DR23" s="10">
        <v>0</v>
      </c>
      <c r="DS23" s="10">
        <v>0</v>
      </c>
      <c r="DT23" s="10">
        <v>0</v>
      </c>
      <c r="DU23" s="10">
        <v>0</v>
      </c>
      <c r="DV23" s="10">
        <v>0</v>
      </c>
      <c r="DW23" s="10">
        <v>0</v>
      </c>
      <c r="DX23" s="10">
        <v>0</v>
      </c>
      <c r="DY23" s="10">
        <v>0</v>
      </c>
      <c r="DZ23" s="10">
        <v>8.8982638646306386E-2</v>
      </c>
      <c r="EA23" s="10">
        <v>0</v>
      </c>
      <c r="EB23" s="10">
        <v>0</v>
      </c>
      <c r="EC23" s="10">
        <v>0</v>
      </c>
      <c r="ED23" s="10">
        <v>0</v>
      </c>
      <c r="EE23" s="10">
        <v>0</v>
      </c>
      <c r="EF23" s="10">
        <v>0</v>
      </c>
      <c r="EG23" s="10">
        <v>0</v>
      </c>
      <c r="EH23" s="10">
        <v>0</v>
      </c>
      <c r="EI23" s="10">
        <v>0</v>
      </c>
      <c r="EJ23" s="10">
        <v>0</v>
      </c>
      <c r="EK23" s="10">
        <v>0</v>
      </c>
      <c r="EL23" s="10">
        <v>0</v>
      </c>
      <c r="EM23" s="10">
        <v>0</v>
      </c>
      <c r="EN23" s="10">
        <v>0</v>
      </c>
      <c r="EO23" s="10">
        <v>0</v>
      </c>
      <c r="EP23" s="10">
        <v>0</v>
      </c>
      <c r="EQ23" s="10">
        <v>0</v>
      </c>
      <c r="ER23" s="10">
        <v>0</v>
      </c>
      <c r="ES23" s="10">
        <v>0</v>
      </c>
      <c r="ET23" s="10">
        <v>0</v>
      </c>
      <c r="EU23" s="10">
        <v>0</v>
      </c>
      <c r="EV23" s="10">
        <v>0</v>
      </c>
      <c r="EW23" s="10">
        <v>0</v>
      </c>
      <c r="EX23" s="10">
        <v>0</v>
      </c>
      <c r="EY23" s="10">
        <v>0</v>
      </c>
      <c r="EZ23" s="10">
        <v>0</v>
      </c>
      <c r="FA23" s="10">
        <v>0</v>
      </c>
      <c r="FB23" s="10">
        <v>0</v>
      </c>
      <c r="FC23" s="10">
        <v>0</v>
      </c>
      <c r="FD23" s="10">
        <v>0</v>
      </c>
      <c r="FE23" s="10">
        <v>0</v>
      </c>
      <c r="FF23" s="10">
        <v>0</v>
      </c>
      <c r="FG23" s="10">
        <v>0</v>
      </c>
      <c r="FH23" s="10">
        <v>0</v>
      </c>
      <c r="FI23" s="10">
        <v>0</v>
      </c>
      <c r="FJ23" s="10">
        <v>0</v>
      </c>
      <c r="FK23" s="10">
        <v>0</v>
      </c>
      <c r="FL23" s="10">
        <v>0</v>
      </c>
      <c r="FM23" s="10">
        <v>0</v>
      </c>
      <c r="FN23" s="10">
        <v>0</v>
      </c>
      <c r="FO23" s="10">
        <v>0</v>
      </c>
      <c r="FP23" s="10">
        <v>0</v>
      </c>
      <c r="FQ23" s="10">
        <v>0</v>
      </c>
      <c r="FR23" s="10">
        <v>0</v>
      </c>
      <c r="FS23" s="10">
        <v>0</v>
      </c>
      <c r="FT23" s="10">
        <v>0</v>
      </c>
      <c r="FU23" s="10">
        <v>0</v>
      </c>
      <c r="FV23" s="10">
        <v>0</v>
      </c>
      <c r="FW23" s="10">
        <v>0</v>
      </c>
      <c r="FX23" s="10">
        <v>0</v>
      </c>
      <c r="FY23" s="10">
        <v>0</v>
      </c>
      <c r="FZ23" s="10">
        <v>0</v>
      </c>
      <c r="GA23" s="10">
        <v>0</v>
      </c>
      <c r="GB23" s="10">
        <v>0.16525714518189591</v>
      </c>
      <c r="GC23" s="10">
        <v>0</v>
      </c>
      <c r="GD23" s="10">
        <v>0</v>
      </c>
      <c r="GE23" s="10">
        <v>0</v>
      </c>
      <c r="GF23" s="10">
        <v>0</v>
      </c>
      <c r="GG23" s="10">
        <v>0</v>
      </c>
      <c r="GH23" s="10">
        <v>0</v>
      </c>
      <c r="GI23" s="10">
        <v>0</v>
      </c>
      <c r="GJ23" s="10">
        <v>0</v>
      </c>
      <c r="GK23" s="10">
        <v>0</v>
      </c>
      <c r="GL23" s="10">
        <v>0</v>
      </c>
      <c r="GM23" s="10">
        <v>0</v>
      </c>
      <c r="GN23" s="10">
        <v>0</v>
      </c>
      <c r="GO23" s="10">
        <v>0</v>
      </c>
      <c r="GP23" s="10">
        <v>0</v>
      </c>
      <c r="GQ23" s="10">
        <v>0</v>
      </c>
      <c r="GR23" s="10">
        <v>0</v>
      </c>
      <c r="GS23" s="10">
        <v>0</v>
      </c>
      <c r="GT23" s="10">
        <v>0</v>
      </c>
      <c r="GU23" s="10">
        <v>0</v>
      </c>
      <c r="GV23" s="10">
        <v>0.1766812371465119</v>
      </c>
      <c r="GW23" s="10">
        <v>0</v>
      </c>
      <c r="GX23" s="10">
        <v>0</v>
      </c>
      <c r="GY23" s="10">
        <v>0</v>
      </c>
      <c r="GZ23" s="10">
        <v>0</v>
      </c>
      <c r="HA23" s="10">
        <v>0</v>
      </c>
      <c r="HB23" s="10">
        <v>0</v>
      </c>
      <c r="HC23" s="10">
        <v>0</v>
      </c>
      <c r="HD23" s="10">
        <v>0</v>
      </c>
      <c r="HE23" s="10">
        <v>0</v>
      </c>
      <c r="HF23" s="10">
        <v>0</v>
      </c>
      <c r="HG23" s="10">
        <v>0</v>
      </c>
      <c r="HH23" s="10">
        <v>0</v>
      </c>
      <c r="HI23" s="10">
        <v>0</v>
      </c>
      <c r="HJ23" s="10">
        <v>0</v>
      </c>
      <c r="HK23" s="10">
        <v>0</v>
      </c>
      <c r="HL23" s="10">
        <v>0</v>
      </c>
      <c r="HM23" s="10">
        <v>0</v>
      </c>
      <c r="HN23" s="10">
        <v>0</v>
      </c>
      <c r="HO23" s="10">
        <v>0</v>
      </c>
      <c r="HP23" s="10">
        <v>0</v>
      </c>
      <c r="HQ23" s="10">
        <v>0</v>
      </c>
      <c r="HR23" s="10">
        <v>0</v>
      </c>
      <c r="HS23" s="10">
        <v>0</v>
      </c>
      <c r="HT23" s="10">
        <v>0</v>
      </c>
      <c r="HU23" s="10">
        <v>0</v>
      </c>
    </row>
    <row r="24" spans="1:229" x14ac:dyDescent="0.25">
      <c r="A24" s="10">
        <v>0</v>
      </c>
      <c r="B24" s="2" t="s">
        <v>36</v>
      </c>
      <c r="C24" s="2" t="s">
        <v>37</v>
      </c>
      <c r="D24" s="17">
        <v>20.213000000000001</v>
      </c>
      <c r="E24" s="3">
        <v>6.15</v>
      </c>
      <c r="F24" s="3">
        <v>5.52</v>
      </c>
      <c r="G24" s="3">
        <v>0</v>
      </c>
      <c r="H24" s="3">
        <v>3.76</v>
      </c>
      <c r="I24" s="3">
        <v>314</v>
      </c>
      <c r="J24" s="3">
        <v>8.907</v>
      </c>
      <c r="K24" s="3">
        <v>1.4830000000000001</v>
      </c>
      <c r="L24" s="3"/>
      <c r="M24" s="2" t="str">
        <f t="shared" si="7"/>
        <v>01017</v>
      </c>
      <c r="N24" s="3">
        <v>0.51669606104818855</v>
      </c>
      <c r="O24" s="3">
        <v>1.4833039389518103</v>
      </c>
      <c r="P24" s="17">
        <v>0.51669606104819488</v>
      </c>
      <c r="Q24" s="3">
        <v>4.2037491744128159</v>
      </c>
      <c r="R24" s="3">
        <v>1.3615550635970262</v>
      </c>
      <c r="S24" s="3" t="e">
        <v>#DIV/0!</v>
      </c>
      <c r="T24" s="3">
        <v>0.51669606104819443</v>
      </c>
      <c r="U24" s="3">
        <v>0.51669606104818899</v>
      </c>
      <c r="V24" s="3">
        <v>1.4833039389517959</v>
      </c>
      <c r="W24" s="3">
        <v>2.428076204103256</v>
      </c>
      <c r="X24" s="3">
        <v>10.443977481967163</v>
      </c>
      <c r="Y24" s="3">
        <v>25.85305742263882</v>
      </c>
      <c r="Z24" s="3">
        <v>7.5157839510555835</v>
      </c>
      <c r="AA24" s="3">
        <v>2.0065060218795829</v>
      </c>
      <c r="AB24" s="3">
        <v>1.9427771895412109</v>
      </c>
      <c r="AC24" s="3">
        <v>162.24256316913136</v>
      </c>
      <c r="AD24" s="3">
        <v>13.211788184243646</v>
      </c>
      <c r="AE24" s="3">
        <v>3.6008370106851291</v>
      </c>
      <c r="AF24" s="3">
        <v>0</v>
      </c>
      <c r="AG24" s="3">
        <v>0</v>
      </c>
      <c r="AH24" s="3">
        <v>5.5004633990358508E-2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10">
        <v>0</v>
      </c>
      <c r="BB24" s="10">
        <v>0</v>
      </c>
      <c r="BC24" s="10">
        <v>0</v>
      </c>
      <c r="BD24" s="1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0">
        <v>0</v>
      </c>
      <c r="BM24" s="10">
        <v>0</v>
      </c>
      <c r="BN24" s="10">
        <v>0</v>
      </c>
      <c r="BO24" s="10">
        <v>0</v>
      </c>
      <c r="BP24" s="10">
        <v>0</v>
      </c>
      <c r="BQ24" s="10">
        <v>0</v>
      </c>
      <c r="BR24" s="10">
        <v>0</v>
      </c>
      <c r="BS24" s="10">
        <v>0</v>
      </c>
      <c r="BT24" s="10">
        <v>0</v>
      </c>
      <c r="BU24" s="10">
        <v>0</v>
      </c>
      <c r="BV24" s="10">
        <v>0</v>
      </c>
      <c r="BW24" s="10">
        <v>0</v>
      </c>
      <c r="BX24" s="10">
        <v>0</v>
      </c>
      <c r="BY24" s="10">
        <v>0</v>
      </c>
      <c r="BZ24" s="10">
        <v>0</v>
      </c>
      <c r="CA24" s="10">
        <v>0</v>
      </c>
      <c r="CB24" s="10">
        <v>0</v>
      </c>
      <c r="CC24" s="10">
        <v>0</v>
      </c>
      <c r="CD24" s="10">
        <v>0</v>
      </c>
      <c r="CE24" s="10">
        <v>0</v>
      </c>
      <c r="CF24" s="10">
        <v>0</v>
      </c>
      <c r="CG24" s="10">
        <v>0</v>
      </c>
      <c r="CH24" s="10">
        <v>0</v>
      </c>
      <c r="CI24" s="10">
        <v>0</v>
      </c>
      <c r="CJ24" s="10">
        <v>0</v>
      </c>
      <c r="CK24" s="10">
        <v>0</v>
      </c>
      <c r="CL24" s="10">
        <v>0</v>
      </c>
      <c r="CM24" s="10">
        <v>0</v>
      </c>
      <c r="CN24" s="10">
        <v>0</v>
      </c>
      <c r="CO24" s="10">
        <v>0</v>
      </c>
      <c r="CP24" s="10">
        <v>0</v>
      </c>
      <c r="CQ24" s="10">
        <v>0</v>
      </c>
      <c r="CR24" s="10">
        <v>0</v>
      </c>
      <c r="CS24" s="10">
        <v>0</v>
      </c>
      <c r="CT24" s="10">
        <v>0</v>
      </c>
      <c r="CU24" s="10">
        <v>0</v>
      </c>
      <c r="CV24" s="10">
        <v>0</v>
      </c>
      <c r="CW24" s="10">
        <v>0</v>
      </c>
      <c r="CX24" s="10">
        <v>0</v>
      </c>
      <c r="CY24" s="10">
        <v>0</v>
      </c>
      <c r="CZ24" s="10">
        <v>0</v>
      </c>
      <c r="DA24" s="10">
        <v>0</v>
      </c>
      <c r="DB24" s="10">
        <v>0</v>
      </c>
      <c r="DC24" s="10">
        <v>0</v>
      </c>
      <c r="DD24" s="10">
        <v>0</v>
      </c>
      <c r="DE24" s="10">
        <v>0</v>
      </c>
      <c r="DF24" s="10">
        <v>0</v>
      </c>
      <c r="DG24" s="10">
        <v>0</v>
      </c>
      <c r="DH24" s="10">
        <v>0</v>
      </c>
      <c r="DI24" s="10">
        <v>0</v>
      </c>
      <c r="DJ24" s="10">
        <v>0</v>
      </c>
      <c r="DK24" s="10">
        <v>0</v>
      </c>
      <c r="DL24" s="10">
        <v>0</v>
      </c>
      <c r="DM24" s="10">
        <v>0</v>
      </c>
      <c r="DN24" s="10">
        <v>0</v>
      </c>
      <c r="DO24" s="10">
        <v>0</v>
      </c>
      <c r="DP24" s="10">
        <v>0</v>
      </c>
      <c r="DQ24" s="10">
        <v>0</v>
      </c>
      <c r="DR24" s="10">
        <v>0</v>
      </c>
      <c r="DS24" s="10">
        <v>0.58766817424803242</v>
      </c>
      <c r="DT24" s="10">
        <v>0</v>
      </c>
      <c r="DU24" s="10">
        <v>0</v>
      </c>
      <c r="DV24" s="10">
        <v>0</v>
      </c>
      <c r="DW24" s="10">
        <v>0</v>
      </c>
      <c r="DX24" s="10">
        <v>0</v>
      </c>
      <c r="DY24" s="10">
        <v>7.4720709806738228E-2</v>
      </c>
      <c r="DZ24" s="10">
        <v>0</v>
      </c>
      <c r="EA24" s="10">
        <v>0</v>
      </c>
      <c r="EB24" s="10">
        <v>0</v>
      </c>
      <c r="EC24" s="10">
        <v>0</v>
      </c>
      <c r="ED24" s="10">
        <v>0</v>
      </c>
      <c r="EE24" s="10">
        <v>0</v>
      </c>
      <c r="EF24" s="10">
        <v>0</v>
      </c>
      <c r="EG24" s="10">
        <v>0</v>
      </c>
      <c r="EH24" s="10">
        <v>0</v>
      </c>
      <c r="EI24" s="10">
        <v>0</v>
      </c>
      <c r="EJ24" s="10">
        <v>0</v>
      </c>
      <c r="EK24" s="10">
        <v>0</v>
      </c>
      <c r="EL24" s="10">
        <v>0</v>
      </c>
      <c r="EM24" s="10">
        <v>0</v>
      </c>
      <c r="EN24" s="10">
        <v>0</v>
      </c>
      <c r="EO24" s="10">
        <v>0</v>
      </c>
      <c r="EP24" s="10">
        <v>0</v>
      </c>
      <c r="EQ24" s="10">
        <v>0</v>
      </c>
      <c r="ER24" s="10">
        <v>0</v>
      </c>
      <c r="ES24" s="10">
        <v>0</v>
      </c>
      <c r="ET24" s="10">
        <v>0</v>
      </c>
      <c r="EU24" s="10">
        <v>0</v>
      </c>
      <c r="EV24" s="10">
        <v>0</v>
      </c>
      <c r="EW24" s="10">
        <v>0</v>
      </c>
      <c r="EX24" s="10">
        <v>0</v>
      </c>
      <c r="EY24" s="10">
        <v>0</v>
      </c>
      <c r="EZ24" s="10">
        <v>0</v>
      </c>
      <c r="FA24" s="10">
        <v>0</v>
      </c>
      <c r="FB24" s="10">
        <v>0</v>
      </c>
      <c r="FC24" s="10">
        <v>0</v>
      </c>
      <c r="FD24" s="10">
        <v>0</v>
      </c>
      <c r="FE24" s="10">
        <v>0</v>
      </c>
      <c r="FF24" s="10">
        <v>0</v>
      </c>
      <c r="FG24" s="10">
        <v>0</v>
      </c>
      <c r="FH24" s="10">
        <v>0</v>
      </c>
      <c r="FI24" s="10">
        <v>0</v>
      </c>
      <c r="FJ24" s="10">
        <v>0</v>
      </c>
      <c r="FK24" s="10">
        <v>0</v>
      </c>
      <c r="FL24" s="10">
        <v>0</v>
      </c>
      <c r="FM24" s="10">
        <v>0</v>
      </c>
      <c r="FN24" s="10">
        <v>0</v>
      </c>
      <c r="FO24" s="10">
        <v>0</v>
      </c>
      <c r="FP24" s="10">
        <v>0</v>
      </c>
      <c r="FQ24" s="10">
        <v>0</v>
      </c>
      <c r="FR24" s="10">
        <v>0</v>
      </c>
      <c r="FS24" s="10">
        <v>0</v>
      </c>
      <c r="FT24" s="10">
        <v>0</v>
      </c>
      <c r="FU24" s="10">
        <v>0</v>
      </c>
      <c r="FV24" s="10">
        <v>0</v>
      </c>
      <c r="FW24" s="10">
        <v>0</v>
      </c>
      <c r="FX24" s="10">
        <v>0</v>
      </c>
      <c r="FY24" s="10">
        <v>0</v>
      </c>
      <c r="FZ24" s="10">
        <v>0</v>
      </c>
      <c r="GA24" s="10">
        <v>0.28260648195487087</v>
      </c>
      <c r="GB24" s="10">
        <v>0</v>
      </c>
      <c r="GC24" s="10">
        <v>0</v>
      </c>
      <c r="GD24" s="10">
        <v>0</v>
      </c>
      <c r="GE24" s="10">
        <v>0</v>
      </c>
      <c r="GF24" s="10">
        <v>0</v>
      </c>
      <c r="GG24" s="10">
        <v>0</v>
      </c>
      <c r="GH24" s="10">
        <v>0</v>
      </c>
      <c r="GI24" s="10">
        <v>0</v>
      </c>
      <c r="GJ24" s="10">
        <v>0</v>
      </c>
      <c r="GK24" s="10">
        <v>0</v>
      </c>
      <c r="GL24" s="10">
        <v>0</v>
      </c>
      <c r="GM24" s="10">
        <v>0</v>
      </c>
      <c r="GN24" s="10">
        <v>0</v>
      </c>
      <c r="GO24" s="10">
        <v>0</v>
      </c>
      <c r="GP24" s="10">
        <v>0</v>
      </c>
      <c r="GQ24" s="10">
        <v>0</v>
      </c>
      <c r="GR24" s="10">
        <v>0</v>
      </c>
      <c r="GS24" s="10">
        <v>0</v>
      </c>
      <c r="GT24" s="10">
        <v>0</v>
      </c>
      <c r="GU24" s="10">
        <v>0</v>
      </c>
      <c r="GV24" s="10">
        <v>0</v>
      </c>
      <c r="GW24" s="10">
        <v>0</v>
      </c>
      <c r="GX24" s="10">
        <v>0</v>
      </c>
      <c r="GY24" s="10">
        <v>0</v>
      </c>
      <c r="GZ24" s="10">
        <v>0</v>
      </c>
      <c r="HA24" s="10">
        <v>0</v>
      </c>
      <c r="HB24" s="10">
        <v>0</v>
      </c>
      <c r="HC24" s="10">
        <v>0</v>
      </c>
      <c r="HD24" s="10">
        <v>0</v>
      </c>
      <c r="HE24" s="10">
        <v>0</v>
      </c>
      <c r="HF24" s="10">
        <v>0</v>
      </c>
      <c r="HG24" s="10">
        <v>0</v>
      </c>
      <c r="HH24" s="10">
        <v>0</v>
      </c>
      <c r="HI24" s="10">
        <v>0</v>
      </c>
      <c r="HJ24" s="10">
        <v>0</v>
      </c>
      <c r="HK24" s="10">
        <v>0</v>
      </c>
      <c r="HL24" s="10">
        <v>0</v>
      </c>
      <c r="HM24" s="10">
        <v>0</v>
      </c>
      <c r="HN24" s="10">
        <v>0</v>
      </c>
      <c r="HO24" s="10">
        <v>0</v>
      </c>
      <c r="HP24" s="10">
        <v>0</v>
      </c>
      <c r="HQ24" s="10">
        <v>0</v>
      </c>
      <c r="HR24" s="10">
        <v>0</v>
      </c>
      <c r="HS24" s="10">
        <v>0</v>
      </c>
      <c r="HT24" s="10">
        <v>0</v>
      </c>
      <c r="HU24" s="10">
        <v>0</v>
      </c>
    </row>
    <row r="25" spans="1:229" x14ac:dyDescent="0.25">
      <c r="A25" s="10">
        <v>0</v>
      </c>
      <c r="B25" s="2" t="s">
        <v>38</v>
      </c>
      <c r="C25" s="2" t="s">
        <v>39</v>
      </c>
      <c r="D25" s="17">
        <v>17.571999999999999</v>
      </c>
      <c r="E25" s="3">
        <v>24.99</v>
      </c>
      <c r="F25" s="3">
        <v>1.43</v>
      </c>
      <c r="G25" s="3">
        <v>0</v>
      </c>
      <c r="H25" s="3">
        <v>1.43</v>
      </c>
      <c r="I25" s="3">
        <v>812</v>
      </c>
      <c r="J25" s="3">
        <v>8.125</v>
      </c>
      <c r="K25" s="3">
        <v>0.66500000000000004</v>
      </c>
      <c r="L25" s="3"/>
      <c r="M25" s="2" t="str">
        <f t="shared" si="7"/>
        <v>01018</v>
      </c>
      <c r="N25" s="3">
        <v>0.47295578142068395</v>
      </c>
      <c r="O25" s="3">
        <v>1.5270442185793156</v>
      </c>
      <c r="P25" s="17">
        <v>0.4729557814206542</v>
      </c>
      <c r="Q25" s="3">
        <v>1.5270442185793138</v>
      </c>
      <c r="R25" s="3">
        <v>4.3454873141744459</v>
      </c>
      <c r="S25" s="3" t="e">
        <v>#DIV/0!</v>
      </c>
      <c r="T25" s="3">
        <v>0.47295578142068445</v>
      </c>
      <c r="U25" s="3">
        <v>0.47295578142068406</v>
      </c>
      <c r="V25" s="3">
        <v>1.5270442185794357</v>
      </c>
      <c r="W25" s="3">
        <v>5.7579289323673519</v>
      </c>
      <c r="X25" s="3">
        <v>8.3107789911237351</v>
      </c>
      <c r="Y25" s="3">
        <v>38.16083502229705</v>
      </c>
      <c r="Z25" s="3">
        <v>6.214046859269458</v>
      </c>
      <c r="AA25" s="3">
        <v>0.33760222898671333</v>
      </c>
      <c r="AB25" s="3">
        <v>0.67632676743157871</v>
      </c>
      <c r="AC25" s="3">
        <v>384.04009451359548</v>
      </c>
      <c r="AD25" s="3">
        <v>12.407234275957915</v>
      </c>
      <c r="AE25" s="3">
        <v>3.8290227400242891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10">
        <v>0</v>
      </c>
      <c r="BB25" s="10">
        <v>0</v>
      </c>
      <c r="BC25" s="10">
        <v>0</v>
      </c>
      <c r="BD25" s="10">
        <v>0</v>
      </c>
      <c r="BE25" s="10">
        <v>0</v>
      </c>
      <c r="BF25" s="10">
        <v>0</v>
      </c>
      <c r="BG25" s="10">
        <v>0</v>
      </c>
      <c r="BH25" s="10">
        <v>0</v>
      </c>
      <c r="BI25" s="10">
        <v>0</v>
      </c>
      <c r="BJ25" s="10">
        <v>0</v>
      </c>
      <c r="BK25" s="10">
        <v>0</v>
      </c>
      <c r="BL25" s="10">
        <v>0</v>
      </c>
      <c r="BM25" s="10">
        <v>0</v>
      </c>
      <c r="BN25" s="10">
        <v>0</v>
      </c>
      <c r="BO25" s="10">
        <v>0</v>
      </c>
      <c r="BP25" s="10">
        <v>0</v>
      </c>
      <c r="BQ25" s="10">
        <v>0</v>
      </c>
      <c r="BR25" s="10">
        <v>0</v>
      </c>
      <c r="BS25" s="10">
        <v>0</v>
      </c>
      <c r="BT25" s="10">
        <v>0</v>
      </c>
      <c r="BU25" s="10">
        <v>0</v>
      </c>
      <c r="BV25" s="10">
        <v>0</v>
      </c>
      <c r="BW25" s="10">
        <v>0</v>
      </c>
      <c r="BX25" s="10">
        <v>0</v>
      </c>
      <c r="BY25" s="10">
        <v>0</v>
      </c>
      <c r="BZ25" s="10">
        <v>0</v>
      </c>
      <c r="CA25" s="10">
        <v>0.22542492495657387</v>
      </c>
      <c r="CB25" s="10">
        <v>0</v>
      </c>
      <c r="CC25" s="10">
        <v>0</v>
      </c>
      <c r="CD25" s="10">
        <v>0</v>
      </c>
      <c r="CE25" s="10">
        <v>0</v>
      </c>
      <c r="CF25" s="10">
        <v>0</v>
      </c>
      <c r="CG25" s="10">
        <v>0</v>
      </c>
      <c r="CH25" s="10">
        <v>0</v>
      </c>
      <c r="CI25" s="10">
        <v>0</v>
      </c>
      <c r="CJ25" s="10">
        <v>0</v>
      </c>
      <c r="CK25" s="10">
        <v>0</v>
      </c>
      <c r="CL25" s="10">
        <v>0</v>
      </c>
      <c r="CM25" s="10">
        <v>0</v>
      </c>
      <c r="CN25" s="10">
        <v>0</v>
      </c>
      <c r="CO25" s="10">
        <v>0</v>
      </c>
      <c r="CP25" s="10">
        <v>0</v>
      </c>
      <c r="CQ25" s="10">
        <v>0</v>
      </c>
      <c r="CR25" s="10">
        <v>0</v>
      </c>
      <c r="CS25" s="10">
        <v>0</v>
      </c>
      <c r="CT25" s="10">
        <v>0</v>
      </c>
      <c r="CU25" s="10">
        <v>0</v>
      </c>
      <c r="CV25" s="10">
        <v>0</v>
      </c>
      <c r="CW25" s="10">
        <v>0</v>
      </c>
      <c r="CX25" s="10">
        <v>0</v>
      </c>
      <c r="CY25" s="10">
        <v>0</v>
      </c>
      <c r="CZ25" s="10">
        <v>0</v>
      </c>
      <c r="DA25" s="10">
        <v>0</v>
      </c>
      <c r="DB25" s="10">
        <v>0</v>
      </c>
      <c r="DC25" s="10">
        <v>0</v>
      </c>
      <c r="DD25" s="10">
        <v>0</v>
      </c>
      <c r="DE25" s="10">
        <v>0</v>
      </c>
      <c r="DF25" s="10">
        <v>0</v>
      </c>
      <c r="DG25" s="10">
        <v>0</v>
      </c>
      <c r="DH25" s="10">
        <v>0</v>
      </c>
      <c r="DI25" s="10">
        <v>0</v>
      </c>
      <c r="DJ25" s="10">
        <v>0</v>
      </c>
      <c r="DK25" s="10">
        <v>0</v>
      </c>
      <c r="DL25" s="10">
        <v>0</v>
      </c>
      <c r="DM25" s="10">
        <v>0</v>
      </c>
      <c r="DN25" s="10">
        <v>0</v>
      </c>
      <c r="DO25" s="10">
        <v>0</v>
      </c>
      <c r="DP25" s="10">
        <v>0</v>
      </c>
      <c r="DQ25" s="10">
        <v>0</v>
      </c>
      <c r="DR25" s="10">
        <v>0</v>
      </c>
      <c r="DS25" s="10">
        <v>0</v>
      </c>
      <c r="DT25" s="10">
        <v>7.0144341134501615E-3</v>
      </c>
      <c r="DU25" s="10">
        <v>0</v>
      </c>
      <c r="DV25" s="10">
        <v>0</v>
      </c>
      <c r="DW25" s="10">
        <v>0</v>
      </c>
      <c r="DX25" s="10">
        <v>0</v>
      </c>
      <c r="DY25" s="10">
        <v>0.59810096131348955</v>
      </c>
      <c r="DZ25" s="10">
        <v>6.5856512312988027E-4</v>
      </c>
      <c r="EA25" s="10">
        <v>0</v>
      </c>
      <c r="EB25" s="10">
        <v>0</v>
      </c>
      <c r="EC25" s="10">
        <v>0</v>
      </c>
      <c r="ED25" s="10">
        <v>0</v>
      </c>
      <c r="EE25" s="10">
        <v>0</v>
      </c>
      <c r="EF25" s="10">
        <v>0</v>
      </c>
      <c r="EG25" s="10">
        <v>0</v>
      </c>
      <c r="EH25" s="10">
        <v>0</v>
      </c>
      <c r="EI25" s="10">
        <v>0</v>
      </c>
      <c r="EJ25" s="10">
        <v>0</v>
      </c>
      <c r="EK25" s="10">
        <v>0</v>
      </c>
      <c r="EL25" s="10">
        <v>0</v>
      </c>
      <c r="EM25" s="10">
        <v>0</v>
      </c>
      <c r="EN25" s="10">
        <v>0</v>
      </c>
      <c r="EO25" s="10">
        <v>0</v>
      </c>
      <c r="EP25" s="10">
        <v>0</v>
      </c>
      <c r="EQ25" s="10">
        <v>0</v>
      </c>
      <c r="ER25" s="10">
        <v>0</v>
      </c>
      <c r="ES25" s="10">
        <v>0</v>
      </c>
      <c r="ET25" s="10">
        <v>0</v>
      </c>
      <c r="EU25" s="10">
        <v>0</v>
      </c>
      <c r="EV25" s="10">
        <v>0</v>
      </c>
      <c r="EW25" s="10">
        <v>0</v>
      </c>
      <c r="EX25" s="10">
        <v>0</v>
      </c>
      <c r="EY25" s="10">
        <v>0</v>
      </c>
      <c r="EZ25" s="10">
        <v>0</v>
      </c>
      <c r="FA25" s="10">
        <v>0</v>
      </c>
      <c r="FB25" s="10">
        <v>0</v>
      </c>
      <c r="FC25" s="10">
        <v>0</v>
      </c>
      <c r="FD25" s="10">
        <v>0</v>
      </c>
      <c r="FE25" s="10">
        <v>0</v>
      </c>
      <c r="FF25" s="10">
        <v>0</v>
      </c>
      <c r="FG25" s="10">
        <v>0</v>
      </c>
      <c r="FH25" s="10">
        <v>0</v>
      </c>
      <c r="FI25" s="10">
        <v>0</v>
      </c>
      <c r="FJ25" s="10">
        <v>0</v>
      </c>
      <c r="FK25" s="10">
        <v>0</v>
      </c>
      <c r="FL25" s="10">
        <v>0</v>
      </c>
      <c r="FM25" s="10">
        <v>0</v>
      </c>
      <c r="FN25" s="10">
        <v>0</v>
      </c>
      <c r="FO25" s="10">
        <v>0</v>
      </c>
      <c r="FP25" s="10">
        <v>0</v>
      </c>
      <c r="FQ25" s="10">
        <v>0</v>
      </c>
      <c r="FR25" s="10">
        <v>0</v>
      </c>
      <c r="FS25" s="10">
        <v>0</v>
      </c>
      <c r="FT25" s="10">
        <v>0</v>
      </c>
      <c r="FU25" s="10">
        <v>0</v>
      </c>
      <c r="FV25" s="10">
        <v>0</v>
      </c>
      <c r="FW25" s="10">
        <v>0</v>
      </c>
      <c r="FX25" s="10">
        <v>0</v>
      </c>
      <c r="FY25" s="10">
        <v>0</v>
      </c>
      <c r="FZ25" s="10">
        <v>0</v>
      </c>
      <c r="GA25" s="10">
        <v>0</v>
      </c>
      <c r="GB25" s="10">
        <v>0.16880111449335666</v>
      </c>
      <c r="GC25" s="10">
        <v>0</v>
      </c>
      <c r="GD25" s="10">
        <v>0</v>
      </c>
      <c r="GE25" s="10">
        <v>0</v>
      </c>
      <c r="GF25" s="10">
        <v>0</v>
      </c>
      <c r="GG25" s="10">
        <v>0</v>
      </c>
      <c r="GH25" s="10">
        <v>0</v>
      </c>
      <c r="GI25" s="10">
        <v>0</v>
      </c>
      <c r="GJ25" s="10">
        <v>0</v>
      </c>
      <c r="GK25" s="10">
        <v>0</v>
      </c>
      <c r="GL25" s="10">
        <v>0</v>
      </c>
      <c r="GM25" s="10">
        <v>0</v>
      </c>
      <c r="GN25" s="10">
        <v>0</v>
      </c>
      <c r="GO25" s="10">
        <v>0</v>
      </c>
      <c r="GP25" s="10">
        <v>0</v>
      </c>
      <c r="GQ25" s="10">
        <v>0</v>
      </c>
      <c r="GR25" s="10">
        <v>0</v>
      </c>
      <c r="GS25" s="10">
        <v>0</v>
      </c>
      <c r="GT25" s="10">
        <v>0</v>
      </c>
      <c r="GU25" s="10">
        <v>0</v>
      </c>
      <c r="GV25" s="10">
        <v>0</v>
      </c>
      <c r="GW25" s="10">
        <v>0</v>
      </c>
      <c r="GX25" s="10">
        <v>0</v>
      </c>
      <c r="GY25" s="10">
        <v>0</v>
      </c>
      <c r="GZ25" s="10">
        <v>0</v>
      </c>
      <c r="HA25" s="10">
        <v>0</v>
      </c>
      <c r="HB25" s="10">
        <v>0</v>
      </c>
      <c r="HC25" s="10">
        <v>0</v>
      </c>
      <c r="HD25" s="10">
        <v>0</v>
      </c>
      <c r="HE25" s="10">
        <v>0</v>
      </c>
      <c r="HF25" s="10">
        <v>0</v>
      </c>
      <c r="HG25" s="10">
        <v>0</v>
      </c>
      <c r="HH25" s="10">
        <v>0</v>
      </c>
      <c r="HI25" s="10">
        <v>0</v>
      </c>
      <c r="HJ25" s="10">
        <v>0</v>
      </c>
      <c r="HK25" s="10">
        <v>0</v>
      </c>
      <c r="HL25" s="10">
        <v>0</v>
      </c>
      <c r="HM25" s="10">
        <v>0</v>
      </c>
      <c r="HN25" s="10">
        <v>0</v>
      </c>
      <c r="HO25" s="10">
        <v>0</v>
      </c>
      <c r="HP25" s="10">
        <v>0</v>
      </c>
      <c r="HQ25" s="10">
        <v>0</v>
      </c>
      <c r="HR25" s="10">
        <v>0</v>
      </c>
      <c r="HS25" s="10">
        <v>0</v>
      </c>
      <c r="HT25" s="10">
        <v>0</v>
      </c>
      <c r="HU25" s="10">
        <v>0</v>
      </c>
    </row>
    <row r="26" spans="1:229" x14ac:dyDescent="0.25">
      <c r="A26" s="10">
        <v>0</v>
      </c>
      <c r="B26" s="2" t="s">
        <v>40</v>
      </c>
      <c r="C26" s="2" t="s">
        <v>41</v>
      </c>
      <c r="D26" s="17">
        <v>14.946</v>
      </c>
      <c r="E26" s="3">
        <v>14.21</v>
      </c>
      <c r="F26" s="3">
        <v>4.09</v>
      </c>
      <c r="G26" s="3">
        <v>0</v>
      </c>
      <c r="H26" s="3">
        <v>4.09</v>
      </c>
      <c r="I26" s="3">
        <v>917</v>
      </c>
      <c r="J26" s="3">
        <v>4.6230000000000002</v>
      </c>
      <c r="K26" s="3">
        <v>0.59099999999999997</v>
      </c>
      <c r="L26" s="3"/>
      <c r="M26" s="2" t="str">
        <f t="shared" si="7"/>
        <v>01019</v>
      </c>
      <c r="N26" s="3">
        <v>0.27900065480132208</v>
      </c>
      <c r="O26" s="3">
        <v>1.720999345198678</v>
      </c>
      <c r="P26" s="17">
        <v>0.27900065480133635</v>
      </c>
      <c r="Q26" s="3">
        <v>1.7209993451986745</v>
      </c>
      <c r="R26" s="3">
        <v>1.679634164571324</v>
      </c>
      <c r="S26" s="3" t="e">
        <v>#DIV/0!</v>
      </c>
      <c r="T26" s="3">
        <v>0.27900065480132025</v>
      </c>
      <c r="U26" s="3">
        <v>0.27702359456658149</v>
      </c>
      <c r="V26" s="3">
        <v>1.7209993451987236</v>
      </c>
      <c r="W26" s="3">
        <v>3.7976763037407046</v>
      </c>
      <c r="X26" s="3">
        <v>4.1699437866607729</v>
      </c>
      <c r="Y26" s="3">
        <v>24.455400695273166</v>
      </c>
      <c r="Z26" s="3">
        <v>6.8697037330967152</v>
      </c>
      <c r="AA26" s="3">
        <v>1.418896675092038</v>
      </c>
      <c r="AB26" s="3">
        <v>1.1411126781373997</v>
      </c>
      <c r="AC26" s="3">
        <v>254.03063621755521</v>
      </c>
      <c r="AD26" s="3">
        <v>7.9561799728536995</v>
      </c>
      <c r="AE26" s="3">
        <v>2.2444266955107564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10">
        <v>0</v>
      </c>
      <c r="BB26" s="10">
        <v>0</v>
      </c>
      <c r="BC26" s="10">
        <v>0</v>
      </c>
      <c r="BD26" s="10">
        <v>0</v>
      </c>
      <c r="BE26" s="10">
        <v>0</v>
      </c>
      <c r="BF26" s="10">
        <v>0</v>
      </c>
      <c r="BG26" s="10">
        <v>0</v>
      </c>
      <c r="BH26" s="10">
        <v>0</v>
      </c>
      <c r="BI26" s="10">
        <v>0</v>
      </c>
      <c r="BJ26" s="10">
        <v>0</v>
      </c>
      <c r="BK26" s="10">
        <v>0</v>
      </c>
      <c r="BL26" s="10">
        <v>0</v>
      </c>
      <c r="BM26" s="10">
        <v>0</v>
      </c>
      <c r="BN26" s="10">
        <v>0</v>
      </c>
      <c r="BO26" s="10">
        <v>0</v>
      </c>
      <c r="BP26" s="10">
        <v>0</v>
      </c>
      <c r="BQ26" s="10">
        <v>0</v>
      </c>
      <c r="BR26" s="10">
        <v>0</v>
      </c>
      <c r="BS26" s="10">
        <v>0</v>
      </c>
      <c r="BT26" s="10">
        <v>0</v>
      </c>
      <c r="BU26" s="10">
        <v>0</v>
      </c>
      <c r="BV26" s="10">
        <v>0</v>
      </c>
      <c r="BW26" s="10">
        <v>0</v>
      </c>
      <c r="BX26" s="10">
        <v>0</v>
      </c>
      <c r="BY26" s="10">
        <v>0</v>
      </c>
      <c r="BZ26" s="10">
        <v>0</v>
      </c>
      <c r="CA26" s="10">
        <v>0.52706098672319834</v>
      </c>
      <c r="CB26" s="10">
        <v>0</v>
      </c>
      <c r="CC26" s="10">
        <v>0</v>
      </c>
      <c r="CD26" s="10">
        <v>0</v>
      </c>
      <c r="CE26" s="10">
        <v>0</v>
      </c>
      <c r="CF26" s="10">
        <v>0</v>
      </c>
      <c r="CG26" s="10">
        <v>0</v>
      </c>
      <c r="CH26" s="10">
        <v>0</v>
      </c>
      <c r="CI26" s="10">
        <v>0</v>
      </c>
      <c r="CJ26" s="10">
        <v>0</v>
      </c>
      <c r="CK26" s="10">
        <v>0</v>
      </c>
      <c r="CL26" s="10">
        <v>0</v>
      </c>
      <c r="CM26" s="10">
        <v>0</v>
      </c>
      <c r="CN26" s="10">
        <v>0</v>
      </c>
      <c r="CO26" s="10">
        <v>0</v>
      </c>
      <c r="CP26" s="10">
        <v>0</v>
      </c>
      <c r="CQ26" s="10">
        <v>0</v>
      </c>
      <c r="CR26" s="10">
        <v>0</v>
      </c>
      <c r="CS26" s="10">
        <v>0</v>
      </c>
      <c r="CT26" s="10">
        <v>0</v>
      </c>
      <c r="CU26" s="10">
        <v>0</v>
      </c>
      <c r="CV26" s="10">
        <v>0</v>
      </c>
      <c r="CW26" s="10">
        <v>0</v>
      </c>
      <c r="CX26" s="10">
        <v>0</v>
      </c>
      <c r="CY26" s="10">
        <v>0</v>
      </c>
      <c r="CZ26" s="10">
        <v>0</v>
      </c>
      <c r="DA26" s="10">
        <v>0</v>
      </c>
      <c r="DB26" s="10">
        <v>0</v>
      </c>
      <c r="DC26" s="10">
        <v>0</v>
      </c>
      <c r="DD26" s="10">
        <v>0</v>
      </c>
      <c r="DE26" s="10">
        <v>0</v>
      </c>
      <c r="DF26" s="10">
        <v>0</v>
      </c>
      <c r="DG26" s="10">
        <v>0</v>
      </c>
      <c r="DH26" s="10">
        <v>0</v>
      </c>
      <c r="DI26" s="10">
        <v>0</v>
      </c>
      <c r="DJ26" s="10">
        <v>0</v>
      </c>
      <c r="DK26" s="10">
        <v>0</v>
      </c>
      <c r="DL26" s="10">
        <v>0</v>
      </c>
      <c r="DM26" s="10">
        <v>0</v>
      </c>
      <c r="DN26" s="10">
        <v>0</v>
      </c>
      <c r="DO26" s="10">
        <v>0</v>
      </c>
      <c r="DP26" s="10">
        <v>0</v>
      </c>
      <c r="DQ26" s="10">
        <v>0</v>
      </c>
      <c r="DR26" s="10">
        <v>0</v>
      </c>
      <c r="DS26" s="10">
        <v>0</v>
      </c>
      <c r="DT26" s="10">
        <v>0</v>
      </c>
      <c r="DU26" s="10">
        <v>0</v>
      </c>
      <c r="DV26" s="10">
        <v>0</v>
      </c>
      <c r="DW26" s="10">
        <v>0</v>
      </c>
      <c r="DX26" s="10">
        <v>0</v>
      </c>
      <c r="DY26" s="10">
        <v>0.26166491905507655</v>
      </c>
      <c r="DZ26" s="10">
        <v>0</v>
      </c>
      <c r="EA26" s="10">
        <v>0</v>
      </c>
      <c r="EB26" s="10">
        <v>0</v>
      </c>
      <c r="EC26" s="10">
        <v>0</v>
      </c>
      <c r="ED26" s="10">
        <v>0</v>
      </c>
      <c r="EE26" s="10">
        <v>0</v>
      </c>
      <c r="EF26" s="10">
        <v>0</v>
      </c>
      <c r="EG26" s="10">
        <v>0</v>
      </c>
      <c r="EH26" s="10">
        <v>0</v>
      </c>
      <c r="EI26" s="10">
        <v>0</v>
      </c>
      <c r="EJ26" s="10">
        <v>0</v>
      </c>
      <c r="EK26" s="10">
        <v>0</v>
      </c>
      <c r="EL26" s="10">
        <v>0</v>
      </c>
      <c r="EM26" s="10">
        <v>0</v>
      </c>
      <c r="EN26" s="10">
        <v>0</v>
      </c>
      <c r="EO26" s="10">
        <v>0</v>
      </c>
      <c r="EP26" s="10">
        <v>0</v>
      </c>
      <c r="EQ26" s="10">
        <v>0</v>
      </c>
      <c r="ER26" s="10">
        <v>0</v>
      </c>
      <c r="ES26" s="10">
        <v>0</v>
      </c>
      <c r="ET26" s="10">
        <v>0</v>
      </c>
      <c r="EU26" s="10">
        <v>0</v>
      </c>
      <c r="EV26" s="10">
        <v>0</v>
      </c>
      <c r="EW26" s="10">
        <v>0</v>
      </c>
      <c r="EX26" s="10">
        <v>0</v>
      </c>
      <c r="EY26" s="10">
        <v>0</v>
      </c>
      <c r="EZ26" s="10">
        <v>0</v>
      </c>
      <c r="FA26" s="10">
        <v>0</v>
      </c>
      <c r="FB26" s="10">
        <v>0</v>
      </c>
      <c r="FC26" s="10">
        <v>0</v>
      </c>
      <c r="FD26" s="10">
        <v>0</v>
      </c>
      <c r="FE26" s="10">
        <v>0</v>
      </c>
      <c r="FF26" s="10">
        <v>0</v>
      </c>
      <c r="FG26" s="10">
        <v>0</v>
      </c>
      <c r="FH26" s="10">
        <v>0</v>
      </c>
      <c r="FI26" s="10">
        <v>0</v>
      </c>
      <c r="FJ26" s="10">
        <v>0</v>
      </c>
      <c r="FK26" s="10">
        <v>0</v>
      </c>
      <c r="FL26" s="10">
        <v>0</v>
      </c>
      <c r="FM26" s="10">
        <v>0</v>
      </c>
      <c r="FN26" s="10">
        <v>0</v>
      </c>
      <c r="FO26" s="10">
        <v>0</v>
      </c>
      <c r="FP26" s="10">
        <v>0</v>
      </c>
      <c r="FQ26" s="10">
        <v>0</v>
      </c>
      <c r="FR26" s="10">
        <v>0</v>
      </c>
      <c r="FS26" s="10">
        <v>0</v>
      </c>
      <c r="FT26" s="10">
        <v>0</v>
      </c>
      <c r="FU26" s="10">
        <v>0</v>
      </c>
      <c r="FV26" s="10">
        <v>0</v>
      </c>
      <c r="FW26" s="10">
        <v>0</v>
      </c>
      <c r="FX26" s="10">
        <v>0</v>
      </c>
      <c r="FY26" s="10">
        <v>0</v>
      </c>
      <c r="FZ26" s="10">
        <v>0</v>
      </c>
      <c r="GA26" s="10">
        <v>0.19984460212563918</v>
      </c>
      <c r="GB26" s="10">
        <v>0</v>
      </c>
      <c r="GC26" s="10">
        <v>0</v>
      </c>
      <c r="GD26" s="10">
        <v>0</v>
      </c>
      <c r="GE26" s="10">
        <v>0</v>
      </c>
      <c r="GF26" s="10">
        <v>0</v>
      </c>
      <c r="GG26" s="10">
        <v>0</v>
      </c>
      <c r="GH26" s="10">
        <v>0</v>
      </c>
      <c r="GI26" s="10">
        <v>0</v>
      </c>
      <c r="GJ26" s="10">
        <v>0</v>
      </c>
      <c r="GK26" s="10">
        <v>0</v>
      </c>
      <c r="GL26" s="10">
        <v>0</v>
      </c>
      <c r="GM26" s="10">
        <v>0</v>
      </c>
      <c r="GN26" s="10">
        <v>0</v>
      </c>
      <c r="GO26" s="10">
        <v>0</v>
      </c>
      <c r="GP26" s="10">
        <v>0</v>
      </c>
      <c r="GQ26" s="10">
        <v>0</v>
      </c>
      <c r="GR26" s="10">
        <v>0</v>
      </c>
      <c r="GS26" s="10">
        <v>0</v>
      </c>
      <c r="GT26" s="10">
        <v>0</v>
      </c>
      <c r="GU26" s="10">
        <v>0</v>
      </c>
      <c r="GV26" s="10">
        <v>0</v>
      </c>
      <c r="GW26" s="10">
        <v>1.1429492096085996E-2</v>
      </c>
      <c r="GX26" s="10">
        <v>0</v>
      </c>
      <c r="GY26" s="10">
        <v>0</v>
      </c>
      <c r="GZ26" s="10">
        <v>0</v>
      </c>
      <c r="HA26" s="10">
        <v>0</v>
      </c>
      <c r="HB26" s="10">
        <v>0</v>
      </c>
      <c r="HC26" s="10">
        <v>0</v>
      </c>
      <c r="HD26" s="10">
        <v>0</v>
      </c>
      <c r="HE26" s="10">
        <v>0</v>
      </c>
      <c r="HF26" s="10">
        <v>0</v>
      </c>
      <c r="HG26" s="10">
        <v>0</v>
      </c>
      <c r="HH26" s="10">
        <v>0</v>
      </c>
      <c r="HI26" s="10">
        <v>0</v>
      </c>
      <c r="HJ26" s="10">
        <v>0</v>
      </c>
      <c r="HK26" s="10">
        <v>0</v>
      </c>
      <c r="HL26" s="10">
        <v>0</v>
      </c>
      <c r="HM26" s="10">
        <v>0</v>
      </c>
      <c r="HN26" s="10">
        <v>0</v>
      </c>
      <c r="HO26" s="10">
        <v>0</v>
      </c>
      <c r="HP26" s="10">
        <v>0</v>
      </c>
      <c r="HQ26" s="10">
        <v>0</v>
      </c>
      <c r="HR26" s="10">
        <v>0</v>
      </c>
      <c r="HS26" s="10">
        <v>0</v>
      </c>
      <c r="HT26" s="10">
        <v>0</v>
      </c>
      <c r="HU26" s="10">
        <v>0</v>
      </c>
    </row>
    <row r="27" spans="1:229" x14ac:dyDescent="0.25">
      <c r="A27" s="10">
        <v>0</v>
      </c>
      <c r="B27" s="2" t="s">
        <v>42</v>
      </c>
      <c r="C27" s="2" t="s">
        <v>43</v>
      </c>
      <c r="D27" s="17">
        <v>19.196000000000002</v>
      </c>
      <c r="E27" s="3">
        <v>25.6</v>
      </c>
      <c r="F27" s="3">
        <v>1.55</v>
      </c>
      <c r="G27" s="3">
        <v>0</v>
      </c>
      <c r="H27" s="8">
        <v>1.55</v>
      </c>
      <c r="I27" s="3">
        <v>800</v>
      </c>
      <c r="J27" s="3">
        <v>8.6869999999999994</v>
      </c>
      <c r="K27" s="3">
        <v>1.6539999999999999</v>
      </c>
      <c r="L27" s="3"/>
      <c r="M27" s="2" t="str">
        <f t="shared" si="7"/>
        <v>01020</v>
      </c>
      <c r="N27" s="3">
        <v>0.47321334460500286</v>
      </c>
      <c r="O27" s="3">
        <v>1.5267866553949967</v>
      </c>
      <c r="P27" s="17">
        <v>0.47321334460508652</v>
      </c>
      <c r="Q27" s="3">
        <v>1.5267866553949949</v>
      </c>
      <c r="R27" s="3">
        <v>3.9249086468660042</v>
      </c>
      <c r="S27" s="3" t="e">
        <v>#DIV/0!</v>
      </c>
      <c r="T27" s="3">
        <v>0.47321334460500647</v>
      </c>
      <c r="U27" s="3">
        <v>0.47321334460500325</v>
      </c>
      <c r="V27" s="3">
        <v>1.5267866553949831</v>
      </c>
      <c r="W27" s="3">
        <v>2.5149359751675995</v>
      </c>
      <c r="X27" s="3">
        <v>9.083803363039241</v>
      </c>
      <c r="Y27" s="3">
        <v>39.08573837811187</v>
      </c>
      <c r="Z27" s="3">
        <v>6.083608402642307</v>
      </c>
      <c r="AA27" s="3">
        <v>0.34224531324068441</v>
      </c>
      <c r="AB27" s="3">
        <v>0.73348068413776002</v>
      </c>
      <c r="AC27" s="3">
        <v>378.57067568400259</v>
      </c>
      <c r="AD27" s="3">
        <v>13.263195675416217</v>
      </c>
      <c r="AE27" s="3">
        <v>4.1597041029272095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10">
        <v>0</v>
      </c>
      <c r="BB27" s="10">
        <v>0</v>
      </c>
      <c r="BC27" s="10">
        <v>0</v>
      </c>
      <c r="BD27" s="10">
        <v>0</v>
      </c>
      <c r="BE27" s="10">
        <v>0</v>
      </c>
      <c r="BF27" s="10">
        <v>0</v>
      </c>
      <c r="BG27" s="10">
        <v>0</v>
      </c>
      <c r="BH27" s="10">
        <v>0</v>
      </c>
      <c r="BI27" s="10">
        <v>0</v>
      </c>
      <c r="BJ27" s="10">
        <v>0</v>
      </c>
      <c r="BK27" s="10">
        <v>0</v>
      </c>
      <c r="BL27" s="10">
        <v>0</v>
      </c>
      <c r="BM27" s="10">
        <v>0</v>
      </c>
      <c r="BN27" s="10">
        <v>0</v>
      </c>
      <c r="BO27" s="10">
        <v>0</v>
      </c>
      <c r="BP27" s="10">
        <v>0</v>
      </c>
      <c r="BQ27" s="10">
        <v>0</v>
      </c>
      <c r="BR27" s="10">
        <v>0</v>
      </c>
      <c r="BS27" s="10">
        <v>0</v>
      </c>
      <c r="BT27" s="10">
        <v>0</v>
      </c>
      <c r="BU27" s="10">
        <v>0</v>
      </c>
      <c r="BV27" s="10">
        <v>0</v>
      </c>
      <c r="BW27" s="10">
        <v>0</v>
      </c>
      <c r="BX27" s="10">
        <v>0</v>
      </c>
      <c r="BY27" s="10">
        <v>0</v>
      </c>
      <c r="BZ27" s="10">
        <v>0</v>
      </c>
      <c r="CA27" s="10">
        <v>0.12904220118391296</v>
      </c>
      <c r="CB27" s="10">
        <v>0</v>
      </c>
      <c r="CC27" s="10">
        <v>0</v>
      </c>
      <c r="CD27" s="10">
        <v>0</v>
      </c>
      <c r="CE27" s="10">
        <v>0</v>
      </c>
      <c r="CF27" s="10">
        <v>0</v>
      </c>
      <c r="CG27" s="10">
        <v>0</v>
      </c>
      <c r="CH27" s="10">
        <v>0</v>
      </c>
      <c r="CI27" s="10">
        <v>0</v>
      </c>
      <c r="CJ27" s="10">
        <v>0</v>
      </c>
      <c r="CK27" s="10">
        <v>0</v>
      </c>
      <c r="CL27" s="10">
        <v>0</v>
      </c>
      <c r="CM27" s="10">
        <v>0</v>
      </c>
      <c r="CN27" s="10">
        <v>0</v>
      </c>
      <c r="CO27" s="10">
        <v>0</v>
      </c>
      <c r="CP27" s="10">
        <v>0</v>
      </c>
      <c r="CQ27" s="10">
        <v>0</v>
      </c>
      <c r="CR27" s="10">
        <v>0</v>
      </c>
      <c r="CS27" s="10">
        <v>0</v>
      </c>
      <c r="CT27" s="10">
        <v>0</v>
      </c>
      <c r="CU27" s="10">
        <v>0</v>
      </c>
      <c r="CV27" s="10">
        <v>0</v>
      </c>
      <c r="CW27" s="10">
        <v>0</v>
      </c>
      <c r="CX27" s="10">
        <v>0</v>
      </c>
      <c r="CY27" s="10">
        <v>0</v>
      </c>
      <c r="CZ27" s="10">
        <v>0</v>
      </c>
      <c r="DA27" s="10">
        <v>0</v>
      </c>
      <c r="DB27" s="10">
        <v>0</v>
      </c>
      <c r="DC27" s="10">
        <v>0</v>
      </c>
      <c r="DD27" s="10">
        <v>0</v>
      </c>
      <c r="DE27" s="10">
        <v>0</v>
      </c>
      <c r="DF27" s="10">
        <v>0</v>
      </c>
      <c r="DG27" s="10">
        <v>0</v>
      </c>
      <c r="DH27" s="10">
        <v>0</v>
      </c>
      <c r="DI27" s="10">
        <v>0</v>
      </c>
      <c r="DJ27" s="10">
        <v>0</v>
      </c>
      <c r="DK27" s="10">
        <v>0</v>
      </c>
      <c r="DL27" s="10">
        <v>0</v>
      </c>
      <c r="DM27" s="10">
        <v>0</v>
      </c>
      <c r="DN27" s="10">
        <v>0</v>
      </c>
      <c r="DO27" s="10">
        <v>0</v>
      </c>
      <c r="DP27" s="10">
        <v>0</v>
      </c>
      <c r="DQ27" s="10">
        <v>0</v>
      </c>
      <c r="DR27" s="10">
        <v>0</v>
      </c>
      <c r="DS27" s="10">
        <v>7.7905626504175554E-2</v>
      </c>
      <c r="DT27" s="10">
        <v>3.3518167587830355E-2</v>
      </c>
      <c r="DU27" s="10">
        <v>0</v>
      </c>
      <c r="DV27" s="10">
        <v>0</v>
      </c>
      <c r="DW27" s="10">
        <v>0</v>
      </c>
      <c r="DX27" s="10">
        <v>0</v>
      </c>
      <c r="DY27" s="10">
        <v>0.58841134810373885</v>
      </c>
      <c r="DZ27" s="10">
        <v>0</v>
      </c>
      <c r="EA27" s="10">
        <v>0</v>
      </c>
      <c r="EB27" s="10">
        <v>0</v>
      </c>
      <c r="EC27" s="10">
        <v>0</v>
      </c>
      <c r="ED27" s="10">
        <v>0</v>
      </c>
      <c r="EE27" s="10">
        <v>0</v>
      </c>
      <c r="EF27" s="10">
        <v>0</v>
      </c>
      <c r="EG27" s="10">
        <v>0</v>
      </c>
      <c r="EH27" s="10">
        <v>0</v>
      </c>
      <c r="EI27" s="10">
        <v>0</v>
      </c>
      <c r="EJ27" s="10">
        <v>0</v>
      </c>
      <c r="EK27" s="10">
        <v>0</v>
      </c>
      <c r="EL27" s="10">
        <v>0</v>
      </c>
      <c r="EM27" s="10">
        <v>0</v>
      </c>
      <c r="EN27" s="10">
        <v>0</v>
      </c>
      <c r="EO27" s="10">
        <v>0</v>
      </c>
      <c r="EP27" s="10">
        <v>0</v>
      </c>
      <c r="EQ27" s="10">
        <v>0</v>
      </c>
      <c r="ER27" s="10">
        <v>0</v>
      </c>
      <c r="ES27" s="10">
        <v>0</v>
      </c>
      <c r="ET27" s="10">
        <v>0</v>
      </c>
      <c r="EU27" s="10">
        <v>0</v>
      </c>
      <c r="EV27" s="10">
        <v>0</v>
      </c>
      <c r="EW27" s="10">
        <v>0</v>
      </c>
      <c r="EX27" s="10">
        <v>0</v>
      </c>
      <c r="EY27" s="10">
        <v>0</v>
      </c>
      <c r="EZ27" s="10">
        <v>0</v>
      </c>
      <c r="FA27" s="10">
        <v>0</v>
      </c>
      <c r="FB27" s="10">
        <v>0</v>
      </c>
      <c r="FC27" s="10">
        <v>0</v>
      </c>
      <c r="FD27" s="10">
        <v>0</v>
      </c>
      <c r="FE27" s="10">
        <v>0</v>
      </c>
      <c r="FF27" s="10">
        <v>0</v>
      </c>
      <c r="FG27" s="10">
        <v>0</v>
      </c>
      <c r="FH27" s="10">
        <v>0</v>
      </c>
      <c r="FI27" s="10">
        <v>0</v>
      </c>
      <c r="FJ27" s="10">
        <v>0</v>
      </c>
      <c r="FK27" s="10">
        <v>0</v>
      </c>
      <c r="FL27" s="10">
        <v>0</v>
      </c>
      <c r="FM27" s="10">
        <v>0</v>
      </c>
      <c r="FN27" s="10">
        <v>0</v>
      </c>
      <c r="FO27" s="10">
        <v>0</v>
      </c>
      <c r="FP27" s="10">
        <v>0</v>
      </c>
      <c r="FQ27" s="10">
        <v>0</v>
      </c>
      <c r="FR27" s="10">
        <v>0</v>
      </c>
      <c r="FS27" s="10">
        <v>0</v>
      </c>
      <c r="FT27" s="10">
        <v>0</v>
      </c>
      <c r="FU27" s="10">
        <v>0</v>
      </c>
      <c r="FV27" s="10">
        <v>0</v>
      </c>
      <c r="FW27" s="10">
        <v>0</v>
      </c>
      <c r="FX27" s="10">
        <v>0</v>
      </c>
      <c r="FY27" s="10">
        <v>0</v>
      </c>
      <c r="FZ27" s="10">
        <v>0</v>
      </c>
      <c r="GA27" s="10">
        <v>0</v>
      </c>
      <c r="GB27" s="10">
        <v>0.17112265662034221</v>
      </c>
      <c r="GC27" s="10">
        <v>0</v>
      </c>
      <c r="GD27" s="10">
        <v>0</v>
      </c>
      <c r="GE27" s="10">
        <v>0</v>
      </c>
      <c r="GF27" s="10">
        <v>0</v>
      </c>
      <c r="GG27" s="10">
        <v>0</v>
      </c>
      <c r="GH27" s="10">
        <v>0</v>
      </c>
      <c r="GI27" s="10">
        <v>0</v>
      </c>
      <c r="GJ27" s="10">
        <v>0</v>
      </c>
      <c r="GK27" s="10">
        <v>0</v>
      </c>
      <c r="GL27" s="10">
        <v>0</v>
      </c>
      <c r="GM27" s="10">
        <v>0</v>
      </c>
      <c r="GN27" s="10">
        <v>0</v>
      </c>
      <c r="GO27" s="10">
        <v>0</v>
      </c>
      <c r="GP27" s="10">
        <v>0</v>
      </c>
      <c r="GQ27" s="10">
        <v>0</v>
      </c>
      <c r="GR27" s="10">
        <v>0</v>
      </c>
      <c r="GS27" s="10">
        <v>0</v>
      </c>
      <c r="GT27" s="10">
        <v>0</v>
      </c>
      <c r="GU27" s="10">
        <v>0</v>
      </c>
      <c r="GV27" s="10">
        <v>0</v>
      </c>
      <c r="GW27" s="10">
        <v>0</v>
      </c>
      <c r="GX27" s="10">
        <v>0</v>
      </c>
      <c r="GY27" s="10">
        <v>0</v>
      </c>
      <c r="GZ27" s="10">
        <v>0</v>
      </c>
      <c r="HA27" s="10">
        <v>0</v>
      </c>
      <c r="HB27" s="10">
        <v>0</v>
      </c>
      <c r="HC27" s="10">
        <v>0</v>
      </c>
      <c r="HD27" s="10">
        <v>0</v>
      </c>
      <c r="HE27" s="10">
        <v>0</v>
      </c>
      <c r="HF27" s="10">
        <v>0</v>
      </c>
      <c r="HG27" s="10">
        <v>0</v>
      </c>
      <c r="HH27" s="10">
        <v>0</v>
      </c>
      <c r="HI27" s="10">
        <v>0</v>
      </c>
      <c r="HJ27" s="10">
        <v>0</v>
      </c>
      <c r="HK27" s="10">
        <v>0</v>
      </c>
      <c r="HL27" s="10">
        <v>0</v>
      </c>
      <c r="HM27" s="10">
        <v>0</v>
      </c>
      <c r="HN27" s="10">
        <v>0</v>
      </c>
      <c r="HO27" s="10">
        <v>0</v>
      </c>
      <c r="HP27" s="10">
        <v>0</v>
      </c>
      <c r="HQ27" s="10">
        <v>0</v>
      </c>
      <c r="HR27" s="10">
        <v>0</v>
      </c>
      <c r="HS27" s="10">
        <v>0</v>
      </c>
      <c r="HT27" s="10">
        <v>0</v>
      </c>
      <c r="HU27" s="10">
        <v>0</v>
      </c>
    </row>
    <row r="28" spans="1:229" x14ac:dyDescent="0.25">
      <c r="A28" s="10">
        <v>0</v>
      </c>
      <c r="B28" s="2" t="s">
        <v>44</v>
      </c>
      <c r="C28" s="2" t="s">
        <v>45</v>
      </c>
      <c r="D28" s="17">
        <v>17.614000000000001</v>
      </c>
      <c r="E28" s="3">
        <v>24.94</v>
      </c>
      <c r="F28" s="3">
        <v>2.2200000000000002</v>
      </c>
      <c r="G28" s="3">
        <v>0</v>
      </c>
      <c r="H28" s="3">
        <v>2.2200000000000002</v>
      </c>
      <c r="I28" s="3">
        <v>819</v>
      </c>
      <c r="J28" s="3">
        <v>7.7469999999999999</v>
      </c>
      <c r="K28" s="3">
        <v>0.65700000000000003</v>
      </c>
      <c r="L28" s="3"/>
      <c r="M28" s="2" t="str">
        <f t="shared" si="7"/>
        <v>01022</v>
      </c>
      <c r="N28" s="3">
        <v>0.4415970251962692</v>
      </c>
      <c r="O28" s="3">
        <v>1.5584029748037302</v>
      </c>
      <c r="P28" s="17">
        <v>0.4415970251963256</v>
      </c>
      <c r="Q28" s="3">
        <v>1.5584029748037291</v>
      </c>
      <c r="R28" s="3">
        <v>3.3446298756579447</v>
      </c>
      <c r="S28" s="3" t="e">
        <v>#DIV/0!</v>
      </c>
      <c r="T28" s="3">
        <v>0.44159702519627048</v>
      </c>
      <c r="U28" s="3">
        <v>0.44159702519626959</v>
      </c>
      <c r="V28" s="3">
        <v>1.5584029748037245</v>
      </c>
      <c r="W28" s="3">
        <v>5.6351899170871347</v>
      </c>
      <c r="X28" s="3">
        <v>7.7782900018080792</v>
      </c>
      <c r="Y28" s="3">
        <v>38.866570191605007</v>
      </c>
      <c r="Z28" s="3">
        <v>7.4250783239606379</v>
      </c>
      <c r="AA28" s="3">
        <v>0.48441748934694673</v>
      </c>
      <c r="AB28" s="3">
        <v>0.98034539593572056</v>
      </c>
      <c r="AC28" s="3">
        <v>361.6679636357448</v>
      </c>
      <c r="AD28" s="3">
        <v>12.072947845804453</v>
      </c>
      <c r="AE28" s="3">
        <v>3.7023197755262478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10">
        <v>0</v>
      </c>
      <c r="BB28" s="10">
        <v>0</v>
      </c>
      <c r="BC28" s="10">
        <v>0</v>
      </c>
      <c r="BD28" s="10">
        <v>0</v>
      </c>
      <c r="BE28" s="10">
        <v>0</v>
      </c>
      <c r="BF28" s="10">
        <v>0</v>
      </c>
      <c r="BG28" s="10">
        <v>0</v>
      </c>
      <c r="BH28" s="10">
        <v>0</v>
      </c>
      <c r="BI28" s="10">
        <v>0</v>
      </c>
      <c r="BJ28" s="10">
        <v>0</v>
      </c>
      <c r="BK28" s="10">
        <v>0</v>
      </c>
      <c r="BL28" s="10">
        <v>0</v>
      </c>
      <c r="BM28" s="10">
        <v>0</v>
      </c>
      <c r="BN28" s="10">
        <v>0</v>
      </c>
      <c r="BO28" s="10">
        <v>0</v>
      </c>
      <c r="BP28" s="10">
        <v>0</v>
      </c>
      <c r="BQ28" s="10">
        <v>0</v>
      </c>
      <c r="BR28" s="10">
        <v>0</v>
      </c>
      <c r="BS28" s="10">
        <v>0</v>
      </c>
      <c r="BT28" s="10">
        <v>0</v>
      </c>
      <c r="BU28" s="10">
        <v>0</v>
      </c>
      <c r="BV28" s="10">
        <v>0</v>
      </c>
      <c r="BW28" s="10">
        <v>0</v>
      </c>
      <c r="BX28" s="10">
        <v>0</v>
      </c>
      <c r="BY28" s="10">
        <v>0</v>
      </c>
      <c r="BZ28" s="10">
        <v>0</v>
      </c>
      <c r="CA28" s="10">
        <v>0.16819994489492035</v>
      </c>
      <c r="CB28" s="10">
        <v>0</v>
      </c>
      <c r="CC28" s="10">
        <v>0</v>
      </c>
      <c r="CD28" s="10">
        <v>0</v>
      </c>
      <c r="CE28" s="10">
        <v>0</v>
      </c>
      <c r="CF28" s="10">
        <v>0</v>
      </c>
      <c r="CG28" s="10">
        <v>0</v>
      </c>
      <c r="CH28" s="10">
        <v>0</v>
      </c>
      <c r="CI28" s="10">
        <v>0</v>
      </c>
      <c r="CJ28" s="10">
        <v>0</v>
      </c>
      <c r="CK28" s="10">
        <v>0</v>
      </c>
      <c r="CL28" s="10">
        <v>0</v>
      </c>
      <c r="CM28" s="10">
        <v>0</v>
      </c>
      <c r="CN28" s="10">
        <v>0</v>
      </c>
      <c r="CO28" s="10">
        <v>0</v>
      </c>
      <c r="CP28" s="10">
        <v>0</v>
      </c>
      <c r="CQ28" s="10">
        <v>0</v>
      </c>
      <c r="CR28" s="10">
        <v>0</v>
      </c>
      <c r="CS28" s="10">
        <v>0</v>
      </c>
      <c r="CT28" s="10">
        <v>0</v>
      </c>
      <c r="CU28" s="10">
        <v>0</v>
      </c>
      <c r="CV28" s="10">
        <v>0</v>
      </c>
      <c r="CW28" s="10">
        <v>0</v>
      </c>
      <c r="CX28" s="10">
        <v>0</v>
      </c>
      <c r="CY28" s="10">
        <v>0</v>
      </c>
      <c r="CZ28" s="10">
        <v>0</v>
      </c>
      <c r="DA28" s="10">
        <v>0</v>
      </c>
      <c r="DB28" s="10">
        <v>0</v>
      </c>
      <c r="DC28" s="10">
        <v>0</v>
      </c>
      <c r="DD28" s="10">
        <v>0</v>
      </c>
      <c r="DE28" s="10">
        <v>0</v>
      </c>
      <c r="DF28" s="10">
        <v>0</v>
      </c>
      <c r="DG28" s="10">
        <v>0</v>
      </c>
      <c r="DH28" s="10">
        <v>0</v>
      </c>
      <c r="DI28" s="10">
        <v>0</v>
      </c>
      <c r="DJ28" s="10">
        <v>0</v>
      </c>
      <c r="DK28" s="10">
        <v>0</v>
      </c>
      <c r="DL28" s="10">
        <v>0</v>
      </c>
      <c r="DM28" s="10">
        <v>0</v>
      </c>
      <c r="DN28" s="10">
        <v>0</v>
      </c>
      <c r="DO28" s="10">
        <v>0</v>
      </c>
      <c r="DP28" s="10">
        <v>0</v>
      </c>
      <c r="DQ28" s="10">
        <v>0</v>
      </c>
      <c r="DR28" s="10">
        <v>0</v>
      </c>
      <c r="DS28" s="10">
        <v>0</v>
      </c>
      <c r="DT28" s="10">
        <v>7.1940107761419722E-2</v>
      </c>
      <c r="DU28" s="10">
        <v>0</v>
      </c>
      <c r="DV28" s="10">
        <v>0</v>
      </c>
      <c r="DW28" s="10">
        <v>0</v>
      </c>
      <c r="DX28" s="10">
        <v>0</v>
      </c>
      <c r="DY28" s="10">
        <v>0.51265854753023821</v>
      </c>
      <c r="DZ28" s="10">
        <v>4.9926551399483935E-3</v>
      </c>
      <c r="EA28" s="10">
        <v>0</v>
      </c>
      <c r="EB28" s="10">
        <v>0</v>
      </c>
      <c r="EC28" s="10">
        <v>0</v>
      </c>
      <c r="ED28" s="10">
        <v>0</v>
      </c>
      <c r="EE28" s="10">
        <v>0</v>
      </c>
      <c r="EF28" s="10">
        <v>0</v>
      </c>
      <c r="EG28" s="10">
        <v>0</v>
      </c>
      <c r="EH28" s="10">
        <v>0</v>
      </c>
      <c r="EI28" s="10">
        <v>0</v>
      </c>
      <c r="EJ28" s="10">
        <v>0</v>
      </c>
      <c r="EK28" s="10">
        <v>0</v>
      </c>
      <c r="EL28" s="10">
        <v>0</v>
      </c>
      <c r="EM28" s="10">
        <v>0</v>
      </c>
      <c r="EN28" s="10">
        <v>0</v>
      </c>
      <c r="EO28" s="10">
        <v>0</v>
      </c>
      <c r="EP28" s="10">
        <v>0</v>
      </c>
      <c r="EQ28" s="10">
        <v>0</v>
      </c>
      <c r="ER28" s="10">
        <v>0</v>
      </c>
      <c r="ES28" s="10">
        <v>0</v>
      </c>
      <c r="ET28" s="10">
        <v>0</v>
      </c>
      <c r="EU28" s="10">
        <v>0</v>
      </c>
      <c r="EV28" s="10">
        <v>0</v>
      </c>
      <c r="EW28" s="10">
        <v>0</v>
      </c>
      <c r="EX28" s="10">
        <v>0</v>
      </c>
      <c r="EY28" s="10">
        <v>0</v>
      </c>
      <c r="EZ28" s="10">
        <v>0</v>
      </c>
      <c r="FA28" s="10">
        <v>0</v>
      </c>
      <c r="FB28" s="10">
        <v>0</v>
      </c>
      <c r="FC28" s="10">
        <v>0</v>
      </c>
      <c r="FD28" s="10">
        <v>0</v>
      </c>
      <c r="FE28" s="10">
        <v>0</v>
      </c>
      <c r="FF28" s="10">
        <v>0</v>
      </c>
      <c r="FG28" s="10">
        <v>0</v>
      </c>
      <c r="FH28" s="10">
        <v>0</v>
      </c>
      <c r="FI28" s="10">
        <v>0</v>
      </c>
      <c r="FJ28" s="10">
        <v>0</v>
      </c>
      <c r="FK28" s="10">
        <v>0</v>
      </c>
      <c r="FL28" s="10">
        <v>0</v>
      </c>
      <c r="FM28" s="10">
        <v>0</v>
      </c>
      <c r="FN28" s="10">
        <v>0</v>
      </c>
      <c r="FO28" s="10">
        <v>0</v>
      </c>
      <c r="FP28" s="10">
        <v>0</v>
      </c>
      <c r="FQ28" s="10">
        <v>0</v>
      </c>
      <c r="FR28" s="10">
        <v>0</v>
      </c>
      <c r="FS28" s="10">
        <v>0</v>
      </c>
      <c r="FT28" s="10">
        <v>0</v>
      </c>
      <c r="FU28" s="10">
        <v>0</v>
      </c>
      <c r="FV28" s="10">
        <v>0</v>
      </c>
      <c r="FW28" s="10">
        <v>0</v>
      </c>
      <c r="FX28" s="10">
        <v>0</v>
      </c>
      <c r="FY28" s="10">
        <v>0</v>
      </c>
      <c r="FZ28" s="10">
        <v>0</v>
      </c>
      <c r="GA28" s="10">
        <v>0</v>
      </c>
      <c r="GB28" s="10">
        <v>0.24220874467347336</v>
      </c>
      <c r="GC28" s="10">
        <v>0</v>
      </c>
      <c r="GD28" s="10">
        <v>0</v>
      </c>
      <c r="GE28" s="10">
        <v>0</v>
      </c>
      <c r="GF28" s="10">
        <v>0</v>
      </c>
      <c r="GG28" s="10">
        <v>0</v>
      </c>
      <c r="GH28" s="10">
        <v>0</v>
      </c>
      <c r="GI28" s="10">
        <v>0</v>
      </c>
      <c r="GJ28" s="10">
        <v>0</v>
      </c>
      <c r="GK28" s="10">
        <v>0</v>
      </c>
      <c r="GL28" s="10">
        <v>0</v>
      </c>
      <c r="GM28" s="10">
        <v>0</v>
      </c>
      <c r="GN28" s="10">
        <v>0</v>
      </c>
      <c r="GO28" s="10">
        <v>0</v>
      </c>
      <c r="GP28" s="10">
        <v>0</v>
      </c>
      <c r="GQ28" s="10">
        <v>0</v>
      </c>
      <c r="GR28" s="10">
        <v>0</v>
      </c>
      <c r="GS28" s="10">
        <v>0</v>
      </c>
      <c r="GT28" s="10">
        <v>0</v>
      </c>
      <c r="GU28" s="10">
        <v>0</v>
      </c>
      <c r="GV28" s="10">
        <v>0</v>
      </c>
      <c r="GW28" s="10">
        <v>0</v>
      </c>
      <c r="GX28" s="10">
        <v>0</v>
      </c>
      <c r="GY28" s="10">
        <v>0</v>
      </c>
      <c r="GZ28" s="10">
        <v>0</v>
      </c>
      <c r="HA28" s="10">
        <v>0</v>
      </c>
      <c r="HB28" s="10">
        <v>0</v>
      </c>
      <c r="HC28" s="10">
        <v>0</v>
      </c>
      <c r="HD28" s="10">
        <v>0</v>
      </c>
      <c r="HE28" s="10">
        <v>0</v>
      </c>
      <c r="HF28" s="10">
        <v>0</v>
      </c>
      <c r="HG28" s="10">
        <v>0</v>
      </c>
      <c r="HH28" s="10">
        <v>0</v>
      </c>
      <c r="HI28" s="10">
        <v>0</v>
      </c>
      <c r="HJ28" s="10">
        <v>0</v>
      </c>
      <c r="HK28" s="10">
        <v>0</v>
      </c>
      <c r="HL28" s="10">
        <v>0</v>
      </c>
      <c r="HM28" s="10">
        <v>0</v>
      </c>
      <c r="HN28" s="10">
        <v>0</v>
      </c>
      <c r="HO28" s="10">
        <v>0</v>
      </c>
      <c r="HP28" s="10">
        <v>0</v>
      </c>
      <c r="HQ28" s="10">
        <v>0</v>
      </c>
      <c r="HR28" s="10">
        <v>0</v>
      </c>
      <c r="HS28" s="10">
        <v>0</v>
      </c>
      <c r="HT28" s="10">
        <v>0</v>
      </c>
      <c r="HU28" s="10">
        <v>0</v>
      </c>
    </row>
    <row r="29" spans="1:229" x14ac:dyDescent="0.25">
      <c r="A29" s="10">
        <v>0</v>
      </c>
      <c r="B29" s="2" t="s">
        <v>46</v>
      </c>
      <c r="C29" s="2" t="s">
        <v>47</v>
      </c>
      <c r="D29" s="17">
        <v>18.913</v>
      </c>
      <c r="E29" s="3">
        <v>29.81</v>
      </c>
      <c r="F29" s="3">
        <v>0.36</v>
      </c>
      <c r="G29" s="3">
        <v>0</v>
      </c>
      <c r="H29" s="8">
        <v>0.36</v>
      </c>
      <c r="I29" s="3">
        <v>714</v>
      </c>
      <c r="J29" s="3">
        <v>10.042999999999999</v>
      </c>
      <c r="K29" s="3">
        <v>1.7330000000000001</v>
      </c>
      <c r="L29" s="3"/>
      <c r="M29" s="2" t="str">
        <f t="shared" si="7"/>
        <v>01023</v>
      </c>
      <c r="N29" s="3">
        <v>0.60955678867186114</v>
      </c>
      <c r="O29" s="3">
        <v>1.3904432113281391</v>
      </c>
      <c r="P29" s="17">
        <v>0.60955678867190444</v>
      </c>
      <c r="Q29" s="3">
        <v>1.3904432113281375</v>
      </c>
      <c r="R29" s="3">
        <v>7.9615485309688481</v>
      </c>
      <c r="S29" s="3" t="e">
        <v>#DIV/0!</v>
      </c>
      <c r="T29" s="3">
        <v>0.60955678867187879</v>
      </c>
      <c r="U29" s="3">
        <v>0.60955678867186114</v>
      </c>
      <c r="V29" s="3">
        <v>1.390443211328152</v>
      </c>
      <c r="W29" s="3">
        <v>2.6957155991176176</v>
      </c>
      <c r="X29" s="3">
        <v>11.52854754415173</v>
      </c>
      <c r="Y29" s="3">
        <v>41.449112129691777</v>
      </c>
      <c r="Z29" s="3">
        <v>2.8661574711487852</v>
      </c>
      <c r="AA29" s="3">
        <v>7.5375796552811403E-2</v>
      </c>
      <c r="AB29" s="3">
        <v>0.21944044392187634</v>
      </c>
      <c r="AC29" s="3">
        <v>435.22354711170885</v>
      </c>
      <c r="AD29" s="3">
        <v>13.96422117136863</v>
      </c>
      <c r="AE29" s="3">
        <v>4.6716751332708313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10">
        <v>0</v>
      </c>
      <c r="BB29" s="10">
        <v>0</v>
      </c>
      <c r="BC29" s="10">
        <v>0</v>
      </c>
      <c r="BD29" s="10">
        <v>0</v>
      </c>
      <c r="BE29" s="10">
        <v>0</v>
      </c>
      <c r="BF29" s="10">
        <v>0</v>
      </c>
      <c r="BG29" s="10">
        <v>0</v>
      </c>
      <c r="BH29" s="10">
        <v>0</v>
      </c>
      <c r="BI29" s="10">
        <v>0</v>
      </c>
      <c r="BJ29" s="10">
        <v>0</v>
      </c>
      <c r="BK29" s="10">
        <v>0</v>
      </c>
      <c r="BL29" s="10">
        <v>0</v>
      </c>
      <c r="BM29" s="10">
        <v>0</v>
      </c>
      <c r="BN29" s="10">
        <v>0</v>
      </c>
      <c r="BO29" s="10">
        <v>0</v>
      </c>
      <c r="BP29" s="10">
        <v>0</v>
      </c>
      <c r="BQ29" s="10">
        <v>0</v>
      </c>
      <c r="BR29" s="10">
        <v>0</v>
      </c>
      <c r="BS29" s="10">
        <v>0</v>
      </c>
      <c r="BT29" s="10">
        <v>0</v>
      </c>
      <c r="BU29" s="10">
        <v>0</v>
      </c>
      <c r="BV29" s="10">
        <v>0</v>
      </c>
      <c r="BW29" s="10">
        <v>0</v>
      </c>
      <c r="BX29" s="10">
        <v>0</v>
      </c>
      <c r="BY29" s="10">
        <v>0</v>
      </c>
      <c r="BZ29" s="10">
        <v>0</v>
      </c>
      <c r="CA29" s="10">
        <v>0</v>
      </c>
      <c r="CB29" s="10">
        <v>0</v>
      </c>
      <c r="CC29" s="10">
        <v>0</v>
      </c>
      <c r="CD29" s="10">
        <v>0</v>
      </c>
      <c r="CE29" s="10">
        <v>0</v>
      </c>
      <c r="CF29" s="10">
        <v>0</v>
      </c>
      <c r="CG29" s="10">
        <v>0</v>
      </c>
      <c r="CH29" s="10">
        <v>0</v>
      </c>
      <c r="CI29" s="10">
        <v>0</v>
      </c>
      <c r="CJ29" s="10">
        <v>0</v>
      </c>
      <c r="CK29" s="10">
        <v>0</v>
      </c>
      <c r="CL29" s="10">
        <v>0</v>
      </c>
      <c r="CM29" s="10">
        <v>0</v>
      </c>
      <c r="CN29" s="10">
        <v>0</v>
      </c>
      <c r="CO29" s="10">
        <v>0</v>
      </c>
      <c r="CP29" s="10">
        <v>0</v>
      </c>
      <c r="CQ29" s="10">
        <v>0</v>
      </c>
      <c r="CR29" s="10">
        <v>0</v>
      </c>
      <c r="CS29" s="10">
        <v>0</v>
      </c>
      <c r="CT29" s="10">
        <v>0</v>
      </c>
      <c r="CU29" s="10">
        <v>0</v>
      </c>
      <c r="CV29" s="10">
        <v>0</v>
      </c>
      <c r="CW29" s="10">
        <v>0</v>
      </c>
      <c r="CX29" s="10">
        <v>0</v>
      </c>
      <c r="CY29" s="10">
        <v>0</v>
      </c>
      <c r="CZ29" s="10">
        <v>0</v>
      </c>
      <c r="DA29" s="10">
        <v>0</v>
      </c>
      <c r="DB29" s="10">
        <v>0</v>
      </c>
      <c r="DC29" s="10">
        <v>0</v>
      </c>
      <c r="DD29" s="10">
        <v>0</v>
      </c>
      <c r="DE29" s="10">
        <v>0</v>
      </c>
      <c r="DF29" s="10">
        <v>0</v>
      </c>
      <c r="DG29" s="10">
        <v>0</v>
      </c>
      <c r="DH29" s="10">
        <v>0</v>
      </c>
      <c r="DI29" s="10">
        <v>0</v>
      </c>
      <c r="DJ29" s="10">
        <v>0</v>
      </c>
      <c r="DK29" s="10">
        <v>0</v>
      </c>
      <c r="DL29" s="10">
        <v>0</v>
      </c>
      <c r="DM29" s="10">
        <v>0</v>
      </c>
      <c r="DN29" s="10">
        <v>0</v>
      </c>
      <c r="DO29" s="10">
        <v>0</v>
      </c>
      <c r="DP29" s="10">
        <v>0</v>
      </c>
      <c r="DQ29" s="10">
        <v>0</v>
      </c>
      <c r="DR29" s="10">
        <v>0</v>
      </c>
      <c r="DS29" s="10">
        <v>0</v>
      </c>
      <c r="DT29" s="10">
        <v>0.20891704159601601</v>
      </c>
      <c r="DU29" s="10">
        <v>0</v>
      </c>
      <c r="DV29" s="10">
        <v>0</v>
      </c>
      <c r="DW29" s="10">
        <v>0</v>
      </c>
      <c r="DX29" s="10">
        <v>0</v>
      </c>
      <c r="DY29" s="10">
        <v>0.6207927056450514</v>
      </c>
      <c r="DZ29" s="10">
        <v>6.0638835786830984E-2</v>
      </c>
      <c r="EA29" s="10">
        <v>0</v>
      </c>
      <c r="EB29" s="10">
        <v>0</v>
      </c>
      <c r="EC29" s="10">
        <v>0</v>
      </c>
      <c r="ED29" s="10">
        <v>0</v>
      </c>
      <c r="EE29" s="10">
        <v>0</v>
      </c>
      <c r="EF29" s="10">
        <v>0</v>
      </c>
      <c r="EG29" s="10">
        <v>0</v>
      </c>
      <c r="EH29" s="10">
        <v>0</v>
      </c>
      <c r="EI29" s="10">
        <v>0</v>
      </c>
      <c r="EJ29" s="10">
        <v>0</v>
      </c>
      <c r="EK29" s="10">
        <v>0</v>
      </c>
      <c r="EL29" s="10">
        <v>0</v>
      </c>
      <c r="EM29" s="10">
        <v>0</v>
      </c>
      <c r="EN29" s="10">
        <v>0</v>
      </c>
      <c r="EO29" s="10">
        <v>0</v>
      </c>
      <c r="EP29" s="10">
        <v>0</v>
      </c>
      <c r="EQ29" s="10">
        <v>0</v>
      </c>
      <c r="ER29" s="10">
        <v>0</v>
      </c>
      <c r="ES29" s="10">
        <v>0</v>
      </c>
      <c r="ET29" s="10">
        <v>7.1963518695695894E-2</v>
      </c>
      <c r="EU29" s="10">
        <v>0</v>
      </c>
      <c r="EV29" s="10">
        <v>0</v>
      </c>
      <c r="EW29" s="10">
        <v>0</v>
      </c>
      <c r="EX29" s="10">
        <v>0</v>
      </c>
      <c r="EY29" s="10">
        <v>0</v>
      </c>
      <c r="EZ29" s="10">
        <v>0</v>
      </c>
      <c r="FA29" s="10">
        <v>0</v>
      </c>
      <c r="FB29" s="10">
        <v>0</v>
      </c>
      <c r="FC29" s="10">
        <v>0</v>
      </c>
      <c r="FD29" s="10">
        <v>0</v>
      </c>
      <c r="FE29" s="10">
        <v>0</v>
      </c>
      <c r="FF29" s="10">
        <v>0</v>
      </c>
      <c r="FG29" s="10">
        <v>0</v>
      </c>
      <c r="FH29" s="10">
        <v>0</v>
      </c>
      <c r="FI29" s="10">
        <v>0</v>
      </c>
      <c r="FJ29" s="10">
        <v>0</v>
      </c>
      <c r="FK29" s="10">
        <v>0</v>
      </c>
      <c r="FL29" s="10">
        <v>0</v>
      </c>
      <c r="FM29" s="10">
        <v>0</v>
      </c>
      <c r="FN29" s="10">
        <v>0</v>
      </c>
      <c r="FO29" s="10">
        <v>0</v>
      </c>
      <c r="FP29" s="10">
        <v>0</v>
      </c>
      <c r="FQ29" s="10">
        <v>0</v>
      </c>
      <c r="FR29" s="10">
        <v>0</v>
      </c>
      <c r="FS29" s="10">
        <v>0</v>
      </c>
      <c r="FT29" s="10">
        <v>0</v>
      </c>
      <c r="FU29" s="10">
        <v>0</v>
      </c>
      <c r="FV29" s="10">
        <v>0</v>
      </c>
      <c r="FW29" s="10">
        <v>0</v>
      </c>
      <c r="FX29" s="10">
        <v>0</v>
      </c>
      <c r="FY29" s="10">
        <v>0</v>
      </c>
      <c r="FZ29" s="10">
        <v>0</v>
      </c>
      <c r="GA29" s="10">
        <v>0</v>
      </c>
      <c r="GB29" s="10">
        <v>3.7687898276405701E-2</v>
      </c>
      <c r="GC29" s="10">
        <v>0</v>
      </c>
      <c r="GD29" s="10">
        <v>0</v>
      </c>
      <c r="GE29" s="10">
        <v>0</v>
      </c>
      <c r="GF29" s="10">
        <v>0</v>
      </c>
      <c r="GG29" s="10">
        <v>0</v>
      </c>
      <c r="GH29" s="10">
        <v>0</v>
      </c>
      <c r="GI29" s="10">
        <v>0</v>
      </c>
      <c r="GJ29" s="10">
        <v>0</v>
      </c>
      <c r="GK29" s="10">
        <v>0</v>
      </c>
      <c r="GL29" s="10">
        <v>0</v>
      </c>
      <c r="GM29" s="10">
        <v>0</v>
      </c>
      <c r="GN29" s="10">
        <v>0</v>
      </c>
      <c r="GO29" s="10">
        <v>0</v>
      </c>
      <c r="GP29" s="10">
        <v>0</v>
      </c>
      <c r="GQ29" s="10">
        <v>0</v>
      </c>
      <c r="GR29" s="10">
        <v>0</v>
      </c>
      <c r="GS29" s="10">
        <v>0</v>
      </c>
      <c r="GT29" s="10">
        <v>0</v>
      </c>
      <c r="GU29" s="10">
        <v>0</v>
      </c>
      <c r="GV29" s="10">
        <v>0</v>
      </c>
      <c r="GW29" s="10">
        <v>0</v>
      </c>
      <c r="GX29" s="10">
        <v>0</v>
      </c>
      <c r="GY29" s="10">
        <v>0</v>
      </c>
      <c r="GZ29" s="10">
        <v>0</v>
      </c>
      <c r="HA29" s="10">
        <v>0</v>
      </c>
      <c r="HB29" s="10">
        <v>0</v>
      </c>
      <c r="HC29" s="10">
        <v>0</v>
      </c>
      <c r="HD29" s="10">
        <v>0</v>
      </c>
      <c r="HE29" s="10">
        <v>0</v>
      </c>
      <c r="HF29" s="10">
        <v>0</v>
      </c>
      <c r="HG29" s="10">
        <v>0</v>
      </c>
      <c r="HH29" s="10">
        <v>0</v>
      </c>
      <c r="HI29" s="10">
        <v>0</v>
      </c>
      <c r="HJ29" s="10">
        <v>0</v>
      </c>
      <c r="HK29" s="10">
        <v>0</v>
      </c>
      <c r="HL29" s="10">
        <v>0</v>
      </c>
      <c r="HM29" s="10">
        <v>0</v>
      </c>
      <c r="HN29" s="10">
        <v>0</v>
      </c>
      <c r="HO29" s="10">
        <v>0</v>
      </c>
      <c r="HP29" s="10">
        <v>0</v>
      </c>
      <c r="HQ29" s="10">
        <v>0</v>
      </c>
      <c r="HR29" s="10">
        <v>0</v>
      </c>
      <c r="HS29" s="10">
        <v>0</v>
      </c>
      <c r="HT29" s="10">
        <v>0</v>
      </c>
      <c r="HU29" s="10">
        <v>0</v>
      </c>
    </row>
    <row r="30" spans="1:229" x14ac:dyDescent="0.25">
      <c r="A30" s="10">
        <v>0</v>
      </c>
      <c r="B30" s="2" t="s">
        <v>48</v>
      </c>
      <c r="C30" s="2" t="s">
        <v>49</v>
      </c>
      <c r="D30" s="17">
        <v>16.745999999999999</v>
      </c>
      <c r="E30" s="3">
        <v>20.05</v>
      </c>
      <c r="F30" s="3">
        <v>0.49</v>
      </c>
      <c r="G30" s="3">
        <v>0</v>
      </c>
      <c r="H30" s="3">
        <v>0.49</v>
      </c>
      <c r="I30" s="3">
        <v>800</v>
      </c>
      <c r="J30" s="3">
        <v>8.6059999999999999</v>
      </c>
      <c r="K30" s="3">
        <v>0.495</v>
      </c>
      <c r="L30" s="3"/>
      <c r="M30" s="2" t="str">
        <f t="shared" si="7"/>
        <v>01024</v>
      </c>
      <c r="N30" s="3">
        <v>0.53491218163022669</v>
      </c>
      <c r="O30" s="3">
        <v>1.4650878183697731</v>
      </c>
      <c r="P30" s="17">
        <v>0.53491218163022591</v>
      </c>
      <c r="Q30" s="3">
        <v>1.7301098941744915</v>
      </c>
      <c r="R30" s="3">
        <v>7.8031783806220183</v>
      </c>
      <c r="S30" s="3" t="e">
        <v>#DIV/0!</v>
      </c>
      <c r="T30" s="3">
        <v>0.53491218163022392</v>
      </c>
      <c r="U30" s="3">
        <v>0.48945363701429073</v>
      </c>
      <c r="V30" s="3">
        <v>1.4650878183697644</v>
      </c>
      <c r="W30" s="3">
        <v>8.1865852985607077</v>
      </c>
      <c r="X30" s="3">
        <v>8.9576393935797629</v>
      </c>
      <c r="Y30" s="3">
        <v>34.688703378198554</v>
      </c>
      <c r="Z30" s="3">
        <v>3.823557406504789</v>
      </c>
      <c r="AA30" s="3">
        <v>0.32591234323844986</v>
      </c>
      <c r="AB30" s="3">
        <v>0.2621069689988097</v>
      </c>
      <c r="AC30" s="3">
        <v>391.56290961143259</v>
      </c>
      <c r="AD30" s="3">
        <v>12.608545764890192</v>
      </c>
      <c r="AE30" s="3">
        <v>4.0523597227875499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10">
        <v>0</v>
      </c>
      <c r="BB30" s="10">
        <v>0</v>
      </c>
      <c r="BC30" s="10">
        <v>0</v>
      </c>
      <c r="BD30" s="10">
        <v>0</v>
      </c>
      <c r="BE30" s="10">
        <v>0</v>
      </c>
      <c r="BF30" s="10">
        <v>0</v>
      </c>
      <c r="BG30" s="10">
        <v>0</v>
      </c>
      <c r="BH30" s="10">
        <v>0</v>
      </c>
      <c r="BI30" s="10">
        <v>0</v>
      </c>
      <c r="BJ30" s="10">
        <v>0</v>
      </c>
      <c r="BK30" s="10">
        <v>0</v>
      </c>
      <c r="BL30" s="10">
        <v>0</v>
      </c>
      <c r="BM30" s="10">
        <v>0</v>
      </c>
      <c r="BN30" s="10">
        <v>0</v>
      </c>
      <c r="BO30" s="10">
        <v>0</v>
      </c>
      <c r="BP30" s="10">
        <v>0</v>
      </c>
      <c r="BQ30" s="10">
        <v>0</v>
      </c>
      <c r="BR30" s="10">
        <v>0</v>
      </c>
      <c r="BS30" s="10">
        <v>0</v>
      </c>
      <c r="BT30" s="10">
        <v>0</v>
      </c>
      <c r="BU30" s="10">
        <v>0</v>
      </c>
      <c r="BV30" s="10">
        <v>0</v>
      </c>
      <c r="BW30" s="10">
        <v>0</v>
      </c>
      <c r="BX30" s="10">
        <v>0</v>
      </c>
      <c r="BY30" s="10">
        <v>0</v>
      </c>
      <c r="BZ30" s="10">
        <v>0</v>
      </c>
      <c r="CA30" s="10">
        <v>0.29813503301385724</v>
      </c>
      <c r="CB30" s="10">
        <v>0</v>
      </c>
      <c r="CC30" s="10">
        <v>0</v>
      </c>
      <c r="CD30" s="10">
        <v>0</v>
      </c>
      <c r="CE30" s="10">
        <v>0</v>
      </c>
      <c r="CF30" s="10">
        <v>0</v>
      </c>
      <c r="CG30" s="10">
        <v>0</v>
      </c>
      <c r="CH30" s="10">
        <v>0</v>
      </c>
      <c r="CI30" s="10">
        <v>0</v>
      </c>
      <c r="CJ30" s="10">
        <v>0</v>
      </c>
      <c r="CK30" s="10">
        <v>0</v>
      </c>
      <c r="CL30" s="10">
        <v>0</v>
      </c>
      <c r="CM30" s="10">
        <v>0</v>
      </c>
      <c r="CN30" s="10">
        <v>0</v>
      </c>
      <c r="CO30" s="10">
        <v>0</v>
      </c>
      <c r="CP30" s="10">
        <v>0</v>
      </c>
      <c r="CQ30" s="10">
        <v>0</v>
      </c>
      <c r="CR30" s="10">
        <v>0</v>
      </c>
      <c r="CS30" s="10">
        <v>0</v>
      </c>
      <c r="CT30" s="10">
        <v>0</v>
      </c>
      <c r="CU30" s="10">
        <v>0</v>
      </c>
      <c r="CV30" s="10">
        <v>0</v>
      </c>
      <c r="CW30" s="10">
        <v>0</v>
      </c>
      <c r="CX30" s="10">
        <v>0</v>
      </c>
      <c r="CY30" s="10">
        <v>0</v>
      </c>
      <c r="CZ30" s="10">
        <v>0</v>
      </c>
      <c r="DA30" s="10">
        <v>0</v>
      </c>
      <c r="DB30" s="10">
        <v>0</v>
      </c>
      <c r="DC30" s="10">
        <v>0</v>
      </c>
      <c r="DD30" s="10">
        <v>0</v>
      </c>
      <c r="DE30" s="10">
        <v>0</v>
      </c>
      <c r="DF30" s="10">
        <v>0</v>
      </c>
      <c r="DG30" s="10">
        <v>0</v>
      </c>
      <c r="DH30" s="10">
        <v>0</v>
      </c>
      <c r="DI30" s="10">
        <v>0</v>
      </c>
      <c r="DJ30" s="10">
        <v>0</v>
      </c>
      <c r="DK30" s="10">
        <v>0</v>
      </c>
      <c r="DL30" s="10">
        <v>0</v>
      </c>
      <c r="DM30" s="10">
        <v>0</v>
      </c>
      <c r="DN30" s="10">
        <v>0</v>
      </c>
      <c r="DO30" s="10">
        <v>0</v>
      </c>
      <c r="DP30" s="10">
        <v>0</v>
      </c>
      <c r="DQ30" s="10">
        <v>0</v>
      </c>
      <c r="DR30" s="10">
        <v>0</v>
      </c>
      <c r="DS30" s="10">
        <v>0</v>
      </c>
      <c r="DT30" s="10">
        <v>0</v>
      </c>
      <c r="DU30" s="10">
        <v>0</v>
      </c>
      <c r="DV30" s="10">
        <v>0</v>
      </c>
      <c r="DW30" s="10">
        <v>0</v>
      </c>
      <c r="DX30" s="10">
        <v>0</v>
      </c>
      <c r="DY30" s="10">
        <v>0.65596182005114978</v>
      </c>
      <c r="DZ30" s="10">
        <v>0</v>
      </c>
      <c r="EA30" s="10">
        <v>0</v>
      </c>
      <c r="EB30" s="10">
        <v>0</v>
      </c>
      <c r="EC30" s="10">
        <v>0</v>
      </c>
      <c r="ED30" s="10">
        <v>0</v>
      </c>
      <c r="EE30" s="10">
        <v>0</v>
      </c>
      <c r="EF30" s="10">
        <v>0</v>
      </c>
      <c r="EG30" s="10">
        <v>0</v>
      </c>
      <c r="EH30" s="10">
        <v>0</v>
      </c>
      <c r="EI30" s="10">
        <v>0</v>
      </c>
      <c r="EJ30" s="10">
        <v>0</v>
      </c>
      <c r="EK30" s="10">
        <v>0</v>
      </c>
      <c r="EL30" s="10">
        <v>0</v>
      </c>
      <c r="EM30" s="10">
        <v>0</v>
      </c>
      <c r="EN30" s="10">
        <v>0</v>
      </c>
      <c r="EO30" s="10">
        <v>0</v>
      </c>
      <c r="EP30" s="10">
        <v>0</v>
      </c>
      <c r="EQ30" s="10">
        <v>0</v>
      </c>
      <c r="ER30" s="10">
        <v>0</v>
      </c>
      <c r="ES30" s="10">
        <v>0</v>
      </c>
      <c r="ET30" s="10">
        <v>0</v>
      </c>
      <c r="EU30" s="10">
        <v>0</v>
      </c>
      <c r="EV30" s="10">
        <v>0</v>
      </c>
      <c r="EW30" s="10">
        <v>0</v>
      </c>
      <c r="EX30" s="10">
        <v>0</v>
      </c>
      <c r="EY30" s="10">
        <v>0</v>
      </c>
      <c r="EZ30" s="10">
        <v>0</v>
      </c>
      <c r="FA30" s="10">
        <v>0</v>
      </c>
      <c r="FB30" s="10">
        <v>0</v>
      </c>
      <c r="FC30" s="10">
        <v>0</v>
      </c>
      <c r="FD30" s="10">
        <v>0</v>
      </c>
      <c r="FE30" s="10">
        <v>0</v>
      </c>
      <c r="FF30" s="10">
        <v>0</v>
      </c>
      <c r="FG30" s="10">
        <v>0</v>
      </c>
      <c r="FH30" s="10">
        <v>0</v>
      </c>
      <c r="FI30" s="10">
        <v>0</v>
      </c>
      <c r="FJ30" s="10">
        <v>0</v>
      </c>
      <c r="FK30" s="10">
        <v>0</v>
      </c>
      <c r="FL30" s="10">
        <v>0</v>
      </c>
      <c r="FM30" s="10">
        <v>0</v>
      </c>
      <c r="FN30" s="10">
        <v>0</v>
      </c>
      <c r="FO30" s="10">
        <v>0</v>
      </c>
      <c r="FP30" s="10">
        <v>0</v>
      </c>
      <c r="FQ30" s="10">
        <v>0</v>
      </c>
      <c r="FR30" s="10">
        <v>0</v>
      </c>
      <c r="FS30" s="10">
        <v>0</v>
      </c>
      <c r="FT30" s="10">
        <v>0</v>
      </c>
      <c r="FU30" s="10">
        <v>0</v>
      </c>
      <c r="FV30" s="10">
        <v>0</v>
      </c>
      <c r="FW30" s="10">
        <v>0</v>
      </c>
      <c r="FX30" s="10">
        <v>0</v>
      </c>
      <c r="FY30" s="10">
        <v>0</v>
      </c>
      <c r="FZ30" s="10">
        <v>0</v>
      </c>
      <c r="GA30" s="10">
        <v>4.5903146934992943E-2</v>
      </c>
      <c r="GB30" s="10">
        <v>0</v>
      </c>
      <c r="GC30" s="10">
        <v>0</v>
      </c>
      <c r="GD30" s="10">
        <v>0</v>
      </c>
      <c r="GE30" s="10">
        <v>0</v>
      </c>
      <c r="GF30" s="10">
        <v>0</v>
      </c>
      <c r="GG30" s="10">
        <v>0</v>
      </c>
      <c r="GH30" s="10">
        <v>0</v>
      </c>
      <c r="GI30" s="10">
        <v>0</v>
      </c>
      <c r="GJ30" s="10">
        <v>0</v>
      </c>
      <c r="GK30" s="10">
        <v>0</v>
      </c>
      <c r="GL30" s="10">
        <v>0</v>
      </c>
      <c r="GM30" s="10">
        <v>0</v>
      </c>
      <c r="GN30" s="10">
        <v>0</v>
      </c>
      <c r="GO30" s="10">
        <v>0</v>
      </c>
      <c r="GP30" s="10">
        <v>0</v>
      </c>
      <c r="GQ30" s="10">
        <v>0</v>
      </c>
      <c r="GR30" s="10">
        <v>0</v>
      </c>
      <c r="GS30" s="10">
        <v>0</v>
      </c>
      <c r="GT30" s="10">
        <v>0</v>
      </c>
      <c r="GU30" s="10">
        <v>0</v>
      </c>
      <c r="GV30" s="10">
        <v>0</v>
      </c>
      <c r="GW30" s="10">
        <v>0</v>
      </c>
      <c r="GX30" s="10">
        <v>0</v>
      </c>
      <c r="GY30" s="10">
        <v>0</v>
      </c>
      <c r="GZ30" s="10">
        <v>0</v>
      </c>
      <c r="HA30" s="10">
        <v>0</v>
      </c>
      <c r="HB30" s="10">
        <v>0</v>
      </c>
      <c r="HC30" s="10">
        <v>0</v>
      </c>
      <c r="HD30" s="10">
        <v>0</v>
      </c>
      <c r="HE30" s="10">
        <v>0</v>
      </c>
      <c r="HF30" s="10">
        <v>0</v>
      </c>
      <c r="HG30" s="10">
        <v>0</v>
      </c>
      <c r="HH30" s="10">
        <v>0</v>
      </c>
      <c r="HI30" s="10">
        <v>0</v>
      </c>
      <c r="HJ30" s="10">
        <v>0</v>
      </c>
      <c r="HK30" s="10">
        <v>0</v>
      </c>
      <c r="HL30" s="10">
        <v>0</v>
      </c>
      <c r="HM30" s="10">
        <v>0</v>
      </c>
      <c r="HN30" s="10">
        <v>0</v>
      </c>
      <c r="HO30" s="10">
        <v>0</v>
      </c>
      <c r="HP30" s="10">
        <v>0</v>
      </c>
      <c r="HQ30" s="10">
        <v>0</v>
      </c>
      <c r="HR30" s="10">
        <v>0</v>
      </c>
      <c r="HS30" s="10">
        <v>0</v>
      </c>
      <c r="HT30" s="10">
        <v>0</v>
      </c>
      <c r="HU30" s="10">
        <v>0</v>
      </c>
    </row>
    <row r="31" spans="1:229" x14ac:dyDescent="0.25">
      <c r="A31" s="10">
        <v>0</v>
      </c>
      <c r="B31" s="2" t="s">
        <v>50</v>
      </c>
      <c r="C31" s="2" t="s">
        <v>51</v>
      </c>
      <c r="D31" s="17">
        <v>19.065999999999999</v>
      </c>
      <c r="E31" s="3">
        <v>24.48</v>
      </c>
      <c r="F31" s="3">
        <v>0.68</v>
      </c>
      <c r="G31" s="3">
        <v>0</v>
      </c>
      <c r="H31" s="8">
        <v>0.5</v>
      </c>
      <c r="I31" s="3">
        <v>600</v>
      </c>
      <c r="J31" s="3">
        <v>8.7509999999999994</v>
      </c>
      <c r="K31" s="3">
        <v>0.89900000000000002</v>
      </c>
      <c r="L31" s="3"/>
      <c r="M31" s="2" t="str">
        <f t="shared" si="7"/>
        <v>01025</v>
      </c>
      <c r="N31" s="3">
        <v>0.56324024210211021</v>
      </c>
      <c r="O31" s="3">
        <v>1.4367597578978897</v>
      </c>
      <c r="P31" s="17">
        <v>0.56324024210214163</v>
      </c>
      <c r="Q31" s="3">
        <v>1.4367597578978895</v>
      </c>
      <c r="R31" s="3">
        <v>3.9879678529975671</v>
      </c>
      <c r="S31" s="3" t="e">
        <v>#DIV/0!</v>
      </c>
      <c r="T31" s="3">
        <v>0.56324024210213341</v>
      </c>
      <c r="U31" s="3">
        <v>0.56324024210211066</v>
      </c>
      <c r="V31" s="3">
        <v>1.436759757897903</v>
      </c>
      <c r="W31" s="3">
        <v>4.9883098673739452</v>
      </c>
      <c r="X31" s="3">
        <v>10.738738455919432</v>
      </c>
      <c r="Y31" s="3">
        <v>35.171878873340333</v>
      </c>
      <c r="Z31" s="3">
        <v>2.7118181400383459</v>
      </c>
      <c r="AA31" s="3">
        <v>9.0325089127538644E-2</v>
      </c>
      <c r="AB31" s="3">
        <v>0.28162012105106671</v>
      </c>
      <c r="AC31" s="3">
        <v>337.94414526126639</v>
      </c>
      <c r="AD31" s="3">
        <v>12.573084641364549</v>
      </c>
      <c r="AE31" s="3">
        <v>4.4844905707691769</v>
      </c>
      <c r="AF31" s="3">
        <v>0</v>
      </c>
      <c r="AG31" s="3">
        <v>0</v>
      </c>
      <c r="AH31" s="3">
        <v>0</v>
      </c>
      <c r="AI31" s="10">
        <v>0</v>
      </c>
      <c r="AJ31" s="3">
        <v>0</v>
      </c>
      <c r="AK31" s="3">
        <v>0</v>
      </c>
      <c r="AL31" s="3">
        <v>0</v>
      </c>
      <c r="AM31" s="3">
        <v>0</v>
      </c>
      <c r="AN31" s="10">
        <v>0</v>
      </c>
      <c r="AO31" s="10">
        <v>0</v>
      </c>
      <c r="AP31" s="10">
        <v>0</v>
      </c>
      <c r="AQ31" s="10">
        <v>0</v>
      </c>
      <c r="AR31" s="10">
        <v>0</v>
      </c>
      <c r="AS31" s="10">
        <v>0</v>
      </c>
      <c r="AT31" s="10">
        <v>0</v>
      </c>
      <c r="AU31" s="10">
        <v>0</v>
      </c>
      <c r="AV31" s="10">
        <v>0</v>
      </c>
      <c r="AW31" s="3">
        <v>0</v>
      </c>
      <c r="AX31" s="3">
        <v>0</v>
      </c>
      <c r="AY31" s="3">
        <v>0</v>
      </c>
      <c r="AZ31" s="3">
        <v>0</v>
      </c>
      <c r="BA31" s="10">
        <v>0</v>
      </c>
      <c r="BB31" s="10">
        <v>0</v>
      </c>
      <c r="BC31" s="10">
        <v>0</v>
      </c>
      <c r="BD31" s="10">
        <v>0</v>
      </c>
      <c r="BE31" s="10">
        <v>0</v>
      </c>
      <c r="BF31" s="10">
        <v>0</v>
      </c>
      <c r="BG31" s="10">
        <v>0</v>
      </c>
      <c r="BH31" s="10">
        <v>0</v>
      </c>
      <c r="BI31" s="10">
        <v>0</v>
      </c>
      <c r="BJ31" s="10">
        <v>0</v>
      </c>
      <c r="BK31" s="10">
        <v>0</v>
      </c>
      <c r="BL31" s="10">
        <v>0</v>
      </c>
      <c r="BM31" s="10">
        <v>0</v>
      </c>
      <c r="BN31" s="10">
        <v>0</v>
      </c>
      <c r="BO31" s="10">
        <v>0</v>
      </c>
      <c r="BP31" s="10">
        <v>0</v>
      </c>
      <c r="BQ31" s="10">
        <v>0</v>
      </c>
      <c r="BR31" s="10">
        <v>0</v>
      </c>
      <c r="BS31" s="10">
        <v>0</v>
      </c>
      <c r="BT31" s="10">
        <v>0</v>
      </c>
      <c r="BU31" s="10">
        <v>0</v>
      </c>
      <c r="BV31" s="10">
        <v>0</v>
      </c>
      <c r="BW31" s="10">
        <v>0</v>
      </c>
      <c r="BX31" s="10">
        <v>0</v>
      </c>
      <c r="BY31" s="10">
        <v>0</v>
      </c>
      <c r="BZ31" s="10">
        <v>0</v>
      </c>
      <c r="CA31" s="10">
        <v>0</v>
      </c>
      <c r="CB31" s="10">
        <v>0</v>
      </c>
      <c r="CC31" s="10">
        <v>0</v>
      </c>
      <c r="CD31" s="10">
        <v>0</v>
      </c>
      <c r="CE31" s="10">
        <v>0</v>
      </c>
      <c r="CF31" s="10">
        <v>0</v>
      </c>
      <c r="CG31" s="10">
        <v>0</v>
      </c>
      <c r="CH31" s="10">
        <v>0</v>
      </c>
      <c r="CI31" s="10">
        <v>0</v>
      </c>
      <c r="CJ31" s="10">
        <v>0</v>
      </c>
      <c r="CK31" s="10">
        <v>0</v>
      </c>
      <c r="CL31" s="10">
        <v>0</v>
      </c>
      <c r="CM31" s="10">
        <v>0</v>
      </c>
      <c r="CN31" s="10">
        <v>0</v>
      </c>
      <c r="CO31" s="10">
        <v>0</v>
      </c>
      <c r="CP31" s="10">
        <v>0</v>
      </c>
      <c r="CQ31" s="10">
        <v>0</v>
      </c>
      <c r="CR31" s="10">
        <v>0</v>
      </c>
      <c r="CS31" s="10">
        <v>0</v>
      </c>
      <c r="CT31" s="10">
        <v>0</v>
      </c>
      <c r="CU31" s="10">
        <v>0</v>
      </c>
      <c r="CV31" s="10">
        <v>0</v>
      </c>
      <c r="CW31" s="10">
        <v>0</v>
      </c>
      <c r="CX31" s="10">
        <v>0</v>
      </c>
      <c r="CY31" s="10">
        <v>0</v>
      </c>
      <c r="CZ31" s="10">
        <v>0</v>
      </c>
      <c r="DA31" s="10">
        <v>0</v>
      </c>
      <c r="DB31" s="10">
        <v>0</v>
      </c>
      <c r="DC31" s="10">
        <v>0</v>
      </c>
      <c r="DD31" s="10">
        <v>0</v>
      </c>
      <c r="DE31" s="10">
        <v>0</v>
      </c>
      <c r="DF31" s="10">
        <v>0</v>
      </c>
      <c r="DG31" s="10">
        <v>0</v>
      </c>
      <c r="DH31" s="10">
        <v>0</v>
      </c>
      <c r="DI31" s="10">
        <v>0</v>
      </c>
      <c r="DJ31" s="10">
        <v>0</v>
      </c>
      <c r="DK31" s="10">
        <v>0</v>
      </c>
      <c r="DL31" s="10">
        <v>0</v>
      </c>
      <c r="DM31" s="10">
        <v>0</v>
      </c>
      <c r="DN31" s="10">
        <v>0</v>
      </c>
      <c r="DO31" s="10">
        <v>0</v>
      </c>
      <c r="DP31" s="10">
        <v>0</v>
      </c>
      <c r="DQ31" s="10">
        <v>0</v>
      </c>
      <c r="DR31" s="10">
        <v>0</v>
      </c>
      <c r="DS31" s="10">
        <v>0</v>
      </c>
      <c r="DT31" s="10">
        <v>0.39115204141320231</v>
      </c>
      <c r="DU31" s="10">
        <v>0</v>
      </c>
      <c r="DV31" s="10">
        <v>0</v>
      </c>
      <c r="DW31" s="10">
        <v>0</v>
      </c>
      <c r="DX31" s="10">
        <v>0</v>
      </c>
      <c r="DY31" s="10">
        <v>0.43134933410657333</v>
      </c>
      <c r="DZ31" s="10">
        <v>5.3998087733032406E-2</v>
      </c>
      <c r="EA31" s="10">
        <v>0</v>
      </c>
      <c r="EB31" s="10">
        <v>0</v>
      </c>
      <c r="EC31" s="10">
        <v>0</v>
      </c>
      <c r="ED31" s="10">
        <v>0</v>
      </c>
      <c r="EE31" s="10">
        <v>0</v>
      </c>
      <c r="EF31" s="10">
        <v>0</v>
      </c>
      <c r="EG31" s="10">
        <v>0</v>
      </c>
      <c r="EH31" s="10">
        <v>0</v>
      </c>
      <c r="EI31" s="10">
        <v>0</v>
      </c>
      <c r="EJ31" s="10">
        <v>0</v>
      </c>
      <c r="EK31" s="10">
        <v>0</v>
      </c>
      <c r="EL31" s="10">
        <v>0</v>
      </c>
      <c r="EM31" s="10">
        <v>0</v>
      </c>
      <c r="EN31" s="10">
        <v>0</v>
      </c>
      <c r="EO31" s="10">
        <v>0</v>
      </c>
      <c r="EP31" s="10">
        <v>0</v>
      </c>
      <c r="EQ31" s="10">
        <v>0</v>
      </c>
      <c r="ER31" s="10">
        <v>0</v>
      </c>
      <c r="ES31" s="10">
        <v>0</v>
      </c>
      <c r="ET31" s="10">
        <v>7.8337992183422619E-2</v>
      </c>
      <c r="EU31" s="10">
        <v>0</v>
      </c>
      <c r="EV31" s="10">
        <v>0</v>
      </c>
      <c r="EW31" s="10">
        <v>0</v>
      </c>
      <c r="EX31" s="10">
        <v>0</v>
      </c>
      <c r="EY31" s="10">
        <v>0</v>
      </c>
      <c r="EZ31" s="10">
        <v>0</v>
      </c>
      <c r="FA31" s="10">
        <v>0</v>
      </c>
      <c r="FB31" s="10">
        <v>0</v>
      </c>
      <c r="FC31" s="10">
        <v>0</v>
      </c>
      <c r="FD31" s="10">
        <v>0</v>
      </c>
      <c r="FE31" s="10">
        <v>0</v>
      </c>
      <c r="FF31" s="10">
        <v>0</v>
      </c>
      <c r="FG31" s="10">
        <v>0</v>
      </c>
      <c r="FH31" s="10">
        <v>0</v>
      </c>
      <c r="FI31" s="10">
        <v>0</v>
      </c>
      <c r="FJ31" s="10">
        <v>0</v>
      </c>
      <c r="FK31" s="10">
        <v>0</v>
      </c>
      <c r="FL31" s="10">
        <v>0</v>
      </c>
      <c r="FM31" s="10">
        <v>0</v>
      </c>
      <c r="FN31" s="10">
        <v>0</v>
      </c>
      <c r="FO31" s="10">
        <v>0</v>
      </c>
      <c r="FP31" s="10">
        <v>0</v>
      </c>
      <c r="FQ31" s="10">
        <v>0</v>
      </c>
      <c r="FR31" s="10">
        <v>0</v>
      </c>
      <c r="FS31" s="10">
        <v>0</v>
      </c>
      <c r="FT31" s="10">
        <v>0</v>
      </c>
      <c r="FU31" s="10">
        <v>0</v>
      </c>
      <c r="FV31" s="10">
        <v>0</v>
      </c>
      <c r="FW31" s="10">
        <v>0</v>
      </c>
      <c r="FX31" s="10">
        <v>0</v>
      </c>
      <c r="FY31" s="10">
        <v>0</v>
      </c>
      <c r="FZ31" s="10">
        <v>0</v>
      </c>
      <c r="GA31" s="10">
        <v>0</v>
      </c>
      <c r="GB31" s="10">
        <v>4.5162544563769322E-2</v>
      </c>
      <c r="GC31" s="10">
        <v>0</v>
      </c>
      <c r="GD31" s="10">
        <v>0</v>
      </c>
      <c r="GE31" s="10">
        <v>0</v>
      </c>
      <c r="GF31" s="10">
        <v>0</v>
      </c>
      <c r="GG31" s="10">
        <v>0</v>
      </c>
      <c r="GH31" s="10">
        <v>0</v>
      </c>
      <c r="GI31" s="10">
        <v>0</v>
      </c>
      <c r="GJ31" s="10">
        <v>0</v>
      </c>
      <c r="GK31" s="10">
        <v>0</v>
      </c>
      <c r="GL31" s="10">
        <v>0</v>
      </c>
      <c r="GM31" s="10">
        <v>0</v>
      </c>
      <c r="GN31" s="10">
        <v>0</v>
      </c>
      <c r="GO31" s="10">
        <v>0</v>
      </c>
      <c r="GP31" s="10">
        <v>0</v>
      </c>
      <c r="GQ31" s="10">
        <v>0</v>
      </c>
      <c r="GR31" s="10">
        <v>0</v>
      </c>
      <c r="GS31" s="10">
        <v>0</v>
      </c>
      <c r="GT31" s="10">
        <v>0</v>
      </c>
      <c r="GU31" s="10">
        <v>0</v>
      </c>
      <c r="GV31" s="10">
        <v>0</v>
      </c>
      <c r="GW31" s="10">
        <v>0</v>
      </c>
      <c r="GX31" s="10">
        <v>0</v>
      </c>
      <c r="GY31" s="10">
        <v>0</v>
      </c>
      <c r="GZ31" s="10">
        <v>0</v>
      </c>
      <c r="HA31" s="10">
        <v>0</v>
      </c>
      <c r="HB31" s="10">
        <v>0</v>
      </c>
      <c r="HC31" s="10">
        <v>0</v>
      </c>
      <c r="HD31" s="10">
        <v>0</v>
      </c>
      <c r="HE31" s="10">
        <v>0</v>
      </c>
      <c r="HF31" s="10">
        <v>0</v>
      </c>
      <c r="HG31" s="10">
        <v>0</v>
      </c>
      <c r="HH31" s="10">
        <v>0</v>
      </c>
      <c r="HI31" s="10">
        <v>0</v>
      </c>
      <c r="HJ31" s="10">
        <v>0</v>
      </c>
      <c r="HK31" s="10">
        <v>0</v>
      </c>
      <c r="HL31" s="10">
        <v>0</v>
      </c>
      <c r="HM31" s="10">
        <v>0</v>
      </c>
      <c r="HN31" s="10">
        <v>0</v>
      </c>
      <c r="HO31" s="10">
        <v>0</v>
      </c>
      <c r="HP31" s="10">
        <v>0</v>
      </c>
      <c r="HQ31" s="10">
        <v>0</v>
      </c>
      <c r="HR31" s="10">
        <v>0</v>
      </c>
      <c r="HS31" s="10">
        <v>0</v>
      </c>
      <c r="HT31" s="10">
        <v>0</v>
      </c>
      <c r="HU31" s="10">
        <v>0</v>
      </c>
    </row>
    <row r="32" spans="1:229" x14ac:dyDescent="0.25">
      <c r="A32" s="10">
        <v>0</v>
      </c>
      <c r="B32" s="2" t="s">
        <v>52</v>
      </c>
      <c r="C32" s="2" t="s">
        <v>53</v>
      </c>
      <c r="D32" s="17">
        <v>13.151999999999999</v>
      </c>
      <c r="E32" s="3">
        <v>22.17</v>
      </c>
      <c r="F32" s="3">
        <v>2.19</v>
      </c>
      <c r="G32" s="3">
        <v>0</v>
      </c>
      <c r="H32" s="3">
        <v>1.03</v>
      </c>
      <c r="I32" s="3">
        <v>627</v>
      </c>
      <c r="J32" s="3">
        <v>6.5730000000000004</v>
      </c>
      <c r="K32" s="3">
        <v>0.76500000000000001</v>
      </c>
      <c r="L32" s="3"/>
      <c r="M32" s="2" t="str">
        <f t="shared" si="7"/>
        <v>01026</v>
      </c>
      <c r="N32" s="3">
        <v>0.52332246087291334</v>
      </c>
      <c r="O32" s="3">
        <v>1.476677539127087</v>
      </c>
      <c r="P32" s="17">
        <v>0.52332246087291523</v>
      </c>
      <c r="Q32" s="3">
        <v>1.4766775391270859</v>
      </c>
      <c r="R32" s="3">
        <v>2.2392342817761675</v>
      </c>
      <c r="S32" s="3" t="e">
        <v>#DIV/0!</v>
      </c>
      <c r="T32" s="3">
        <v>0.52332246087292222</v>
      </c>
      <c r="U32" s="3">
        <v>0.52332246087291301</v>
      </c>
      <c r="V32" s="3">
        <v>1.476677539127043</v>
      </c>
      <c r="W32" s="3">
        <v>4.552420085109814</v>
      </c>
      <c r="X32" s="3">
        <v>6.8827370054005801</v>
      </c>
      <c r="Y32" s="3">
        <v>32.737941042447495</v>
      </c>
      <c r="Z32" s="3">
        <v>4.9039230770898063</v>
      </c>
      <c r="AA32" s="3">
        <v>0.24533047601968</v>
      </c>
      <c r="AB32" s="3">
        <v>0.53902213469910987</v>
      </c>
      <c r="AC32" s="3">
        <v>328.12318296731644</v>
      </c>
      <c r="AD32" s="3">
        <v>9.7062014646820547</v>
      </c>
      <c r="AE32" s="3">
        <v>3.4826013651090078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10">
        <v>0</v>
      </c>
      <c r="BB32" s="10">
        <v>0</v>
      </c>
      <c r="BC32" s="10">
        <v>0</v>
      </c>
      <c r="BD32" s="10">
        <v>0</v>
      </c>
      <c r="BE32" s="10">
        <v>0</v>
      </c>
      <c r="BF32" s="10">
        <v>0</v>
      </c>
      <c r="BG32" s="10">
        <v>0</v>
      </c>
      <c r="BH32" s="10">
        <v>0</v>
      </c>
      <c r="BI32" s="10">
        <v>0</v>
      </c>
      <c r="BJ32" s="10">
        <v>0</v>
      </c>
      <c r="BK32" s="10">
        <v>0</v>
      </c>
      <c r="BL32" s="10">
        <v>0</v>
      </c>
      <c r="BM32" s="10">
        <v>0</v>
      </c>
      <c r="BN32" s="10">
        <v>0</v>
      </c>
      <c r="BO32" s="10">
        <v>0</v>
      </c>
      <c r="BP32" s="10">
        <v>0</v>
      </c>
      <c r="BQ32" s="10">
        <v>0</v>
      </c>
      <c r="BR32" s="10">
        <v>0</v>
      </c>
      <c r="BS32" s="10">
        <v>0</v>
      </c>
      <c r="BT32" s="10">
        <v>0</v>
      </c>
      <c r="BU32" s="10">
        <v>0</v>
      </c>
      <c r="BV32" s="10">
        <v>0</v>
      </c>
      <c r="BW32" s="10">
        <v>0</v>
      </c>
      <c r="BX32" s="10">
        <v>0</v>
      </c>
      <c r="BY32" s="10">
        <v>0</v>
      </c>
      <c r="BZ32" s="10">
        <v>0</v>
      </c>
      <c r="CA32" s="10">
        <v>0.18485249122611194</v>
      </c>
      <c r="CB32" s="10">
        <v>0</v>
      </c>
      <c r="CC32" s="10">
        <v>0</v>
      </c>
      <c r="CD32" s="10">
        <v>0</v>
      </c>
      <c r="CE32" s="10">
        <v>0</v>
      </c>
      <c r="CF32" s="10">
        <v>0</v>
      </c>
      <c r="CG32" s="10">
        <v>0</v>
      </c>
      <c r="CH32" s="10">
        <v>0</v>
      </c>
      <c r="CI32" s="10">
        <v>0</v>
      </c>
      <c r="CJ32" s="10">
        <v>0</v>
      </c>
      <c r="CK32" s="10">
        <v>0</v>
      </c>
      <c r="CL32" s="10">
        <v>0</v>
      </c>
      <c r="CM32" s="10">
        <v>0</v>
      </c>
      <c r="CN32" s="10">
        <v>0</v>
      </c>
      <c r="CO32" s="10">
        <v>0</v>
      </c>
      <c r="CP32" s="10">
        <v>0</v>
      </c>
      <c r="CQ32" s="10">
        <v>0</v>
      </c>
      <c r="CR32" s="10">
        <v>0</v>
      </c>
      <c r="CS32" s="10">
        <v>0</v>
      </c>
      <c r="CT32" s="10">
        <v>0</v>
      </c>
      <c r="CU32" s="10">
        <v>0</v>
      </c>
      <c r="CV32" s="10">
        <v>0</v>
      </c>
      <c r="CW32" s="10">
        <v>0</v>
      </c>
      <c r="CX32" s="10">
        <v>0</v>
      </c>
      <c r="CY32" s="10">
        <v>0</v>
      </c>
      <c r="CZ32" s="10">
        <v>0</v>
      </c>
      <c r="DA32" s="10">
        <v>0</v>
      </c>
      <c r="DB32" s="10">
        <v>0</v>
      </c>
      <c r="DC32" s="10">
        <v>0</v>
      </c>
      <c r="DD32" s="10">
        <v>0</v>
      </c>
      <c r="DE32" s="10">
        <v>0</v>
      </c>
      <c r="DF32" s="10">
        <v>0</v>
      </c>
      <c r="DG32" s="10">
        <v>0</v>
      </c>
      <c r="DH32" s="10">
        <v>0</v>
      </c>
      <c r="DI32" s="10">
        <v>0</v>
      </c>
      <c r="DJ32" s="10">
        <v>0</v>
      </c>
      <c r="DK32" s="10">
        <v>0</v>
      </c>
      <c r="DL32" s="10">
        <v>0</v>
      </c>
      <c r="DM32" s="10">
        <v>0</v>
      </c>
      <c r="DN32" s="10">
        <v>0</v>
      </c>
      <c r="DO32" s="10">
        <v>0</v>
      </c>
      <c r="DP32" s="10">
        <v>0</v>
      </c>
      <c r="DQ32" s="10">
        <v>0</v>
      </c>
      <c r="DR32" s="10">
        <v>0</v>
      </c>
      <c r="DS32" s="10">
        <v>0</v>
      </c>
      <c r="DT32" s="10">
        <v>0.30225739162343673</v>
      </c>
      <c r="DU32" s="10">
        <v>0</v>
      </c>
      <c r="DV32" s="10">
        <v>0</v>
      </c>
      <c r="DW32" s="10">
        <v>0</v>
      </c>
      <c r="DX32" s="10">
        <v>0</v>
      </c>
      <c r="DY32" s="10">
        <v>0.30334033562557378</v>
      </c>
      <c r="DZ32" s="10">
        <v>8.6884543515037493E-2</v>
      </c>
      <c r="EA32" s="10">
        <v>0</v>
      </c>
      <c r="EB32" s="10">
        <v>0</v>
      </c>
      <c r="EC32" s="10">
        <v>0</v>
      </c>
      <c r="ED32" s="10">
        <v>0</v>
      </c>
      <c r="EE32" s="10">
        <v>0</v>
      </c>
      <c r="EF32" s="10">
        <v>0</v>
      </c>
      <c r="EG32" s="10">
        <v>0</v>
      </c>
      <c r="EH32" s="10">
        <v>0</v>
      </c>
      <c r="EI32" s="10">
        <v>0</v>
      </c>
      <c r="EJ32" s="10">
        <v>0</v>
      </c>
      <c r="EK32" s="10">
        <v>0</v>
      </c>
      <c r="EL32" s="10">
        <v>0</v>
      </c>
      <c r="EM32" s="10">
        <v>0</v>
      </c>
      <c r="EN32" s="10">
        <v>0</v>
      </c>
      <c r="EO32" s="10">
        <v>0</v>
      </c>
      <c r="EP32" s="10">
        <v>0</v>
      </c>
      <c r="EQ32" s="10">
        <v>0</v>
      </c>
      <c r="ER32" s="10">
        <v>0</v>
      </c>
      <c r="ES32" s="10">
        <v>0</v>
      </c>
      <c r="ET32" s="10">
        <v>0</v>
      </c>
      <c r="EU32" s="10">
        <v>0</v>
      </c>
      <c r="EV32" s="10">
        <v>0</v>
      </c>
      <c r="EW32" s="10">
        <v>0</v>
      </c>
      <c r="EX32" s="10">
        <v>0</v>
      </c>
      <c r="EY32" s="10">
        <v>0</v>
      </c>
      <c r="EZ32" s="10">
        <v>0</v>
      </c>
      <c r="FA32" s="10">
        <v>0</v>
      </c>
      <c r="FB32" s="10">
        <v>0</v>
      </c>
      <c r="FC32" s="10">
        <v>0</v>
      </c>
      <c r="FD32" s="10">
        <v>0</v>
      </c>
      <c r="FE32" s="10">
        <v>0</v>
      </c>
      <c r="FF32" s="10">
        <v>0</v>
      </c>
      <c r="FG32" s="10">
        <v>0</v>
      </c>
      <c r="FH32" s="10">
        <v>0</v>
      </c>
      <c r="FI32" s="10">
        <v>0</v>
      </c>
      <c r="FJ32" s="10">
        <v>0</v>
      </c>
      <c r="FK32" s="10">
        <v>0</v>
      </c>
      <c r="FL32" s="10">
        <v>0</v>
      </c>
      <c r="FM32" s="10">
        <v>0</v>
      </c>
      <c r="FN32" s="10">
        <v>0</v>
      </c>
      <c r="FO32" s="10">
        <v>0</v>
      </c>
      <c r="FP32" s="10">
        <v>0</v>
      </c>
      <c r="FQ32" s="10">
        <v>0</v>
      </c>
      <c r="FR32" s="10">
        <v>0</v>
      </c>
      <c r="FS32" s="10">
        <v>0</v>
      </c>
      <c r="FT32" s="10">
        <v>0</v>
      </c>
      <c r="FU32" s="10">
        <v>0</v>
      </c>
      <c r="FV32" s="10">
        <v>0</v>
      </c>
      <c r="FW32" s="10">
        <v>0</v>
      </c>
      <c r="FX32" s="10">
        <v>0</v>
      </c>
      <c r="FY32" s="10">
        <v>0</v>
      </c>
      <c r="FZ32" s="10">
        <v>0</v>
      </c>
      <c r="GA32" s="10">
        <v>0</v>
      </c>
      <c r="GB32" s="10">
        <v>0.12266523800984</v>
      </c>
      <c r="GC32" s="10">
        <v>0</v>
      </c>
      <c r="GD32" s="10">
        <v>0</v>
      </c>
      <c r="GE32" s="10">
        <v>0</v>
      </c>
      <c r="GF32" s="10">
        <v>0</v>
      </c>
      <c r="GG32" s="10">
        <v>0</v>
      </c>
      <c r="GH32" s="10">
        <v>0</v>
      </c>
      <c r="GI32" s="10">
        <v>0</v>
      </c>
      <c r="GJ32" s="10">
        <v>0</v>
      </c>
      <c r="GK32" s="10">
        <v>0</v>
      </c>
      <c r="GL32" s="10">
        <v>0</v>
      </c>
      <c r="GM32" s="10">
        <v>0</v>
      </c>
      <c r="GN32" s="10">
        <v>0</v>
      </c>
      <c r="GO32" s="10">
        <v>0</v>
      </c>
      <c r="GP32" s="10">
        <v>0</v>
      </c>
      <c r="GQ32" s="10">
        <v>0</v>
      </c>
      <c r="GR32" s="10">
        <v>0</v>
      </c>
      <c r="GS32" s="10">
        <v>0</v>
      </c>
      <c r="GT32" s="10">
        <v>0</v>
      </c>
      <c r="GU32" s="10">
        <v>0</v>
      </c>
      <c r="GV32" s="10">
        <v>0</v>
      </c>
      <c r="GW32" s="10">
        <v>0</v>
      </c>
      <c r="GX32" s="10">
        <v>0</v>
      </c>
      <c r="GY32" s="10">
        <v>0</v>
      </c>
      <c r="GZ32" s="10">
        <v>0</v>
      </c>
      <c r="HA32" s="10">
        <v>0</v>
      </c>
      <c r="HB32" s="10">
        <v>0</v>
      </c>
      <c r="HC32" s="10">
        <v>0</v>
      </c>
      <c r="HD32" s="10">
        <v>0</v>
      </c>
      <c r="HE32" s="10">
        <v>0</v>
      </c>
      <c r="HF32" s="10">
        <v>0</v>
      </c>
      <c r="HG32" s="10">
        <v>0</v>
      </c>
      <c r="HH32" s="10">
        <v>0</v>
      </c>
      <c r="HI32" s="10">
        <v>0</v>
      </c>
      <c r="HJ32" s="10">
        <v>0</v>
      </c>
      <c r="HK32" s="10">
        <v>0</v>
      </c>
      <c r="HL32" s="10">
        <v>0</v>
      </c>
      <c r="HM32" s="10">
        <v>0</v>
      </c>
      <c r="HN32" s="10">
        <v>0</v>
      </c>
      <c r="HO32" s="10">
        <v>0</v>
      </c>
      <c r="HP32" s="10">
        <v>0</v>
      </c>
      <c r="HQ32" s="10">
        <v>0</v>
      </c>
      <c r="HR32" s="10">
        <v>0</v>
      </c>
      <c r="HS32" s="10">
        <v>0</v>
      </c>
      <c r="HT32" s="10">
        <v>0</v>
      </c>
      <c r="HU32" s="10">
        <v>0</v>
      </c>
    </row>
    <row r="33" spans="1:229" x14ac:dyDescent="0.25">
      <c r="A33" s="10">
        <v>0</v>
      </c>
      <c r="B33" s="2" t="s">
        <v>54</v>
      </c>
      <c r="C33" s="2" t="s">
        <v>55</v>
      </c>
      <c r="D33" s="17">
        <v>15.561</v>
      </c>
      <c r="E33" s="3">
        <v>21.6</v>
      </c>
      <c r="F33" s="3">
        <v>2.4700000000000002</v>
      </c>
      <c r="G33" s="3">
        <v>0</v>
      </c>
      <c r="H33" s="3">
        <v>1.01</v>
      </c>
      <c r="I33" s="3">
        <v>710</v>
      </c>
      <c r="J33" s="3">
        <v>7.0270000000000001</v>
      </c>
      <c r="K33" s="3">
        <v>0.77800000000000002</v>
      </c>
      <c r="L33" s="3"/>
      <c r="M33" s="2" t="str">
        <f t="shared" si="7"/>
        <v>01027</v>
      </c>
      <c r="N33" s="3">
        <v>0.4763230868174767</v>
      </c>
      <c r="O33" s="3">
        <v>1.5236769131825234</v>
      </c>
      <c r="P33" s="17">
        <v>0.47632308681751179</v>
      </c>
      <c r="Q33" s="3">
        <v>1.523676913182521</v>
      </c>
      <c r="R33" s="3">
        <v>2.0918562589466956</v>
      </c>
      <c r="S33" s="3" t="e">
        <v>#DIV/0!</v>
      </c>
      <c r="T33" s="3">
        <v>0.47632308681748065</v>
      </c>
      <c r="U33" s="3">
        <v>0.47632308681747698</v>
      </c>
      <c r="V33" s="3">
        <v>1.523676913182493</v>
      </c>
      <c r="W33" s="3">
        <v>4.5551289293945505</v>
      </c>
      <c r="X33" s="3">
        <v>7.4120635539673012</v>
      </c>
      <c r="Y33" s="3">
        <v>32.911421324742456</v>
      </c>
      <c r="Z33" s="3">
        <v>5.1668849595983382</v>
      </c>
      <c r="AA33" s="3">
        <v>0.23100622092617937</v>
      </c>
      <c r="AB33" s="3">
        <v>0.48108631768565546</v>
      </c>
      <c r="AC33" s="3">
        <v>338.18939164040864</v>
      </c>
      <c r="AD33" s="3">
        <v>10.706877668933378</v>
      </c>
      <c r="AE33" s="3">
        <v>3.5438903070689607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10">
        <v>0</v>
      </c>
      <c r="BB33" s="10">
        <v>0</v>
      </c>
      <c r="BC33" s="10">
        <v>0</v>
      </c>
      <c r="BD33" s="10">
        <v>0</v>
      </c>
      <c r="BE33" s="10">
        <v>0</v>
      </c>
      <c r="BF33" s="10">
        <v>0</v>
      </c>
      <c r="BG33" s="10">
        <v>0</v>
      </c>
      <c r="BH33" s="10">
        <v>0</v>
      </c>
      <c r="BI33" s="10">
        <v>0</v>
      </c>
      <c r="BJ33" s="10">
        <v>0</v>
      </c>
      <c r="BK33" s="10">
        <v>0</v>
      </c>
      <c r="BL33" s="10">
        <v>0</v>
      </c>
      <c r="BM33" s="10">
        <v>0</v>
      </c>
      <c r="BN33" s="10">
        <v>0</v>
      </c>
      <c r="BO33" s="10">
        <v>0</v>
      </c>
      <c r="BP33" s="10">
        <v>0</v>
      </c>
      <c r="BQ33" s="10">
        <v>0</v>
      </c>
      <c r="BR33" s="10">
        <v>0</v>
      </c>
      <c r="BS33" s="10">
        <v>0</v>
      </c>
      <c r="BT33" s="10">
        <v>0</v>
      </c>
      <c r="BU33" s="10">
        <v>0</v>
      </c>
      <c r="BV33" s="10">
        <v>0</v>
      </c>
      <c r="BW33" s="10">
        <v>0</v>
      </c>
      <c r="BX33" s="10">
        <v>0</v>
      </c>
      <c r="BY33" s="10">
        <v>0</v>
      </c>
      <c r="BZ33" s="10">
        <v>0</v>
      </c>
      <c r="CA33" s="10">
        <v>0.27733872927612424</v>
      </c>
      <c r="CB33" s="10">
        <v>0</v>
      </c>
      <c r="CC33" s="10">
        <v>0</v>
      </c>
      <c r="CD33" s="10">
        <v>0</v>
      </c>
      <c r="CE33" s="10">
        <v>0</v>
      </c>
      <c r="CF33" s="10">
        <v>0</v>
      </c>
      <c r="CG33" s="10">
        <v>0</v>
      </c>
      <c r="CH33" s="10">
        <v>0</v>
      </c>
      <c r="CI33" s="10">
        <v>0</v>
      </c>
      <c r="CJ33" s="10">
        <v>0</v>
      </c>
      <c r="CK33" s="10">
        <v>0</v>
      </c>
      <c r="CL33" s="10">
        <v>0</v>
      </c>
      <c r="CM33" s="10">
        <v>0</v>
      </c>
      <c r="CN33" s="10">
        <v>0</v>
      </c>
      <c r="CO33" s="10">
        <v>0</v>
      </c>
      <c r="CP33" s="10">
        <v>0</v>
      </c>
      <c r="CQ33" s="10">
        <v>0</v>
      </c>
      <c r="CR33" s="10">
        <v>0</v>
      </c>
      <c r="CS33" s="10">
        <v>0</v>
      </c>
      <c r="CT33" s="10">
        <v>0</v>
      </c>
      <c r="CU33" s="10">
        <v>0</v>
      </c>
      <c r="CV33" s="10">
        <v>0</v>
      </c>
      <c r="CW33" s="10">
        <v>0</v>
      </c>
      <c r="CX33" s="10">
        <v>0</v>
      </c>
      <c r="CY33" s="10">
        <v>0</v>
      </c>
      <c r="CZ33" s="10">
        <v>0</v>
      </c>
      <c r="DA33" s="10">
        <v>0</v>
      </c>
      <c r="DB33" s="10">
        <v>0</v>
      </c>
      <c r="DC33" s="10">
        <v>0</v>
      </c>
      <c r="DD33" s="10">
        <v>0</v>
      </c>
      <c r="DE33" s="10">
        <v>0</v>
      </c>
      <c r="DF33" s="10">
        <v>0</v>
      </c>
      <c r="DG33" s="10">
        <v>0</v>
      </c>
      <c r="DH33" s="10">
        <v>0</v>
      </c>
      <c r="DI33" s="10">
        <v>0</v>
      </c>
      <c r="DJ33" s="10">
        <v>0</v>
      </c>
      <c r="DK33" s="10">
        <v>0</v>
      </c>
      <c r="DL33" s="10">
        <v>0</v>
      </c>
      <c r="DM33" s="10">
        <v>0</v>
      </c>
      <c r="DN33" s="10">
        <v>0</v>
      </c>
      <c r="DO33" s="10">
        <v>0</v>
      </c>
      <c r="DP33" s="10">
        <v>0</v>
      </c>
      <c r="DQ33" s="10">
        <v>0</v>
      </c>
      <c r="DR33" s="10">
        <v>0</v>
      </c>
      <c r="DS33" s="10">
        <v>0</v>
      </c>
      <c r="DT33" s="10">
        <v>0.11921172395810438</v>
      </c>
      <c r="DU33" s="10">
        <v>0</v>
      </c>
      <c r="DV33" s="10">
        <v>0</v>
      </c>
      <c r="DW33" s="10">
        <v>0</v>
      </c>
      <c r="DX33" s="10">
        <v>0</v>
      </c>
      <c r="DY33" s="10">
        <v>0.45813809114341486</v>
      </c>
      <c r="DZ33" s="10">
        <v>2.9808345159267075E-2</v>
      </c>
      <c r="EA33" s="10">
        <v>0</v>
      </c>
      <c r="EB33" s="10">
        <v>0</v>
      </c>
      <c r="EC33" s="10">
        <v>0</v>
      </c>
      <c r="ED33" s="10">
        <v>0</v>
      </c>
      <c r="EE33" s="10">
        <v>0</v>
      </c>
      <c r="EF33" s="10">
        <v>0</v>
      </c>
      <c r="EG33" s="10">
        <v>0</v>
      </c>
      <c r="EH33" s="10">
        <v>0</v>
      </c>
      <c r="EI33" s="10">
        <v>0</v>
      </c>
      <c r="EJ33" s="10">
        <v>0</v>
      </c>
      <c r="EK33" s="10">
        <v>0</v>
      </c>
      <c r="EL33" s="10">
        <v>0</v>
      </c>
      <c r="EM33" s="10">
        <v>0</v>
      </c>
      <c r="EN33" s="10">
        <v>0</v>
      </c>
      <c r="EO33" s="10">
        <v>0</v>
      </c>
      <c r="EP33" s="10">
        <v>0</v>
      </c>
      <c r="EQ33" s="10">
        <v>0</v>
      </c>
      <c r="ER33" s="10">
        <v>0</v>
      </c>
      <c r="ES33" s="10">
        <v>0</v>
      </c>
      <c r="ET33" s="10">
        <v>0</v>
      </c>
      <c r="EU33" s="10">
        <v>0</v>
      </c>
      <c r="EV33" s="10">
        <v>0</v>
      </c>
      <c r="EW33" s="10">
        <v>0</v>
      </c>
      <c r="EX33" s="10">
        <v>0</v>
      </c>
      <c r="EY33" s="10">
        <v>0</v>
      </c>
      <c r="EZ33" s="10">
        <v>0</v>
      </c>
      <c r="FA33" s="10">
        <v>0</v>
      </c>
      <c r="FB33" s="10">
        <v>0</v>
      </c>
      <c r="FC33" s="10">
        <v>0</v>
      </c>
      <c r="FD33" s="10">
        <v>0</v>
      </c>
      <c r="FE33" s="10">
        <v>0</v>
      </c>
      <c r="FF33" s="10">
        <v>0</v>
      </c>
      <c r="FG33" s="10">
        <v>0</v>
      </c>
      <c r="FH33" s="10">
        <v>0</v>
      </c>
      <c r="FI33" s="10">
        <v>0</v>
      </c>
      <c r="FJ33" s="10">
        <v>0</v>
      </c>
      <c r="FK33" s="10">
        <v>0</v>
      </c>
      <c r="FL33" s="10">
        <v>0</v>
      </c>
      <c r="FM33" s="10">
        <v>0</v>
      </c>
      <c r="FN33" s="10">
        <v>0</v>
      </c>
      <c r="FO33" s="10">
        <v>0</v>
      </c>
      <c r="FP33" s="10">
        <v>0</v>
      </c>
      <c r="FQ33" s="10">
        <v>0</v>
      </c>
      <c r="FR33" s="10">
        <v>0</v>
      </c>
      <c r="FS33" s="10">
        <v>0</v>
      </c>
      <c r="FT33" s="10">
        <v>0</v>
      </c>
      <c r="FU33" s="10">
        <v>0</v>
      </c>
      <c r="FV33" s="10">
        <v>0</v>
      </c>
      <c r="FW33" s="10">
        <v>0</v>
      </c>
      <c r="FX33" s="10">
        <v>0</v>
      </c>
      <c r="FY33" s="10">
        <v>0</v>
      </c>
      <c r="FZ33" s="10">
        <v>0</v>
      </c>
      <c r="GA33" s="10">
        <v>0</v>
      </c>
      <c r="GB33" s="10">
        <v>0.11550311046308968</v>
      </c>
      <c r="GC33" s="10">
        <v>0</v>
      </c>
      <c r="GD33" s="10">
        <v>0</v>
      </c>
      <c r="GE33" s="10">
        <v>0</v>
      </c>
      <c r="GF33" s="10">
        <v>0</v>
      </c>
      <c r="GG33" s="10">
        <v>0</v>
      </c>
      <c r="GH33" s="10">
        <v>0</v>
      </c>
      <c r="GI33" s="10">
        <v>0</v>
      </c>
      <c r="GJ33" s="10">
        <v>0</v>
      </c>
      <c r="GK33" s="10">
        <v>0</v>
      </c>
      <c r="GL33" s="10">
        <v>0</v>
      </c>
      <c r="GM33" s="10">
        <v>0</v>
      </c>
      <c r="GN33" s="10">
        <v>0</v>
      </c>
      <c r="GO33" s="10">
        <v>0</v>
      </c>
      <c r="GP33" s="10">
        <v>0</v>
      </c>
      <c r="GQ33" s="10">
        <v>0</v>
      </c>
      <c r="GR33" s="10">
        <v>0</v>
      </c>
      <c r="GS33" s="10">
        <v>0</v>
      </c>
      <c r="GT33" s="10">
        <v>0</v>
      </c>
      <c r="GU33" s="10">
        <v>0</v>
      </c>
      <c r="GV33" s="10">
        <v>0</v>
      </c>
      <c r="GW33" s="10">
        <v>0</v>
      </c>
      <c r="GX33" s="10">
        <v>0</v>
      </c>
      <c r="GY33" s="10">
        <v>0</v>
      </c>
      <c r="GZ33" s="10">
        <v>0</v>
      </c>
      <c r="HA33" s="10">
        <v>0</v>
      </c>
      <c r="HB33" s="10">
        <v>0</v>
      </c>
      <c r="HC33" s="10">
        <v>0</v>
      </c>
      <c r="HD33" s="10">
        <v>0</v>
      </c>
      <c r="HE33" s="10">
        <v>0</v>
      </c>
      <c r="HF33" s="10">
        <v>0</v>
      </c>
      <c r="HG33" s="10">
        <v>0</v>
      </c>
      <c r="HH33" s="10">
        <v>0</v>
      </c>
      <c r="HI33" s="10">
        <v>0</v>
      </c>
      <c r="HJ33" s="10">
        <v>0</v>
      </c>
      <c r="HK33" s="10">
        <v>0</v>
      </c>
      <c r="HL33" s="10">
        <v>0</v>
      </c>
      <c r="HM33" s="10">
        <v>0</v>
      </c>
      <c r="HN33" s="10">
        <v>0</v>
      </c>
      <c r="HO33" s="10">
        <v>0</v>
      </c>
      <c r="HP33" s="10">
        <v>0</v>
      </c>
      <c r="HQ33" s="10">
        <v>0</v>
      </c>
      <c r="HR33" s="10">
        <v>0</v>
      </c>
      <c r="HS33" s="10">
        <v>0</v>
      </c>
      <c r="HT33" s="10">
        <v>0</v>
      </c>
      <c r="HU33" s="10">
        <v>0</v>
      </c>
    </row>
    <row r="34" spans="1:229" x14ac:dyDescent="0.25">
      <c r="A34" s="10">
        <v>0</v>
      </c>
      <c r="B34" s="2" t="s">
        <v>56</v>
      </c>
      <c r="C34" s="2" t="s">
        <v>57</v>
      </c>
      <c r="D34" s="17">
        <v>10.114000000000001</v>
      </c>
      <c r="E34" s="3">
        <v>24.26</v>
      </c>
      <c r="F34" s="3">
        <v>2.77</v>
      </c>
      <c r="G34" s="3">
        <v>0</v>
      </c>
      <c r="H34" s="10">
        <v>1.1299999999999999</v>
      </c>
      <c r="I34" s="3">
        <v>619</v>
      </c>
      <c r="J34" s="3">
        <v>4.51</v>
      </c>
      <c r="K34" s="3">
        <v>0.47199999999999998</v>
      </c>
      <c r="L34" s="3"/>
      <c r="M34" s="2" t="str">
        <f t="shared" si="7"/>
        <v>01028</v>
      </c>
      <c r="N34" s="3">
        <v>0.56473738433072096</v>
      </c>
      <c r="O34" s="3">
        <v>1.4352626156692796</v>
      </c>
      <c r="P34" s="17">
        <v>0.56473738433079756</v>
      </c>
      <c r="Q34" s="3">
        <v>1.4352626156692794</v>
      </c>
      <c r="R34" s="3">
        <v>1.6057158091570123</v>
      </c>
      <c r="S34" s="3" t="e">
        <v>#DIV/0!</v>
      </c>
      <c r="T34" s="3">
        <v>0.56473738433073828</v>
      </c>
      <c r="U34" s="3">
        <v>0.5647373843307204</v>
      </c>
      <c r="V34" s="3">
        <v>1.6371823654639854</v>
      </c>
      <c r="W34" s="3">
        <v>6.6840195954901018</v>
      </c>
      <c r="X34" s="3">
        <v>5.7117539051216868</v>
      </c>
      <c r="Y34" s="3">
        <v>34.81947105613672</v>
      </c>
      <c r="Z34" s="3">
        <v>4.4478327913649238</v>
      </c>
      <c r="AA34" s="3">
        <v>0.26674976368611197</v>
      </c>
      <c r="AB34" s="3">
        <v>0.63815324429373421</v>
      </c>
      <c r="AC34" s="3">
        <v>349.57244090071595</v>
      </c>
      <c r="AD34" s="3">
        <v>7.3836924682425735</v>
      </c>
      <c r="AE34" s="3">
        <v>3.1548572490713278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10">
        <v>0</v>
      </c>
      <c r="BB34" s="10">
        <v>0</v>
      </c>
      <c r="BC34" s="10">
        <v>0</v>
      </c>
      <c r="BD34" s="10">
        <v>0</v>
      </c>
      <c r="BE34" s="10">
        <v>0</v>
      </c>
      <c r="BF34" s="10">
        <v>0</v>
      </c>
      <c r="BG34" s="10">
        <v>0</v>
      </c>
      <c r="BH34" s="10">
        <v>0</v>
      </c>
      <c r="BI34" s="10">
        <v>0</v>
      </c>
      <c r="BJ34" s="10">
        <v>0</v>
      </c>
      <c r="BK34" s="10">
        <v>0</v>
      </c>
      <c r="BL34" s="10">
        <v>0</v>
      </c>
      <c r="BM34" s="10">
        <v>0</v>
      </c>
      <c r="BN34" s="10">
        <v>0</v>
      </c>
      <c r="BO34" s="10">
        <v>0</v>
      </c>
      <c r="BP34" s="10">
        <v>0</v>
      </c>
      <c r="BQ34" s="10">
        <v>0</v>
      </c>
      <c r="BR34" s="10">
        <v>0</v>
      </c>
      <c r="BS34" s="10">
        <v>0</v>
      </c>
      <c r="BT34" s="10">
        <v>0</v>
      </c>
      <c r="BU34" s="10">
        <v>0</v>
      </c>
      <c r="BV34" s="10">
        <v>0</v>
      </c>
      <c r="BW34" s="10">
        <v>0</v>
      </c>
      <c r="BX34" s="10">
        <v>0</v>
      </c>
      <c r="BY34" s="10">
        <v>0</v>
      </c>
      <c r="BZ34" s="10">
        <v>0</v>
      </c>
      <c r="CA34" s="10">
        <v>0</v>
      </c>
      <c r="CB34" s="10">
        <v>0</v>
      </c>
      <c r="CC34" s="10">
        <v>0</v>
      </c>
      <c r="CD34" s="10">
        <v>0</v>
      </c>
      <c r="CE34" s="10">
        <v>0</v>
      </c>
      <c r="CF34" s="10">
        <v>0</v>
      </c>
      <c r="CG34" s="10">
        <v>0</v>
      </c>
      <c r="CH34" s="10">
        <v>0</v>
      </c>
      <c r="CI34" s="10">
        <v>0</v>
      </c>
      <c r="CJ34" s="10">
        <v>0</v>
      </c>
      <c r="CK34" s="10">
        <v>0</v>
      </c>
      <c r="CL34" s="10">
        <v>0</v>
      </c>
      <c r="CM34" s="10">
        <v>0</v>
      </c>
      <c r="CN34" s="10">
        <v>0</v>
      </c>
      <c r="CO34" s="10">
        <v>0</v>
      </c>
      <c r="CP34" s="10">
        <v>0</v>
      </c>
      <c r="CQ34" s="10">
        <v>0</v>
      </c>
      <c r="CR34" s="10">
        <v>0</v>
      </c>
      <c r="CS34" s="10">
        <v>0</v>
      </c>
      <c r="CT34" s="10">
        <v>0</v>
      </c>
      <c r="CU34" s="10">
        <v>0</v>
      </c>
      <c r="CV34" s="10">
        <v>0</v>
      </c>
      <c r="CW34" s="10">
        <v>0</v>
      </c>
      <c r="CX34" s="10">
        <v>0</v>
      </c>
      <c r="CY34" s="10">
        <v>0</v>
      </c>
      <c r="CZ34" s="10">
        <v>0</v>
      </c>
      <c r="DA34" s="10">
        <v>0</v>
      </c>
      <c r="DB34" s="10">
        <v>0</v>
      </c>
      <c r="DC34" s="10">
        <v>0</v>
      </c>
      <c r="DD34" s="10">
        <v>0</v>
      </c>
      <c r="DE34" s="10">
        <v>0</v>
      </c>
      <c r="DF34" s="10">
        <v>0</v>
      </c>
      <c r="DG34" s="10">
        <v>0</v>
      </c>
      <c r="DH34" s="10">
        <v>0</v>
      </c>
      <c r="DI34" s="10">
        <v>0</v>
      </c>
      <c r="DJ34" s="10">
        <v>0</v>
      </c>
      <c r="DK34" s="10">
        <v>0</v>
      </c>
      <c r="DL34" s="10">
        <v>0</v>
      </c>
      <c r="DM34" s="10">
        <v>0</v>
      </c>
      <c r="DN34" s="10">
        <v>0</v>
      </c>
      <c r="DO34" s="10">
        <v>0</v>
      </c>
      <c r="DP34" s="10">
        <v>0</v>
      </c>
      <c r="DQ34" s="10">
        <v>0</v>
      </c>
      <c r="DR34" s="10">
        <v>0</v>
      </c>
      <c r="DS34" s="10">
        <v>0</v>
      </c>
      <c r="DT34" s="10">
        <v>0.61690602598599131</v>
      </c>
      <c r="DU34" s="10">
        <v>0</v>
      </c>
      <c r="DV34" s="10">
        <v>0</v>
      </c>
      <c r="DW34" s="10">
        <v>0</v>
      </c>
      <c r="DX34" s="10">
        <v>0</v>
      </c>
      <c r="DY34" s="10">
        <v>0</v>
      </c>
      <c r="DZ34" s="10">
        <v>0.23757878040819425</v>
      </c>
      <c r="EA34" s="10">
        <v>0</v>
      </c>
      <c r="EB34" s="10">
        <v>0</v>
      </c>
      <c r="EC34" s="10">
        <v>0</v>
      </c>
      <c r="ED34" s="10">
        <v>0</v>
      </c>
      <c r="EE34" s="10">
        <v>0</v>
      </c>
      <c r="EF34" s="10">
        <v>0</v>
      </c>
      <c r="EG34" s="10">
        <v>0</v>
      </c>
      <c r="EH34" s="10">
        <v>0</v>
      </c>
      <c r="EI34" s="10">
        <v>0</v>
      </c>
      <c r="EJ34" s="10">
        <v>0</v>
      </c>
      <c r="EK34" s="10">
        <v>0</v>
      </c>
      <c r="EL34" s="10">
        <v>0</v>
      </c>
      <c r="EM34" s="10">
        <v>0</v>
      </c>
      <c r="EN34" s="10">
        <v>0</v>
      </c>
      <c r="EO34" s="10">
        <v>0</v>
      </c>
      <c r="EP34" s="10">
        <v>0</v>
      </c>
      <c r="EQ34" s="10">
        <v>0</v>
      </c>
      <c r="ER34" s="10">
        <v>0</v>
      </c>
      <c r="ES34" s="10">
        <v>0</v>
      </c>
      <c r="ET34" s="10">
        <v>1.2140311762758552E-2</v>
      </c>
      <c r="EU34" s="10">
        <v>0</v>
      </c>
      <c r="EV34" s="10">
        <v>0</v>
      </c>
      <c r="EW34" s="10">
        <v>0</v>
      </c>
      <c r="EX34" s="10">
        <v>0</v>
      </c>
      <c r="EY34" s="10">
        <v>0</v>
      </c>
      <c r="EZ34" s="10">
        <v>0</v>
      </c>
      <c r="FA34" s="10">
        <v>0</v>
      </c>
      <c r="FB34" s="10">
        <v>0</v>
      </c>
      <c r="FC34" s="10">
        <v>0</v>
      </c>
      <c r="FD34" s="10">
        <v>0</v>
      </c>
      <c r="FE34" s="10">
        <v>0</v>
      </c>
      <c r="FF34" s="10">
        <v>0</v>
      </c>
      <c r="FG34" s="10">
        <v>0</v>
      </c>
      <c r="FH34" s="10">
        <v>0</v>
      </c>
      <c r="FI34" s="10">
        <v>0</v>
      </c>
      <c r="FJ34" s="10">
        <v>0</v>
      </c>
      <c r="FK34" s="10">
        <v>0</v>
      </c>
      <c r="FL34" s="10">
        <v>0</v>
      </c>
      <c r="FM34" s="10">
        <v>0</v>
      </c>
      <c r="FN34" s="10">
        <v>0</v>
      </c>
      <c r="FO34" s="10">
        <v>0</v>
      </c>
      <c r="FP34" s="10">
        <v>0</v>
      </c>
      <c r="FQ34" s="10">
        <v>0</v>
      </c>
      <c r="FR34" s="10">
        <v>0</v>
      </c>
      <c r="FS34" s="10">
        <v>0</v>
      </c>
      <c r="FT34" s="10">
        <v>0</v>
      </c>
      <c r="FU34" s="10">
        <v>0</v>
      </c>
      <c r="FV34" s="10">
        <v>0</v>
      </c>
      <c r="FW34" s="10">
        <v>0</v>
      </c>
      <c r="FX34" s="10">
        <v>0</v>
      </c>
      <c r="FY34" s="10">
        <v>0</v>
      </c>
      <c r="FZ34" s="10">
        <v>0</v>
      </c>
      <c r="GA34" s="10">
        <v>0</v>
      </c>
      <c r="GB34" s="10">
        <v>0.13337488184305599</v>
      </c>
      <c r="GC34" s="10">
        <v>0</v>
      </c>
      <c r="GD34" s="10">
        <v>0</v>
      </c>
      <c r="GE34" s="10">
        <v>0</v>
      </c>
      <c r="GF34" s="10">
        <v>0</v>
      </c>
      <c r="GG34" s="10">
        <v>0</v>
      </c>
      <c r="GH34" s="10">
        <v>0</v>
      </c>
      <c r="GI34" s="10">
        <v>0</v>
      </c>
      <c r="GJ34" s="10">
        <v>0</v>
      </c>
      <c r="GK34" s="10">
        <v>0</v>
      </c>
      <c r="GL34" s="10">
        <v>0</v>
      </c>
      <c r="GM34" s="10">
        <v>0</v>
      </c>
      <c r="GN34" s="10">
        <v>0</v>
      </c>
      <c r="GO34" s="10">
        <v>0</v>
      </c>
      <c r="GP34" s="10">
        <v>0</v>
      </c>
      <c r="GQ34" s="10">
        <v>0</v>
      </c>
      <c r="GR34" s="10">
        <v>0</v>
      </c>
      <c r="GS34" s="10">
        <v>0</v>
      </c>
      <c r="GT34" s="10">
        <v>0</v>
      </c>
      <c r="GU34" s="10">
        <v>0</v>
      </c>
      <c r="GV34" s="10">
        <v>0</v>
      </c>
      <c r="GW34" s="10">
        <v>0</v>
      </c>
      <c r="GX34" s="10">
        <v>0</v>
      </c>
      <c r="GY34" s="10">
        <v>0</v>
      </c>
      <c r="GZ34" s="10">
        <v>0</v>
      </c>
      <c r="HA34" s="10">
        <v>0</v>
      </c>
      <c r="HB34" s="10">
        <v>0</v>
      </c>
      <c r="HC34" s="10">
        <v>0</v>
      </c>
      <c r="HD34" s="10">
        <v>0</v>
      </c>
      <c r="HE34" s="10">
        <v>0</v>
      </c>
      <c r="HF34" s="10">
        <v>0</v>
      </c>
      <c r="HG34" s="10">
        <v>0</v>
      </c>
      <c r="HH34" s="10">
        <v>0</v>
      </c>
      <c r="HI34" s="10">
        <v>0</v>
      </c>
      <c r="HJ34" s="10">
        <v>0</v>
      </c>
      <c r="HK34" s="10">
        <v>0</v>
      </c>
      <c r="HL34" s="10">
        <v>0</v>
      </c>
      <c r="HM34" s="10">
        <v>0</v>
      </c>
      <c r="HN34" s="10">
        <v>0</v>
      </c>
      <c r="HO34" s="10">
        <v>0</v>
      </c>
      <c r="HP34" s="10">
        <v>0</v>
      </c>
      <c r="HQ34" s="10">
        <v>0</v>
      </c>
      <c r="HR34" s="10">
        <v>0</v>
      </c>
      <c r="HS34" s="10">
        <v>0</v>
      </c>
      <c r="HT34" s="10">
        <v>0</v>
      </c>
      <c r="HU34" s="10">
        <v>0</v>
      </c>
    </row>
    <row r="35" spans="1:229" x14ac:dyDescent="0.25">
      <c r="A35" s="10">
        <v>0</v>
      </c>
      <c r="B35" s="2" t="s">
        <v>58</v>
      </c>
      <c r="C35" s="2" t="s">
        <v>59</v>
      </c>
      <c r="D35" s="17">
        <v>11.295</v>
      </c>
      <c r="E35" s="3">
        <v>23.75</v>
      </c>
      <c r="F35" s="3">
        <v>5.58</v>
      </c>
      <c r="G35" s="3">
        <v>0</v>
      </c>
      <c r="H35" s="8">
        <v>1.9</v>
      </c>
      <c r="I35" s="3">
        <v>666</v>
      </c>
      <c r="J35" s="3">
        <v>5.7409999999999997</v>
      </c>
      <c r="K35" s="3">
        <v>1.0189999999999999</v>
      </c>
      <c r="L35" s="3"/>
      <c r="M35" s="2" t="str">
        <f t="shared" si="7"/>
        <v>01029</v>
      </c>
      <c r="N35" s="3">
        <v>0.50085036380079706</v>
      </c>
      <c r="O35" s="3">
        <v>1.4991496361992034</v>
      </c>
      <c r="P35" s="17">
        <v>0.50085036380081316</v>
      </c>
      <c r="Q35" s="3">
        <v>1.4991496361992029</v>
      </c>
      <c r="R35" s="3">
        <v>1.1927390228254242</v>
      </c>
      <c r="S35" s="3" t="e">
        <v>#DIV/0!</v>
      </c>
      <c r="T35" s="3">
        <v>0.50085036380080361</v>
      </c>
      <c r="U35" s="3">
        <v>0.50085036380079673</v>
      </c>
      <c r="V35" s="3">
        <v>1.4991496361993648</v>
      </c>
      <c r="W35" s="3">
        <v>3.0189827253826982</v>
      </c>
      <c r="X35" s="3">
        <v>5.6571048591301851</v>
      </c>
      <c r="Y35" s="3">
        <v>35.604803859731071</v>
      </c>
      <c r="Z35" s="3">
        <v>6.6554837473658672</v>
      </c>
      <c r="AA35" s="3">
        <v>0.44572791547147966</v>
      </c>
      <c r="AB35" s="3">
        <v>0.95161569122152689</v>
      </c>
      <c r="AC35" s="3">
        <v>333.56634229133061</v>
      </c>
      <c r="AD35" s="3">
        <v>8.6066180614205532</v>
      </c>
      <c r="AE35" s="3">
        <v>3.076343397164969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10">
        <v>0</v>
      </c>
      <c r="BB35" s="10">
        <v>0</v>
      </c>
      <c r="BC35" s="10">
        <v>0</v>
      </c>
      <c r="BD35" s="10">
        <v>0</v>
      </c>
      <c r="BE35" s="10">
        <v>0</v>
      </c>
      <c r="BF35" s="10">
        <v>0</v>
      </c>
      <c r="BG35" s="10">
        <v>0</v>
      </c>
      <c r="BH35" s="10">
        <v>0</v>
      </c>
      <c r="BI35" s="10">
        <v>0</v>
      </c>
      <c r="BJ35" s="10">
        <v>0</v>
      </c>
      <c r="BK35" s="10">
        <v>0</v>
      </c>
      <c r="BL35" s="10">
        <v>0</v>
      </c>
      <c r="BM35" s="10">
        <v>0</v>
      </c>
      <c r="BN35" s="10">
        <v>0</v>
      </c>
      <c r="BO35" s="10">
        <v>0</v>
      </c>
      <c r="BP35" s="10">
        <v>0</v>
      </c>
      <c r="BQ35" s="10">
        <v>0</v>
      </c>
      <c r="BR35" s="10">
        <v>0</v>
      </c>
      <c r="BS35" s="10">
        <v>0</v>
      </c>
      <c r="BT35" s="10">
        <v>0</v>
      </c>
      <c r="BU35" s="10">
        <v>0</v>
      </c>
      <c r="BV35" s="10">
        <v>0</v>
      </c>
      <c r="BW35" s="10">
        <v>0</v>
      </c>
      <c r="BX35" s="10">
        <v>0</v>
      </c>
      <c r="BY35" s="10">
        <v>0</v>
      </c>
      <c r="BZ35" s="10">
        <v>0</v>
      </c>
      <c r="CA35" s="10">
        <v>0.10420105471995754</v>
      </c>
      <c r="CB35" s="10">
        <v>0</v>
      </c>
      <c r="CC35" s="10">
        <v>0</v>
      </c>
      <c r="CD35" s="10">
        <v>0</v>
      </c>
      <c r="CE35" s="10">
        <v>0</v>
      </c>
      <c r="CF35" s="10">
        <v>0</v>
      </c>
      <c r="CG35" s="10">
        <v>0</v>
      </c>
      <c r="CH35" s="10">
        <v>0</v>
      </c>
      <c r="CI35" s="10">
        <v>0</v>
      </c>
      <c r="CJ35" s="10">
        <v>0</v>
      </c>
      <c r="CK35" s="10">
        <v>0</v>
      </c>
      <c r="CL35" s="10">
        <v>0</v>
      </c>
      <c r="CM35" s="10">
        <v>0</v>
      </c>
      <c r="CN35" s="10">
        <v>0</v>
      </c>
      <c r="CO35" s="10">
        <v>0</v>
      </c>
      <c r="CP35" s="10">
        <v>0</v>
      </c>
      <c r="CQ35" s="10">
        <v>0</v>
      </c>
      <c r="CR35" s="10">
        <v>0</v>
      </c>
      <c r="CS35" s="10">
        <v>0</v>
      </c>
      <c r="CT35" s="10">
        <v>0</v>
      </c>
      <c r="CU35" s="10">
        <v>0</v>
      </c>
      <c r="CV35" s="10">
        <v>0</v>
      </c>
      <c r="CW35" s="10">
        <v>0</v>
      </c>
      <c r="CX35" s="10">
        <v>0</v>
      </c>
      <c r="CY35" s="10">
        <v>0</v>
      </c>
      <c r="CZ35" s="10">
        <v>0</v>
      </c>
      <c r="DA35" s="10">
        <v>0</v>
      </c>
      <c r="DB35" s="10">
        <v>0</v>
      </c>
      <c r="DC35" s="10">
        <v>0</v>
      </c>
      <c r="DD35" s="10">
        <v>0</v>
      </c>
      <c r="DE35" s="10">
        <v>0</v>
      </c>
      <c r="DF35" s="10">
        <v>0</v>
      </c>
      <c r="DG35" s="10">
        <v>0</v>
      </c>
      <c r="DH35" s="10">
        <v>0</v>
      </c>
      <c r="DI35" s="10">
        <v>0</v>
      </c>
      <c r="DJ35" s="10">
        <v>0</v>
      </c>
      <c r="DK35" s="10">
        <v>0</v>
      </c>
      <c r="DL35" s="10">
        <v>0</v>
      </c>
      <c r="DM35" s="10">
        <v>0</v>
      </c>
      <c r="DN35" s="10">
        <v>0</v>
      </c>
      <c r="DO35" s="10">
        <v>0</v>
      </c>
      <c r="DP35" s="10">
        <v>0</v>
      </c>
      <c r="DQ35" s="10">
        <v>0</v>
      </c>
      <c r="DR35" s="10">
        <v>0</v>
      </c>
      <c r="DS35" s="10">
        <v>0</v>
      </c>
      <c r="DT35" s="10">
        <v>0.37599912674104741</v>
      </c>
      <c r="DU35" s="10">
        <v>0</v>
      </c>
      <c r="DV35" s="10">
        <v>0</v>
      </c>
      <c r="DW35" s="10">
        <v>0</v>
      </c>
      <c r="DX35" s="10">
        <v>0</v>
      </c>
      <c r="DY35" s="10">
        <v>0.15878109184515721</v>
      </c>
      <c r="DZ35" s="10">
        <v>0.13815476895809842</v>
      </c>
      <c r="EA35" s="10">
        <v>0</v>
      </c>
      <c r="EB35" s="10">
        <v>0</v>
      </c>
      <c r="EC35" s="10">
        <v>0</v>
      </c>
      <c r="ED35" s="10">
        <v>0</v>
      </c>
      <c r="EE35" s="10">
        <v>0</v>
      </c>
      <c r="EF35" s="10">
        <v>0</v>
      </c>
      <c r="EG35" s="10">
        <v>0</v>
      </c>
      <c r="EH35" s="10">
        <v>0</v>
      </c>
      <c r="EI35" s="10">
        <v>0</v>
      </c>
      <c r="EJ35" s="10">
        <v>0</v>
      </c>
      <c r="EK35" s="10">
        <v>0</v>
      </c>
      <c r="EL35" s="10">
        <v>0</v>
      </c>
      <c r="EM35" s="10">
        <v>0</v>
      </c>
      <c r="EN35" s="10">
        <v>0</v>
      </c>
      <c r="EO35" s="10">
        <v>0</v>
      </c>
      <c r="EP35" s="10">
        <v>0</v>
      </c>
      <c r="EQ35" s="10">
        <v>0</v>
      </c>
      <c r="ER35" s="10">
        <v>0</v>
      </c>
      <c r="ES35" s="10">
        <v>0</v>
      </c>
      <c r="ET35" s="10">
        <v>0</v>
      </c>
      <c r="EU35" s="10">
        <v>0</v>
      </c>
      <c r="EV35" s="10">
        <v>0</v>
      </c>
      <c r="EW35" s="10">
        <v>0</v>
      </c>
      <c r="EX35" s="10">
        <v>0</v>
      </c>
      <c r="EY35" s="10">
        <v>0</v>
      </c>
      <c r="EZ35" s="10">
        <v>0</v>
      </c>
      <c r="FA35" s="10">
        <v>0</v>
      </c>
      <c r="FB35" s="10">
        <v>0</v>
      </c>
      <c r="FC35" s="10">
        <v>0</v>
      </c>
      <c r="FD35" s="10">
        <v>0</v>
      </c>
      <c r="FE35" s="10">
        <v>0</v>
      </c>
      <c r="FF35" s="10">
        <v>0</v>
      </c>
      <c r="FG35" s="10">
        <v>0</v>
      </c>
      <c r="FH35" s="10">
        <v>0</v>
      </c>
      <c r="FI35" s="10">
        <v>0</v>
      </c>
      <c r="FJ35" s="10">
        <v>0</v>
      </c>
      <c r="FK35" s="10">
        <v>0</v>
      </c>
      <c r="FL35" s="10">
        <v>0</v>
      </c>
      <c r="FM35" s="10">
        <v>0</v>
      </c>
      <c r="FN35" s="10">
        <v>0</v>
      </c>
      <c r="FO35" s="10">
        <v>0</v>
      </c>
      <c r="FP35" s="10">
        <v>0</v>
      </c>
      <c r="FQ35" s="10">
        <v>0</v>
      </c>
      <c r="FR35" s="10">
        <v>0</v>
      </c>
      <c r="FS35" s="10">
        <v>0</v>
      </c>
      <c r="FT35" s="10">
        <v>0</v>
      </c>
      <c r="FU35" s="10">
        <v>0</v>
      </c>
      <c r="FV35" s="10">
        <v>0</v>
      </c>
      <c r="FW35" s="10">
        <v>0</v>
      </c>
      <c r="FX35" s="10">
        <v>0</v>
      </c>
      <c r="FY35" s="10">
        <v>0</v>
      </c>
      <c r="FZ35" s="10">
        <v>0</v>
      </c>
      <c r="GA35" s="10">
        <v>0</v>
      </c>
      <c r="GB35" s="10">
        <v>0.22286395773573983</v>
      </c>
      <c r="GC35" s="10">
        <v>0</v>
      </c>
      <c r="GD35" s="10">
        <v>0</v>
      </c>
      <c r="GE35" s="10">
        <v>0</v>
      </c>
      <c r="GF35" s="10">
        <v>0</v>
      </c>
      <c r="GG35" s="10">
        <v>0</v>
      </c>
      <c r="GH35" s="10">
        <v>0</v>
      </c>
      <c r="GI35" s="10">
        <v>0</v>
      </c>
      <c r="GJ35" s="10">
        <v>0</v>
      </c>
      <c r="GK35" s="10">
        <v>0</v>
      </c>
      <c r="GL35" s="10">
        <v>0</v>
      </c>
      <c r="GM35" s="10">
        <v>0</v>
      </c>
      <c r="GN35" s="10">
        <v>0</v>
      </c>
      <c r="GO35" s="10">
        <v>0</v>
      </c>
      <c r="GP35" s="10">
        <v>0</v>
      </c>
      <c r="GQ35" s="10">
        <v>0</v>
      </c>
      <c r="GR35" s="10">
        <v>0</v>
      </c>
      <c r="GS35" s="10">
        <v>0</v>
      </c>
      <c r="GT35" s="10">
        <v>0</v>
      </c>
      <c r="GU35" s="10">
        <v>0</v>
      </c>
      <c r="GV35" s="10">
        <v>0</v>
      </c>
      <c r="GW35" s="10">
        <v>0</v>
      </c>
      <c r="GX35" s="10">
        <v>0</v>
      </c>
      <c r="GY35" s="10">
        <v>0</v>
      </c>
      <c r="GZ35" s="10">
        <v>0</v>
      </c>
      <c r="HA35" s="10">
        <v>0</v>
      </c>
      <c r="HB35" s="10">
        <v>0</v>
      </c>
      <c r="HC35" s="10">
        <v>0</v>
      </c>
      <c r="HD35" s="10">
        <v>0</v>
      </c>
      <c r="HE35" s="10">
        <v>0</v>
      </c>
      <c r="HF35" s="10">
        <v>0</v>
      </c>
      <c r="HG35" s="10">
        <v>0</v>
      </c>
      <c r="HH35" s="10">
        <v>0</v>
      </c>
      <c r="HI35" s="10">
        <v>0</v>
      </c>
      <c r="HJ35" s="10">
        <v>0</v>
      </c>
      <c r="HK35" s="10">
        <v>0</v>
      </c>
      <c r="HL35" s="10">
        <v>0</v>
      </c>
      <c r="HM35" s="10">
        <v>0</v>
      </c>
      <c r="HN35" s="10">
        <v>0</v>
      </c>
      <c r="HO35" s="10">
        <v>0</v>
      </c>
      <c r="HP35" s="10">
        <v>0</v>
      </c>
      <c r="HQ35" s="10">
        <v>0</v>
      </c>
      <c r="HR35" s="10">
        <v>0</v>
      </c>
      <c r="HS35" s="10">
        <v>0</v>
      </c>
      <c r="HT35" s="10">
        <v>0</v>
      </c>
      <c r="HU35" s="10">
        <v>0</v>
      </c>
    </row>
    <row r="36" spans="1:229" x14ac:dyDescent="0.25">
      <c r="A36" s="10">
        <v>0</v>
      </c>
      <c r="B36" s="2" t="s">
        <v>60</v>
      </c>
      <c r="C36" s="2" t="s">
        <v>61</v>
      </c>
      <c r="D36" s="17">
        <v>19.113</v>
      </c>
      <c r="E36" s="3">
        <v>23.41</v>
      </c>
      <c r="F36" s="3">
        <v>1.1200000000000001</v>
      </c>
      <c r="G36" s="3">
        <v>0</v>
      </c>
      <c r="H36" s="21">
        <v>1.1200000000000001</v>
      </c>
      <c r="I36" s="3">
        <v>628</v>
      </c>
      <c r="J36" s="3">
        <v>8.7110000000000003</v>
      </c>
      <c r="K36" s="3">
        <v>0.66100000000000003</v>
      </c>
      <c r="L36" s="3"/>
      <c r="M36" s="2" t="str">
        <f t="shared" si="7"/>
        <v>01030</v>
      </c>
      <c r="N36" s="3">
        <v>0.50343890914597611</v>
      </c>
      <c r="O36" s="3">
        <v>1.4965610908540239</v>
      </c>
      <c r="P36" s="17">
        <v>0.50343890914604195</v>
      </c>
      <c r="Q36" s="3">
        <v>1.4965610908540228</v>
      </c>
      <c r="R36" s="3">
        <v>3.7301850649594201</v>
      </c>
      <c r="S36" s="3" t="e">
        <v>#DIV/0!</v>
      </c>
      <c r="T36" s="3">
        <v>0.50343890914598799</v>
      </c>
      <c r="U36" s="3">
        <v>0.50343890914597567</v>
      </c>
      <c r="V36" s="3">
        <v>1.496561090854021</v>
      </c>
      <c r="W36" s="3">
        <v>7.1365793787375793</v>
      </c>
      <c r="X36" s="3">
        <v>9.6222278705082989</v>
      </c>
      <c r="Y36" s="3">
        <v>35.034495136892673</v>
      </c>
      <c r="Z36" s="3">
        <v>4.177807272754551</v>
      </c>
      <c r="AA36" s="3">
        <v>0.24826719513542655</v>
      </c>
      <c r="AB36" s="3">
        <v>0.56385157824350662</v>
      </c>
      <c r="AC36" s="3">
        <v>316.1596349436727</v>
      </c>
      <c r="AD36" s="3">
        <v>13.036543662429377</v>
      </c>
      <c r="AE36" s="3">
        <v>4.7172789693455401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0">
        <v>0</v>
      </c>
      <c r="BG36" s="10">
        <v>0</v>
      </c>
      <c r="BH36" s="10">
        <v>0</v>
      </c>
      <c r="BI36" s="10">
        <v>0</v>
      </c>
      <c r="BJ36" s="10">
        <v>0</v>
      </c>
      <c r="BK36" s="10">
        <v>0</v>
      </c>
      <c r="BL36" s="10">
        <v>0</v>
      </c>
      <c r="BM36" s="10">
        <v>0</v>
      </c>
      <c r="BN36" s="10">
        <v>0</v>
      </c>
      <c r="BO36" s="10">
        <v>0</v>
      </c>
      <c r="BP36" s="10">
        <v>0</v>
      </c>
      <c r="BQ36" s="10">
        <v>0</v>
      </c>
      <c r="BR36" s="10">
        <v>0</v>
      </c>
      <c r="BS36" s="10">
        <v>0</v>
      </c>
      <c r="BT36" s="10">
        <v>0</v>
      </c>
      <c r="BU36" s="10">
        <v>0</v>
      </c>
      <c r="BV36" s="10">
        <v>0</v>
      </c>
      <c r="BW36" s="10">
        <v>0</v>
      </c>
      <c r="BX36" s="10">
        <v>0</v>
      </c>
      <c r="BY36" s="10">
        <v>0</v>
      </c>
      <c r="BZ36" s="10">
        <v>0</v>
      </c>
      <c r="CA36" s="10">
        <v>0</v>
      </c>
      <c r="CB36" s="10">
        <v>0</v>
      </c>
      <c r="CC36" s="10">
        <v>0</v>
      </c>
      <c r="CD36" s="10">
        <v>0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 s="10">
        <v>0</v>
      </c>
      <c r="CL36" s="10">
        <v>0</v>
      </c>
      <c r="CM36" s="10">
        <v>0</v>
      </c>
      <c r="CN36" s="10">
        <v>0</v>
      </c>
      <c r="CO36" s="10">
        <v>0</v>
      </c>
      <c r="CP36" s="10">
        <v>0</v>
      </c>
      <c r="CQ36" s="10">
        <v>0</v>
      </c>
      <c r="CR36" s="10">
        <v>0</v>
      </c>
      <c r="CS36" s="10">
        <v>0</v>
      </c>
      <c r="CT36" s="10">
        <v>0</v>
      </c>
      <c r="CU36" s="10">
        <v>0</v>
      </c>
      <c r="CV36" s="10">
        <v>0</v>
      </c>
      <c r="CW36" s="10">
        <v>0</v>
      </c>
      <c r="CX36" s="10">
        <v>0</v>
      </c>
      <c r="CY36" s="10">
        <v>0</v>
      </c>
      <c r="CZ36" s="10">
        <v>0</v>
      </c>
      <c r="DA36" s="10">
        <v>0</v>
      </c>
      <c r="DB36" s="10">
        <v>0</v>
      </c>
      <c r="DC36" s="10">
        <v>0</v>
      </c>
      <c r="DD36" s="10">
        <v>0</v>
      </c>
      <c r="DE36" s="10">
        <v>0</v>
      </c>
      <c r="DF36" s="10">
        <v>0</v>
      </c>
      <c r="DG36" s="10">
        <v>0</v>
      </c>
      <c r="DH36" s="10">
        <v>0</v>
      </c>
      <c r="DI36" s="10">
        <v>0</v>
      </c>
      <c r="DJ36" s="10">
        <v>0</v>
      </c>
      <c r="DK36" s="10">
        <v>0</v>
      </c>
      <c r="DL36" s="10">
        <v>0</v>
      </c>
      <c r="DM36" s="10">
        <v>0</v>
      </c>
      <c r="DN36" s="10">
        <v>0</v>
      </c>
      <c r="DO36" s="10">
        <v>0</v>
      </c>
      <c r="DP36" s="10">
        <v>0</v>
      </c>
      <c r="DQ36" s="10">
        <v>0</v>
      </c>
      <c r="DR36" s="10">
        <v>0</v>
      </c>
      <c r="DS36" s="10">
        <v>0</v>
      </c>
      <c r="DT36" s="10">
        <v>0.41934104280495194</v>
      </c>
      <c r="DU36" s="10">
        <v>0</v>
      </c>
      <c r="DV36" s="10">
        <v>0</v>
      </c>
      <c r="DW36" s="10">
        <v>0</v>
      </c>
      <c r="DX36" s="10">
        <v>0</v>
      </c>
      <c r="DY36" s="10">
        <v>0.44440339939130263</v>
      </c>
      <c r="DZ36" s="10">
        <v>1.1667631411825615E-2</v>
      </c>
      <c r="EA36" s="10">
        <v>0</v>
      </c>
      <c r="EB36" s="10">
        <v>0</v>
      </c>
      <c r="EC36" s="10">
        <v>0</v>
      </c>
      <c r="ED36" s="10">
        <v>0</v>
      </c>
      <c r="EE36" s="10">
        <v>0</v>
      </c>
      <c r="EF36" s="10">
        <v>0</v>
      </c>
      <c r="EG36" s="10">
        <v>0</v>
      </c>
      <c r="EH36" s="10">
        <v>0</v>
      </c>
      <c r="EI36" s="10">
        <v>0</v>
      </c>
      <c r="EJ36" s="10">
        <v>0</v>
      </c>
      <c r="EK36" s="10">
        <v>0</v>
      </c>
      <c r="EL36" s="10">
        <v>0</v>
      </c>
      <c r="EM36" s="10">
        <v>0</v>
      </c>
      <c r="EN36" s="10">
        <v>0</v>
      </c>
      <c r="EO36" s="10">
        <v>0</v>
      </c>
      <c r="EP36" s="10">
        <v>0</v>
      </c>
      <c r="EQ36" s="10">
        <v>0</v>
      </c>
      <c r="ER36" s="10">
        <v>0</v>
      </c>
      <c r="ES36" s="10">
        <v>0</v>
      </c>
      <c r="ET36" s="10">
        <v>4.5432882420648615E-4</v>
      </c>
      <c r="EU36" s="10">
        <v>0</v>
      </c>
      <c r="EV36" s="10">
        <v>0</v>
      </c>
      <c r="EW36" s="10">
        <v>0</v>
      </c>
      <c r="EX36" s="10">
        <v>0</v>
      </c>
      <c r="EY36" s="10">
        <v>0</v>
      </c>
      <c r="EZ36" s="10">
        <v>0</v>
      </c>
      <c r="FA36" s="10">
        <v>0</v>
      </c>
      <c r="FB36" s="10">
        <v>0</v>
      </c>
      <c r="FC36" s="10">
        <v>0</v>
      </c>
      <c r="FD36" s="10">
        <v>0</v>
      </c>
      <c r="FE36" s="10">
        <v>0</v>
      </c>
      <c r="FF36" s="10">
        <v>0</v>
      </c>
      <c r="FG36" s="10">
        <v>0</v>
      </c>
      <c r="FH36" s="10">
        <v>0</v>
      </c>
      <c r="FI36" s="10">
        <v>0</v>
      </c>
      <c r="FJ36" s="10">
        <v>0</v>
      </c>
      <c r="FK36" s="10">
        <v>0</v>
      </c>
      <c r="FL36" s="10">
        <v>0</v>
      </c>
      <c r="FM36" s="10">
        <v>0</v>
      </c>
      <c r="FN36" s="10">
        <v>0</v>
      </c>
      <c r="FO36" s="10">
        <v>0</v>
      </c>
      <c r="FP36" s="10">
        <v>0</v>
      </c>
      <c r="FQ36" s="10">
        <v>0</v>
      </c>
      <c r="FR36" s="10">
        <v>0</v>
      </c>
      <c r="FS36" s="10">
        <v>0</v>
      </c>
      <c r="FT36" s="10">
        <v>0</v>
      </c>
      <c r="FU36" s="10">
        <v>0</v>
      </c>
      <c r="FV36" s="10">
        <v>0</v>
      </c>
      <c r="FW36" s="10">
        <v>0</v>
      </c>
      <c r="FX36" s="10">
        <v>0</v>
      </c>
      <c r="FY36" s="10">
        <v>0</v>
      </c>
      <c r="FZ36" s="10">
        <v>0</v>
      </c>
      <c r="GA36" s="10">
        <v>0</v>
      </c>
      <c r="GB36" s="10">
        <v>0.12413359756771328</v>
      </c>
      <c r="GC36" s="10">
        <v>0</v>
      </c>
      <c r="GD36" s="10">
        <v>0</v>
      </c>
      <c r="GE36" s="10">
        <v>0</v>
      </c>
      <c r="GF36" s="10">
        <v>0</v>
      </c>
      <c r="GG36" s="10">
        <v>0</v>
      </c>
      <c r="GH36" s="10">
        <v>0</v>
      </c>
      <c r="GI36" s="10">
        <v>0</v>
      </c>
      <c r="GJ36" s="10">
        <v>0</v>
      </c>
      <c r="GK36" s="10">
        <v>0</v>
      </c>
      <c r="GL36" s="10">
        <v>0</v>
      </c>
      <c r="GM36" s="10">
        <v>0</v>
      </c>
      <c r="GN36" s="10">
        <v>0</v>
      </c>
      <c r="GO36" s="10">
        <v>0</v>
      </c>
      <c r="GP36" s="10">
        <v>0</v>
      </c>
      <c r="GQ36" s="10">
        <v>0</v>
      </c>
      <c r="GR36" s="10">
        <v>0</v>
      </c>
      <c r="GS36" s="10">
        <v>0</v>
      </c>
      <c r="GT36" s="10">
        <v>0</v>
      </c>
      <c r="GU36" s="10">
        <v>0</v>
      </c>
      <c r="GV36" s="10">
        <v>0</v>
      </c>
      <c r="GW36" s="10">
        <v>0</v>
      </c>
      <c r="GX36" s="10">
        <v>0</v>
      </c>
      <c r="GY36" s="10">
        <v>0</v>
      </c>
      <c r="GZ36" s="10">
        <v>0</v>
      </c>
      <c r="HA36" s="10">
        <v>0</v>
      </c>
      <c r="HB36" s="10">
        <v>0</v>
      </c>
      <c r="HC36" s="10">
        <v>0</v>
      </c>
      <c r="HD36" s="10">
        <v>0</v>
      </c>
      <c r="HE36" s="10">
        <v>0</v>
      </c>
      <c r="HF36" s="10">
        <v>0</v>
      </c>
      <c r="HG36" s="10">
        <v>0</v>
      </c>
      <c r="HH36" s="10">
        <v>0</v>
      </c>
      <c r="HI36" s="10">
        <v>0</v>
      </c>
      <c r="HJ36" s="10">
        <v>0</v>
      </c>
      <c r="HK36" s="10">
        <v>0</v>
      </c>
      <c r="HL36" s="10">
        <v>0</v>
      </c>
      <c r="HM36" s="10">
        <v>0</v>
      </c>
      <c r="HN36" s="10">
        <v>0</v>
      </c>
      <c r="HO36" s="10">
        <v>0</v>
      </c>
      <c r="HP36" s="10">
        <v>0</v>
      </c>
      <c r="HQ36" s="10">
        <v>0</v>
      </c>
      <c r="HR36" s="10">
        <v>0</v>
      </c>
      <c r="HS36" s="10">
        <v>0</v>
      </c>
      <c r="HT36" s="10">
        <v>0</v>
      </c>
      <c r="HU36" s="10">
        <v>0</v>
      </c>
    </row>
    <row r="37" spans="1:229" x14ac:dyDescent="0.25">
      <c r="A37" s="10">
        <v>0</v>
      </c>
      <c r="B37" s="2" t="s">
        <v>62</v>
      </c>
      <c r="C37" s="2" t="s">
        <v>63</v>
      </c>
      <c r="D37" s="17">
        <v>12.79</v>
      </c>
      <c r="E37" s="3">
        <v>9.15</v>
      </c>
      <c r="F37" s="3">
        <v>3.59</v>
      </c>
      <c r="G37" s="3">
        <v>0</v>
      </c>
      <c r="H37" s="3">
        <v>3.19</v>
      </c>
      <c r="I37" s="3">
        <v>334</v>
      </c>
      <c r="J37" s="3">
        <v>5.7839999999999998</v>
      </c>
      <c r="K37" s="3">
        <v>0.97</v>
      </c>
      <c r="L37" s="3"/>
      <c r="M37" s="2" t="str">
        <f t="shared" si="7"/>
        <v>01031</v>
      </c>
      <c r="N37" s="3">
        <v>0.42725093634273076</v>
      </c>
      <c r="O37" s="3">
        <v>1.5727490636572701</v>
      </c>
      <c r="P37" s="17">
        <v>0.42725093634280364</v>
      </c>
      <c r="Q37" s="3">
        <v>2.2038028581842655</v>
      </c>
      <c r="R37" s="3">
        <v>1.8989887358304658</v>
      </c>
      <c r="S37" s="3" t="e">
        <v>#DIV/0!</v>
      </c>
      <c r="T37" s="3">
        <v>0.42725093634273609</v>
      </c>
      <c r="U37" s="3">
        <v>0.42725093634273176</v>
      </c>
      <c r="V37" s="3">
        <v>1.5727490636573178</v>
      </c>
      <c r="W37" s="3">
        <v>2.8280822473872513</v>
      </c>
      <c r="X37" s="3">
        <v>5.4645394758244583</v>
      </c>
      <c r="Y37" s="3">
        <v>20.164796152386028</v>
      </c>
      <c r="Z37" s="3">
        <v>6.8173695616313719</v>
      </c>
      <c r="AA37" s="3">
        <v>1.4060747390588288</v>
      </c>
      <c r="AB37" s="3">
        <v>1.3629304869333281</v>
      </c>
      <c r="AC37" s="3">
        <v>142.7018127384724</v>
      </c>
      <c r="AD37" s="3">
        <v>9.096780584193926</v>
      </c>
      <c r="AE37" s="3">
        <v>2.7432397799656338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10">
        <v>0</v>
      </c>
      <c r="BB37" s="10">
        <v>0</v>
      </c>
      <c r="BC37" s="10">
        <v>0</v>
      </c>
      <c r="BD37" s="10">
        <v>0</v>
      </c>
      <c r="BE37" s="10">
        <v>0</v>
      </c>
      <c r="BF37" s="10">
        <v>0</v>
      </c>
      <c r="BG37" s="10">
        <v>0</v>
      </c>
      <c r="BH37" s="10">
        <v>0</v>
      </c>
      <c r="BI37" s="10">
        <v>0</v>
      </c>
      <c r="BJ37" s="10">
        <v>0</v>
      </c>
      <c r="BK37" s="10">
        <v>0</v>
      </c>
      <c r="BL37" s="10">
        <v>0</v>
      </c>
      <c r="BM37" s="10">
        <v>0</v>
      </c>
      <c r="BN37" s="10">
        <v>0</v>
      </c>
      <c r="BO37" s="10">
        <v>0</v>
      </c>
      <c r="BP37" s="10">
        <v>0</v>
      </c>
      <c r="BQ37" s="10">
        <v>0</v>
      </c>
      <c r="BR37" s="10">
        <v>0</v>
      </c>
      <c r="BS37" s="10">
        <v>0</v>
      </c>
      <c r="BT37" s="10">
        <v>0</v>
      </c>
      <c r="BU37" s="10">
        <v>0</v>
      </c>
      <c r="BV37" s="10">
        <v>0</v>
      </c>
      <c r="BW37" s="10">
        <v>0</v>
      </c>
      <c r="BX37" s="10">
        <v>0</v>
      </c>
      <c r="BY37" s="10">
        <v>0</v>
      </c>
      <c r="BZ37" s="10">
        <v>0</v>
      </c>
      <c r="CA37" s="10">
        <v>0.31500855333287942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 s="10">
        <v>0</v>
      </c>
      <c r="CL37" s="10">
        <v>0</v>
      </c>
      <c r="CM37" s="10">
        <v>0</v>
      </c>
      <c r="CN37" s="10">
        <v>0</v>
      </c>
      <c r="CO37" s="10">
        <v>0</v>
      </c>
      <c r="CP37" s="10">
        <v>0</v>
      </c>
      <c r="CQ37" s="10">
        <v>0</v>
      </c>
      <c r="CR37" s="10">
        <v>0</v>
      </c>
      <c r="CS37" s="10">
        <v>0</v>
      </c>
      <c r="CT37" s="10">
        <v>0</v>
      </c>
      <c r="CU37" s="10">
        <v>0</v>
      </c>
      <c r="CV37" s="10">
        <v>0</v>
      </c>
      <c r="CW37" s="10">
        <v>0</v>
      </c>
      <c r="CX37" s="10">
        <v>0</v>
      </c>
      <c r="CY37" s="10">
        <v>0</v>
      </c>
      <c r="CZ37" s="10">
        <v>0</v>
      </c>
      <c r="DA37" s="10">
        <v>0</v>
      </c>
      <c r="DB37" s="10">
        <v>0</v>
      </c>
      <c r="DC37" s="10">
        <v>0</v>
      </c>
      <c r="DD37" s="10">
        <v>0</v>
      </c>
      <c r="DE37" s="10">
        <v>0</v>
      </c>
      <c r="DF37" s="10">
        <v>0</v>
      </c>
      <c r="DG37" s="10">
        <v>0</v>
      </c>
      <c r="DH37" s="10">
        <v>0</v>
      </c>
      <c r="DI37" s="10">
        <v>0</v>
      </c>
      <c r="DJ37" s="10">
        <v>0</v>
      </c>
      <c r="DK37" s="10">
        <v>0</v>
      </c>
      <c r="DL37" s="10">
        <v>0</v>
      </c>
      <c r="DM37" s="10">
        <v>0</v>
      </c>
      <c r="DN37" s="10">
        <v>0</v>
      </c>
      <c r="DO37" s="10">
        <v>0</v>
      </c>
      <c r="DP37" s="10">
        <v>0</v>
      </c>
      <c r="DQ37" s="10">
        <v>0</v>
      </c>
      <c r="DR37" s="10">
        <v>0</v>
      </c>
      <c r="DS37" s="10">
        <v>0.41451702645893268</v>
      </c>
      <c r="DT37" s="10">
        <v>0</v>
      </c>
      <c r="DU37" s="10">
        <v>0</v>
      </c>
      <c r="DV37" s="10">
        <v>0</v>
      </c>
      <c r="DW37" s="10">
        <v>0</v>
      </c>
      <c r="DX37" s="10">
        <v>0</v>
      </c>
      <c r="DY37" s="10">
        <v>7.2435724566099188E-2</v>
      </c>
      <c r="DZ37" s="10">
        <v>0</v>
      </c>
      <c r="EA37" s="10">
        <v>0</v>
      </c>
      <c r="EB37" s="10">
        <v>0</v>
      </c>
      <c r="EC37" s="10">
        <v>0</v>
      </c>
      <c r="ED37" s="10">
        <v>0</v>
      </c>
      <c r="EE37" s="10">
        <v>0</v>
      </c>
      <c r="EF37" s="10">
        <v>0</v>
      </c>
      <c r="EG37" s="10">
        <v>0</v>
      </c>
      <c r="EH37" s="10">
        <v>0</v>
      </c>
      <c r="EI37" s="10">
        <v>0</v>
      </c>
      <c r="EJ37" s="10">
        <v>0</v>
      </c>
      <c r="EK37" s="10">
        <v>0</v>
      </c>
      <c r="EL37" s="10">
        <v>0</v>
      </c>
      <c r="EM37" s="10">
        <v>0</v>
      </c>
      <c r="EN37" s="10">
        <v>0</v>
      </c>
      <c r="EO37" s="10">
        <v>0</v>
      </c>
      <c r="EP37" s="10">
        <v>0</v>
      </c>
      <c r="EQ37" s="10">
        <v>0</v>
      </c>
      <c r="ER37" s="10">
        <v>0</v>
      </c>
      <c r="ES37" s="10">
        <v>0</v>
      </c>
      <c r="ET37" s="10">
        <v>0</v>
      </c>
      <c r="EU37" s="10">
        <v>0</v>
      </c>
      <c r="EV37" s="10">
        <v>0</v>
      </c>
      <c r="EW37" s="10">
        <v>0</v>
      </c>
      <c r="EX37" s="10">
        <v>0</v>
      </c>
      <c r="EY37" s="10">
        <v>0</v>
      </c>
      <c r="EZ37" s="10">
        <v>0</v>
      </c>
      <c r="FA37" s="10">
        <v>0</v>
      </c>
      <c r="FB37" s="10">
        <v>0</v>
      </c>
      <c r="FC37" s="10">
        <v>0</v>
      </c>
      <c r="FD37" s="10">
        <v>0</v>
      </c>
      <c r="FE37" s="10">
        <v>0</v>
      </c>
      <c r="FF37" s="10">
        <v>0</v>
      </c>
      <c r="FG37" s="10">
        <v>0</v>
      </c>
      <c r="FH37" s="10">
        <v>0</v>
      </c>
      <c r="FI37" s="10">
        <v>0</v>
      </c>
      <c r="FJ37" s="10">
        <v>0</v>
      </c>
      <c r="FK37" s="10">
        <v>0</v>
      </c>
      <c r="FL37" s="10">
        <v>0</v>
      </c>
      <c r="FM37" s="10">
        <v>0</v>
      </c>
      <c r="FN37" s="10">
        <v>0</v>
      </c>
      <c r="FO37" s="10">
        <v>0</v>
      </c>
      <c r="FP37" s="10">
        <v>0</v>
      </c>
      <c r="FQ37" s="10">
        <v>0</v>
      </c>
      <c r="FR37" s="10">
        <v>0</v>
      </c>
      <c r="FS37" s="10">
        <v>0</v>
      </c>
      <c r="FT37" s="10">
        <v>0</v>
      </c>
      <c r="FU37" s="10">
        <v>0</v>
      </c>
      <c r="FV37" s="10">
        <v>0</v>
      </c>
      <c r="FW37" s="10">
        <v>0</v>
      </c>
      <c r="FX37" s="10">
        <v>0</v>
      </c>
      <c r="FY37" s="10">
        <v>0</v>
      </c>
      <c r="FZ37" s="10">
        <v>0</v>
      </c>
      <c r="GA37" s="10">
        <v>0.19803869564208859</v>
      </c>
      <c r="GB37" s="10">
        <v>0</v>
      </c>
      <c r="GC37" s="10">
        <v>0</v>
      </c>
      <c r="GD37" s="10">
        <v>0</v>
      </c>
      <c r="GE37" s="10">
        <v>0</v>
      </c>
      <c r="GF37" s="10">
        <v>0</v>
      </c>
      <c r="GG37" s="10">
        <v>0</v>
      </c>
      <c r="GH37" s="10">
        <v>0</v>
      </c>
      <c r="GI37" s="10">
        <v>0</v>
      </c>
      <c r="GJ37" s="10">
        <v>0</v>
      </c>
      <c r="GK37" s="10">
        <v>0</v>
      </c>
      <c r="GL37" s="10">
        <v>0</v>
      </c>
      <c r="GM37" s="10">
        <v>0</v>
      </c>
      <c r="GN37" s="10">
        <v>0</v>
      </c>
      <c r="GO37" s="10">
        <v>0</v>
      </c>
      <c r="GP37" s="10">
        <v>0</v>
      </c>
      <c r="GQ37" s="10">
        <v>0</v>
      </c>
      <c r="GR37" s="10">
        <v>0</v>
      </c>
      <c r="GS37" s="10">
        <v>0</v>
      </c>
      <c r="GT37" s="10">
        <v>0</v>
      </c>
      <c r="GU37" s="10">
        <v>0</v>
      </c>
      <c r="GV37" s="10">
        <v>0</v>
      </c>
      <c r="GW37" s="10">
        <v>0</v>
      </c>
      <c r="GX37" s="10">
        <v>0</v>
      </c>
      <c r="GY37" s="10">
        <v>0</v>
      </c>
      <c r="GZ37" s="10">
        <v>0</v>
      </c>
      <c r="HA37" s="10">
        <v>0</v>
      </c>
      <c r="HB37" s="10">
        <v>0</v>
      </c>
      <c r="HC37" s="10">
        <v>0</v>
      </c>
      <c r="HD37" s="10">
        <v>0</v>
      </c>
      <c r="HE37" s="10">
        <v>0</v>
      </c>
      <c r="HF37" s="10">
        <v>0</v>
      </c>
      <c r="HG37" s="10">
        <v>0</v>
      </c>
      <c r="HH37" s="10">
        <v>0</v>
      </c>
      <c r="HI37" s="10">
        <v>0</v>
      </c>
      <c r="HJ37" s="10">
        <v>0</v>
      </c>
      <c r="HK37" s="10">
        <v>0</v>
      </c>
      <c r="HL37" s="10">
        <v>0</v>
      </c>
      <c r="HM37" s="10">
        <v>0</v>
      </c>
      <c r="HN37" s="10">
        <v>0</v>
      </c>
      <c r="HO37" s="10">
        <v>0</v>
      </c>
      <c r="HP37" s="10">
        <v>0</v>
      </c>
      <c r="HQ37" s="10">
        <v>0</v>
      </c>
      <c r="HR37" s="10">
        <v>0</v>
      </c>
      <c r="HS37" s="10">
        <v>0</v>
      </c>
      <c r="HT37" s="10">
        <v>0</v>
      </c>
      <c r="HU37" s="10">
        <v>0</v>
      </c>
    </row>
    <row r="38" spans="1:229" x14ac:dyDescent="0.25">
      <c r="A38" s="10">
        <v>0</v>
      </c>
      <c r="B38" s="2" t="s">
        <v>64</v>
      </c>
      <c r="C38" s="2" t="s">
        <v>65</v>
      </c>
      <c r="D38" s="17">
        <v>16.41</v>
      </c>
      <c r="E38" s="3">
        <v>35.75</v>
      </c>
      <c r="F38" s="3">
        <v>3.22</v>
      </c>
      <c r="G38" s="3">
        <v>0</v>
      </c>
      <c r="H38" s="10">
        <v>0.8</v>
      </c>
      <c r="I38" s="3">
        <v>1376</v>
      </c>
      <c r="J38" s="3">
        <v>7.5149999999999997</v>
      </c>
      <c r="K38" s="3">
        <v>0.56899999999999995</v>
      </c>
      <c r="L38" s="3"/>
      <c r="M38" s="2" t="str">
        <f t="shared" si="7"/>
        <v>01033</v>
      </c>
      <c r="N38" s="3">
        <v>0.48721436409922164</v>
      </c>
      <c r="O38" s="3">
        <v>1.5127856359007783</v>
      </c>
      <c r="P38" s="17">
        <v>0.48721436409916125</v>
      </c>
      <c r="Q38" s="3">
        <v>1.5127856359007772</v>
      </c>
      <c r="R38" s="3">
        <v>1.5297122031695236</v>
      </c>
      <c r="S38" s="3" t="e">
        <v>#DIV/0!</v>
      </c>
      <c r="T38" s="3">
        <v>0.4872143640992217</v>
      </c>
      <c r="U38" s="3">
        <v>0.48721436409922181</v>
      </c>
      <c r="V38" s="3">
        <v>1.5127856359008873</v>
      </c>
      <c r="W38" s="3">
        <v>6.2610946073072782</v>
      </c>
      <c r="X38" s="3">
        <v>7.9951877148672361</v>
      </c>
      <c r="Y38" s="3">
        <v>54.082086483452784</v>
      </c>
      <c r="Z38" s="3">
        <v>4.9256732942058665</v>
      </c>
      <c r="AA38" s="3">
        <v>0.21190979206240332</v>
      </c>
      <c r="AB38" s="3">
        <v>0.38977149127937738</v>
      </c>
      <c r="AC38" s="3">
        <v>670.40696500052923</v>
      </c>
      <c r="AD38" s="3">
        <v>11.368584053795168</v>
      </c>
      <c r="AE38" s="3">
        <v>3.562562831557841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10">
        <v>0</v>
      </c>
      <c r="BB38" s="10">
        <v>0</v>
      </c>
      <c r="BC38" s="10">
        <v>0</v>
      </c>
      <c r="BD38" s="10">
        <v>0</v>
      </c>
      <c r="BE38" s="10">
        <v>0</v>
      </c>
      <c r="BF38" s="10">
        <v>0</v>
      </c>
      <c r="BG38" s="10">
        <v>0</v>
      </c>
      <c r="BH38" s="10">
        <v>0</v>
      </c>
      <c r="BI38" s="10">
        <v>0</v>
      </c>
      <c r="BJ38" s="10">
        <v>0</v>
      </c>
      <c r="BK38" s="10">
        <v>0</v>
      </c>
      <c r="BL38" s="10">
        <v>0</v>
      </c>
      <c r="BM38" s="10">
        <v>0</v>
      </c>
      <c r="BN38" s="10">
        <v>0</v>
      </c>
      <c r="BO38" s="10">
        <v>0</v>
      </c>
      <c r="BP38" s="10">
        <v>0</v>
      </c>
      <c r="BQ38" s="10">
        <v>0</v>
      </c>
      <c r="BR38" s="10">
        <v>0</v>
      </c>
      <c r="BS38" s="10">
        <v>0</v>
      </c>
      <c r="BT38" s="10">
        <v>0</v>
      </c>
      <c r="BU38" s="10">
        <v>0</v>
      </c>
      <c r="BV38" s="10">
        <v>0</v>
      </c>
      <c r="BW38" s="10">
        <v>0</v>
      </c>
      <c r="BX38" s="10">
        <v>0</v>
      </c>
      <c r="BY38" s="10">
        <v>0</v>
      </c>
      <c r="BZ38" s="10">
        <v>0</v>
      </c>
      <c r="CA38" s="10">
        <v>6.7775805298259925E-2</v>
      </c>
      <c r="CB38" s="10">
        <v>0</v>
      </c>
      <c r="CC38" s="10">
        <v>0</v>
      </c>
      <c r="CD38" s="10">
        <v>0</v>
      </c>
      <c r="CE38" s="10">
        <v>0</v>
      </c>
      <c r="CF38" s="10">
        <v>0</v>
      </c>
      <c r="CG38" s="10">
        <v>0</v>
      </c>
      <c r="CH38" s="10">
        <v>0</v>
      </c>
      <c r="CI38" s="10">
        <v>0</v>
      </c>
      <c r="CJ38" s="10">
        <v>0</v>
      </c>
      <c r="CK38" s="10">
        <v>0</v>
      </c>
      <c r="CL38" s="10">
        <v>0</v>
      </c>
      <c r="CM38" s="10">
        <v>0</v>
      </c>
      <c r="CN38" s="10">
        <v>0</v>
      </c>
      <c r="CO38" s="10">
        <v>0</v>
      </c>
      <c r="CP38" s="10">
        <v>0</v>
      </c>
      <c r="CQ38" s="10">
        <v>0</v>
      </c>
      <c r="CR38" s="10">
        <v>0</v>
      </c>
      <c r="CS38" s="10">
        <v>0</v>
      </c>
      <c r="CT38" s="10">
        <v>0</v>
      </c>
      <c r="CU38" s="10">
        <v>0</v>
      </c>
      <c r="CV38" s="10">
        <v>0</v>
      </c>
      <c r="CW38" s="10">
        <v>0</v>
      </c>
      <c r="CX38" s="10">
        <v>0</v>
      </c>
      <c r="CY38" s="10">
        <v>0</v>
      </c>
      <c r="CZ38" s="10">
        <v>0</v>
      </c>
      <c r="DA38" s="10">
        <v>0</v>
      </c>
      <c r="DB38" s="10">
        <v>0</v>
      </c>
      <c r="DC38" s="10">
        <v>0</v>
      </c>
      <c r="DD38" s="10">
        <v>0</v>
      </c>
      <c r="DE38" s="10">
        <v>0</v>
      </c>
      <c r="DF38" s="10">
        <v>0</v>
      </c>
      <c r="DG38" s="10">
        <v>0</v>
      </c>
      <c r="DH38" s="10">
        <v>0</v>
      </c>
      <c r="DI38" s="10">
        <v>0</v>
      </c>
      <c r="DJ38" s="10">
        <v>0</v>
      </c>
      <c r="DK38" s="10">
        <v>0</v>
      </c>
      <c r="DL38" s="10">
        <v>0</v>
      </c>
      <c r="DM38" s="10">
        <v>0</v>
      </c>
      <c r="DN38" s="10">
        <v>0</v>
      </c>
      <c r="DO38" s="10">
        <v>0</v>
      </c>
      <c r="DP38" s="10">
        <v>0</v>
      </c>
      <c r="DQ38" s="10">
        <v>0</v>
      </c>
      <c r="DR38" s="10">
        <v>0</v>
      </c>
      <c r="DS38" s="10">
        <v>0</v>
      </c>
      <c r="DT38" s="10">
        <v>0</v>
      </c>
      <c r="DU38" s="10">
        <v>0</v>
      </c>
      <c r="DV38" s="10">
        <v>0</v>
      </c>
      <c r="DW38" s="10">
        <v>0</v>
      </c>
      <c r="DX38" s="10">
        <v>0</v>
      </c>
      <c r="DY38" s="10">
        <v>0.59162872711569625</v>
      </c>
      <c r="DZ38" s="10">
        <v>0</v>
      </c>
      <c r="EA38" s="10">
        <v>0</v>
      </c>
      <c r="EB38" s="10">
        <v>0</v>
      </c>
      <c r="EC38" s="10">
        <v>0</v>
      </c>
      <c r="ED38" s="10">
        <v>0</v>
      </c>
      <c r="EE38" s="10">
        <v>0</v>
      </c>
      <c r="EF38" s="10">
        <v>0</v>
      </c>
      <c r="EG38" s="10">
        <v>0</v>
      </c>
      <c r="EH38" s="10">
        <v>0</v>
      </c>
      <c r="EI38" s="10">
        <v>0</v>
      </c>
      <c r="EJ38" s="10">
        <v>0</v>
      </c>
      <c r="EK38" s="10">
        <v>0</v>
      </c>
      <c r="EL38" s="10">
        <v>0</v>
      </c>
      <c r="EM38" s="10">
        <v>0</v>
      </c>
      <c r="EN38" s="10">
        <v>0</v>
      </c>
      <c r="EO38" s="10">
        <v>0</v>
      </c>
      <c r="EP38" s="10">
        <v>0</v>
      </c>
      <c r="EQ38" s="10">
        <v>0</v>
      </c>
      <c r="ER38" s="10">
        <v>0</v>
      </c>
      <c r="ES38" s="10">
        <v>0</v>
      </c>
      <c r="ET38" s="10">
        <v>0</v>
      </c>
      <c r="EU38" s="10">
        <v>0</v>
      </c>
      <c r="EV38" s="10">
        <v>0</v>
      </c>
      <c r="EW38" s="10">
        <v>0</v>
      </c>
      <c r="EX38" s="10">
        <v>0</v>
      </c>
      <c r="EY38" s="10">
        <v>0</v>
      </c>
      <c r="EZ38" s="10">
        <v>0</v>
      </c>
      <c r="FA38" s="10">
        <v>0</v>
      </c>
      <c r="FB38" s="10">
        <v>0</v>
      </c>
      <c r="FC38" s="10">
        <v>0</v>
      </c>
      <c r="FD38" s="10">
        <v>0</v>
      </c>
      <c r="FE38" s="10">
        <v>0</v>
      </c>
      <c r="FF38" s="10">
        <v>0</v>
      </c>
      <c r="FG38" s="10">
        <v>0</v>
      </c>
      <c r="FH38" s="10">
        <v>0</v>
      </c>
      <c r="FI38" s="10">
        <v>0</v>
      </c>
      <c r="FJ38" s="10">
        <v>0</v>
      </c>
      <c r="FK38" s="10">
        <v>0</v>
      </c>
      <c r="FL38" s="10">
        <v>0</v>
      </c>
      <c r="FM38" s="10">
        <v>0</v>
      </c>
      <c r="FN38" s="10">
        <v>0</v>
      </c>
      <c r="FO38" s="10">
        <v>0</v>
      </c>
      <c r="FP38" s="10">
        <v>0</v>
      </c>
      <c r="FQ38" s="10">
        <v>0</v>
      </c>
      <c r="FR38" s="10">
        <v>0</v>
      </c>
      <c r="FS38" s="10">
        <v>0</v>
      </c>
      <c r="FT38" s="10">
        <v>0</v>
      </c>
      <c r="FU38" s="10">
        <v>0</v>
      </c>
      <c r="FV38" s="10">
        <v>0</v>
      </c>
      <c r="FW38" s="10">
        <v>0</v>
      </c>
      <c r="FX38" s="10">
        <v>0</v>
      </c>
      <c r="FY38" s="10">
        <v>0</v>
      </c>
      <c r="FZ38" s="10">
        <v>0</v>
      </c>
      <c r="GA38" s="10">
        <v>4.0103760713108699E-3</v>
      </c>
      <c r="GB38" s="10">
        <v>9.1718060978048077E-2</v>
      </c>
      <c r="GC38" s="10">
        <v>0</v>
      </c>
      <c r="GD38" s="10">
        <v>0</v>
      </c>
      <c r="GE38" s="10">
        <v>0</v>
      </c>
      <c r="GF38" s="10">
        <v>0</v>
      </c>
      <c r="GG38" s="10">
        <v>0</v>
      </c>
      <c r="GH38" s="10">
        <v>0</v>
      </c>
      <c r="GI38" s="10">
        <v>0</v>
      </c>
      <c r="GJ38" s="10">
        <v>0</v>
      </c>
      <c r="GK38" s="10">
        <v>0</v>
      </c>
      <c r="GL38" s="10">
        <v>0</v>
      </c>
      <c r="GM38" s="10">
        <v>0</v>
      </c>
      <c r="GN38" s="10">
        <v>0</v>
      </c>
      <c r="GO38" s="10">
        <v>0</v>
      </c>
      <c r="GP38" s="10">
        <v>0</v>
      </c>
      <c r="GQ38" s="10">
        <v>0</v>
      </c>
      <c r="GR38" s="10">
        <v>0</v>
      </c>
      <c r="GS38" s="10">
        <v>0</v>
      </c>
      <c r="GT38" s="10">
        <v>0</v>
      </c>
      <c r="GU38" s="10">
        <v>0</v>
      </c>
      <c r="GV38" s="10">
        <v>0</v>
      </c>
      <c r="GW38" s="10">
        <v>0.24486703053668485</v>
      </c>
      <c r="GX38" s="10">
        <v>0</v>
      </c>
      <c r="GY38" s="10">
        <v>0</v>
      </c>
      <c r="GZ38" s="10">
        <v>0</v>
      </c>
      <c r="HA38" s="10">
        <v>0</v>
      </c>
      <c r="HB38" s="10">
        <v>0</v>
      </c>
      <c r="HC38" s="10">
        <v>0</v>
      </c>
      <c r="HD38" s="10">
        <v>0</v>
      </c>
      <c r="HE38" s="10">
        <v>0</v>
      </c>
      <c r="HF38" s="10">
        <v>0</v>
      </c>
      <c r="HG38" s="10">
        <v>0</v>
      </c>
      <c r="HH38" s="10">
        <v>0</v>
      </c>
      <c r="HI38" s="10">
        <v>0</v>
      </c>
      <c r="HJ38" s="10">
        <v>0</v>
      </c>
      <c r="HK38" s="10">
        <v>0</v>
      </c>
      <c r="HL38" s="10">
        <v>0</v>
      </c>
      <c r="HM38" s="10">
        <v>0</v>
      </c>
      <c r="HN38" s="10">
        <v>0</v>
      </c>
      <c r="HO38" s="10">
        <v>0</v>
      </c>
      <c r="HP38" s="10">
        <v>0</v>
      </c>
      <c r="HQ38" s="10">
        <v>0</v>
      </c>
      <c r="HR38" s="10">
        <v>0</v>
      </c>
      <c r="HS38" s="10">
        <v>0</v>
      </c>
      <c r="HT38" s="10">
        <v>0</v>
      </c>
      <c r="HU38" s="10">
        <v>0</v>
      </c>
    </row>
    <row r="39" spans="1:229" x14ac:dyDescent="0.25">
      <c r="A39" s="10">
        <v>0</v>
      </c>
      <c r="B39" s="2" t="s">
        <v>66</v>
      </c>
      <c r="C39" s="2" t="s">
        <v>67</v>
      </c>
      <c r="D39" s="17">
        <v>17.077999999999999</v>
      </c>
      <c r="E39" s="3">
        <v>25.58</v>
      </c>
      <c r="F39" s="3">
        <v>2.14</v>
      </c>
      <c r="G39" s="3">
        <v>0</v>
      </c>
      <c r="H39" s="21">
        <v>0.56000000000000005</v>
      </c>
      <c r="I39" s="3">
        <v>876</v>
      </c>
      <c r="J39" s="3">
        <v>7.3929999999999998</v>
      </c>
      <c r="K39" s="3">
        <v>0.76900000000000002</v>
      </c>
      <c r="L39" s="3"/>
      <c r="M39" s="2" t="str">
        <f t="shared" si="7"/>
        <v>01035</v>
      </c>
      <c r="N39" s="3">
        <v>0.48927789870063104</v>
      </c>
      <c r="O39" s="3">
        <v>1.5107221012993683</v>
      </c>
      <c r="P39" s="17">
        <v>0.48927789870069516</v>
      </c>
      <c r="Q39" s="3">
        <v>1.510722101299367</v>
      </c>
      <c r="R39" s="3">
        <v>1.6412426517046959</v>
      </c>
      <c r="S39" s="3" t="e">
        <v>#DIV/0!</v>
      </c>
      <c r="T39" s="3">
        <v>0.48927789870064747</v>
      </c>
      <c r="U39" s="3">
        <v>0.48927789870063165</v>
      </c>
      <c r="V39" s="3">
        <v>1.5107221012993692</v>
      </c>
      <c r="W39" s="3">
        <v>5.2126399737202025</v>
      </c>
      <c r="X39" s="3">
        <v>8.3558879540104716</v>
      </c>
      <c r="Y39" s="3">
        <v>38.644271351237805</v>
      </c>
      <c r="Z39" s="3">
        <v>3.5122592746480494</v>
      </c>
      <c r="AA39" s="3">
        <v>0.11450052706934315</v>
      </c>
      <c r="AB39" s="3">
        <v>0.2739956232723626</v>
      </c>
      <c r="AC39" s="3">
        <v>428.60743926175331</v>
      </c>
      <c r="AD39" s="3">
        <v>11.168768494906237</v>
      </c>
      <c r="AE39" s="3">
        <v>4.0085201397908357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10">
        <v>0</v>
      </c>
      <c r="BB39" s="10">
        <v>0</v>
      </c>
      <c r="BC39" s="10">
        <v>0</v>
      </c>
      <c r="BD39" s="10">
        <v>0</v>
      </c>
      <c r="BE39" s="10">
        <v>0</v>
      </c>
      <c r="BF39" s="10">
        <v>0</v>
      </c>
      <c r="BG39" s="10">
        <v>0</v>
      </c>
      <c r="BH39" s="10">
        <v>0</v>
      </c>
      <c r="BI39" s="10">
        <v>0</v>
      </c>
      <c r="BJ39" s="10">
        <v>0</v>
      </c>
      <c r="BK39" s="10">
        <v>0</v>
      </c>
      <c r="BL39" s="10">
        <v>0</v>
      </c>
      <c r="BM39" s="10">
        <v>0</v>
      </c>
      <c r="BN39" s="10">
        <v>0</v>
      </c>
      <c r="BO39" s="10">
        <v>0</v>
      </c>
      <c r="BP39" s="10">
        <v>0</v>
      </c>
      <c r="BQ39" s="10">
        <v>0</v>
      </c>
      <c r="BR39" s="10">
        <v>0</v>
      </c>
      <c r="BS39" s="10">
        <v>0</v>
      </c>
      <c r="BT39" s="10">
        <v>0</v>
      </c>
      <c r="BU39" s="10">
        <v>0</v>
      </c>
      <c r="BV39" s="10">
        <v>0</v>
      </c>
      <c r="BW39" s="10">
        <v>0</v>
      </c>
      <c r="BX39" s="10">
        <v>0</v>
      </c>
      <c r="BY39" s="10">
        <v>0</v>
      </c>
      <c r="BZ39" s="10">
        <v>0</v>
      </c>
      <c r="CA39" s="10">
        <v>9.2906887849589032E-2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 s="10">
        <v>0</v>
      </c>
      <c r="CL39" s="10">
        <v>0</v>
      </c>
      <c r="CM39" s="10">
        <v>0</v>
      </c>
      <c r="CN39" s="10">
        <v>0</v>
      </c>
      <c r="CO39" s="10">
        <v>0</v>
      </c>
      <c r="CP39" s="10">
        <v>0</v>
      </c>
      <c r="CQ39" s="10">
        <v>0</v>
      </c>
      <c r="CR39" s="10">
        <v>0</v>
      </c>
      <c r="CS39" s="10">
        <v>0</v>
      </c>
      <c r="CT39" s="10">
        <v>0</v>
      </c>
      <c r="CU39" s="10">
        <v>0</v>
      </c>
      <c r="CV39" s="10">
        <v>0</v>
      </c>
      <c r="CW39" s="10">
        <v>0</v>
      </c>
      <c r="CX39" s="10">
        <v>0</v>
      </c>
      <c r="CY39" s="10">
        <v>0</v>
      </c>
      <c r="CZ39" s="10">
        <v>0</v>
      </c>
      <c r="DA39" s="10">
        <v>0</v>
      </c>
      <c r="DB39" s="10">
        <v>0</v>
      </c>
      <c r="DC39" s="10">
        <v>0</v>
      </c>
      <c r="DD39" s="10">
        <v>0</v>
      </c>
      <c r="DE39" s="10">
        <v>0</v>
      </c>
      <c r="DF39" s="10">
        <v>0</v>
      </c>
      <c r="DG39" s="10">
        <v>0</v>
      </c>
      <c r="DH39" s="10">
        <v>0</v>
      </c>
      <c r="DI39" s="10">
        <v>0</v>
      </c>
      <c r="DJ39" s="10">
        <v>0</v>
      </c>
      <c r="DK39" s="10">
        <v>0</v>
      </c>
      <c r="DL39" s="10">
        <v>0</v>
      </c>
      <c r="DM39" s="10">
        <v>0</v>
      </c>
      <c r="DN39" s="10">
        <v>0</v>
      </c>
      <c r="DO39" s="10">
        <v>0</v>
      </c>
      <c r="DP39" s="10">
        <v>0</v>
      </c>
      <c r="DQ39" s="10">
        <v>0</v>
      </c>
      <c r="DR39" s="10">
        <v>0</v>
      </c>
      <c r="DS39" s="10">
        <v>0</v>
      </c>
      <c r="DT39" s="10">
        <v>0.28121605708547681</v>
      </c>
      <c r="DU39" s="10">
        <v>0</v>
      </c>
      <c r="DV39" s="10">
        <v>0</v>
      </c>
      <c r="DW39" s="10">
        <v>0</v>
      </c>
      <c r="DX39" s="10">
        <v>0</v>
      </c>
      <c r="DY39" s="10">
        <v>0.43943234549844024</v>
      </c>
      <c r="DZ39" s="10">
        <v>0.12919444603182234</v>
      </c>
      <c r="EA39" s="10">
        <v>0</v>
      </c>
      <c r="EB39" s="10">
        <v>0</v>
      </c>
      <c r="EC39" s="10">
        <v>0</v>
      </c>
      <c r="ED39" s="10">
        <v>0</v>
      </c>
      <c r="EE39" s="10">
        <v>0</v>
      </c>
      <c r="EF39" s="10">
        <v>0</v>
      </c>
      <c r="EG39" s="10">
        <v>0</v>
      </c>
      <c r="EH39" s="10">
        <v>0</v>
      </c>
      <c r="EI39" s="10">
        <v>0</v>
      </c>
      <c r="EJ39" s="10">
        <v>0</v>
      </c>
      <c r="EK39" s="10">
        <v>0</v>
      </c>
      <c r="EL39" s="10">
        <v>0</v>
      </c>
      <c r="EM39" s="10">
        <v>0</v>
      </c>
      <c r="EN39" s="10">
        <v>0</v>
      </c>
      <c r="EO39" s="10">
        <v>0</v>
      </c>
      <c r="EP39" s="10">
        <v>0</v>
      </c>
      <c r="EQ39" s="10">
        <v>0</v>
      </c>
      <c r="ER39" s="10">
        <v>0</v>
      </c>
      <c r="ES39" s="10">
        <v>0</v>
      </c>
      <c r="ET39" s="10">
        <v>0</v>
      </c>
      <c r="EU39" s="10">
        <v>0</v>
      </c>
      <c r="EV39" s="10">
        <v>0</v>
      </c>
      <c r="EW39" s="10">
        <v>0</v>
      </c>
      <c r="EX39" s="10">
        <v>0</v>
      </c>
      <c r="EY39" s="10">
        <v>0</v>
      </c>
      <c r="EZ39" s="10">
        <v>0</v>
      </c>
      <c r="FA39" s="10">
        <v>0</v>
      </c>
      <c r="FB39" s="10">
        <v>0</v>
      </c>
      <c r="FC39" s="10">
        <v>0</v>
      </c>
      <c r="FD39" s="10">
        <v>0</v>
      </c>
      <c r="FE39" s="10">
        <v>0</v>
      </c>
      <c r="FF39" s="10">
        <v>0</v>
      </c>
      <c r="FG39" s="10">
        <v>0</v>
      </c>
      <c r="FH39" s="10">
        <v>0</v>
      </c>
      <c r="FI39" s="10">
        <v>0</v>
      </c>
      <c r="FJ39" s="10">
        <v>0</v>
      </c>
      <c r="FK39" s="10">
        <v>0</v>
      </c>
      <c r="FL39" s="10">
        <v>0</v>
      </c>
      <c r="FM39" s="10">
        <v>0</v>
      </c>
      <c r="FN39" s="10">
        <v>0</v>
      </c>
      <c r="FO39" s="10">
        <v>0</v>
      </c>
      <c r="FP39" s="10">
        <v>0</v>
      </c>
      <c r="FQ39" s="10">
        <v>0</v>
      </c>
      <c r="FR39" s="10">
        <v>0</v>
      </c>
      <c r="FS39" s="10">
        <v>0</v>
      </c>
      <c r="FT39" s="10">
        <v>0</v>
      </c>
      <c r="FU39" s="10">
        <v>0</v>
      </c>
      <c r="FV39" s="10">
        <v>0</v>
      </c>
      <c r="FW39" s="10">
        <v>0</v>
      </c>
      <c r="FX39" s="10">
        <v>0</v>
      </c>
      <c r="FY39" s="10">
        <v>0</v>
      </c>
      <c r="FZ39" s="10">
        <v>0</v>
      </c>
      <c r="GA39" s="10">
        <v>0</v>
      </c>
      <c r="GB39" s="10">
        <v>5.7250263534671574E-2</v>
      </c>
      <c r="GC39" s="10">
        <v>0</v>
      </c>
      <c r="GD39" s="10">
        <v>0</v>
      </c>
      <c r="GE39" s="10">
        <v>0</v>
      </c>
      <c r="GF39" s="10">
        <v>0</v>
      </c>
      <c r="GG39" s="10">
        <v>0</v>
      </c>
      <c r="GH39" s="10">
        <v>0</v>
      </c>
      <c r="GI39" s="10">
        <v>0</v>
      </c>
      <c r="GJ39" s="10">
        <v>0</v>
      </c>
      <c r="GK39" s="10">
        <v>0</v>
      </c>
      <c r="GL39" s="10">
        <v>0</v>
      </c>
      <c r="GM39" s="10">
        <v>0</v>
      </c>
      <c r="GN39" s="10">
        <v>0</v>
      </c>
      <c r="GO39" s="10">
        <v>0</v>
      </c>
      <c r="GP39" s="10">
        <v>0</v>
      </c>
      <c r="GQ39" s="10">
        <v>0</v>
      </c>
      <c r="GR39" s="10">
        <v>0</v>
      </c>
      <c r="GS39" s="10">
        <v>0</v>
      </c>
      <c r="GT39" s="10">
        <v>0</v>
      </c>
      <c r="GU39" s="10">
        <v>0</v>
      </c>
      <c r="GV39" s="10">
        <v>0</v>
      </c>
      <c r="GW39" s="10">
        <v>0</v>
      </c>
      <c r="GX39" s="10">
        <v>0</v>
      </c>
      <c r="GY39" s="10">
        <v>0</v>
      </c>
      <c r="GZ39" s="10">
        <v>0</v>
      </c>
      <c r="HA39" s="10">
        <v>0</v>
      </c>
      <c r="HB39" s="10">
        <v>0</v>
      </c>
      <c r="HC39" s="10">
        <v>0</v>
      </c>
      <c r="HD39" s="10">
        <v>0</v>
      </c>
      <c r="HE39" s="10">
        <v>0</v>
      </c>
      <c r="HF39" s="10">
        <v>0</v>
      </c>
      <c r="HG39" s="10">
        <v>0</v>
      </c>
      <c r="HH39" s="10">
        <v>0</v>
      </c>
      <c r="HI39" s="10">
        <v>0</v>
      </c>
      <c r="HJ39" s="10">
        <v>0</v>
      </c>
      <c r="HK39" s="10">
        <v>0</v>
      </c>
      <c r="HL39" s="10">
        <v>0</v>
      </c>
      <c r="HM39" s="10">
        <v>0</v>
      </c>
      <c r="HN39" s="10">
        <v>0</v>
      </c>
      <c r="HO39" s="10">
        <v>0</v>
      </c>
      <c r="HP39" s="10">
        <v>0</v>
      </c>
      <c r="HQ39" s="10">
        <v>0</v>
      </c>
      <c r="HR39" s="10">
        <v>0</v>
      </c>
      <c r="HS39" s="10">
        <v>0</v>
      </c>
      <c r="HT39" s="10">
        <v>0</v>
      </c>
      <c r="HU39" s="10">
        <v>0</v>
      </c>
    </row>
    <row r="40" spans="1:229" x14ac:dyDescent="0.25">
      <c r="A40" s="10">
        <v>0</v>
      </c>
      <c r="B40" s="2" t="s">
        <v>68</v>
      </c>
      <c r="C40" s="2" t="s">
        <v>69</v>
      </c>
      <c r="D40" s="17">
        <v>8.2949999999999999</v>
      </c>
      <c r="E40" s="3">
        <v>11.26</v>
      </c>
      <c r="F40" s="3">
        <v>3.04</v>
      </c>
      <c r="G40" s="3">
        <v>0</v>
      </c>
      <c r="H40" s="3">
        <v>0.27</v>
      </c>
      <c r="I40" s="3">
        <v>84</v>
      </c>
      <c r="J40" s="3">
        <v>3.6269999999999998</v>
      </c>
      <c r="K40" s="3">
        <v>0.38500000000000001</v>
      </c>
      <c r="L40" s="3"/>
      <c r="M40" s="2" t="str">
        <f t="shared" si="7"/>
        <v>01036</v>
      </c>
      <c r="N40" s="3">
        <v>0.79907233776763742</v>
      </c>
      <c r="O40" s="3">
        <v>1.200927662232363</v>
      </c>
      <c r="P40" s="17">
        <v>0.79907233776761322</v>
      </c>
      <c r="Q40" s="3">
        <v>1.2009276622323635</v>
      </c>
      <c r="R40" s="3">
        <v>0.79997886950428754</v>
      </c>
      <c r="S40" s="3" t="e">
        <v>#DIV/0!</v>
      </c>
      <c r="T40" s="3">
        <v>0.79907233776771458</v>
      </c>
      <c r="U40" s="3">
        <v>0.79907233776763642</v>
      </c>
      <c r="V40" s="3">
        <v>2.1510933666378524</v>
      </c>
      <c r="W40" s="3">
        <v>9.4346322888738019</v>
      </c>
      <c r="X40" s="3">
        <v>6.6283050417823519</v>
      </c>
      <c r="Y40" s="3">
        <v>13.522445476736413</v>
      </c>
      <c r="Z40" s="3">
        <v>2.4319357632930343</v>
      </c>
      <c r="AA40" s="3">
        <v>3.4526330187418852E-2</v>
      </c>
      <c r="AB40" s="3">
        <v>0.21574953119728296</v>
      </c>
      <c r="AC40" s="3">
        <v>67.122076372481459</v>
      </c>
      <c r="AD40" s="3">
        <v>7.8020156407954904</v>
      </c>
      <c r="AE40" s="3">
        <v>3.6323334312164137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10">
        <v>0</v>
      </c>
      <c r="BB40" s="10">
        <v>0</v>
      </c>
      <c r="BC40" s="10">
        <v>0</v>
      </c>
      <c r="BD40" s="10">
        <v>0</v>
      </c>
      <c r="BE40" s="10">
        <v>0</v>
      </c>
      <c r="BF40" s="10">
        <v>0</v>
      </c>
      <c r="BG40" s="10">
        <v>0</v>
      </c>
      <c r="BH40" s="10">
        <v>0</v>
      </c>
      <c r="BI40" s="10">
        <v>0</v>
      </c>
      <c r="BJ40" s="10">
        <v>0</v>
      </c>
      <c r="BK40" s="10">
        <v>0</v>
      </c>
      <c r="BL40" s="10">
        <v>0</v>
      </c>
      <c r="BM40" s="10">
        <v>0</v>
      </c>
      <c r="BN40" s="10">
        <v>0</v>
      </c>
      <c r="BO40" s="10">
        <v>0</v>
      </c>
      <c r="BP40" s="10">
        <v>0</v>
      </c>
      <c r="BQ40" s="10">
        <v>0</v>
      </c>
      <c r="BR40" s="10">
        <v>0</v>
      </c>
      <c r="BS40" s="10">
        <v>0</v>
      </c>
      <c r="BT40" s="10">
        <v>0</v>
      </c>
      <c r="BU40" s="10">
        <v>0</v>
      </c>
      <c r="BV40" s="10">
        <v>0</v>
      </c>
      <c r="BW40" s="10">
        <v>0</v>
      </c>
      <c r="BX40" s="10">
        <v>0</v>
      </c>
      <c r="BY40" s="10">
        <v>0</v>
      </c>
      <c r="BZ40" s="10">
        <v>0</v>
      </c>
      <c r="CA40" s="10">
        <v>0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 s="10">
        <v>0</v>
      </c>
      <c r="CL40" s="10">
        <v>0</v>
      </c>
      <c r="CM40" s="10">
        <v>0</v>
      </c>
      <c r="CN40" s="10">
        <v>0</v>
      </c>
      <c r="CO40" s="10">
        <v>0</v>
      </c>
      <c r="CP40" s="10">
        <v>0</v>
      </c>
      <c r="CQ40" s="10">
        <v>0.22678086031339684</v>
      </c>
      <c r="CR40" s="10">
        <v>0</v>
      </c>
      <c r="CS40" s="10">
        <v>0</v>
      </c>
      <c r="CT40" s="10">
        <v>0</v>
      </c>
      <c r="CU40" s="10">
        <v>0</v>
      </c>
      <c r="CV40" s="10">
        <v>0</v>
      </c>
      <c r="CW40" s="10">
        <v>0</v>
      </c>
      <c r="CX40" s="10">
        <v>0</v>
      </c>
      <c r="CY40" s="10">
        <v>0</v>
      </c>
      <c r="CZ40" s="10">
        <v>0</v>
      </c>
      <c r="DA40" s="10">
        <v>0</v>
      </c>
      <c r="DB40" s="10">
        <v>0</v>
      </c>
      <c r="DC40" s="10">
        <v>0</v>
      </c>
      <c r="DD40" s="10">
        <v>0</v>
      </c>
      <c r="DE40" s="10">
        <v>0</v>
      </c>
      <c r="DF40" s="10">
        <v>0</v>
      </c>
      <c r="DG40" s="10">
        <v>0</v>
      </c>
      <c r="DH40" s="10">
        <v>0</v>
      </c>
      <c r="DI40" s="10">
        <v>0</v>
      </c>
      <c r="DJ40" s="10">
        <v>0</v>
      </c>
      <c r="DK40" s="10">
        <v>0</v>
      </c>
      <c r="DL40" s="10">
        <v>0</v>
      </c>
      <c r="DM40" s="10">
        <v>0</v>
      </c>
      <c r="DN40" s="10">
        <v>0</v>
      </c>
      <c r="DO40" s="10">
        <v>0</v>
      </c>
      <c r="DP40" s="10">
        <v>0</v>
      </c>
      <c r="DQ40" s="10">
        <v>0</v>
      </c>
      <c r="DR40" s="10">
        <v>0</v>
      </c>
      <c r="DS40" s="10">
        <v>6.4359787218955744E-2</v>
      </c>
      <c r="DT40" s="10">
        <v>0.69159618737393769</v>
      </c>
      <c r="DU40" s="10">
        <v>0</v>
      </c>
      <c r="DV40" s="10">
        <v>0</v>
      </c>
      <c r="DW40" s="10">
        <v>0</v>
      </c>
      <c r="DX40" s="10">
        <v>0</v>
      </c>
      <c r="DY40" s="10">
        <v>0</v>
      </c>
      <c r="DZ40" s="10">
        <v>0</v>
      </c>
      <c r="EA40" s="10">
        <v>0</v>
      </c>
      <c r="EB40" s="10">
        <v>0</v>
      </c>
      <c r="EC40" s="10">
        <v>0</v>
      </c>
      <c r="ED40" s="10">
        <v>0</v>
      </c>
      <c r="EE40" s="10">
        <v>0</v>
      </c>
      <c r="EF40" s="10">
        <v>0</v>
      </c>
      <c r="EG40" s="10">
        <v>0</v>
      </c>
      <c r="EH40" s="10">
        <v>0</v>
      </c>
      <c r="EI40" s="10">
        <v>0</v>
      </c>
      <c r="EJ40" s="10">
        <v>0</v>
      </c>
      <c r="EK40" s="10">
        <v>0</v>
      </c>
      <c r="EL40" s="10">
        <v>0</v>
      </c>
      <c r="EM40" s="10">
        <v>0</v>
      </c>
      <c r="EN40" s="10">
        <v>0</v>
      </c>
      <c r="EO40" s="10">
        <v>0</v>
      </c>
      <c r="EP40" s="10">
        <v>0</v>
      </c>
      <c r="EQ40" s="10">
        <v>0</v>
      </c>
      <c r="ER40" s="10">
        <v>0</v>
      </c>
      <c r="ES40" s="10">
        <v>0</v>
      </c>
      <c r="ET40" s="10">
        <v>0</v>
      </c>
      <c r="EU40" s="10">
        <v>0</v>
      </c>
      <c r="EV40" s="10">
        <v>0</v>
      </c>
      <c r="EW40" s="10">
        <v>0</v>
      </c>
      <c r="EX40" s="10">
        <v>0</v>
      </c>
      <c r="EY40" s="10">
        <v>0</v>
      </c>
      <c r="EZ40" s="10">
        <v>0</v>
      </c>
      <c r="FA40" s="10">
        <v>0</v>
      </c>
      <c r="FB40" s="10">
        <v>0</v>
      </c>
      <c r="FC40" s="10">
        <v>0</v>
      </c>
      <c r="FD40" s="10">
        <v>0</v>
      </c>
      <c r="FE40" s="10">
        <v>0</v>
      </c>
      <c r="FF40" s="10">
        <v>0</v>
      </c>
      <c r="FG40" s="10">
        <v>0</v>
      </c>
      <c r="FH40" s="10">
        <v>0</v>
      </c>
      <c r="FI40" s="10">
        <v>0</v>
      </c>
      <c r="FJ40" s="10">
        <v>0</v>
      </c>
      <c r="FK40" s="10">
        <v>0</v>
      </c>
      <c r="FL40" s="10">
        <v>0</v>
      </c>
      <c r="FM40" s="10">
        <v>0</v>
      </c>
      <c r="FN40" s="10">
        <v>0</v>
      </c>
      <c r="FO40" s="10">
        <v>0</v>
      </c>
      <c r="FP40" s="10">
        <v>0</v>
      </c>
      <c r="FQ40" s="10">
        <v>0</v>
      </c>
      <c r="FR40" s="10">
        <v>0</v>
      </c>
      <c r="FS40" s="10">
        <v>0</v>
      </c>
      <c r="FT40" s="10">
        <v>0</v>
      </c>
      <c r="FU40" s="10">
        <v>0</v>
      </c>
      <c r="FV40" s="10">
        <v>0</v>
      </c>
      <c r="FW40" s="10">
        <v>0</v>
      </c>
      <c r="FX40" s="10">
        <v>0</v>
      </c>
      <c r="FY40" s="10">
        <v>0</v>
      </c>
      <c r="FZ40" s="10">
        <v>0</v>
      </c>
      <c r="GA40" s="10">
        <v>0</v>
      </c>
      <c r="GB40" s="10">
        <v>1.7263165093709426E-2</v>
      </c>
      <c r="GC40" s="10">
        <v>0</v>
      </c>
      <c r="GD40" s="10">
        <v>0</v>
      </c>
      <c r="GE40" s="10">
        <v>0</v>
      </c>
      <c r="GF40" s="10">
        <v>0</v>
      </c>
      <c r="GG40" s="10">
        <v>0</v>
      </c>
      <c r="GH40" s="10">
        <v>0</v>
      </c>
      <c r="GI40" s="10">
        <v>0</v>
      </c>
      <c r="GJ40" s="10">
        <v>0</v>
      </c>
      <c r="GK40" s="10">
        <v>0</v>
      </c>
      <c r="GL40" s="10">
        <v>0</v>
      </c>
      <c r="GM40" s="10">
        <v>0</v>
      </c>
      <c r="GN40" s="10">
        <v>0</v>
      </c>
      <c r="GO40" s="10">
        <v>0</v>
      </c>
      <c r="GP40" s="10">
        <v>0</v>
      </c>
      <c r="GQ40" s="10">
        <v>0</v>
      </c>
      <c r="GR40" s="10">
        <v>0</v>
      </c>
      <c r="GS40" s="10">
        <v>0</v>
      </c>
      <c r="GT40" s="10">
        <v>0</v>
      </c>
      <c r="GU40" s="10">
        <v>0</v>
      </c>
      <c r="GV40" s="10">
        <v>0</v>
      </c>
      <c r="GW40" s="10">
        <v>0</v>
      </c>
      <c r="GX40" s="10">
        <v>0</v>
      </c>
      <c r="GY40" s="10">
        <v>0</v>
      </c>
      <c r="GZ40" s="10">
        <v>0</v>
      </c>
      <c r="HA40" s="10">
        <v>0</v>
      </c>
      <c r="HB40" s="10">
        <v>0</v>
      </c>
      <c r="HC40" s="10">
        <v>0</v>
      </c>
      <c r="HD40" s="10">
        <v>0</v>
      </c>
      <c r="HE40" s="10">
        <v>0</v>
      </c>
      <c r="HF40" s="10">
        <v>0</v>
      </c>
      <c r="HG40" s="10">
        <v>0</v>
      </c>
      <c r="HH40" s="10">
        <v>0</v>
      </c>
      <c r="HI40" s="10">
        <v>0</v>
      </c>
      <c r="HJ40" s="10">
        <v>0</v>
      </c>
      <c r="HK40" s="10">
        <v>0</v>
      </c>
      <c r="HL40" s="10">
        <v>0</v>
      </c>
      <c r="HM40" s="10">
        <v>0</v>
      </c>
      <c r="HN40" s="10">
        <v>0</v>
      </c>
      <c r="HO40" s="10">
        <v>0</v>
      </c>
      <c r="HP40" s="10">
        <v>0</v>
      </c>
      <c r="HQ40" s="10">
        <v>0</v>
      </c>
      <c r="HR40" s="10">
        <v>0</v>
      </c>
      <c r="HS40" s="10">
        <v>0</v>
      </c>
      <c r="HT40" s="10">
        <v>0</v>
      </c>
      <c r="HU40" s="10">
        <v>0</v>
      </c>
    </row>
    <row r="41" spans="1:229" x14ac:dyDescent="0.25">
      <c r="A41" s="10">
        <v>0</v>
      </c>
      <c r="B41" s="2" t="s">
        <v>70</v>
      </c>
      <c r="C41" s="2" t="s">
        <v>71</v>
      </c>
      <c r="D41" s="17">
        <v>4.9269999999999996</v>
      </c>
      <c r="E41" s="3">
        <v>11.39</v>
      </c>
      <c r="F41" s="3">
        <v>5.14</v>
      </c>
      <c r="G41" s="3">
        <v>0</v>
      </c>
      <c r="H41" s="3">
        <v>0.31</v>
      </c>
      <c r="I41" s="3">
        <v>99</v>
      </c>
      <c r="J41" s="3">
        <v>2.3140000000000001</v>
      </c>
      <c r="K41" s="3">
        <v>0.26</v>
      </c>
      <c r="L41" s="3"/>
      <c r="M41" s="2" t="str">
        <f t="shared" si="7"/>
        <v>01037</v>
      </c>
      <c r="N41" s="3">
        <v>0.87657864172888855</v>
      </c>
      <c r="O41" s="3">
        <v>1.1234213582711114</v>
      </c>
      <c r="P41" s="17">
        <v>0.87657864172901234</v>
      </c>
      <c r="Q41" s="3">
        <v>1.123421358271111</v>
      </c>
      <c r="R41" s="3">
        <v>0.78333289848132515</v>
      </c>
      <c r="S41" s="3" t="e">
        <v>#DIV/0!</v>
      </c>
      <c r="T41" s="3">
        <v>0.87657864172893518</v>
      </c>
      <c r="U41" s="3">
        <v>0.87657864172888944</v>
      </c>
      <c r="V41" s="3">
        <v>2.284277569061071</v>
      </c>
      <c r="W41" s="3">
        <v>9.2827058650011498</v>
      </c>
      <c r="X41" s="3">
        <v>4.3189029677988433</v>
      </c>
      <c r="Y41" s="3">
        <v>12.795769270707954</v>
      </c>
      <c r="Z41" s="3">
        <v>4.026331098194011</v>
      </c>
      <c r="AA41" s="3">
        <v>9.6932200834850463E-2</v>
      </c>
      <c r="AB41" s="3">
        <v>0.27173937893596989</v>
      </c>
      <c r="AC41" s="3">
        <v>86.781285531160052</v>
      </c>
      <c r="AD41" s="3">
        <v>5.285818294807318</v>
      </c>
      <c r="AE41" s="3">
        <v>2.4135035249002992</v>
      </c>
      <c r="AF41" s="3">
        <v>0</v>
      </c>
      <c r="AG41" s="3">
        <v>0</v>
      </c>
      <c r="AH41" s="3">
        <v>0</v>
      </c>
      <c r="AI41" s="10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10">
        <v>0</v>
      </c>
      <c r="AS41" s="3">
        <v>0</v>
      </c>
      <c r="AT41" s="10">
        <v>0</v>
      </c>
      <c r="AU41" s="10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10">
        <v>0</v>
      </c>
      <c r="BB41" s="10">
        <v>0</v>
      </c>
      <c r="BC41" s="10">
        <v>0</v>
      </c>
      <c r="BD41" s="10">
        <v>0</v>
      </c>
      <c r="BE41" s="10">
        <v>0</v>
      </c>
      <c r="BF41" s="10">
        <v>0</v>
      </c>
      <c r="BG41" s="10">
        <v>0</v>
      </c>
      <c r="BH41" s="10">
        <v>0</v>
      </c>
      <c r="BI41" s="10">
        <v>0</v>
      </c>
      <c r="BJ41" s="10">
        <v>0</v>
      </c>
      <c r="BK41" s="10">
        <v>0</v>
      </c>
      <c r="BL41" s="10">
        <v>0</v>
      </c>
      <c r="BM41" s="10">
        <v>0</v>
      </c>
      <c r="BN41" s="10">
        <v>0</v>
      </c>
      <c r="BO41" s="10">
        <v>0</v>
      </c>
      <c r="BP41" s="10">
        <v>0</v>
      </c>
      <c r="BQ41" s="10">
        <v>0</v>
      </c>
      <c r="BR41" s="10">
        <v>0</v>
      </c>
      <c r="BS41" s="10">
        <v>0</v>
      </c>
      <c r="BT41" s="10">
        <v>0</v>
      </c>
      <c r="BU41" s="10">
        <v>0</v>
      </c>
      <c r="BV41" s="10">
        <v>0</v>
      </c>
      <c r="BW41" s="10">
        <v>0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10">
        <v>0</v>
      </c>
      <c r="CL41" s="10">
        <v>0</v>
      </c>
      <c r="CM41" s="10">
        <v>0</v>
      </c>
      <c r="CN41" s="10">
        <v>0</v>
      </c>
      <c r="CO41" s="10">
        <v>0</v>
      </c>
      <c r="CP41" s="10">
        <v>0</v>
      </c>
      <c r="CQ41" s="10">
        <v>0.45147845348414783</v>
      </c>
      <c r="CR41" s="10">
        <v>0</v>
      </c>
      <c r="CS41" s="10">
        <v>0</v>
      </c>
      <c r="CT41" s="10">
        <v>0</v>
      </c>
      <c r="CU41" s="10">
        <v>0</v>
      </c>
      <c r="CV41" s="10">
        <v>0</v>
      </c>
      <c r="CW41" s="10">
        <v>0</v>
      </c>
      <c r="CX41" s="10">
        <v>0</v>
      </c>
      <c r="CY41" s="10">
        <v>0</v>
      </c>
      <c r="CZ41" s="10">
        <v>0</v>
      </c>
      <c r="DA41" s="10">
        <v>0</v>
      </c>
      <c r="DB41" s="10">
        <v>0</v>
      </c>
      <c r="DC41" s="10">
        <v>0</v>
      </c>
      <c r="DD41" s="10">
        <v>0</v>
      </c>
      <c r="DE41" s="10">
        <v>0</v>
      </c>
      <c r="DF41" s="10">
        <v>0</v>
      </c>
      <c r="DG41" s="10">
        <v>0</v>
      </c>
      <c r="DH41" s="10">
        <v>0</v>
      </c>
      <c r="DI41" s="10">
        <v>0</v>
      </c>
      <c r="DJ41" s="10">
        <v>0</v>
      </c>
      <c r="DK41" s="10">
        <v>0</v>
      </c>
      <c r="DL41" s="10">
        <v>0</v>
      </c>
      <c r="DM41" s="10">
        <v>0</v>
      </c>
      <c r="DN41" s="10">
        <v>0</v>
      </c>
      <c r="DO41" s="10">
        <v>0</v>
      </c>
      <c r="DP41" s="10">
        <v>0</v>
      </c>
      <c r="DQ41" s="10">
        <v>0</v>
      </c>
      <c r="DR41" s="10">
        <v>0</v>
      </c>
      <c r="DS41" s="10">
        <v>0</v>
      </c>
      <c r="DT41" s="10">
        <v>0.48671860791418103</v>
      </c>
      <c r="DU41" s="10">
        <v>0</v>
      </c>
      <c r="DV41" s="10">
        <v>0</v>
      </c>
      <c r="DW41" s="10">
        <v>0</v>
      </c>
      <c r="DX41" s="10">
        <v>0</v>
      </c>
      <c r="DY41" s="10">
        <v>0</v>
      </c>
      <c r="DZ41" s="10">
        <v>1.3336838184246446E-2</v>
      </c>
      <c r="EA41" s="10">
        <v>0</v>
      </c>
      <c r="EB41" s="10">
        <v>0</v>
      </c>
      <c r="EC41" s="10">
        <v>0</v>
      </c>
      <c r="ED41" s="10">
        <v>0</v>
      </c>
      <c r="EE41" s="10">
        <v>0</v>
      </c>
      <c r="EF41" s="10">
        <v>0</v>
      </c>
      <c r="EG41" s="10">
        <v>0</v>
      </c>
      <c r="EH41" s="10">
        <v>0</v>
      </c>
      <c r="EI41" s="10">
        <v>0</v>
      </c>
      <c r="EJ41" s="10">
        <v>0</v>
      </c>
      <c r="EK41" s="10">
        <v>0</v>
      </c>
      <c r="EL41" s="10">
        <v>0</v>
      </c>
      <c r="EM41" s="10">
        <v>0</v>
      </c>
      <c r="EN41" s="10">
        <v>0</v>
      </c>
      <c r="EO41" s="10">
        <v>0</v>
      </c>
      <c r="EP41" s="10">
        <v>0</v>
      </c>
      <c r="EQ41" s="10">
        <v>0</v>
      </c>
      <c r="ER41" s="10">
        <v>0</v>
      </c>
      <c r="ES41" s="10">
        <v>0</v>
      </c>
      <c r="ET41" s="10">
        <v>0</v>
      </c>
      <c r="EU41" s="10">
        <v>0</v>
      </c>
      <c r="EV41" s="10">
        <v>0</v>
      </c>
      <c r="EW41" s="10">
        <v>0</v>
      </c>
      <c r="EX41" s="10">
        <v>0</v>
      </c>
      <c r="EY41" s="10">
        <v>0</v>
      </c>
      <c r="EZ41" s="10">
        <v>0</v>
      </c>
      <c r="FA41" s="10">
        <v>0</v>
      </c>
      <c r="FB41" s="10">
        <v>0</v>
      </c>
      <c r="FC41" s="10">
        <v>0</v>
      </c>
      <c r="FD41" s="10">
        <v>0</v>
      </c>
      <c r="FE41" s="10">
        <v>0</v>
      </c>
      <c r="FF41" s="10">
        <v>0</v>
      </c>
      <c r="FG41" s="10">
        <v>0</v>
      </c>
      <c r="FH41" s="10">
        <v>0</v>
      </c>
      <c r="FI41" s="10">
        <v>0</v>
      </c>
      <c r="FJ41" s="10">
        <v>0</v>
      </c>
      <c r="FK41" s="10">
        <v>0</v>
      </c>
      <c r="FL41" s="10">
        <v>0</v>
      </c>
      <c r="FM41" s="10">
        <v>0</v>
      </c>
      <c r="FN41" s="10">
        <v>0</v>
      </c>
      <c r="FO41" s="10">
        <v>0</v>
      </c>
      <c r="FP41" s="10">
        <v>0</v>
      </c>
      <c r="FQ41" s="10">
        <v>0</v>
      </c>
      <c r="FR41" s="10">
        <v>0</v>
      </c>
      <c r="FS41" s="10">
        <v>0</v>
      </c>
      <c r="FT41" s="10">
        <v>0</v>
      </c>
      <c r="FU41" s="10">
        <v>0</v>
      </c>
      <c r="FV41" s="10">
        <v>0</v>
      </c>
      <c r="FW41" s="10">
        <v>0</v>
      </c>
      <c r="FX41" s="10">
        <v>0</v>
      </c>
      <c r="FY41" s="10">
        <v>0</v>
      </c>
      <c r="FZ41" s="10">
        <v>0</v>
      </c>
      <c r="GA41" s="10">
        <v>0</v>
      </c>
      <c r="GB41" s="10">
        <v>4.8466100417425231E-2</v>
      </c>
      <c r="GC41" s="10">
        <v>0</v>
      </c>
      <c r="GD41" s="10">
        <v>0</v>
      </c>
      <c r="GE41" s="10">
        <v>0</v>
      </c>
      <c r="GF41" s="10">
        <v>0</v>
      </c>
      <c r="GG41" s="10">
        <v>0</v>
      </c>
      <c r="GH41" s="10">
        <v>0</v>
      </c>
      <c r="GI41" s="10">
        <v>0</v>
      </c>
      <c r="GJ41" s="10">
        <v>0</v>
      </c>
      <c r="GK41" s="10">
        <v>0</v>
      </c>
      <c r="GL41" s="10">
        <v>0</v>
      </c>
      <c r="GM41" s="10">
        <v>0</v>
      </c>
      <c r="GN41" s="10">
        <v>0</v>
      </c>
      <c r="GO41" s="10">
        <v>0</v>
      </c>
      <c r="GP41" s="10">
        <v>0</v>
      </c>
      <c r="GQ41" s="10">
        <v>0</v>
      </c>
      <c r="GR41" s="10">
        <v>0</v>
      </c>
      <c r="GS41" s="10">
        <v>0</v>
      </c>
      <c r="GT41" s="10">
        <v>0</v>
      </c>
      <c r="GU41" s="10">
        <v>0</v>
      </c>
      <c r="GV41" s="10">
        <v>0</v>
      </c>
      <c r="GW41" s="10">
        <v>0</v>
      </c>
      <c r="GX41" s="10">
        <v>0</v>
      </c>
      <c r="GY41" s="10">
        <v>0</v>
      </c>
      <c r="GZ41" s="10">
        <v>0</v>
      </c>
      <c r="HA41" s="10">
        <v>0</v>
      </c>
      <c r="HB41" s="10">
        <v>0</v>
      </c>
      <c r="HC41" s="10">
        <v>0</v>
      </c>
      <c r="HD41" s="10">
        <v>0</v>
      </c>
      <c r="HE41" s="10">
        <v>0</v>
      </c>
      <c r="HF41" s="10">
        <v>0</v>
      </c>
      <c r="HG41" s="10">
        <v>0</v>
      </c>
      <c r="HH41" s="10">
        <v>0</v>
      </c>
      <c r="HI41" s="10">
        <v>0</v>
      </c>
      <c r="HJ41" s="10">
        <v>0</v>
      </c>
      <c r="HK41" s="10">
        <v>0</v>
      </c>
      <c r="HL41" s="10">
        <v>0</v>
      </c>
      <c r="HM41" s="10">
        <v>0</v>
      </c>
      <c r="HN41" s="10">
        <v>0</v>
      </c>
      <c r="HO41" s="10">
        <v>0</v>
      </c>
      <c r="HP41" s="10">
        <v>0</v>
      </c>
      <c r="HQ41" s="10">
        <v>0</v>
      </c>
      <c r="HR41" s="10">
        <v>0</v>
      </c>
      <c r="HS41" s="10">
        <v>0</v>
      </c>
      <c r="HT41" s="10">
        <v>0</v>
      </c>
      <c r="HU41" s="10">
        <v>0</v>
      </c>
    </row>
    <row r="42" spans="1:229" x14ac:dyDescent="0.25">
      <c r="A42" s="10">
        <v>0</v>
      </c>
      <c r="B42" s="2" t="s">
        <v>72</v>
      </c>
      <c r="C42" s="2" t="s">
        <v>73</v>
      </c>
      <c r="D42" s="17">
        <v>17.114999999999998</v>
      </c>
      <c r="E42" s="3">
        <v>31.8</v>
      </c>
      <c r="F42" s="3">
        <v>3.63</v>
      </c>
      <c r="G42" s="3">
        <v>0</v>
      </c>
      <c r="H42" s="3">
        <v>0.73</v>
      </c>
      <c r="I42" s="3">
        <v>1433</v>
      </c>
      <c r="J42" s="3">
        <v>7.8380000000000001</v>
      </c>
      <c r="K42" s="3">
        <v>0.59299999999999997</v>
      </c>
      <c r="L42" s="3"/>
      <c r="M42" s="2" t="str">
        <f t="shared" si="7"/>
        <v>01038</v>
      </c>
      <c r="N42" s="3">
        <v>0.488224144851789</v>
      </c>
      <c r="O42" s="3">
        <v>1.5117758551482112</v>
      </c>
      <c r="P42" s="17">
        <v>0.48822414485176496</v>
      </c>
      <c r="Q42" s="3">
        <v>1.5117758551482101</v>
      </c>
      <c r="R42" s="3">
        <v>1.1306083337744577</v>
      </c>
      <c r="S42" s="3" t="e">
        <v>#DIV/0!</v>
      </c>
      <c r="T42" s="3">
        <v>0.48822414485178589</v>
      </c>
      <c r="U42" s="3">
        <v>0.41809834924665845</v>
      </c>
      <c r="V42" s="3">
        <v>1.5117758551482927</v>
      </c>
      <c r="W42" s="3">
        <v>6.3134819771027422</v>
      </c>
      <c r="X42" s="3">
        <v>8.3559562391379565</v>
      </c>
      <c r="Y42" s="3">
        <v>48.074472193713085</v>
      </c>
      <c r="Z42" s="3">
        <v>4.1041082516012812</v>
      </c>
      <c r="AA42" s="3">
        <v>0.44316387789261052</v>
      </c>
      <c r="AB42" s="3">
        <v>0.35640362574180368</v>
      </c>
      <c r="AC42" s="3">
        <v>599.13493447046153</v>
      </c>
      <c r="AD42" s="3">
        <v>11.849299152652318</v>
      </c>
      <c r="AE42" s="3">
        <v>3.7438948124219258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10">
        <v>0</v>
      </c>
      <c r="BB42" s="10">
        <v>0</v>
      </c>
      <c r="BC42" s="10">
        <v>0</v>
      </c>
      <c r="BD42" s="10">
        <v>0</v>
      </c>
      <c r="BE42" s="10">
        <v>0</v>
      </c>
      <c r="BF42" s="10">
        <v>0</v>
      </c>
      <c r="BG42" s="10">
        <v>0</v>
      </c>
      <c r="BH42" s="10">
        <v>0</v>
      </c>
      <c r="BI42" s="10">
        <v>0</v>
      </c>
      <c r="BJ42" s="10">
        <v>0</v>
      </c>
      <c r="BK42" s="10">
        <v>0</v>
      </c>
      <c r="BL42" s="10">
        <v>0</v>
      </c>
      <c r="BM42" s="10">
        <v>0</v>
      </c>
      <c r="BN42" s="10">
        <v>0</v>
      </c>
      <c r="BO42" s="10">
        <v>0</v>
      </c>
      <c r="BP42" s="10">
        <v>0</v>
      </c>
      <c r="BQ42" s="10">
        <v>0</v>
      </c>
      <c r="BR42" s="10">
        <v>0</v>
      </c>
      <c r="BS42" s="10">
        <v>0</v>
      </c>
      <c r="BT42" s="10">
        <v>0</v>
      </c>
      <c r="BU42" s="10">
        <v>0</v>
      </c>
      <c r="BV42" s="10">
        <v>0</v>
      </c>
      <c r="BW42" s="10">
        <v>0</v>
      </c>
      <c r="BX42" s="10">
        <v>0</v>
      </c>
      <c r="BY42" s="10">
        <v>0</v>
      </c>
      <c r="BZ42" s="10">
        <v>0</v>
      </c>
      <c r="CA42" s="10">
        <v>0.14233919967373659</v>
      </c>
      <c r="CB42" s="10">
        <v>0</v>
      </c>
      <c r="CC42" s="10">
        <v>0</v>
      </c>
      <c r="CD42" s="10">
        <v>0</v>
      </c>
      <c r="CE42" s="10">
        <v>0</v>
      </c>
      <c r="CF42" s="10">
        <v>0</v>
      </c>
      <c r="CG42" s="10">
        <v>0</v>
      </c>
      <c r="CH42" s="10">
        <v>0</v>
      </c>
      <c r="CI42" s="10">
        <v>0</v>
      </c>
      <c r="CJ42" s="10">
        <v>0</v>
      </c>
      <c r="CK42" s="10">
        <v>0</v>
      </c>
      <c r="CL42" s="10">
        <v>0</v>
      </c>
      <c r="CM42" s="10">
        <v>0</v>
      </c>
      <c r="CN42" s="10">
        <v>0</v>
      </c>
      <c r="CO42" s="10">
        <v>0</v>
      </c>
      <c r="CP42" s="10">
        <v>0</v>
      </c>
      <c r="CQ42" s="10">
        <v>0</v>
      </c>
      <c r="CR42" s="10">
        <v>0</v>
      </c>
      <c r="CS42" s="10">
        <v>0</v>
      </c>
      <c r="CT42" s="10">
        <v>0</v>
      </c>
      <c r="CU42" s="10">
        <v>0</v>
      </c>
      <c r="CV42" s="10">
        <v>0</v>
      </c>
      <c r="CW42" s="10">
        <v>0</v>
      </c>
      <c r="CX42" s="10">
        <v>0</v>
      </c>
      <c r="CY42" s="10">
        <v>0</v>
      </c>
      <c r="CZ42" s="10">
        <v>0</v>
      </c>
      <c r="DA42" s="10">
        <v>0</v>
      </c>
      <c r="DB42" s="10">
        <v>0</v>
      </c>
      <c r="DC42" s="10">
        <v>0</v>
      </c>
      <c r="DD42" s="10">
        <v>0</v>
      </c>
      <c r="DE42" s="10">
        <v>0</v>
      </c>
      <c r="DF42" s="10">
        <v>0</v>
      </c>
      <c r="DG42" s="10">
        <v>0</v>
      </c>
      <c r="DH42" s="10">
        <v>0</v>
      </c>
      <c r="DI42" s="10">
        <v>0</v>
      </c>
      <c r="DJ42" s="10">
        <v>0</v>
      </c>
      <c r="DK42" s="10">
        <v>0</v>
      </c>
      <c r="DL42" s="10">
        <v>0</v>
      </c>
      <c r="DM42" s="10">
        <v>0</v>
      </c>
      <c r="DN42" s="10">
        <v>0</v>
      </c>
      <c r="DO42" s="10">
        <v>0</v>
      </c>
      <c r="DP42" s="10">
        <v>0</v>
      </c>
      <c r="DQ42" s="10">
        <v>0</v>
      </c>
      <c r="DR42" s="10">
        <v>0</v>
      </c>
      <c r="DS42" s="10">
        <v>0</v>
      </c>
      <c r="DT42" s="10">
        <v>0</v>
      </c>
      <c r="DU42" s="10">
        <v>0</v>
      </c>
      <c r="DV42" s="10">
        <v>0</v>
      </c>
      <c r="DW42" s="10">
        <v>0</v>
      </c>
      <c r="DX42" s="10">
        <v>0</v>
      </c>
      <c r="DY42" s="10">
        <v>0.61589195122764895</v>
      </c>
      <c r="DZ42" s="10">
        <v>0</v>
      </c>
      <c r="EA42" s="10">
        <v>0</v>
      </c>
      <c r="EB42" s="10">
        <v>0</v>
      </c>
      <c r="EC42" s="10">
        <v>0</v>
      </c>
      <c r="ED42" s="10">
        <v>0</v>
      </c>
      <c r="EE42" s="10">
        <v>0</v>
      </c>
      <c r="EF42" s="10">
        <v>0</v>
      </c>
      <c r="EG42" s="10">
        <v>0</v>
      </c>
      <c r="EH42" s="10">
        <v>0</v>
      </c>
      <c r="EI42" s="10">
        <v>0</v>
      </c>
      <c r="EJ42" s="10">
        <v>0</v>
      </c>
      <c r="EK42" s="10">
        <v>0</v>
      </c>
      <c r="EL42" s="10">
        <v>0</v>
      </c>
      <c r="EM42" s="10">
        <v>0</v>
      </c>
      <c r="EN42" s="10">
        <v>0</v>
      </c>
      <c r="EO42" s="10">
        <v>0</v>
      </c>
      <c r="EP42" s="10">
        <v>0</v>
      </c>
      <c r="EQ42" s="10">
        <v>0</v>
      </c>
      <c r="ER42" s="10">
        <v>0</v>
      </c>
      <c r="ES42" s="10">
        <v>0</v>
      </c>
      <c r="ET42" s="10">
        <v>0</v>
      </c>
      <c r="EU42" s="10">
        <v>0</v>
      </c>
      <c r="EV42" s="10">
        <v>0</v>
      </c>
      <c r="EW42" s="10">
        <v>0</v>
      </c>
      <c r="EX42" s="10">
        <v>0</v>
      </c>
      <c r="EY42" s="10">
        <v>0</v>
      </c>
      <c r="EZ42" s="10">
        <v>0</v>
      </c>
      <c r="FA42" s="10">
        <v>0</v>
      </c>
      <c r="FB42" s="10">
        <v>0</v>
      </c>
      <c r="FC42" s="10">
        <v>0</v>
      </c>
      <c r="FD42" s="10">
        <v>0</v>
      </c>
      <c r="FE42" s="10">
        <v>0</v>
      </c>
      <c r="FF42" s="10">
        <v>0</v>
      </c>
      <c r="FG42" s="10">
        <v>0</v>
      </c>
      <c r="FH42" s="10">
        <v>0</v>
      </c>
      <c r="FI42" s="10">
        <v>0</v>
      </c>
      <c r="FJ42" s="10">
        <v>0</v>
      </c>
      <c r="FK42" s="10">
        <v>0</v>
      </c>
      <c r="FL42" s="10">
        <v>0</v>
      </c>
      <c r="FM42" s="10">
        <v>0</v>
      </c>
      <c r="FN42" s="10">
        <v>0</v>
      </c>
      <c r="FO42" s="10">
        <v>0</v>
      </c>
      <c r="FP42" s="10">
        <v>0</v>
      </c>
      <c r="FQ42" s="10">
        <v>0</v>
      </c>
      <c r="FR42" s="10">
        <v>0</v>
      </c>
      <c r="FS42" s="10">
        <v>0</v>
      </c>
      <c r="FT42" s="10">
        <v>0</v>
      </c>
      <c r="FU42" s="10">
        <v>0</v>
      </c>
      <c r="FV42" s="10">
        <v>0</v>
      </c>
      <c r="FW42" s="10">
        <v>0</v>
      </c>
      <c r="FX42" s="10">
        <v>0</v>
      </c>
      <c r="FY42" s="10">
        <v>0</v>
      </c>
      <c r="FZ42" s="10">
        <v>0</v>
      </c>
      <c r="GA42" s="10">
        <v>6.2417447590508525E-2</v>
      </c>
      <c r="GB42" s="10">
        <v>0</v>
      </c>
      <c r="GC42" s="10">
        <v>0</v>
      </c>
      <c r="GD42" s="10">
        <v>0</v>
      </c>
      <c r="GE42" s="10">
        <v>0</v>
      </c>
      <c r="GF42" s="10">
        <v>0</v>
      </c>
      <c r="GG42" s="10">
        <v>0</v>
      </c>
      <c r="GH42" s="10">
        <v>0</v>
      </c>
      <c r="GI42" s="10">
        <v>0</v>
      </c>
      <c r="GJ42" s="10">
        <v>0</v>
      </c>
      <c r="GK42" s="10">
        <v>0</v>
      </c>
      <c r="GL42" s="10">
        <v>0</v>
      </c>
      <c r="GM42" s="10">
        <v>0</v>
      </c>
      <c r="GN42" s="10">
        <v>0</v>
      </c>
      <c r="GO42" s="10">
        <v>0</v>
      </c>
      <c r="GP42" s="10">
        <v>0</v>
      </c>
      <c r="GQ42" s="10">
        <v>0</v>
      </c>
      <c r="GR42" s="10">
        <v>0</v>
      </c>
      <c r="GS42" s="10">
        <v>0</v>
      </c>
      <c r="GT42" s="10">
        <v>0</v>
      </c>
      <c r="GU42" s="10">
        <v>0</v>
      </c>
      <c r="GV42" s="10">
        <v>0</v>
      </c>
      <c r="GW42" s="10">
        <v>0.17935140150810594</v>
      </c>
      <c r="GX42" s="10">
        <v>0</v>
      </c>
      <c r="GY42" s="10">
        <v>0</v>
      </c>
      <c r="GZ42" s="10">
        <v>0</v>
      </c>
      <c r="HA42" s="10">
        <v>0</v>
      </c>
      <c r="HB42" s="10">
        <v>0</v>
      </c>
      <c r="HC42" s="10">
        <v>0</v>
      </c>
      <c r="HD42" s="10">
        <v>0</v>
      </c>
      <c r="HE42" s="10">
        <v>0</v>
      </c>
      <c r="HF42" s="10">
        <v>0</v>
      </c>
      <c r="HG42" s="10">
        <v>0</v>
      </c>
      <c r="HH42" s="10">
        <v>0</v>
      </c>
      <c r="HI42" s="10">
        <v>0</v>
      </c>
      <c r="HJ42" s="10">
        <v>0</v>
      </c>
      <c r="HK42" s="10">
        <v>0</v>
      </c>
      <c r="HL42" s="10">
        <v>0</v>
      </c>
      <c r="HM42" s="10">
        <v>0</v>
      </c>
      <c r="HN42" s="10">
        <v>0</v>
      </c>
      <c r="HO42" s="10">
        <v>0</v>
      </c>
      <c r="HP42" s="10">
        <v>0</v>
      </c>
      <c r="HQ42" s="10">
        <v>0</v>
      </c>
      <c r="HR42" s="10">
        <v>0</v>
      </c>
      <c r="HS42" s="10">
        <v>0</v>
      </c>
      <c r="HT42" s="10">
        <v>0</v>
      </c>
      <c r="HU42" s="10">
        <v>0</v>
      </c>
    </row>
    <row r="43" spans="1:229" x14ac:dyDescent="0.25">
      <c r="A43" s="10">
        <v>0</v>
      </c>
      <c r="B43" s="2" t="s">
        <v>74</v>
      </c>
      <c r="C43" s="2" t="s">
        <v>75</v>
      </c>
      <c r="D43" s="17">
        <v>18.227</v>
      </c>
      <c r="E43" s="3">
        <v>26.96</v>
      </c>
      <c r="F43" s="3">
        <v>1.44</v>
      </c>
      <c r="G43" s="3">
        <v>0</v>
      </c>
      <c r="H43" s="3">
        <v>0</v>
      </c>
      <c r="I43" s="3">
        <v>187</v>
      </c>
      <c r="J43" s="3">
        <v>8.0459999999999994</v>
      </c>
      <c r="K43" s="3">
        <v>1.341</v>
      </c>
      <c r="L43" s="3"/>
      <c r="M43" s="2" t="str">
        <f t="shared" si="7"/>
        <v>01040</v>
      </c>
      <c r="N43" s="3">
        <v>0.99999999999999956</v>
      </c>
      <c r="O43" s="3">
        <v>1</v>
      </c>
      <c r="P43" s="17">
        <v>1.0000000000000004</v>
      </c>
      <c r="Q43" s="3">
        <v>0.999999999999998</v>
      </c>
      <c r="R43" s="3">
        <v>1.0000000000000069</v>
      </c>
      <c r="S43" s="3" t="e">
        <v>#DIV/0!</v>
      </c>
      <c r="T43" s="3" t="e">
        <v>#DIV/0!</v>
      </c>
      <c r="U43" s="3">
        <v>0.999999999999998</v>
      </c>
      <c r="V43" s="3">
        <v>1.0000000000000004</v>
      </c>
      <c r="W43" s="3">
        <v>1.0000000000000002</v>
      </c>
      <c r="X43" s="3">
        <v>18.227000000000007</v>
      </c>
      <c r="Y43" s="3">
        <v>26.959999999999948</v>
      </c>
      <c r="Z43" s="3">
        <v>1.4400000000000099</v>
      </c>
      <c r="AA43" s="3">
        <v>0</v>
      </c>
      <c r="AB43" s="3">
        <v>0</v>
      </c>
      <c r="AC43" s="3">
        <v>186.99999999999963</v>
      </c>
      <c r="AD43" s="3">
        <v>8.0460000000000029</v>
      </c>
      <c r="AE43" s="3">
        <v>1.3410000000000002</v>
      </c>
      <c r="AF43" s="3">
        <v>0</v>
      </c>
      <c r="AG43" s="3">
        <v>0</v>
      </c>
      <c r="AH43" s="3">
        <v>6.7031006502901709E-16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10">
        <v>0</v>
      </c>
      <c r="BB43" s="10">
        <v>0</v>
      </c>
      <c r="BC43" s="10">
        <v>0</v>
      </c>
      <c r="BD43" s="10">
        <v>0</v>
      </c>
      <c r="BE43" s="10">
        <v>0</v>
      </c>
      <c r="BF43" s="10">
        <v>0</v>
      </c>
      <c r="BG43" s="10">
        <v>0</v>
      </c>
      <c r="BH43" s="10">
        <v>0</v>
      </c>
      <c r="BI43" s="10">
        <v>0</v>
      </c>
      <c r="BJ43" s="10">
        <v>0</v>
      </c>
      <c r="BK43" s="10">
        <v>0</v>
      </c>
      <c r="BL43" s="10">
        <v>0.99999999999999745</v>
      </c>
      <c r="BM43" s="10">
        <v>0</v>
      </c>
      <c r="BN43" s="10">
        <v>0</v>
      </c>
      <c r="BO43" s="10">
        <v>0</v>
      </c>
      <c r="BP43" s="10">
        <v>0</v>
      </c>
      <c r="BQ43" s="10">
        <v>0</v>
      </c>
      <c r="BR43" s="10">
        <v>0</v>
      </c>
      <c r="BS43" s="10">
        <v>0</v>
      </c>
      <c r="BT43" s="10">
        <v>0</v>
      </c>
      <c r="BU43" s="10">
        <v>0</v>
      </c>
      <c r="BV43" s="10">
        <v>0</v>
      </c>
      <c r="BW43" s="10">
        <v>0</v>
      </c>
      <c r="BX43" s="10">
        <v>0</v>
      </c>
      <c r="BY43" s="10">
        <v>0</v>
      </c>
      <c r="BZ43" s="10">
        <v>0</v>
      </c>
      <c r="CA43" s="10">
        <v>7.0980141167225009E-16</v>
      </c>
      <c r="CB43" s="10">
        <v>0</v>
      </c>
      <c r="CC43" s="10">
        <v>0</v>
      </c>
      <c r="CD43" s="10">
        <v>0</v>
      </c>
      <c r="CE43" s="10">
        <v>0</v>
      </c>
      <c r="CF43" s="10">
        <v>0</v>
      </c>
      <c r="CG43" s="10">
        <v>0</v>
      </c>
      <c r="CH43" s="10">
        <v>0</v>
      </c>
      <c r="CI43" s="10">
        <v>0</v>
      </c>
      <c r="CJ43" s="10">
        <v>0</v>
      </c>
      <c r="CK43" s="10">
        <v>0</v>
      </c>
      <c r="CL43" s="10">
        <v>0</v>
      </c>
      <c r="CM43" s="10">
        <v>0</v>
      </c>
      <c r="CN43" s="10">
        <v>0</v>
      </c>
      <c r="CO43" s="10">
        <v>0</v>
      </c>
      <c r="CP43" s="10">
        <v>0</v>
      </c>
      <c r="CQ43" s="10">
        <v>0</v>
      </c>
      <c r="CR43" s="10">
        <v>0</v>
      </c>
      <c r="CS43" s="10">
        <v>0</v>
      </c>
      <c r="CT43" s="10">
        <v>0</v>
      </c>
      <c r="CU43" s="10">
        <v>0</v>
      </c>
      <c r="CV43" s="10">
        <v>0</v>
      </c>
      <c r="CW43" s="10">
        <v>0</v>
      </c>
      <c r="CX43" s="10">
        <v>0</v>
      </c>
      <c r="CY43" s="10">
        <v>0</v>
      </c>
      <c r="CZ43" s="10">
        <v>0</v>
      </c>
      <c r="DA43" s="10">
        <v>0</v>
      </c>
      <c r="DB43" s="10">
        <v>0</v>
      </c>
      <c r="DC43" s="10">
        <v>0</v>
      </c>
      <c r="DD43" s="10">
        <v>0</v>
      </c>
      <c r="DE43" s="10">
        <v>0</v>
      </c>
      <c r="DF43" s="10">
        <v>1.9303091552633385E-15</v>
      </c>
      <c r="DG43" s="10">
        <v>0</v>
      </c>
      <c r="DH43" s="10">
        <v>0</v>
      </c>
      <c r="DI43" s="10">
        <v>0</v>
      </c>
      <c r="DJ43" s="10">
        <v>0</v>
      </c>
      <c r="DK43" s="10">
        <v>0</v>
      </c>
      <c r="DL43" s="10">
        <v>0</v>
      </c>
      <c r="DM43" s="10">
        <v>0</v>
      </c>
      <c r="DN43" s="10">
        <v>0</v>
      </c>
      <c r="DO43" s="10">
        <v>0</v>
      </c>
      <c r="DP43" s="10">
        <v>0</v>
      </c>
      <c r="DQ43" s="10">
        <v>0</v>
      </c>
      <c r="DR43" s="10">
        <v>0</v>
      </c>
      <c r="DS43" s="10">
        <v>0</v>
      </c>
      <c r="DT43" s="10">
        <v>0</v>
      </c>
      <c r="DU43" s="10">
        <v>0</v>
      </c>
      <c r="DV43" s="10">
        <v>0</v>
      </c>
      <c r="DW43" s="10">
        <v>0</v>
      </c>
      <c r="DX43" s="10">
        <v>0</v>
      </c>
      <c r="DY43" s="10">
        <v>0</v>
      </c>
      <c r="DZ43" s="10">
        <v>0</v>
      </c>
      <c r="EA43" s="10">
        <v>0</v>
      </c>
      <c r="EB43" s="10">
        <v>0</v>
      </c>
      <c r="EC43" s="10">
        <v>0</v>
      </c>
      <c r="ED43" s="10">
        <v>0</v>
      </c>
      <c r="EE43" s="10">
        <v>0</v>
      </c>
      <c r="EF43" s="10">
        <v>0</v>
      </c>
      <c r="EG43" s="10">
        <v>0</v>
      </c>
      <c r="EH43" s="10">
        <v>0</v>
      </c>
      <c r="EI43" s="10">
        <v>0</v>
      </c>
      <c r="EJ43" s="10">
        <v>0</v>
      </c>
      <c r="EK43" s="10">
        <v>0</v>
      </c>
      <c r="EL43" s="10">
        <v>0</v>
      </c>
      <c r="EM43" s="10">
        <v>0</v>
      </c>
      <c r="EN43" s="10">
        <v>0</v>
      </c>
      <c r="EO43" s="10">
        <v>0</v>
      </c>
      <c r="EP43" s="10">
        <v>0</v>
      </c>
      <c r="EQ43" s="10">
        <v>0</v>
      </c>
      <c r="ER43" s="10">
        <v>0</v>
      </c>
      <c r="ES43" s="10">
        <v>0</v>
      </c>
      <c r="ET43" s="10">
        <v>0</v>
      </c>
      <c r="EU43" s="10">
        <v>0</v>
      </c>
      <c r="EV43" s="10">
        <v>0</v>
      </c>
      <c r="EW43" s="10">
        <v>0</v>
      </c>
      <c r="EX43" s="10">
        <v>0</v>
      </c>
      <c r="EY43" s="10">
        <v>0</v>
      </c>
      <c r="EZ43" s="10">
        <v>0</v>
      </c>
      <c r="FA43" s="10">
        <v>0</v>
      </c>
      <c r="FB43" s="10">
        <v>0</v>
      </c>
      <c r="FC43" s="10">
        <v>0</v>
      </c>
      <c r="FD43" s="10">
        <v>0</v>
      </c>
      <c r="FE43" s="10">
        <v>0</v>
      </c>
      <c r="FF43" s="10">
        <v>0</v>
      </c>
      <c r="FG43" s="10">
        <v>0</v>
      </c>
      <c r="FH43" s="10">
        <v>0</v>
      </c>
      <c r="FI43" s="10">
        <v>0</v>
      </c>
      <c r="FJ43" s="10">
        <v>0</v>
      </c>
      <c r="FK43" s="10">
        <v>0</v>
      </c>
      <c r="FL43" s="10">
        <v>0</v>
      </c>
      <c r="FM43" s="10">
        <v>0</v>
      </c>
      <c r="FN43" s="10">
        <v>0</v>
      </c>
      <c r="FO43" s="10">
        <v>0</v>
      </c>
      <c r="FP43" s="10">
        <v>0</v>
      </c>
      <c r="FQ43" s="10">
        <v>0</v>
      </c>
      <c r="FR43" s="10">
        <v>0</v>
      </c>
      <c r="FS43" s="10">
        <v>0</v>
      </c>
      <c r="FT43" s="10">
        <v>0</v>
      </c>
      <c r="FU43" s="10">
        <v>0</v>
      </c>
      <c r="FV43" s="10">
        <v>0</v>
      </c>
      <c r="FW43" s="10">
        <v>0</v>
      </c>
      <c r="FX43" s="10">
        <v>0</v>
      </c>
      <c r="FY43" s="10">
        <v>0</v>
      </c>
      <c r="FZ43" s="10">
        <v>0</v>
      </c>
      <c r="GA43" s="10">
        <v>0</v>
      </c>
      <c r="GB43" s="10">
        <v>0</v>
      </c>
      <c r="GC43" s="10">
        <v>0</v>
      </c>
      <c r="GD43" s="10">
        <v>0</v>
      </c>
      <c r="GE43" s="10">
        <v>0</v>
      </c>
      <c r="GF43" s="10">
        <v>0</v>
      </c>
      <c r="GG43" s="10">
        <v>0</v>
      </c>
      <c r="GH43" s="10">
        <v>0</v>
      </c>
      <c r="GI43" s="10">
        <v>0</v>
      </c>
      <c r="GJ43" s="10">
        <v>0</v>
      </c>
      <c r="GK43" s="10">
        <v>0</v>
      </c>
      <c r="GL43" s="10">
        <v>0</v>
      </c>
      <c r="GM43" s="10">
        <v>0</v>
      </c>
      <c r="GN43" s="10">
        <v>0</v>
      </c>
      <c r="GO43" s="10">
        <v>0</v>
      </c>
      <c r="GP43" s="10">
        <v>0</v>
      </c>
      <c r="GQ43" s="10">
        <v>0</v>
      </c>
      <c r="GR43" s="10">
        <v>0</v>
      </c>
      <c r="GS43" s="10">
        <v>0</v>
      </c>
      <c r="GT43" s="10">
        <v>0</v>
      </c>
      <c r="GU43" s="10">
        <v>0</v>
      </c>
      <c r="GV43" s="10">
        <v>0</v>
      </c>
      <c r="GW43" s="10">
        <v>0</v>
      </c>
      <c r="GX43" s="10">
        <v>0</v>
      </c>
      <c r="GY43" s="10">
        <v>0</v>
      </c>
      <c r="GZ43" s="10">
        <v>0</v>
      </c>
      <c r="HA43" s="10">
        <v>0</v>
      </c>
      <c r="HB43" s="10">
        <v>0</v>
      </c>
      <c r="HC43" s="10">
        <v>0</v>
      </c>
      <c r="HD43" s="10">
        <v>0</v>
      </c>
      <c r="HE43" s="10">
        <v>0</v>
      </c>
      <c r="HF43" s="10">
        <v>0</v>
      </c>
      <c r="HG43" s="10">
        <v>0</v>
      </c>
      <c r="HH43" s="10">
        <v>0</v>
      </c>
      <c r="HI43" s="10">
        <v>0</v>
      </c>
      <c r="HJ43" s="10">
        <v>0</v>
      </c>
      <c r="HK43" s="10">
        <v>0</v>
      </c>
      <c r="HL43" s="10">
        <v>0</v>
      </c>
      <c r="HM43" s="10">
        <v>0</v>
      </c>
      <c r="HN43" s="10">
        <v>0</v>
      </c>
      <c r="HO43" s="10">
        <v>0</v>
      </c>
      <c r="HP43" s="10">
        <v>0</v>
      </c>
      <c r="HQ43" s="10">
        <v>0</v>
      </c>
      <c r="HR43" s="10">
        <v>0</v>
      </c>
      <c r="HS43" s="10">
        <v>0</v>
      </c>
      <c r="HT43" s="10">
        <v>0</v>
      </c>
      <c r="HU43" s="10">
        <v>0</v>
      </c>
    </row>
    <row r="44" spans="1:229" x14ac:dyDescent="0.25">
      <c r="A44" s="10">
        <v>0</v>
      </c>
      <c r="B44" s="2" t="s">
        <v>76</v>
      </c>
      <c r="C44" s="2" t="s">
        <v>77</v>
      </c>
      <c r="D44" s="17">
        <v>16.774999999999999</v>
      </c>
      <c r="E44" s="3">
        <v>24.41</v>
      </c>
      <c r="F44" s="3">
        <v>1.88</v>
      </c>
      <c r="G44" s="3">
        <v>0</v>
      </c>
      <c r="H44" s="8"/>
      <c r="I44" s="3">
        <v>753</v>
      </c>
      <c r="J44" s="3">
        <v>7.1360000000000001</v>
      </c>
      <c r="K44" s="3">
        <v>0.72099999999999997</v>
      </c>
      <c r="L44" s="3"/>
      <c r="M44" s="2" t="str">
        <f t="shared" si="7"/>
        <v>01041</v>
      </c>
      <c r="N44" s="3">
        <v>0.54648803195518614</v>
      </c>
      <c r="O44" s="3">
        <v>1.4535119680448139</v>
      </c>
      <c r="P44" s="17">
        <v>0.54648803195530538</v>
      </c>
      <c r="Q44" s="3">
        <v>1.4535119680448114</v>
      </c>
      <c r="R44" s="3">
        <v>1.7788228178055137</v>
      </c>
      <c r="S44" s="3" t="e">
        <v>#DIV/0!</v>
      </c>
      <c r="T44" s="3" t="e">
        <v>#DIV/0!</v>
      </c>
      <c r="U44" s="3">
        <v>0.5464880319551868</v>
      </c>
      <c r="V44" s="3">
        <v>1.7033957962563799</v>
      </c>
      <c r="W44" s="3">
        <v>5.4787485662888038</v>
      </c>
      <c r="X44" s="3">
        <v>9.1673367360502471</v>
      </c>
      <c r="Y44" s="3">
        <v>35.480227139973849</v>
      </c>
      <c r="Z44" s="3">
        <v>3.3441868974743656</v>
      </c>
      <c r="AA44" s="3">
        <v>0</v>
      </c>
      <c r="AB44" s="3">
        <v>0</v>
      </c>
      <c r="AC44" s="3">
        <v>411.50548806225567</v>
      </c>
      <c r="AD44" s="3">
        <v>12.155432402085527</v>
      </c>
      <c r="AE44" s="3">
        <v>3.9501777162942275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10">
        <v>0</v>
      </c>
      <c r="BB44" s="10">
        <v>0</v>
      </c>
      <c r="BC44" s="10">
        <v>0</v>
      </c>
      <c r="BD44" s="10">
        <v>0</v>
      </c>
      <c r="BE44" s="10">
        <v>0</v>
      </c>
      <c r="BF44" s="10">
        <v>0</v>
      </c>
      <c r="BG44" s="10">
        <v>0</v>
      </c>
      <c r="BH44" s="10">
        <v>0</v>
      </c>
      <c r="BI44" s="10">
        <v>0</v>
      </c>
      <c r="BJ44" s="10">
        <v>0</v>
      </c>
      <c r="BK44" s="10">
        <v>0</v>
      </c>
      <c r="BL44" s="10">
        <v>0</v>
      </c>
      <c r="BM44" s="10">
        <v>0</v>
      </c>
      <c r="BN44" s="10">
        <v>0</v>
      </c>
      <c r="BO44" s="10">
        <v>0</v>
      </c>
      <c r="BP44" s="10">
        <v>0</v>
      </c>
      <c r="BQ44" s="10">
        <v>0</v>
      </c>
      <c r="BR44" s="10">
        <v>0</v>
      </c>
      <c r="BS44" s="10">
        <v>0</v>
      </c>
      <c r="BT44" s="10">
        <v>0</v>
      </c>
      <c r="BU44" s="10">
        <v>0</v>
      </c>
      <c r="BV44" s="10">
        <v>0</v>
      </c>
      <c r="BW44" s="10">
        <v>0</v>
      </c>
      <c r="BX44" s="10">
        <v>0</v>
      </c>
      <c r="BY44" s="10">
        <v>0</v>
      </c>
      <c r="BZ44" s="10">
        <v>0</v>
      </c>
      <c r="CA44" s="10">
        <v>0</v>
      </c>
      <c r="CB44" s="10">
        <v>0</v>
      </c>
      <c r="CC44" s="10">
        <v>0</v>
      </c>
      <c r="CD44" s="10">
        <v>0</v>
      </c>
      <c r="CE44" s="10">
        <v>0</v>
      </c>
      <c r="CF44" s="10">
        <v>0</v>
      </c>
      <c r="CG44" s="10">
        <v>0</v>
      </c>
      <c r="CH44" s="10">
        <v>0</v>
      </c>
      <c r="CI44" s="10">
        <v>0</v>
      </c>
      <c r="CJ44" s="10">
        <v>0</v>
      </c>
      <c r="CK44" s="10">
        <v>0</v>
      </c>
      <c r="CL44" s="10">
        <v>0</v>
      </c>
      <c r="CM44" s="10">
        <v>0</v>
      </c>
      <c r="CN44" s="10">
        <v>0</v>
      </c>
      <c r="CO44" s="10">
        <v>0</v>
      </c>
      <c r="CP44" s="10">
        <v>0</v>
      </c>
      <c r="CQ44" s="10">
        <v>0.29570122297569273</v>
      </c>
      <c r="CR44" s="10">
        <v>0</v>
      </c>
      <c r="CS44" s="10">
        <v>0</v>
      </c>
      <c r="CT44" s="10">
        <v>0</v>
      </c>
      <c r="CU44" s="10">
        <v>0</v>
      </c>
      <c r="CV44" s="10">
        <v>0</v>
      </c>
      <c r="CW44" s="10">
        <v>0</v>
      </c>
      <c r="CX44" s="10">
        <v>0</v>
      </c>
      <c r="CY44" s="10">
        <v>0</v>
      </c>
      <c r="CZ44" s="10">
        <v>0</v>
      </c>
      <c r="DA44" s="10">
        <v>0</v>
      </c>
      <c r="DB44" s="10">
        <v>0</v>
      </c>
      <c r="DC44" s="10">
        <v>0</v>
      </c>
      <c r="DD44" s="10">
        <v>0</v>
      </c>
      <c r="DE44" s="10">
        <v>0</v>
      </c>
      <c r="DF44" s="10">
        <v>0</v>
      </c>
      <c r="DG44" s="10">
        <v>0</v>
      </c>
      <c r="DH44" s="10">
        <v>0</v>
      </c>
      <c r="DI44" s="10">
        <v>0</v>
      </c>
      <c r="DJ44" s="10">
        <v>0</v>
      </c>
      <c r="DK44" s="10">
        <v>0</v>
      </c>
      <c r="DL44" s="10">
        <v>0</v>
      </c>
      <c r="DM44" s="10">
        <v>0</v>
      </c>
      <c r="DN44" s="10">
        <v>0</v>
      </c>
      <c r="DO44" s="10">
        <v>0</v>
      </c>
      <c r="DP44" s="10">
        <v>0</v>
      </c>
      <c r="DQ44" s="10">
        <v>0</v>
      </c>
      <c r="DR44" s="10">
        <v>0</v>
      </c>
      <c r="DS44" s="10">
        <v>0</v>
      </c>
      <c r="DT44" s="10">
        <v>0</v>
      </c>
      <c r="DU44" s="10">
        <v>0</v>
      </c>
      <c r="DV44" s="10">
        <v>0</v>
      </c>
      <c r="DW44" s="10">
        <v>0</v>
      </c>
      <c r="DX44" s="10">
        <v>0</v>
      </c>
      <c r="DY44" s="10">
        <v>0.69097083936416004</v>
      </c>
      <c r="DZ44" s="10">
        <v>1.3327937660147129E-2</v>
      </c>
      <c r="EA44" s="10">
        <v>0</v>
      </c>
      <c r="EB44" s="10">
        <v>0</v>
      </c>
      <c r="EC44" s="10">
        <v>0</v>
      </c>
      <c r="ED44" s="10">
        <v>0</v>
      </c>
      <c r="EE44" s="10">
        <v>0</v>
      </c>
      <c r="EF44" s="10">
        <v>0</v>
      </c>
      <c r="EG44" s="10">
        <v>0</v>
      </c>
      <c r="EH44" s="10">
        <v>0</v>
      </c>
      <c r="EI44" s="10">
        <v>0</v>
      </c>
      <c r="EJ44" s="10">
        <v>0</v>
      </c>
      <c r="EK44" s="10">
        <v>0</v>
      </c>
      <c r="EL44" s="10">
        <v>0</v>
      </c>
      <c r="EM44" s="10">
        <v>0</v>
      </c>
      <c r="EN44" s="10">
        <v>0</v>
      </c>
      <c r="EO44" s="10">
        <v>0</v>
      </c>
      <c r="EP44" s="10">
        <v>0</v>
      </c>
      <c r="EQ44" s="10">
        <v>0</v>
      </c>
      <c r="ER44" s="10">
        <v>0</v>
      </c>
      <c r="ES44" s="10">
        <v>0</v>
      </c>
      <c r="ET44" s="10">
        <v>0</v>
      </c>
      <c r="EU44" s="10">
        <v>0</v>
      </c>
      <c r="EV44" s="10">
        <v>0</v>
      </c>
      <c r="EW44" s="10">
        <v>0</v>
      </c>
      <c r="EX44" s="10">
        <v>0</v>
      </c>
      <c r="EY44" s="10">
        <v>0</v>
      </c>
      <c r="EZ44" s="10">
        <v>0</v>
      </c>
      <c r="FA44" s="10">
        <v>0</v>
      </c>
      <c r="FB44" s="10">
        <v>0</v>
      </c>
      <c r="FC44" s="10">
        <v>0</v>
      </c>
      <c r="FD44" s="10">
        <v>0</v>
      </c>
      <c r="FE44" s="10">
        <v>0</v>
      </c>
      <c r="FF44" s="10">
        <v>0</v>
      </c>
      <c r="FG44" s="10">
        <v>0</v>
      </c>
      <c r="FH44" s="10">
        <v>0</v>
      </c>
      <c r="FI44" s="10">
        <v>0</v>
      </c>
      <c r="FJ44" s="10">
        <v>0</v>
      </c>
      <c r="FK44" s="10">
        <v>0</v>
      </c>
      <c r="FL44" s="10">
        <v>0</v>
      </c>
      <c r="FM44" s="10">
        <v>0</v>
      </c>
      <c r="FN44" s="10">
        <v>0</v>
      </c>
      <c r="FO44" s="10">
        <v>0</v>
      </c>
      <c r="FP44" s="10">
        <v>0</v>
      </c>
      <c r="FQ44" s="10">
        <v>0</v>
      </c>
      <c r="FR44" s="10">
        <v>0</v>
      </c>
      <c r="FS44" s="10">
        <v>0</v>
      </c>
      <c r="FT44" s="10">
        <v>0</v>
      </c>
      <c r="FU44" s="10">
        <v>0</v>
      </c>
      <c r="FV44" s="10">
        <v>0</v>
      </c>
      <c r="FW44" s="10">
        <v>0</v>
      </c>
      <c r="FX44" s="10">
        <v>0</v>
      </c>
      <c r="FY44" s="10">
        <v>0</v>
      </c>
      <c r="FZ44" s="10">
        <v>0</v>
      </c>
      <c r="GA44" s="10">
        <v>0</v>
      </c>
      <c r="GB44" s="10">
        <v>0</v>
      </c>
      <c r="GC44" s="10">
        <v>0</v>
      </c>
      <c r="GD44" s="10">
        <v>0</v>
      </c>
      <c r="GE44" s="10">
        <v>0</v>
      </c>
      <c r="GF44" s="10">
        <v>0</v>
      </c>
      <c r="GG44" s="10">
        <v>0</v>
      </c>
      <c r="GH44" s="10">
        <v>0</v>
      </c>
      <c r="GI44" s="10">
        <v>0</v>
      </c>
      <c r="GJ44" s="10">
        <v>0</v>
      </c>
      <c r="GK44" s="10">
        <v>0</v>
      </c>
      <c r="GL44" s="10">
        <v>0</v>
      </c>
      <c r="GM44" s="10">
        <v>0</v>
      </c>
      <c r="GN44" s="10">
        <v>0</v>
      </c>
      <c r="GO44" s="10">
        <v>0</v>
      </c>
      <c r="GP44" s="10">
        <v>0</v>
      </c>
      <c r="GQ44" s="10">
        <v>0</v>
      </c>
      <c r="GR44" s="10">
        <v>0</v>
      </c>
      <c r="GS44" s="10">
        <v>0</v>
      </c>
      <c r="GT44" s="10">
        <v>0</v>
      </c>
      <c r="GU44" s="10">
        <v>0</v>
      </c>
      <c r="GV44" s="10">
        <v>0</v>
      </c>
      <c r="GW44" s="10">
        <v>0</v>
      </c>
      <c r="GX44" s="10">
        <v>0</v>
      </c>
      <c r="GY44" s="10">
        <v>0</v>
      </c>
      <c r="GZ44" s="10">
        <v>0</v>
      </c>
      <c r="HA44" s="10">
        <v>0</v>
      </c>
      <c r="HB44" s="10">
        <v>0</v>
      </c>
      <c r="HC44" s="10">
        <v>0</v>
      </c>
      <c r="HD44" s="10">
        <v>0</v>
      </c>
      <c r="HE44" s="10">
        <v>0</v>
      </c>
      <c r="HF44" s="10">
        <v>0</v>
      </c>
      <c r="HG44" s="10">
        <v>0</v>
      </c>
      <c r="HH44" s="10">
        <v>0</v>
      </c>
      <c r="HI44" s="10">
        <v>0</v>
      </c>
      <c r="HJ44" s="10">
        <v>0</v>
      </c>
      <c r="HK44" s="10">
        <v>0</v>
      </c>
      <c r="HL44" s="10">
        <v>0</v>
      </c>
      <c r="HM44" s="10">
        <v>0</v>
      </c>
      <c r="HN44" s="10">
        <v>0</v>
      </c>
      <c r="HO44" s="10">
        <v>0</v>
      </c>
      <c r="HP44" s="10">
        <v>0</v>
      </c>
      <c r="HQ44" s="10">
        <v>0</v>
      </c>
      <c r="HR44" s="10">
        <v>0</v>
      </c>
      <c r="HS44" s="10">
        <v>0</v>
      </c>
      <c r="HT44" s="10">
        <v>0</v>
      </c>
      <c r="HU44" s="10">
        <v>0</v>
      </c>
    </row>
    <row r="45" spans="1:229" x14ac:dyDescent="0.25">
      <c r="A45" s="10">
        <v>0</v>
      </c>
      <c r="B45" s="2" t="s">
        <v>78</v>
      </c>
      <c r="C45" s="2" t="s">
        <v>79</v>
      </c>
      <c r="D45" s="17">
        <v>18.056999999999999</v>
      </c>
      <c r="E45" s="3">
        <v>18.13</v>
      </c>
      <c r="F45" s="3">
        <v>4.78</v>
      </c>
      <c r="G45" s="3">
        <v>0</v>
      </c>
      <c r="H45" s="3">
        <v>2.2599999999999998</v>
      </c>
      <c r="I45" s="3">
        <v>1671</v>
      </c>
      <c r="J45" s="3">
        <v>8.2360000000000007</v>
      </c>
      <c r="K45" s="3">
        <v>1.286</v>
      </c>
      <c r="L45" s="3"/>
      <c r="M45" s="2" t="str">
        <f t="shared" si="7"/>
        <v>01042</v>
      </c>
      <c r="N45" s="3">
        <v>0.44944549801775263</v>
      </c>
      <c r="O45" s="3">
        <v>1.5505545019822473</v>
      </c>
      <c r="P45" s="17">
        <v>0.44944549801782102</v>
      </c>
      <c r="Q45" s="3">
        <v>2.0337049085853458</v>
      </c>
      <c r="R45" s="3">
        <v>1.2174102598806447</v>
      </c>
      <c r="S45" s="3" t="e">
        <v>#DIV/0!</v>
      </c>
      <c r="T45" s="3">
        <v>0.44944549801775002</v>
      </c>
      <c r="U45" s="3">
        <v>0.23345919544469712</v>
      </c>
      <c r="V45" s="3">
        <v>1.5505545019820861</v>
      </c>
      <c r="W45" s="3">
        <v>2.9622283618880179</v>
      </c>
      <c r="X45" s="3">
        <v>8.1156373577077936</v>
      </c>
      <c r="Y45" s="3">
        <v>36.871069992652316</v>
      </c>
      <c r="Z45" s="3">
        <v>5.8192210422294819</v>
      </c>
      <c r="AA45" s="3">
        <v>1.2630126902264127</v>
      </c>
      <c r="AB45" s="3">
        <v>1.015746825520115</v>
      </c>
      <c r="AC45" s="3">
        <v>390.11031558808889</v>
      </c>
      <c r="AD45" s="3">
        <v>12.770366878324463</v>
      </c>
      <c r="AE45" s="3">
        <v>3.8094256733879912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10">
        <v>0</v>
      </c>
      <c r="BB45" s="10">
        <v>0</v>
      </c>
      <c r="BC45" s="10">
        <v>0</v>
      </c>
      <c r="BD45" s="10">
        <v>0</v>
      </c>
      <c r="BE45" s="10">
        <v>0</v>
      </c>
      <c r="BF45" s="10">
        <v>0</v>
      </c>
      <c r="BG45" s="10">
        <v>0</v>
      </c>
      <c r="BH45" s="10">
        <v>0</v>
      </c>
      <c r="BI45" s="10">
        <v>0</v>
      </c>
      <c r="BJ45" s="10">
        <v>0</v>
      </c>
      <c r="BK45" s="10">
        <v>0</v>
      </c>
      <c r="BL45" s="10">
        <v>0</v>
      </c>
      <c r="BM45" s="10">
        <v>0</v>
      </c>
      <c r="BN45" s="10">
        <v>0</v>
      </c>
      <c r="BO45" s="10">
        <v>0</v>
      </c>
      <c r="BP45" s="10">
        <v>0</v>
      </c>
      <c r="BQ45" s="10">
        <v>0</v>
      </c>
      <c r="BR45" s="10">
        <v>0</v>
      </c>
      <c r="BS45" s="10">
        <v>0</v>
      </c>
      <c r="BT45" s="10">
        <v>0</v>
      </c>
      <c r="BU45" s="10">
        <v>0</v>
      </c>
      <c r="BV45" s="10">
        <v>0</v>
      </c>
      <c r="BW45" s="10">
        <v>0</v>
      </c>
      <c r="BX45" s="10">
        <v>0</v>
      </c>
      <c r="BY45" s="10">
        <v>0</v>
      </c>
      <c r="BZ45" s="10">
        <v>0</v>
      </c>
      <c r="CA45" s="10">
        <v>0.24222396952611316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 s="10">
        <v>0</v>
      </c>
      <c r="CL45" s="10">
        <v>0</v>
      </c>
      <c r="CM45" s="10">
        <v>0</v>
      </c>
      <c r="CN45" s="10">
        <v>0</v>
      </c>
      <c r="CO45" s="10">
        <v>0</v>
      </c>
      <c r="CP45" s="10">
        <v>0</v>
      </c>
      <c r="CQ45" s="10">
        <v>0</v>
      </c>
      <c r="CR45" s="10">
        <v>0</v>
      </c>
      <c r="CS45" s="10">
        <v>0</v>
      </c>
      <c r="CT45" s="10">
        <v>0</v>
      </c>
      <c r="CU45" s="10">
        <v>0</v>
      </c>
      <c r="CV45" s="10">
        <v>0</v>
      </c>
      <c r="CW45" s="10">
        <v>0</v>
      </c>
      <c r="CX45" s="10">
        <v>0</v>
      </c>
      <c r="CY45" s="10">
        <v>0</v>
      </c>
      <c r="CZ45" s="10">
        <v>0</v>
      </c>
      <c r="DA45" s="10">
        <v>0</v>
      </c>
      <c r="DB45" s="10">
        <v>0</v>
      </c>
      <c r="DC45" s="10">
        <v>0</v>
      </c>
      <c r="DD45" s="10">
        <v>0</v>
      </c>
      <c r="DE45" s="10">
        <v>0</v>
      </c>
      <c r="DF45" s="10">
        <v>0</v>
      </c>
      <c r="DG45" s="10">
        <v>0</v>
      </c>
      <c r="DH45" s="10">
        <v>0</v>
      </c>
      <c r="DI45" s="10">
        <v>0</v>
      </c>
      <c r="DJ45" s="10">
        <v>0</v>
      </c>
      <c r="DK45" s="10">
        <v>0</v>
      </c>
      <c r="DL45" s="10">
        <v>0</v>
      </c>
      <c r="DM45" s="10">
        <v>0</v>
      </c>
      <c r="DN45" s="10">
        <v>0</v>
      </c>
      <c r="DO45" s="10">
        <v>0</v>
      </c>
      <c r="DP45" s="10">
        <v>0</v>
      </c>
      <c r="DQ45" s="10">
        <v>0</v>
      </c>
      <c r="DR45" s="10">
        <v>0</v>
      </c>
      <c r="DS45" s="10">
        <v>0</v>
      </c>
      <c r="DT45" s="10">
        <v>0</v>
      </c>
      <c r="DU45" s="10">
        <v>0</v>
      </c>
      <c r="DV45" s="10">
        <v>0</v>
      </c>
      <c r="DW45" s="10">
        <v>0</v>
      </c>
      <c r="DX45" s="10">
        <v>0</v>
      </c>
      <c r="DY45" s="10">
        <v>0.57988691917439183</v>
      </c>
      <c r="DZ45" s="10">
        <v>0</v>
      </c>
      <c r="EA45" s="10">
        <v>0</v>
      </c>
      <c r="EB45" s="10">
        <v>0</v>
      </c>
      <c r="EC45" s="10">
        <v>0</v>
      </c>
      <c r="ED45" s="10">
        <v>0</v>
      </c>
      <c r="EE45" s="10">
        <v>0</v>
      </c>
      <c r="EF45" s="10">
        <v>0</v>
      </c>
      <c r="EG45" s="10">
        <v>0</v>
      </c>
      <c r="EH45" s="10">
        <v>0</v>
      </c>
      <c r="EI45" s="10">
        <v>0</v>
      </c>
      <c r="EJ45" s="10">
        <v>0</v>
      </c>
      <c r="EK45" s="10">
        <v>0</v>
      </c>
      <c r="EL45" s="10">
        <v>0</v>
      </c>
      <c r="EM45" s="10">
        <v>0</v>
      </c>
      <c r="EN45" s="10">
        <v>0</v>
      </c>
      <c r="EO45" s="10">
        <v>0</v>
      </c>
      <c r="EP45" s="10">
        <v>0</v>
      </c>
      <c r="EQ45" s="10">
        <v>0</v>
      </c>
      <c r="ER45" s="10">
        <v>0</v>
      </c>
      <c r="ES45" s="10">
        <v>0</v>
      </c>
      <c r="ET45" s="10">
        <v>0</v>
      </c>
      <c r="EU45" s="10">
        <v>0</v>
      </c>
      <c r="EV45" s="10">
        <v>0</v>
      </c>
      <c r="EW45" s="10">
        <v>0</v>
      </c>
      <c r="EX45" s="10">
        <v>0</v>
      </c>
      <c r="EY45" s="10">
        <v>0</v>
      </c>
      <c r="EZ45" s="10">
        <v>0</v>
      </c>
      <c r="FA45" s="10">
        <v>0</v>
      </c>
      <c r="FB45" s="10">
        <v>0</v>
      </c>
      <c r="FC45" s="10">
        <v>0</v>
      </c>
      <c r="FD45" s="10">
        <v>0</v>
      </c>
      <c r="FE45" s="10">
        <v>0</v>
      </c>
      <c r="FF45" s="10">
        <v>0</v>
      </c>
      <c r="FG45" s="10">
        <v>0</v>
      </c>
      <c r="FH45" s="10">
        <v>0</v>
      </c>
      <c r="FI45" s="10">
        <v>0</v>
      </c>
      <c r="FJ45" s="10">
        <v>0</v>
      </c>
      <c r="FK45" s="10">
        <v>0</v>
      </c>
      <c r="FL45" s="10">
        <v>0</v>
      </c>
      <c r="FM45" s="10">
        <v>0</v>
      </c>
      <c r="FN45" s="10">
        <v>0</v>
      </c>
      <c r="FO45" s="10">
        <v>0</v>
      </c>
      <c r="FP45" s="10">
        <v>0</v>
      </c>
      <c r="FQ45" s="10">
        <v>0</v>
      </c>
      <c r="FR45" s="10">
        <v>0</v>
      </c>
      <c r="FS45" s="10">
        <v>0</v>
      </c>
      <c r="FT45" s="10">
        <v>0</v>
      </c>
      <c r="FU45" s="10">
        <v>0</v>
      </c>
      <c r="FV45" s="10">
        <v>0</v>
      </c>
      <c r="FW45" s="10">
        <v>0</v>
      </c>
      <c r="FX45" s="10">
        <v>0</v>
      </c>
      <c r="FY45" s="10">
        <v>0</v>
      </c>
      <c r="FZ45" s="10">
        <v>0</v>
      </c>
      <c r="GA45" s="10">
        <v>0.17788911129949475</v>
      </c>
      <c r="GB45" s="10">
        <v>0</v>
      </c>
      <c r="GC45" s="10">
        <v>0</v>
      </c>
      <c r="GD45" s="10">
        <v>0</v>
      </c>
      <c r="GE45" s="10">
        <v>0</v>
      </c>
      <c r="GF45" s="10">
        <v>0</v>
      </c>
      <c r="GG45" s="10">
        <v>0</v>
      </c>
      <c r="GH45" s="10">
        <v>0</v>
      </c>
      <c r="GI45" s="10">
        <v>0</v>
      </c>
      <c r="GJ45" s="10">
        <v>0</v>
      </c>
      <c r="GK45" s="10">
        <v>0</v>
      </c>
      <c r="GL45" s="10">
        <v>0</v>
      </c>
      <c r="GM45" s="10">
        <v>0</v>
      </c>
      <c r="GN45" s="10">
        <v>0</v>
      </c>
      <c r="GO45" s="10">
        <v>0</v>
      </c>
      <c r="GP45" s="10">
        <v>0</v>
      </c>
      <c r="GQ45" s="10">
        <v>0</v>
      </c>
      <c r="GR45" s="10">
        <v>0</v>
      </c>
      <c r="GS45" s="10">
        <v>0</v>
      </c>
      <c r="GT45" s="10">
        <v>0</v>
      </c>
      <c r="GU45" s="10">
        <v>0</v>
      </c>
      <c r="GV45" s="10">
        <v>0</v>
      </c>
      <c r="GW45" s="10">
        <v>0</v>
      </c>
      <c r="GX45" s="10">
        <v>0</v>
      </c>
      <c r="GY45" s="10">
        <v>0</v>
      </c>
      <c r="GZ45" s="10">
        <v>0</v>
      </c>
      <c r="HA45" s="10">
        <v>0</v>
      </c>
      <c r="HB45" s="10">
        <v>0</v>
      </c>
      <c r="HC45" s="10">
        <v>0</v>
      </c>
      <c r="HD45" s="10">
        <v>0</v>
      </c>
      <c r="HE45" s="10">
        <v>0</v>
      </c>
      <c r="HF45" s="10">
        <v>0</v>
      </c>
      <c r="HG45" s="10">
        <v>0</v>
      </c>
      <c r="HH45" s="10">
        <v>0</v>
      </c>
      <c r="HI45" s="10">
        <v>0</v>
      </c>
      <c r="HJ45" s="10">
        <v>0</v>
      </c>
      <c r="HK45" s="10">
        <v>0</v>
      </c>
      <c r="HL45" s="10">
        <v>0</v>
      </c>
      <c r="HM45" s="10">
        <v>0</v>
      </c>
      <c r="HN45" s="10">
        <v>0</v>
      </c>
      <c r="HO45" s="10">
        <v>0</v>
      </c>
      <c r="HP45" s="10">
        <v>0</v>
      </c>
      <c r="HQ45" s="10">
        <v>0</v>
      </c>
      <c r="HR45" s="10">
        <v>0</v>
      </c>
      <c r="HS45" s="10">
        <v>0</v>
      </c>
      <c r="HT45" s="10">
        <v>0</v>
      </c>
      <c r="HU45" s="10">
        <v>0</v>
      </c>
    </row>
    <row r="46" spans="1:229" x14ac:dyDescent="0.25">
      <c r="A46" s="10">
        <v>0</v>
      </c>
      <c r="B46" s="2" t="s">
        <v>80</v>
      </c>
      <c r="C46" s="2" t="s">
        <v>81</v>
      </c>
      <c r="D46" s="17">
        <v>19.663</v>
      </c>
      <c r="E46" s="3">
        <v>22.13</v>
      </c>
      <c r="F46" s="3">
        <v>1.73</v>
      </c>
      <c r="G46" s="3">
        <v>0.1</v>
      </c>
      <c r="H46" s="21">
        <v>0.62</v>
      </c>
      <c r="I46" s="3">
        <v>915</v>
      </c>
      <c r="J46" s="3">
        <v>8.9369999999999994</v>
      </c>
      <c r="K46" s="3">
        <v>0.98799999999999999</v>
      </c>
      <c r="L46" s="3"/>
      <c r="M46" s="2" t="str">
        <f t="shared" si="7"/>
        <v>01043</v>
      </c>
      <c r="N46" s="3">
        <v>0.48880927544049796</v>
      </c>
      <c r="O46" s="3">
        <v>1.5111907245595022</v>
      </c>
      <c r="P46" s="17">
        <v>0.48880927544048791</v>
      </c>
      <c r="Q46" s="3">
        <v>1.6868930514699958</v>
      </c>
      <c r="R46" s="3">
        <v>2.1960599191215957</v>
      </c>
      <c r="S46" s="3">
        <v>3.7683685297531655</v>
      </c>
      <c r="T46" s="3">
        <v>0.48880927544049468</v>
      </c>
      <c r="U46" s="3">
        <v>0.45805244726648686</v>
      </c>
      <c r="V46" s="3">
        <v>1.5111907245594385</v>
      </c>
      <c r="W46" s="3">
        <v>4.3709323044623032</v>
      </c>
      <c r="X46" s="3">
        <v>9.6114567829863145</v>
      </c>
      <c r="Y46" s="3">
        <v>37.330943229031007</v>
      </c>
      <c r="Z46" s="3">
        <v>3.7991836600803603</v>
      </c>
      <c r="AA46" s="3">
        <v>0.37683685297531655</v>
      </c>
      <c r="AB46" s="3">
        <v>0.30306175077310671</v>
      </c>
      <c r="AC46" s="3">
        <v>419.1179892488355</v>
      </c>
      <c r="AD46" s="3">
        <v>13.5055115053877</v>
      </c>
      <c r="AE46" s="3">
        <v>4.3184811168087558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10">
        <v>0</v>
      </c>
      <c r="BB46" s="10">
        <v>0</v>
      </c>
      <c r="BC46" s="10">
        <v>0</v>
      </c>
      <c r="BD46" s="10">
        <v>0</v>
      </c>
      <c r="BE46" s="10">
        <v>0</v>
      </c>
      <c r="BF46" s="10">
        <v>0</v>
      </c>
      <c r="BG46" s="10">
        <v>0</v>
      </c>
      <c r="BH46" s="10">
        <v>0</v>
      </c>
      <c r="BI46" s="10">
        <v>0</v>
      </c>
      <c r="BJ46" s="10">
        <v>0</v>
      </c>
      <c r="BK46" s="10">
        <v>0</v>
      </c>
      <c r="BL46" s="10">
        <v>0</v>
      </c>
      <c r="BM46" s="10">
        <v>0</v>
      </c>
      <c r="BN46" s="10">
        <v>0</v>
      </c>
      <c r="BO46" s="10">
        <v>0</v>
      </c>
      <c r="BP46" s="10">
        <v>0</v>
      </c>
      <c r="BQ46" s="10">
        <v>0</v>
      </c>
      <c r="BR46" s="10">
        <v>0</v>
      </c>
      <c r="BS46" s="10">
        <v>0</v>
      </c>
      <c r="BT46" s="10">
        <v>0</v>
      </c>
      <c r="BU46" s="10">
        <v>0</v>
      </c>
      <c r="BV46" s="10">
        <v>0</v>
      </c>
      <c r="BW46" s="10">
        <v>0</v>
      </c>
      <c r="BX46" s="10">
        <v>0</v>
      </c>
      <c r="BY46" s="10">
        <v>0</v>
      </c>
      <c r="BZ46" s="10">
        <v>0</v>
      </c>
      <c r="CA46" s="10">
        <v>0.23881558346911283</v>
      </c>
      <c r="CB46" s="10">
        <v>0</v>
      </c>
      <c r="CC46" s="10">
        <v>0</v>
      </c>
      <c r="CD46" s="10">
        <v>0</v>
      </c>
      <c r="CE46" s="10">
        <v>0</v>
      </c>
      <c r="CF46" s="10">
        <v>0</v>
      </c>
      <c r="CG46" s="10">
        <v>0</v>
      </c>
      <c r="CH46" s="10">
        <v>0</v>
      </c>
      <c r="CI46" s="10">
        <v>0</v>
      </c>
      <c r="CJ46" s="10">
        <v>0</v>
      </c>
      <c r="CK46" s="10">
        <v>0</v>
      </c>
      <c r="CL46" s="10">
        <v>0</v>
      </c>
      <c r="CM46" s="10">
        <v>0</v>
      </c>
      <c r="CN46" s="10">
        <v>0</v>
      </c>
      <c r="CO46" s="10">
        <v>0</v>
      </c>
      <c r="CP46" s="10">
        <v>0</v>
      </c>
      <c r="CQ46" s="10">
        <v>0</v>
      </c>
      <c r="CR46" s="10">
        <v>0</v>
      </c>
      <c r="CS46" s="10">
        <v>0</v>
      </c>
      <c r="CT46" s="10">
        <v>0</v>
      </c>
      <c r="CU46" s="10">
        <v>0</v>
      </c>
      <c r="CV46" s="10">
        <v>0</v>
      </c>
      <c r="CW46" s="10">
        <v>0</v>
      </c>
      <c r="CX46" s="10">
        <v>0</v>
      </c>
      <c r="CY46" s="10">
        <v>0</v>
      </c>
      <c r="CZ46" s="10">
        <v>0</v>
      </c>
      <c r="DA46" s="10">
        <v>0</v>
      </c>
      <c r="DB46" s="10">
        <v>0</v>
      </c>
      <c r="DC46" s="10">
        <v>0</v>
      </c>
      <c r="DD46" s="10">
        <v>0</v>
      </c>
      <c r="DE46" s="10">
        <v>0</v>
      </c>
      <c r="DF46" s="10">
        <v>0</v>
      </c>
      <c r="DG46" s="10">
        <v>0</v>
      </c>
      <c r="DH46" s="10">
        <v>0</v>
      </c>
      <c r="DI46" s="10">
        <v>0</v>
      </c>
      <c r="DJ46" s="10">
        <v>0</v>
      </c>
      <c r="DK46" s="10">
        <v>0</v>
      </c>
      <c r="DL46" s="10">
        <v>0</v>
      </c>
      <c r="DM46" s="10">
        <v>0</v>
      </c>
      <c r="DN46" s="10">
        <v>0</v>
      </c>
      <c r="DO46" s="10">
        <v>0</v>
      </c>
      <c r="DP46" s="10">
        <v>0</v>
      </c>
      <c r="DQ46" s="10">
        <v>0</v>
      </c>
      <c r="DR46" s="10">
        <v>0</v>
      </c>
      <c r="DS46" s="10">
        <v>0</v>
      </c>
      <c r="DT46" s="10">
        <v>0</v>
      </c>
      <c r="DU46" s="10">
        <v>0</v>
      </c>
      <c r="DV46" s="10">
        <v>0</v>
      </c>
      <c r="DW46" s="10">
        <v>0</v>
      </c>
      <c r="DX46" s="10">
        <v>0</v>
      </c>
      <c r="DY46" s="10">
        <v>0.70810880343577232</v>
      </c>
      <c r="DZ46" s="10">
        <v>0</v>
      </c>
      <c r="EA46" s="10">
        <v>0</v>
      </c>
      <c r="EB46" s="10">
        <v>0</v>
      </c>
      <c r="EC46" s="10">
        <v>0</v>
      </c>
      <c r="ED46" s="10">
        <v>0</v>
      </c>
      <c r="EE46" s="10">
        <v>0</v>
      </c>
      <c r="EF46" s="10">
        <v>0</v>
      </c>
      <c r="EG46" s="10">
        <v>0</v>
      </c>
      <c r="EH46" s="10">
        <v>0</v>
      </c>
      <c r="EI46" s="10">
        <v>0</v>
      </c>
      <c r="EJ46" s="10">
        <v>0</v>
      </c>
      <c r="EK46" s="10">
        <v>0</v>
      </c>
      <c r="EL46" s="10">
        <v>0</v>
      </c>
      <c r="EM46" s="10">
        <v>0</v>
      </c>
      <c r="EN46" s="10">
        <v>0</v>
      </c>
      <c r="EO46" s="10">
        <v>0</v>
      </c>
      <c r="EP46" s="10">
        <v>0</v>
      </c>
      <c r="EQ46" s="10">
        <v>0</v>
      </c>
      <c r="ER46" s="10">
        <v>0</v>
      </c>
      <c r="ES46" s="10">
        <v>0</v>
      </c>
      <c r="ET46" s="10">
        <v>0</v>
      </c>
      <c r="EU46" s="10">
        <v>0</v>
      </c>
      <c r="EV46" s="10">
        <v>0</v>
      </c>
      <c r="EW46" s="10">
        <v>0</v>
      </c>
      <c r="EX46" s="10">
        <v>0</v>
      </c>
      <c r="EY46" s="10">
        <v>0</v>
      </c>
      <c r="EZ46" s="10">
        <v>0</v>
      </c>
      <c r="FA46" s="10">
        <v>0</v>
      </c>
      <c r="FB46" s="10">
        <v>0</v>
      </c>
      <c r="FC46" s="10">
        <v>0</v>
      </c>
      <c r="FD46" s="10">
        <v>0</v>
      </c>
      <c r="FE46" s="10">
        <v>0</v>
      </c>
      <c r="FF46" s="10">
        <v>0</v>
      </c>
      <c r="FG46" s="10">
        <v>0</v>
      </c>
      <c r="FH46" s="10">
        <v>0</v>
      </c>
      <c r="FI46" s="10">
        <v>0</v>
      </c>
      <c r="FJ46" s="10">
        <v>0</v>
      </c>
      <c r="FK46" s="10">
        <v>0</v>
      </c>
      <c r="FL46" s="10">
        <v>0</v>
      </c>
      <c r="FM46" s="10">
        <v>0</v>
      </c>
      <c r="FN46" s="10">
        <v>0</v>
      </c>
      <c r="FO46" s="10">
        <v>0</v>
      </c>
      <c r="FP46" s="10">
        <v>0</v>
      </c>
      <c r="FQ46" s="10">
        <v>0</v>
      </c>
      <c r="FR46" s="10">
        <v>0</v>
      </c>
      <c r="FS46" s="10">
        <v>0</v>
      </c>
      <c r="FT46" s="10">
        <v>0</v>
      </c>
      <c r="FU46" s="10">
        <v>0</v>
      </c>
      <c r="FV46" s="10">
        <v>0</v>
      </c>
      <c r="FW46" s="10">
        <v>0</v>
      </c>
      <c r="FX46" s="10">
        <v>0</v>
      </c>
      <c r="FY46" s="10">
        <v>0</v>
      </c>
      <c r="FZ46" s="10">
        <v>0</v>
      </c>
      <c r="GA46" s="10">
        <v>5.3075613095115007E-2</v>
      </c>
      <c r="GB46" s="10">
        <v>0</v>
      </c>
      <c r="GC46" s="10">
        <v>0</v>
      </c>
      <c r="GD46" s="10">
        <v>0</v>
      </c>
      <c r="GE46" s="10">
        <v>0</v>
      </c>
      <c r="GF46" s="10">
        <v>0</v>
      </c>
      <c r="GG46" s="10">
        <v>0</v>
      </c>
      <c r="GH46" s="10">
        <v>0</v>
      </c>
      <c r="GI46" s="10">
        <v>0</v>
      </c>
      <c r="GJ46" s="10">
        <v>0</v>
      </c>
      <c r="GK46" s="10">
        <v>0</v>
      </c>
      <c r="GL46" s="10">
        <v>0</v>
      </c>
      <c r="GM46" s="10">
        <v>0</v>
      </c>
      <c r="GN46" s="10">
        <v>0</v>
      </c>
      <c r="GO46" s="10">
        <v>0</v>
      </c>
      <c r="GP46" s="10">
        <v>0</v>
      </c>
      <c r="GQ46" s="10">
        <v>0</v>
      </c>
      <c r="GR46" s="10">
        <v>0</v>
      </c>
      <c r="GS46" s="10">
        <v>0</v>
      </c>
      <c r="GT46" s="10">
        <v>0</v>
      </c>
      <c r="GU46" s="10">
        <v>0</v>
      </c>
      <c r="GV46" s="10">
        <v>0</v>
      </c>
      <c r="GW46" s="10">
        <v>0</v>
      </c>
      <c r="GX46" s="10">
        <v>0</v>
      </c>
      <c r="GY46" s="10">
        <v>0</v>
      </c>
      <c r="GZ46" s="10">
        <v>0</v>
      </c>
      <c r="HA46" s="10">
        <v>0</v>
      </c>
      <c r="HB46" s="10">
        <v>0</v>
      </c>
      <c r="HC46" s="10">
        <v>0</v>
      </c>
      <c r="HD46" s="10">
        <v>0</v>
      </c>
      <c r="HE46" s="10">
        <v>0</v>
      </c>
      <c r="HF46" s="10">
        <v>0</v>
      </c>
      <c r="HG46" s="10">
        <v>0</v>
      </c>
      <c r="HH46" s="10">
        <v>0</v>
      </c>
      <c r="HI46" s="10">
        <v>0</v>
      </c>
      <c r="HJ46" s="10">
        <v>0</v>
      </c>
      <c r="HK46" s="10">
        <v>0</v>
      </c>
      <c r="HL46" s="10">
        <v>0</v>
      </c>
      <c r="HM46" s="10">
        <v>0</v>
      </c>
      <c r="HN46" s="10">
        <v>0</v>
      </c>
      <c r="HO46" s="10">
        <v>0</v>
      </c>
      <c r="HP46" s="10">
        <v>0</v>
      </c>
      <c r="HQ46" s="10">
        <v>0</v>
      </c>
      <c r="HR46" s="10">
        <v>0</v>
      </c>
      <c r="HS46" s="10">
        <v>0</v>
      </c>
      <c r="HT46" s="10">
        <v>0</v>
      </c>
      <c r="HU46" s="10">
        <v>0</v>
      </c>
    </row>
    <row r="47" spans="1:229" x14ac:dyDescent="0.25">
      <c r="A47" s="10">
        <v>0</v>
      </c>
      <c r="B47" s="2" t="s">
        <v>82</v>
      </c>
      <c r="C47" s="2" t="s">
        <v>83</v>
      </c>
      <c r="D47" s="17">
        <v>16.045000000000002</v>
      </c>
      <c r="E47" s="3">
        <v>24.73</v>
      </c>
      <c r="F47" s="3">
        <v>2.1</v>
      </c>
      <c r="G47" s="3">
        <v>0</v>
      </c>
      <c r="H47" s="3">
        <v>1.23</v>
      </c>
      <c r="I47" s="3">
        <v>1370</v>
      </c>
      <c r="J47" s="3">
        <v>7.0460000000000003</v>
      </c>
      <c r="K47" s="3">
        <v>0.622</v>
      </c>
      <c r="L47" s="3"/>
      <c r="M47" s="2" t="str">
        <f t="shared" si="7"/>
        <v>01044</v>
      </c>
      <c r="N47" s="3">
        <v>0.45401224360763287</v>
      </c>
      <c r="O47" s="3">
        <v>1.5459877563923672</v>
      </c>
      <c r="P47" s="17">
        <v>0.45401224360761938</v>
      </c>
      <c r="Q47" s="3">
        <v>1.5459877563923654</v>
      </c>
      <c r="R47" s="3">
        <v>2.3004851737778265</v>
      </c>
      <c r="S47" s="3" t="e">
        <v>#DIV/0!</v>
      </c>
      <c r="T47" s="3">
        <v>0.45401224360763004</v>
      </c>
      <c r="U47" s="3">
        <v>0.33051421940557113</v>
      </c>
      <c r="V47" s="3">
        <v>1.5459877563924644</v>
      </c>
      <c r="W47" s="3">
        <v>5.4351852958508715</v>
      </c>
      <c r="X47" s="3">
        <v>7.2846264486842536</v>
      </c>
      <c r="Y47" s="3">
        <v>38.232277215583196</v>
      </c>
      <c r="Z47" s="3">
        <v>4.8310188649334354</v>
      </c>
      <c r="AA47" s="3">
        <v>0.6943763438573437</v>
      </c>
      <c r="AB47" s="3">
        <v>0.55843505963738493</v>
      </c>
      <c r="AC47" s="3">
        <v>452.80448058563246</v>
      </c>
      <c r="AD47" s="3">
        <v>10.893029731541304</v>
      </c>
      <c r="AE47" s="3">
        <v>3.3806852540192422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10">
        <v>0</v>
      </c>
      <c r="BB47" s="10">
        <v>0</v>
      </c>
      <c r="BC47" s="10">
        <v>0</v>
      </c>
      <c r="BD47" s="10">
        <v>0</v>
      </c>
      <c r="BE47" s="10">
        <v>0</v>
      </c>
      <c r="BF47" s="10">
        <v>0</v>
      </c>
      <c r="BG47" s="10">
        <v>0</v>
      </c>
      <c r="BH47" s="10">
        <v>0</v>
      </c>
      <c r="BI47" s="10">
        <v>0</v>
      </c>
      <c r="BJ47" s="10">
        <v>0</v>
      </c>
      <c r="BK47" s="10">
        <v>0</v>
      </c>
      <c r="BL47" s="10">
        <v>0</v>
      </c>
      <c r="BM47" s="10">
        <v>0</v>
      </c>
      <c r="BN47" s="10">
        <v>0</v>
      </c>
      <c r="BO47" s="10">
        <v>0</v>
      </c>
      <c r="BP47" s="10">
        <v>0</v>
      </c>
      <c r="BQ47" s="10">
        <v>0</v>
      </c>
      <c r="BR47" s="10">
        <v>0</v>
      </c>
      <c r="BS47" s="10">
        <v>0</v>
      </c>
      <c r="BT47" s="10">
        <v>0</v>
      </c>
      <c r="BU47" s="10">
        <v>0</v>
      </c>
      <c r="BV47" s="10">
        <v>0</v>
      </c>
      <c r="BW47" s="10">
        <v>0</v>
      </c>
      <c r="BX47" s="10">
        <v>0</v>
      </c>
      <c r="BY47" s="10">
        <v>0</v>
      </c>
      <c r="BZ47" s="10">
        <v>0</v>
      </c>
      <c r="CA47" s="10">
        <v>0.28879841180640176</v>
      </c>
      <c r="CB47" s="10">
        <v>0</v>
      </c>
      <c r="CC47" s="10">
        <v>0</v>
      </c>
      <c r="CD47" s="10">
        <v>0</v>
      </c>
      <c r="CE47" s="10">
        <v>0</v>
      </c>
      <c r="CF47" s="10">
        <v>0</v>
      </c>
      <c r="CG47" s="10">
        <v>0</v>
      </c>
      <c r="CH47" s="10">
        <v>0</v>
      </c>
      <c r="CI47" s="10">
        <v>0</v>
      </c>
      <c r="CJ47" s="10">
        <v>0</v>
      </c>
      <c r="CK47" s="10">
        <v>0</v>
      </c>
      <c r="CL47" s="10">
        <v>0</v>
      </c>
      <c r="CM47" s="10">
        <v>0</v>
      </c>
      <c r="CN47" s="10">
        <v>0</v>
      </c>
      <c r="CO47" s="10">
        <v>0</v>
      </c>
      <c r="CP47" s="10">
        <v>0</v>
      </c>
      <c r="CQ47" s="10">
        <v>0</v>
      </c>
      <c r="CR47" s="10">
        <v>0</v>
      </c>
      <c r="CS47" s="10">
        <v>0</v>
      </c>
      <c r="CT47" s="10">
        <v>0</v>
      </c>
      <c r="CU47" s="10">
        <v>0</v>
      </c>
      <c r="CV47" s="10">
        <v>0</v>
      </c>
      <c r="CW47" s="10">
        <v>0</v>
      </c>
      <c r="CX47" s="10">
        <v>0</v>
      </c>
      <c r="CY47" s="10">
        <v>0</v>
      </c>
      <c r="CZ47" s="10">
        <v>0</v>
      </c>
      <c r="DA47" s="10">
        <v>0</v>
      </c>
      <c r="DB47" s="10">
        <v>0</v>
      </c>
      <c r="DC47" s="10">
        <v>0</v>
      </c>
      <c r="DD47" s="10">
        <v>0</v>
      </c>
      <c r="DE47" s="10">
        <v>0</v>
      </c>
      <c r="DF47" s="10">
        <v>0</v>
      </c>
      <c r="DG47" s="10">
        <v>0</v>
      </c>
      <c r="DH47" s="10">
        <v>0</v>
      </c>
      <c r="DI47" s="10">
        <v>0</v>
      </c>
      <c r="DJ47" s="10">
        <v>0</v>
      </c>
      <c r="DK47" s="10">
        <v>0</v>
      </c>
      <c r="DL47" s="10">
        <v>0</v>
      </c>
      <c r="DM47" s="10">
        <v>0</v>
      </c>
      <c r="DN47" s="10">
        <v>0</v>
      </c>
      <c r="DO47" s="10">
        <v>0</v>
      </c>
      <c r="DP47" s="10">
        <v>0</v>
      </c>
      <c r="DQ47" s="10">
        <v>0</v>
      </c>
      <c r="DR47" s="10">
        <v>0</v>
      </c>
      <c r="DS47" s="10">
        <v>0</v>
      </c>
      <c r="DT47" s="10">
        <v>0</v>
      </c>
      <c r="DU47" s="10">
        <v>0</v>
      </c>
      <c r="DV47" s="10">
        <v>0</v>
      </c>
      <c r="DW47" s="10">
        <v>0</v>
      </c>
      <c r="DX47" s="10">
        <v>0</v>
      </c>
      <c r="DY47" s="10">
        <v>0.52282608715312451</v>
      </c>
      <c r="DZ47" s="10">
        <v>0</v>
      </c>
      <c r="EA47" s="10">
        <v>0</v>
      </c>
      <c r="EB47" s="10">
        <v>0</v>
      </c>
      <c r="EC47" s="10">
        <v>0</v>
      </c>
      <c r="ED47" s="10">
        <v>0</v>
      </c>
      <c r="EE47" s="10">
        <v>0</v>
      </c>
      <c r="EF47" s="10">
        <v>0</v>
      </c>
      <c r="EG47" s="10">
        <v>0</v>
      </c>
      <c r="EH47" s="10">
        <v>0</v>
      </c>
      <c r="EI47" s="10">
        <v>0</v>
      </c>
      <c r="EJ47" s="10">
        <v>0</v>
      </c>
      <c r="EK47" s="10">
        <v>0</v>
      </c>
      <c r="EL47" s="10">
        <v>0</v>
      </c>
      <c r="EM47" s="10">
        <v>0</v>
      </c>
      <c r="EN47" s="10">
        <v>0</v>
      </c>
      <c r="EO47" s="10">
        <v>0</v>
      </c>
      <c r="EP47" s="10">
        <v>0</v>
      </c>
      <c r="EQ47" s="10">
        <v>0</v>
      </c>
      <c r="ER47" s="10">
        <v>0</v>
      </c>
      <c r="ES47" s="10">
        <v>0</v>
      </c>
      <c r="ET47" s="10">
        <v>0</v>
      </c>
      <c r="EU47" s="10">
        <v>0</v>
      </c>
      <c r="EV47" s="10">
        <v>0</v>
      </c>
      <c r="EW47" s="10">
        <v>0</v>
      </c>
      <c r="EX47" s="10">
        <v>0</v>
      </c>
      <c r="EY47" s="10">
        <v>0</v>
      </c>
      <c r="EZ47" s="10">
        <v>0</v>
      </c>
      <c r="FA47" s="10">
        <v>0</v>
      </c>
      <c r="FB47" s="10">
        <v>0</v>
      </c>
      <c r="FC47" s="10">
        <v>0</v>
      </c>
      <c r="FD47" s="10">
        <v>0</v>
      </c>
      <c r="FE47" s="10">
        <v>0</v>
      </c>
      <c r="FF47" s="10">
        <v>0</v>
      </c>
      <c r="FG47" s="10">
        <v>0</v>
      </c>
      <c r="FH47" s="10">
        <v>0</v>
      </c>
      <c r="FI47" s="10">
        <v>0</v>
      </c>
      <c r="FJ47" s="10">
        <v>0</v>
      </c>
      <c r="FK47" s="10">
        <v>0</v>
      </c>
      <c r="FL47" s="10">
        <v>0</v>
      </c>
      <c r="FM47" s="10">
        <v>0</v>
      </c>
      <c r="FN47" s="10">
        <v>0</v>
      </c>
      <c r="FO47" s="10">
        <v>0</v>
      </c>
      <c r="FP47" s="10">
        <v>0</v>
      </c>
      <c r="FQ47" s="10">
        <v>0</v>
      </c>
      <c r="FR47" s="10">
        <v>0</v>
      </c>
      <c r="FS47" s="10">
        <v>0</v>
      </c>
      <c r="FT47" s="10">
        <v>0</v>
      </c>
      <c r="FU47" s="10">
        <v>0</v>
      </c>
      <c r="FV47" s="10">
        <v>0</v>
      </c>
      <c r="FW47" s="10">
        <v>0</v>
      </c>
      <c r="FX47" s="10">
        <v>0</v>
      </c>
      <c r="FY47" s="10">
        <v>0</v>
      </c>
      <c r="FZ47" s="10">
        <v>0</v>
      </c>
      <c r="GA47" s="10">
        <v>9.7799485050330107E-2</v>
      </c>
      <c r="GB47" s="10">
        <v>0</v>
      </c>
      <c r="GC47" s="10">
        <v>0</v>
      </c>
      <c r="GD47" s="10">
        <v>0</v>
      </c>
      <c r="GE47" s="10">
        <v>0</v>
      </c>
      <c r="GF47" s="10">
        <v>0</v>
      </c>
      <c r="GG47" s="10">
        <v>0</v>
      </c>
      <c r="GH47" s="10">
        <v>0</v>
      </c>
      <c r="GI47" s="10">
        <v>0</v>
      </c>
      <c r="GJ47" s="10">
        <v>0</v>
      </c>
      <c r="GK47" s="10">
        <v>0</v>
      </c>
      <c r="GL47" s="10">
        <v>0</v>
      </c>
      <c r="GM47" s="10">
        <v>0</v>
      </c>
      <c r="GN47" s="10">
        <v>0</v>
      </c>
      <c r="GO47" s="10">
        <v>0</v>
      </c>
      <c r="GP47" s="10">
        <v>0</v>
      </c>
      <c r="GQ47" s="10">
        <v>0</v>
      </c>
      <c r="GR47" s="10">
        <v>0</v>
      </c>
      <c r="GS47" s="10">
        <v>0</v>
      </c>
      <c r="GT47" s="10">
        <v>0</v>
      </c>
      <c r="GU47" s="10">
        <v>0</v>
      </c>
      <c r="GV47" s="10">
        <v>0</v>
      </c>
      <c r="GW47" s="10">
        <v>9.0576015990143713E-2</v>
      </c>
      <c r="GX47" s="10">
        <v>0</v>
      </c>
      <c r="GY47" s="10">
        <v>0</v>
      </c>
      <c r="GZ47" s="10">
        <v>0</v>
      </c>
      <c r="HA47" s="10">
        <v>0</v>
      </c>
      <c r="HB47" s="10">
        <v>0</v>
      </c>
      <c r="HC47" s="10">
        <v>0</v>
      </c>
      <c r="HD47" s="10">
        <v>0</v>
      </c>
      <c r="HE47" s="10">
        <v>0</v>
      </c>
      <c r="HF47" s="10">
        <v>0</v>
      </c>
      <c r="HG47" s="10">
        <v>0</v>
      </c>
      <c r="HH47" s="10">
        <v>0</v>
      </c>
      <c r="HI47" s="10">
        <v>0</v>
      </c>
      <c r="HJ47" s="10">
        <v>0</v>
      </c>
      <c r="HK47" s="10">
        <v>0</v>
      </c>
      <c r="HL47" s="10">
        <v>0</v>
      </c>
      <c r="HM47" s="10">
        <v>0</v>
      </c>
      <c r="HN47" s="10">
        <v>0</v>
      </c>
      <c r="HO47" s="10">
        <v>0</v>
      </c>
      <c r="HP47" s="10">
        <v>0</v>
      </c>
      <c r="HQ47" s="10">
        <v>0</v>
      </c>
      <c r="HR47" s="10">
        <v>0</v>
      </c>
      <c r="HS47" s="10">
        <v>0</v>
      </c>
      <c r="HT47" s="10">
        <v>0</v>
      </c>
      <c r="HU47" s="10">
        <v>0</v>
      </c>
    </row>
    <row r="48" spans="1:229" x14ac:dyDescent="0.25">
      <c r="A48" s="10">
        <v>0</v>
      </c>
      <c r="B48" s="2" t="s">
        <v>84</v>
      </c>
      <c r="C48" s="2" t="s">
        <v>85</v>
      </c>
      <c r="D48" s="17">
        <v>15.355</v>
      </c>
      <c r="E48" s="3">
        <v>19.66</v>
      </c>
      <c r="F48" s="3">
        <v>8.32</v>
      </c>
      <c r="G48" s="3">
        <v>0</v>
      </c>
      <c r="H48" s="3"/>
      <c r="I48" s="3">
        <v>966</v>
      </c>
      <c r="J48" s="3">
        <v>7.165</v>
      </c>
      <c r="K48" s="3">
        <v>0.71899999999999997</v>
      </c>
      <c r="L48" s="3"/>
      <c r="M48" s="2" t="str">
        <f t="shared" si="7"/>
        <v>01045</v>
      </c>
      <c r="N48" s="3">
        <v>0.50746555315309283</v>
      </c>
      <c r="O48" s="3">
        <v>1.4925344468469077</v>
      </c>
      <c r="P48" s="17">
        <v>0.50746555315312025</v>
      </c>
      <c r="Q48" s="3">
        <v>1.4925344468469044</v>
      </c>
      <c r="R48" s="3">
        <v>0.4090753808753001</v>
      </c>
      <c r="S48" s="3" t="e">
        <v>#DIV/0!</v>
      </c>
      <c r="T48" s="3" t="e">
        <v>#DIV/0!</v>
      </c>
      <c r="U48" s="3">
        <v>0.35688364476278089</v>
      </c>
      <c r="V48" s="3">
        <v>1.4925344468468777</v>
      </c>
      <c r="W48" s="3">
        <v>4.9387376141187147</v>
      </c>
      <c r="X48" s="3">
        <v>7.7921335686661619</v>
      </c>
      <c r="Y48" s="3">
        <v>29.343227225010139</v>
      </c>
      <c r="Z48" s="3">
        <v>3.4035071688824967</v>
      </c>
      <c r="AA48" s="3">
        <v>0</v>
      </c>
      <c r="AB48" s="3">
        <v>0</v>
      </c>
      <c r="AC48" s="3">
        <v>344.74960084084637</v>
      </c>
      <c r="AD48" s="3">
        <v>10.694009311657879</v>
      </c>
      <c r="AE48" s="3">
        <v>3.550952344551356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10">
        <v>0</v>
      </c>
      <c r="BB48" s="10">
        <v>0</v>
      </c>
      <c r="BC48" s="10">
        <v>0</v>
      </c>
      <c r="BD48" s="10">
        <v>0</v>
      </c>
      <c r="BE48" s="10">
        <v>0</v>
      </c>
      <c r="BF48" s="10">
        <v>0</v>
      </c>
      <c r="BG48" s="10">
        <v>0</v>
      </c>
      <c r="BH48" s="10">
        <v>0</v>
      </c>
      <c r="BI48" s="10">
        <v>0</v>
      </c>
      <c r="BJ48" s="10">
        <v>0</v>
      </c>
      <c r="BK48" s="10">
        <v>0</v>
      </c>
      <c r="BL48" s="10">
        <v>0</v>
      </c>
      <c r="BM48" s="10">
        <v>0</v>
      </c>
      <c r="BN48" s="10">
        <v>0</v>
      </c>
      <c r="BO48" s="10">
        <v>0</v>
      </c>
      <c r="BP48" s="10">
        <v>0</v>
      </c>
      <c r="BQ48" s="10">
        <v>0</v>
      </c>
      <c r="BR48" s="10">
        <v>0</v>
      </c>
      <c r="BS48" s="10">
        <v>0</v>
      </c>
      <c r="BT48" s="10">
        <v>0</v>
      </c>
      <c r="BU48" s="10">
        <v>0</v>
      </c>
      <c r="BV48" s="10">
        <v>0</v>
      </c>
      <c r="BW48" s="10">
        <v>0</v>
      </c>
      <c r="BX48" s="10">
        <v>0</v>
      </c>
      <c r="BY48" s="10">
        <v>0</v>
      </c>
      <c r="BZ48" s="10">
        <v>0</v>
      </c>
      <c r="CA48" s="10">
        <v>0.42636487747091295</v>
      </c>
      <c r="CB48" s="10">
        <v>0</v>
      </c>
      <c r="CC48" s="10">
        <v>0</v>
      </c>
      <c r="CD48" s="10">
        <v>0</v>
      </c>
      <c r="CE48" s="10">
        <v>0</v>
      </c>
      <c r="CF48" s="10">
        <v>0</v>
      </c>
      <c r="CG48" s="10">
        <v>0</v>
      </c>
      <c r="CH48" s="10">
        <v>0</v>
      </c>
      <c r="CI48" s="10">
        <v>0</v>
      </c>
      <c r="CJ48" s="10">
        <v>0</v>
      </c>
      <c r="CK48" s="10">
        <v>0</v>
      </c>
      <c r="CL48" s="10">
        <v>0</v>
      </c>
      <c r="CM48" s="10">
        <v>0</v>
      </c>
      <c r="CN48" s="10">
        <v>0</v>
      </c>
      <c r="CO48" s="10">
        <v>0</v>
      </c>
      <c r="CP48" s="10">
        <v>0</v>
      </c>
      <c r="CQ48" s="10">
        <v>0</v>
      </c>
      <c r="CR48" s="10">
        <v>0</v>
      </c>
      <c r="CS48" s="10">
        <v>0</v>
      </c>
      <c r="CT48" s="10">
        <v>0</v>
      </c>
      <c r="CU48" s="10">
        <v>0</v>
      </c>
      <c r="CV48" s="10">
        <v>0</v>
      </c>
      <c r="CW48" s="10">
        <v>0</v>
      </c>
      <c r="CX48" s="10">
        <v>0</v>
      </c>
      <c r="CY48" s="10">
        <v>0</v>
      </c>
      <c r="CZ48" s="10">
        <v>0</v>
      </c>
      <c r="DA48" s="10">
        <v>0</v>
      </c>
      <c r="DB48" s="10">
        <v>0</v>
      </c>
      <c r="DC48" s="10">
        <v>0</v>
      </c>
      <c r="DD48" s="10">
        <v>0</v>
      </c>
      <c r="DE48" s="10">
        <v>0</v>
      </c>
      <c r="DF48" s="10">
        <v>0</v>
      </c>
      <c r="DG48" s="10">
        <v>0</v>
      </c>
      <c r="DH48" s="10">
        <v>0</v>
      </c>
      <c r="DI48" s="10">
        <v>0</v>
      </c>
      <c r="DJ48" s="10">
        <v>0</v>
      </c>
      <c r="DK48" s="10">
        <v>0</v>
      </c>
      <c r="DL48" s="10">
        <v>0</v>
      </c>
      <c r="DM48" s="10">
        <v>0</v>
      </c>
      <c r="DN48" s="10">
        <v>0</v>
      </c>
      <c r="DO48" s="10">
        <v>0</v>
      </c>
      <c r="DP48" s="10">
        <v>0</v>
      </c>
      <c r="DQ48" s="10">
        <v>0</v>
      </c>
      <c r="DR48" s="10">
        <v>0</v>
      </c>
      <c r="DS48" s="10">
        <v>0</v>
      </c>
      <c r="DT48" s="10">
        <v>0</v>
      </c>
      <c r="DU48" s="10">
        <v>0</v>
      </c>
      <c r="DV48" s="10">
        <v>0</v>
      </c>
      <c r="DW48" s="10">
        <v>0</v>
      </c>
      <c r="DX48" s="10">
        <v>0</v>
      </c>
      <c r="DY48" s="10">
        <v>0.56551960231728349</v>
      </c>
      <c r="DZ48" s="10">
        <v>0</v>
      </c>
      <c r="EA48" s="10">
        <v>0</v>
      </c>
      <c r="EB48" s="10">
        <v>0</v>
      </c>
      <c r="EC48" s="10">
        <v>0</v>
      </c>
      <c r="ED48" s="10">
        <v>0</v>
      </c>
      <c r="EE48" s="10">
        <v>0</v>
      </c>
      <c r="EF48" s="10">
        <v>0</v>
      </c>
      <c r="EG48" s="10">
        <v>0</v>
      </c>
      <c r="EH48" s="10">
        <v>0</v>
      </c>
      <c r="EI48" s="10">
        <v>0</v>
      </c>
      <c r="EJ48" s="10">
        <v>0</v>
      </c>
      <c r="EK48" s="10">
        <v>0</v>
      </c>
      <c r="EL48" s="10">
        <v>0</v>
      </c>
      <c r="EM48" s="10">
        <v>0</v>
      </c>
      <c r="EN48" s="10">
        <v>0</v>
      </c>
      <c r="EO48" s="10">
        <v>0</v>
      </c>
      <c r="EP48" s="10">
        <v>0</v>
      </c>
      <c r="EQ48" s="10">
        <v>0</v>
      </c>
      <c r="ER48" s="10">
        <v>0</v>
      </c>
      <c r="ES48" s="10">
        <v>0</v>
      </c>
      <c r="ET48" s="10">
        <v>0</v>
      </c>
      <c r="EU48" s="10">
        <v>0</v>
      </c>
      <c r="EV48" s="10">
        <v>0</v>
      </c>
      <c r="EW48" s="10">
        <v>0</v>
      </c>
      <c r="EX48" s="10">
        <v>0</v>
      </c>
      <c r="EY48" s="10">
        <v>0</v>
      </c>
      <c r="EZ48" s="10">
        <v>0</v>
      </c>
      <c r="FA48" s="10">
        <v>0</v>
      </c>
      <c r="FB48" s="10">
        <v>0</v>
      </c>
      <c r="FC48" s="10">
        <v>0</v>
      </c>
      <c r="FD48" s="10">
        <v>0</v>
      </c>
      <c r="FE48" s="10">
        <v>0</v>
      </c>
      <c r="FF48" s="10">
        <v>0</v>
      </c>
      <c r="FG48" s="10">
        <v>0</v>
      </c>
      <c r="FH48" s="10">
        <v>0</v>
      </c>
      <c r="FI48" s="10">
        <v>0</v>
      </c>
      <c r="FJ48" s="10">
        <v>0</v>
      </c>
      <c r="FK48" s="10">
        <v>0</v>
      </c>
      <c r="FL48" s="10">
        <v>0</v>
      </c>
      <c r="FM48" s="10">
        <v>0</v>
      </c>
      <c r="FN48" s="10">
        <v>0</v>
      </c>
      <c r="FO48" s="10">
        <v>0</v>
      </c>
      <c r="FP48" s="10">
        <v>0</v>
      </c>
      <c r="FQ48" s="10">
        <v>0</v>
      </c>
      <c r="FR48" s="10">
        <v>0</v>
      </c>
      <c r="FS48" s="10">
        <v>0</v>
      </c>
      <c r="FT48" s="10">
        <v>0</v>
      </c>
      <c r="FU48" s="10">
        <v>0</v>
      </c>
      <c r="FV48" s="10">
        <v>0</v>
      </c>
      <c r="FW48" s="10">
        <v>0</v>
      </c>
      <c r="FX48" s="10">
        <v>0</v>
      </c>
      <c r="FY48" s="10">
        <v>0</v>
      </c>
      <c r="FZ48" s="10">
        <v>0</v>
      </c>
      <c r="GA48" s="10">
        <v>0</v>
      </c>
      <c r="GB48" s="10">
        <v>0</v>
      </c>
      <c r="GC48" s="10">
        <v>0</v>
      </c>
      <c r="GD48" s="10">
        <v>0</v>
      </c>
      <c r="GE48" s="10">
        <v>0</v>
      </c>
      <c r="GF48" s="10">
        <v>0</v>
      </c>
      <c r="GG48" s="10">
        <v>0</v>
      </c>
      <c r="GH48" s="10">
        <v>0</v>
      </c>
      <c r="GI48" s="10">
        <v>0</v>
      </c>
      <c r="GJ48" s="10">
        <v>0</v>
      </c>
      <c r="GK48" s="10">
        <v>0</v>
      </c>
      <c r="GL48" s="10">
        <v>0</v>
      </c>
      <c r="GM48" s="10">
        <v>0</v>
      </c>
      <c r="GN48" s="10">
        <v>0</v>
      </c>
      <c r="GO48" s="10">
        <v>0</v>
      </c>
      <c r="GP48" s="10">
        <v>0</v>
      </c>
      <c r="GQ48" s="10">
        <v>0</v>
      </c>
      <c r="GR48" s="10">
        <v>0</v>
      </c>
      <c r="GS48" s="10">
        <v>0</v>
      </c>
      <c r="GT48" s="10">
        <v>0</v>
      </c>
      <c r="GU48" s="10">
        <v>0</v>
      </c>
      <c r="GV48" s="10">
        <v>0</v>
      </c>
      <c r="GW48" s="10">
        <v>8.1155202118036573E-3</v>
      </c>
      <c r="GX48" s="10">
        <v>0</v>
      </c>
      <c r="GY48" s="10">
        <v>0</v>
      </c>
      <c r="GZ48" s="10">
        <v>0</v>
      </c>
      <c r="HA48" s="10">
        <v>0</v>
      </c>
      <c r="HB48" s="10">
        <v>0</v>
      </c>
      <c r="HC48" s="10">
        <v>0</v>
      </c>
      <c r="HD48" s="10">
        <v>0</v>
      </c>
      <c r="HE48" s="10">
        <v>0</v>
      </c>
      <c r="HF48" s="10">
        <v>0</v>
      </c>
      <c r="HG48" s="10">
        <v>0</v>
      </c>
      <c r="HH48" s="10">
        <v>0</v>
      </c>
      <c r="HI48" s="10">
        <v>0</v>
      </c>
      <c r="HJ48" s="10">
        <v>0</v>
      </c>
      <c r="HK48" s="10">
        <v>0</v>
      </c>
      <c r="HL48" s="10">
        <v>0</v>
      </c>
      <c r="HM48" s="10">
        <v>0</v>
      </c>
      <c r="HN48" s="10">
        <v>0</v>
      </c>
      <c r="HO48" s="10">
        <v>0</v>
      </c>
      <c r="HP48" s="10">
        <v>0</v>
      </c>
      <c r="HQ48" s="10">
        <v>0</v>
      </c>
      <c r="HR48" s="10">
        <v>0</v>
      </c>
      <c r="HS48" s="10">
        <v>0</v>
      </c>
      <c r="HT48" s="10">
        <v>0</v>
      </c>
      <c r="HU48" s="10">
        <v>0</v>
      </c>
    </row>
    <row r="49" spans="1:229" x14ac:dyDescent="0.25">
      <c r="A49" s="10">
        <v>0</v>
      </c>
      <c r="B49" s="2" t="s">
        <v>86</v>
      </c>
      <c r="C49" s="2" t="s">
        <v>87</v>
      </c>
      <c r="D49" s="17">
        <v>15.487</v>
      </c>
      <c r="E49" s="3">
        <v>21.92</v>
      </c>
      <c r="F49" s="3">
        <v>4.5</v>
      </c>
      <c r="G49" s="3">
        <v>0</v>
      </c>
      <c r="H49" s="3"/>
      <c r="I49" s="3">
        <v>1552</v>
      </c>
      <c r="J49" s="3">
        <v>6.8010000000000002</v>
      </c>
      <c r="K49" s="3">
        <v>0.6</v>
      </c>
      <c r="L49" s="3"/>
      <c r="M49" s="2" t="str">
        <f t="shared" si="7"/>
        <v>01047</v>
      </c>
      <c r="N49" s="3">
        <v>0.48555352382601796</v>
      </c>
      <c r="O49" s="3">
        <v>1.514446476173982</v>
      </c>
      <c r="P49" s="17">
        <v>0.48555352382608902</v>
      </c>
      <c r="Q49" s="3">
        <v>1.5144464761739793</v>
      </c>
      <c r="R49" s="3">
        <v>0.76325590538422594</v>
      </c>
      <c r="S49" s="3" t="e">
        <v>#DIV/0!</v>
      </c>
      <c r="T49" s="3" t="e">
        <v>#DIV/0!</v>
      </c>
      <c r="U49" s="3">
        <v>0.26273668593517019</v>
      </c>
      <c r="V49" s="3">
        <v>1.5144464761740686</v>
      </c>
      <c r="W49" s="3">
        <v>5.693795796351762</v>
      </c>
      <c r="X49" s="3">
        <v>7.519767423494641</v>
      </c>
      <c r="Y49" s="3">
        <v>33.196666757733631</v>
      </c>
      <c r="Z49" s="3">
        <v>3.4346515742290169</v>
      </c>
      <c r="AA49" s="3">
        <v>0</v>
      </c>
      <c r="AB49" s="3">
        <v>0</v>
      </c>
      <c r="AC49" s="3">
        <v>407.76733657138413</v>
      </c>
      <c r="AD49" s="3">
        <v>10.299750484459841</v>
      </c>
      <c r="AE49" s="3">
        <v>3.416277477811057</v>
      </c>
      <c r="AF49" s="3">
        <v>0</v>
      </c>
      <c r="AG49" s="3">
        <v>0</v>
      </c>
      <c r="AH49" s="3">
        <v>0</v>
      </c>
      <c r="AI49" s="10">
        <v>0</v>
      </c>
      <c r="AJ49" s="3">
        <v>0</v>
      </c>
      <c r="AK49" s="3">
        <v>0</v>
      </c>
      <c r="AL49" s="3">
        <v>0</v>
      </c>
      <c r="AM49" s="3">
        <v>0</v>
      </c>
      <c r="AN49" s="10">
        <v>0</v>
      </c>
      <c r="AO49" s="10">
        <v>0</v>
      </c>
      <c r="AP49" s="10">
        <v>0</v>
      </c>
      <c r="AQ49" s="10">
        <v>0</v>
      </c>
      <c r="AR49" s="10">
        <v>0</v>
      </c>
      <c r="AS49" s="10">
        <v>0</v>
      </c>
      <c r="AT49" s="10">
        <v>0</v>
      </c>
      <c r="AU49" s="10">
        <v>0</v>
      </c>
      <c r="AV49" s="10">
        <v>0</v>
      </c>
      <c r="AW49" s="3">
        <v>0</v>
      </c>
      <c r="AX49" s="3">
        <v>0</v>
      </c>
      <c r="AY49" s="3">
        <v>0</v>
      </c>
      <c r="AZ49" s="3">
        <v>0</v>
      </c>
      <c r="BA49" s="10">
        <v>0</v>
      </c>
      <c r="BB49" s="10">
        <v>0</v>
      </c>
      <c r="BC49" s="10">
        <v>0</v>
      </c>
      <c r="BD49" s="10">
        <v>0</v>
      </c>
      <c r="BE49" s="10">
        <v>0</v>
      </c>
      <c r="BF49" s="10">
        <v>0</v>
      </c>
      <c r="BG49" s="10">
        <v>0</v>
      </c>
      <c r="BH49" s="10">
        <v>0</v>
      </c>
      <c r="BI49" s="10">
        <v>0</v>
      </c>
      <c r="BJ49" s="10">
        <v>0</v>
      </c>
      <c r="BK49" s="10">
        <v>0</v>
      </c>
      <c r="BL49" s="10">
        <v>0</v>
      </c>
      <c r="BM49" s="10">
        <v>0</v>
      </c>
      <c r="BN49" s="10">
        <v>0</v>
      </c>
      <c r="BO49" s="10">
        <v>0</v>
      </c>
      <c r="BP49" s="10">
        <v>0</v>
      </c>
      <c r="BQ49" s="10">
        <v>0</v>
      </c>
      <c r="BR49" s="10">
        <v>0</v>
      </c>
      <c r="BS49" s="10">
        <v>0</v>
      </c>
      <c r="BT49" s="10">
        <v>0</v>
      </c>
      <c r="BU49" s="10">
        <v>0</v>
      </c>
      <c r="BV49" s="10">
        <v>0</v>
      </c>
      <c r="BW49" s="10">
        <v>0</v>
      </c>
      <c r="BX49" s="10">
        <v>0</v>
      </c>
      <c r="BY49" s="10">
        <v>0</v>
      </c>
      <c r="BZ49" s="10">
        <v>0</v>
      </c>
      <c r="CA49" s="10">
        <v>0.38703526211821893</v>
      </c>
      <c r="CB49" s="10">
        <v>0</v>
      </c>
      <c r="CC49" s="10">
        <v>0</v>
      </c>
      <c r="CD49" s="10">
        <v>0</v>
      </c>
      <c r="CE49" s="10">
        <v>0</v>
      </c>
      <c r="CF49" s="10">
        <v>0</v>
      </c>
      <c r="CG49" s="10">
        <v>0</v>
      </c>
      <c r="CH49" s="10">
        <v>0</v>
      </c>
      <c r="CI49" s="10">
        <v>0</v>
      </c>
      <c r="CJ49" s="10">
        <v>0</v>
      </c>
      <c r="CK49" s="10">
        <v>0</v>
      </c>
      <c r="CL49" s="10">
        <v>0</v>
      </c>
      <c r="CM49" s="10">
        <v>0</v>
      </c>
      <c r="CN49" s="10">
        <v>0</v>
      </c>
      <c r="CO49" s="10">
        <v>0</v>
      </c>
      <c r="CP49" s="10">
        <v>0</v>
      </c>
      <c r="CQ49" s="10">
        <v>0</v>
      </c>
      <c r="CR49" s="10">
        <v>0</v>
      </c>
      <c r="CS49" s="10">
        <v>0</v>
      </c>
      <c r="CT49" s="10">
        <v>0</v>
      </c>
      <c r="CU49" s="10">
        <v>0</v>
      </c>
      <c r="CV49" s="10">
        <v>0</v>
      </c>
      <c r="CW49" s="10">
        <v>0</v>
      </c>
      <c r="CX49" s="10">
        <v>0</v>
      </c>
      <c r="CY49" s="10">
        <v>0</v>
      </c>
      <c r="CZ49" s="10">
        <v>0</v>
      </c>
      <c r="DA49" s="10">
        <v>0</v>
      </c>
      <c r="DB49" s="10">
        <v>0</v>
      </c>
      <c r="DC49" s="10">
        <v>0</v>
      </c>
      <c r="DD49" s="10">
        <v>0</v>
      </c>
      <c r="DE49" s="10">
        <v>0</v>
      </c>
      <c r="DF49" s="10">
        <v>0</v>
      </c>
      <c r="DG49" s="10">
        <v>0</v>
      </c>
      <c r="DH49" s="10">
        <v>0</v>
      </c>
      <c r="DI49" s="10">
        <v>0</v>
      </c>
      <c r="DJ49" s="10">
        <v>0</v>
      </c>
      <c r="DK49" s="10">
        <v>0</v>
      </c>
      <c r="DL49" s="10">
        <v>0</v>
      </c>
      <c r="DM49" s="10">
        <v>0</v>
      </c>
      <c r="DN49" s="10">
        <v>0</v>
      </c>
      <c r="DO49" s="10">
        <v>0</v>
      </c>
      <c r="DP49" s="10">
        <v>0</v>
      </c>
      <c r="DQ49" s="10">
        <v>0</v>
      </c>
      <c r="DR49" s="10">
        <v>0</v>
      </c>
      <c r="DS49" s="10">
        <v>0</v>
      </c>
      <c r="DT49" s="10">
        <v>0</v>
      </c>
      <c r="DU49" s="10">
        <v>0</v>
      </c>
      <c r="DV49" s="10">
        <v>0</v>
      </c>
      <c r="DW49" s="10">
        <v>0</v>
      </c>
      <c r="DX49" s="10">
        <v>0</v>
      </c>
      <c r="DY49" s="10">
        <v>0.54665095589585611</v>
      </c>
      <c r="DZ49" s="10">
        <v>0</v>
      </c>
      <c r="EA49" s="10">
        <v>0</v>
      </c>
      <c r="EB49" s="10">
        <v>0</v>
      </c>
      <c r="EC49" s="10">
        <v>0</v>
      </c>
      <c r="ED49" s="10">
        <v>0</v>
      </c>
      <c r="EE49" s="10">
        <v>0</v>
      </c>
      <c r="EF49" s="10">
        <v>0</v>
      </c>
      <c r="EG49" s="10">
        <v>0</v>
      </c>
      <c r="EH49" s="10">
        <v>0</v>
      </c>
      <c r="EI49" s="10">
        <v>0</v>
      </c>
      <c r="EJ49" s="10">
        <v>0</v>
      </c>
      <c r="EK49" s="10">
        <v>0</v>
      </c>
      <c r="EL49" s="10">
        <v>0</v>
      </c>
      <c r="EM49" s="10">
        <v>0</v>
      </c>
      <c r="EN49" s="10">
        <v>0</v>
      </c>
      <c r="EO49" s="10">
        <v>0</v>
      </c>
      <c r="EP49" s="10">
        <v>0</v>
      </c>
      <c r="EQ49" s="10">
        <v>0</v>
      </c>
      <c r="ER49" s="10">
        <v>0</v>
      </c>
      <c r="ES49" s="10">
        <v>0</v>
      </c>
      <c r="ET49" s="10">
        <v>0</v>
      </c>
      <c r="EU49" s="10">
        <v>0</v>
      </c>
      <c r="EV49" s="10">
        <v>0</v>
      </c>
      <c r="EW49" s="10">
        <v>0</v>
      </c>
      <c r="EX49" s="10">
        <v>0</v>
      </c>
      <c r="EY49" s="10">
        <v>0</v>
      </c>
      <c r="EZ49" s="10">
        <v>0</v>
      </c>
      <c r="FA49" s="10">
        <v>0</v>
      </c>
      <c r="FB49" s="10">
        <v>0</v>
      </c>
      <c r="FC49" s="10">
        <v>0</v>
      </c>
      <c r="FD49" s="10">
        <v>0</v>
      </c>
      <c r="FE49" s="10">
        <v>0</v>
      </c>
      <c r="FF49" s="10">
        <v>0</v>
      </c>
      <c r="FG49" s="10">
        <v>0</v>
      </c>
      <c r="FH49" s="10">
        <v>0</v>
      </c>
      <c r="FI49" s="10">
        <v>0</v>
      </c>
      <c r="FJ49" s="10">
        <v>0</v>
      </c>
      <c r="FK49" s="10">
        <v>0</v>
      </c>
      <c r="FL49" s="10">
        <v>0</v>
      </c>
      <c r="FM49" s="10">
        <v>0</v>
      </c>
      <c r="FN49" s="10">
        <v>0</v>
      </c>
      <c r="FO49" s="10">
        <v>0</v>
      </c>
      <c r="FP49" s="10">
        <v>0</v>
      </c>
      <c r="FQ49" s="10">
        <v>0</v>
      </c>
      <c r="FR49" s="10">
        <v>0</v>
      </c>
      <c r="FS49" s="10">
        <v>0</v>
      </c>
      <c r="FT49" s="10">
        <v>0</v>
      </c>
      <c r="FU49" s="10">
        <v>0</v>
      </c>
      <c r="FV49" s="10">
        <v>0</v>
      </c>
      <c r="FW49" s="10">
        <v>0</v>
      </c>
      <c r="FX49" s="10">
        <v>0</v>
      </c>
      <c r="FY49" s="10">
        <v>0</v>
      </c>
      <c r="FZ49" s="10">
        <v>0</v>
      </c>
      <c r="GA49" s="10">
        <v>0</v>
      </c>
      <c r="GB49" s="10">
        <v>0</v>
      </c>
      <c r="GC49" s="10">
        <v>0</v>
      </c>
      <c r="GD49" s="10">
        <v>0</v>
      </c>
      <c r="GE49" s="10">
        <v>0</v>
      </c>
      <c r="GF49" s="10">
        <v>0</v>
      </c>
      <c r="GG49" s="10">
        <v>0</v>
      </c>
      <c r="GH49" s="10">
        <v>0</v>
      </c>
      <c r="GI49" s="10">
        <v>0</v>
      </c>
      <c r="GJ49" s="10">
        <v>0</v>
      </c>
      <c r="GK49" s="10">
        <v>0</v>
      </c>
      <c r="GL49" s="10">
        <v>0</v>
      </c>
      <c r="GM49" s="10">
        <v>0</v>
      </c>
      <c r="GN49" s="10">
        <v>0</v>
      </c>
      <c r="GO49" s="10">
        <v>0</v>
      </c>
      <c r="GP49" s="10">
        <v>0</v>
      </c>
      <c r="GQ49" s="10">
        <v>0</v>
      </c>
      <c r="GR49" s="10">
        <v>0</v>
      </c>
      <c r="GS49" s="10">
        <v>0</v>
      </c>
      <c r="GT49" s="10">
        <v>0</v>
      </c>
      <c r="GU49" s="10">
        <v>0</v>
      </c>
      <c r="GV49" s="10">
        <v>0</v>
      </c>
      <c r="GW49" s="10">
        <v>6.6313781985924969E-2</v>
      </c>
      <c r="GX49" s="10">
        <v>0</v>
      </c>
      <c r="GY49" s="10">
        <v>0</v>
      </c>
      <c r="GZ49" s="10">
        <v>0</v>
      </c>
      <c r="HA49" s="10">
        <v>0</v>
      </c>
      <c r="HB49" s="10">
        <v>0</v>
      </c>
      <c r="HC49" s="10">
        <v>0</v>
      </c>
      <c r="HD49" s="10">
        <v>0</v>
      </c>
      <c r="HE49" s="10">
        <v>0</v>
      </c>
      <c r="HF49" s="10">
        <v>0</v>
      </c>
      <c r="HG49" s="10">
        <v>0</v>
      </c>
      <c r="HH49" s="10">
        <v>0</v>
      </c>
      <c r="HI49" s="10">
        <v>0</v>
      </c>
      <c r="HJ49" s="10">
        <v>0</v>
      </c>
      <c r="HK49" s="10">
        <v>0</v>
      </c>
      <c r="HL49" s="10">
        <v>0</v>
      </c>
      <c r="HM49" s="10">
        <v>0</v>
      </c>
      <c r="HN49" s="10">
        <v>0</v>
      </c>
      <c r="HO49" s="10">
        <v>0</v>
      </c>
      <c r="HP49" s="10">
        <v>0</v>
      </c>
      <c r="HQ49" s="10">
        <v>0</v>
      </c>
      <c r="HR49" s="10">
        <v>0</v>
      </c>
      <c r="HS49" s="10">
        <v>0</v>
      </c>
      <c r="HT49" s="10">
        <v>0</v>
      </c>
      <c r="HU49" s="10">
        <v>0</v>
      </c>
    </row>
    <row r="50" spans="1:229" x14ac:dyDescent="0.25">
      <c r="A50" s="10">
        <v>0</v>
      </c>
      <c r="B50" s="2" t="s">
        <v>88</v>
      </c>
      <c r="C50" s="2" t="s">
        <v>89</v>
      </c>
      <c r="D50" s="17">
        <v>13.327</v>
      </c>
      <c r="E50" s="3">
        <v>16.41</v>
      </c>
      <c r="F50" s="3">
        <v>8.73</v>
      </c>
      <c r="G50" s="3">
        <v>0</v>
      </c>
      <c r="H50" s="3">
        <v>7.32</v>
      </c>
      <c r="I50" s="3">
        <v>1625</v>
      </c>
      <c r="J50" s="3">
        <v>6.2190000000000003</v>
      </c>
      <c r="K50" s="3">
        <v>0.624</v>
      </c>
      <c r="L50" s="3"/>
      <c r="M50" s="2" t="str">
        <f t="shared" si="7"/>
        <v>01048</v>
      </c>
      <c r="N50" s="3">
        <v>0.33140083411582005</v>
      </c>
      <c r="O50" s="3">
        <v>1.6685991658841799</v>
      </c>
      <c r="P50" s="17">
        <v>0.33140083411566135</v>
      </c>
      <c r="Q50" s="3">
        <v>2.0288643802368007</v>
      </c>
      <c r="R50" s="3">
        <v>1.1404845144623632</v>
      </c>
      <c r="S50" s="3" t="e">
        <v>#DIV/0!</v>
      </c>
      <c r="T50" s="3">
        <v>0.33140083411581767</v>
      </c>
      <c r="U50" s="3">
        <v>0.18677345763926581</v>
      </c>
      <c r="V50" s="3">
        <v>1.6685991658840569</v>
      </c>
      <c r="W50" s="3">
        <v>4.0175809271235439</v>
      </c>
      <c r="X50" s="3">
        <v>4.4165789162594189</v>
      </c>
      <c r="Y50" s="3">
        <v>33.293664479685901</v>
      </c>
      <c r="Z50" s="3">
        <v>9.9564298112564309</v>
      </c>
      <c r="AA50" s="3">
        <v>3.0163860158786822</v>
      </c>
      <c r="AB50" s="3">
        <v>2.4258541057277854</v>
      </c>
      <c r="AC50" s="3">
        <v>303.50686866380693</v>
      </c>
      <c r="AD50" s="3">
        <v>10.377018212632951</v>
      </c>
      <c r="AE50" s="3">
        <v>2.5069704985250914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10">
        <v>0</v>
      </c>
      <c r="BB50" s="10">
        <v>0</v>
      </c>
      <c r="BC50" s="10">
        <v>0</v>
      </c>
      <c r="BD50" s="10">
        <v>0</v>
      </c>
      <c r="BE50" s="10">
        <v>0</v>
      </c>
      <c r="BF50" s="10">
        <v>0</v>
      </c>
      <c r="BG50" s="10">
        <v>0</v>
      </c>
      <c r="BH50" s="10">
        <v>0</v>
      </c>
      <c r="BI50" s="10">
        <v>0</v>
      </c>
      <c r="BJ50" s="10">
        <v>0</v>
      </c>
      <c r="BK50" s="10">
        <v>0</v>
      </c>
      <c r="BL50" s="10">
        <v>0</v>
      </c>
      <c r="BM50" s="10">
        <v>0</v>
      </c>
      <c r="BN50" s="10">
        <v>0</v>
      </c>
      <c r="BO50" s="10">
        <v>0</v>
      </c>
      <c r="BP50" s="10">
        <v>0</v>
      </c>
      <c r="BQ50" s="10">
        <v>0</v>
      </c>
      <c r="BR50" s="10">
        <v>0</v>
      </c>
      <c r="BS50" s="10">
        <v>0</v>
      </c>
      <c r="BT50" s="10">
        <v>0</v>
      </c>
      <c r="BU50" s="10">
        <v>0</v>
      </c>
      <c r="BV50" s="10">
        <v>0</v>
      </c>
      <c r="BW50" s="10">
        <v>0</v>
      </c>
      <c r="BX50" s="10">
        <v>0</v>
      </c>
      <c r="BY50" s="10">
        <v>0</v>
      </c>
      <c r="BZ50" s="10">
        <v>0</v>
      </c>
      <c r="CA50" s="10">
        <v>0.30845721436836165</v>
      </c>
      <c r="CB50" s="10">
        <v>0</v>
      </c>
      <c r="CC50" s="10">
        <v>0</v>
      </c>
      <c r="CD50" s="10">
        <v>0</v>
      </c>
      <c r="CE50" s="10">
        <v>0</v>
      </c>
      <c r="CF50" s="10">
        <v>0</v>
      </c>
      <c r="CG50" s="10">
        <v>0</v>
      </c>
      <c r="CH50" s="10">
        <v>0</v>
      </c>
      <c r="CI50" s="10">
        <v>0</v>
      </c>
      <c r="CJ50" s="10">
        <v>0</v>
      </c>
      <c r="CK50" s="10">
        <v>0</v>
      </c>
      <c r="CL50" s="10">
        <v>0</v>
      </c>
      <c r="CM50" s="10">
        <v>0</v>
      </c>
      <c r="CN50" s="10">
        <v>0</v>
      </c>
      <c r="CO50" s="10">
        <v>0</v>
      </c>
      <c r="CP50" s="10">
        <v>0</v>
      </c>
      <c r="CQ50" s="10">
        <v>0</v>
      </c>
      <c r="CR50" s="10">
        <v>0</v>
      </c>
      <c r="CS50" s="10">
        <v>0</v>
      </c>
      <c r="CT50" s="10">
        <v>0</v>
      </c>
      <c r="CU50" s="10">
        <v>0</v>
      </c>
      <c r="CV50" s="10">
        <v>0</v>
      </c>
      <c r="CW50" s="10">
        <v>0</v>
      </c>
      <c r="CX50" s="10">
        <v>0</v>
      </c>
      <c r="CY50" s="10">
        <v>0</v>
      </c>
      <c r="CZ50" s="10">
        <v>0</v>
      </c>
      <c r="DA50" s="10">
        <v>0</v>
      </c>
      <c r="DB50" s="10">
        <v>0</v>
      </c>
      <c r="DC50" s="10">
        <v>0</v>
      </c>
      <c r="DD50" s="10">
        <v>0</v>
      </c>
      <c r="DE50" s="10">
        <v>0</v>
      </c>
      <c r="DF50" s="10">
        <v>0</v>
      </c>
      <c r="DG50" s="10">
        <v>0</v>
      </c>
      <c r="DH50" s="10">
        <v>0</v>
      </c>
      <c r="DI50" s="10">
        <v>0</v>
      </c>
      <c r="DJ50" s="10">
        <v>0</v>
      </c>
      <c r="DK50" s="10">
        <v>0</v>
      </c>
      <c r="DL50" s="10">
        <v>0</v>
      </c>
      <c r="DM50" s="10">
        <v>0</v>
      </c>
      <c r="DN50" s="10">
        <v>0</v>
      </c>
      <c r="DO50" s="10">
        <v>0</v>
      </c>
      <c r="DP50" s="10">
        <v>0</v>
      </c>
      <c r="DQ50" s="10">
        <v>0</v>
      </c>
      <c r="DR50" s="10">
        <v>0</v>
      </c>
      <c r="DS50" s="10">
        <v>0</v>
      </c>
      <c r="DT50" s="10">
        <v>0</v>
      </c>
      <c r="DU50" s="10">
        <v>0</v>
      </c>
      <c r="DV50" s="10">
        <v>0</v>
      </c>
      <c r="DW50" s="10">
        <v>0</v>
      </c>
      <c r="DX50" s="10">
        <v>0</v>
      </c>
      <c r="DY50" s="10">
        <v>0.26669968480365652</v>
      </c>
      <c r="DZ50" s="10">
        <v>0</v>
      </c>
      <c r="EA50" s="10">
        <v>0</v>
      </c>
      <c r="EB50" s="10">
        <v>0</v>
      </c>
      <c r="EC50" s="10">
        <v>0</v>
      </c>
      <c r="ED50" s="10">
        <v>0</v>
      </c>
      <c r="EE50" s="10">
        <v>0</v>
      </c>
      <c r="EF50" s="10">
        <v>0</v>
      </c>
      <c r="EG50" s="10">
        <v>0</v>
      </c>
      <c r="EH50" s="10">
        <v>0</v>
      </c>
      <c r="EI50" s="10">
        <v>0</v>
      </c>
      <c r="EJ50" s="10">
        <v>0</v>
      </c>
      <c r="EK50" s="10">
        <v>0</v>
      </c>
      <c r="EL50" s="10">
        <v>0</v>
      </c>
      <c r="EM50" s="10">
        <v>0</v>
      </c>
      <c r="EN50" s="10">
        <v>0</v>
      </c>
      <c r="EO50" s="10">
        <v>0</v>
      </c>
      <c r="EP50" s="10">
        <v>0</v>
      </c>
      <c r="EQ50" s="10">
        <v>0</v>
      </c>
      <c r="ER50" s="10">
        <v>0</v>
      </c>
      <c r="ES50" s="10">
        <v>0</v>
      </c>
      <c r="ET50" s="10">
        <v>0</v>
      </c>
      <c r="EU50" s="10">
        <v>0</v>
      </c>
      <c r="EV50" s="10">
        <v>0</v>
      </c>
      <c r="EW50" s="10">
        <v>0</v>
      </c>
      <c r="EX50" s="10">
        <v>0</v>
      </c>
      <c r="EY50" s="10">
        <v>0</v>
      </c>
      <c r="EZ50" s="10">
        <v>0</v>
      </c>
      <c r="FA50" s="10">
        <v>0</v>
      </c>
      <c r="FB50" s="10">
        <v>0</v>
      </c>
      <c r="FC50" s="10">
        <v>0</v>
      </c>
      <c r="FD50" s="10">
        <v>0</v>
      </c>
      <c r="FE50" s="10">
        <v>0</v>
      </c>
      <c r="FF50" s="10">
        <v>0</v>
      </c>
      <c r="FG50" s="10">
        <v>0</v>
      </c>
      <c r="FH50" s="10">
        <v>0</v>
      </c>
      <c r="FI50" s="10">
        <v>0</v>
      </c>
      <c r="FJ50" s="10">
        <v>0</v>
      </c>
      <c r="FK50" s="10">
        <v>0</v>
      </c>
      <c r="FL50" s="10">
        <v>0</v>
      </c>
      <c r="FM50" s="10">
        <v>0</v>
      </c>
      <c r="FN50" s="10">
        <v>0</v>
      </c>
      <c r="FO50" s="10">
        <v>0</v>
      </c>
      <c r="FP50" s="10">
        <v>0</v>
      </c>
      <c r="FQ50" s="10">
        <v>0</v>
      </c>
      <c r="FR50" s="10">
        <v>0</v>
      </c>
      <c r="FS50" s="10">
        <v>0</v>
      </c>
      <c r="FT50" s="10">
        <v>0</v>
      </c>
      <c r="FU50" s="10">
        <v>0</v>
      </c>
      <c r="FV50" s="10">
        <v>0</v>
      </c>
      <c r="FW50" s="10">
        <v>0</v>
      </c>
      <c r="FX50" s="10">
        <v>0</v>
      </c>
      <c r="FY50" s="10">
        <v>0</v>
      </c>
      <c r="FZ50" s="10">
        <v>0</v>
      </c>
      <c r="GA50" s="10">
        <v>0.42484310082798343</v>
      </c>
      <c r="GB50" s="10">
        <v>0</v>
      </c>
      <c r="GC50" s="10">
        <v>0</v>
      </c>
      <c r="GD50" s="10">
        <v>0</v>
      </c>
      <c r="GE50" s="10">
        <v>0</v>
      </c>
      <c r="GF50" s="10">
        <v>0</v>
      </c>
      <c r="GG50" s="10">
        <v>0</v>
      </c>
      <c r="GH50" s="10">
        <v>0</v>
      </c>
      <c r="GI50" s="10">
        <v>0</v>
      </c>
      <c r="GJ50" s="10">
        <v>0</v>
      </c>
      <c r="GK50" s="10">
        <v>0</v>
      </c>
      <c r="GL50" s="10">
        <v>0</v>
      </c>
      <c r="GM50" s="10">
        <v>0</v>
      </c>
      <c r="GN50" s="10">
        <v>0</v>
      </c>
      <c r="GO50" s="10">
        <v>0</v>
      </c>
      <c r="GP50" s="10">
        <v>0</v>
      </c>
      <c r="GQ50" s="10">
        <v>0</v>
      </c>
      <c r="GR50" s="10">
        <v>0</v>
      </c>
      <c r="GS50" s="10">
        <v>0</v>
      </c>
      <c r="GT50" s="10">
        <v>0</v>
      </c>
      <c r="GU50" s="10">
        <v>0</v>
      </c>
      <c r="GV50" s="10">
        <v>0</v>
      </c>
      <c r="GW50" s="10">
        <v>0</v>
      </c>
      <c r="GX50" s="10">
        <v>0</v>
      </c>
      <c r="GY50" s="10">
        <v>0</v>
      </c>
      <c r="GZ50" s="10">
        <v>0</v>
      </c>
      <c r="HA50" s="10">
        <v>0</v>
      </c>
      <c r="HB50" s="10">
        <v>0</v>
      </c>
      <c r="HC50" s="10">
        <v>0</v>
      </c>
      <c r="HD50" s="10">
        <v>0</v>
      </c>
      <c r="HE50" s="10">
        <v>0</v>
      </c>
      <c r="HF50" s="10">
        <v>0</v>
      </c>
      <c r="HG50" s="10">
        <v>0</v>
      </c>
      <c r="HH50" s="10">
        <v>0</v>
      </c>
      <c r="HI50" s="10">
        <v>0</v>
      </c>
      <c r="HJ50" s="10">
        <v>0</v>
      </c>
      <c r="HK50" s="10">
        <v>0</v>
      </c>
      <c r="HL50" s="10">
        <v>0</v>
      </c>
      <c r="HM50" s="10">
        <v>0</v>
      </c>
      <c r="HN50" s="10">
        <v>0</v>
      </c>
      <c r="HO50" s="10">
        <v>0</v>
      </c>
      <c r="HP50" s="10">
        <v>0</v>
      </c>
      <c r="HQ50" s="10">
        <v>0</v>
      </c>
      <c r="HR50" s="10">
        <v>0</v>
      </c>
      <c r="HS50" s="10">
        <v>0</v>
      </c>
      <c r="HT50" s="10">
        <v>0</v>
      </c>
      <c r="HU50" s="10">
        <v>0</v>
      </c>
    </row>
    <row r="51" spans="1:229" x14ac:dyDescent="0.25">
      <c r="A51" s="10">
        <v>0</v>
      </c>
      <c r="B51" s="2" t="s">
        <v>90</v>
      </c>
      <c r="C51" s="2" t="s">
        <v>91</v>
      </c>
      <c r="D51" s="17">
        <v>7.032</v>
      </c>
      <c r="E51" s="3">
        <v>3.13</v>
      </c>
      <c r="F51" s="3">
        <v>4.7300000000000004</v>
      </c>
      <c r="G51" s="3">
        <v>0</v>
      </c>
      <c r="H51" s="3">
        <v>4.13</v>
      </c>
      <c r="I51" s="3">
        <v>61</v>
      </c>
      <c r="J51" s="3">
        <v>3.32</v>
      </c>
      <c r="K51" s="3">
        <v>0.55400000000000005</v>
      </c>
      <c r="L51" s="3"/>
      <c r="M51" s="2" t="str">
        <f t="shared" si="7"/>
        <v>01049</v>
      </c>
      <c r="N51" s="3">
        <v>0.57715321868384706</v>
      </c>
      <c r="O51" s="3">
        <v>1.4228467813161529</v>
      </c>
      <c r="P51" s="17">
        <v>0.57715321868385872</v>
      </c>
      <c r="Q51" s="3">
        <v>2.1769349054753246</v>
      </c>
      <c r="R51" s="3">
        <v>0.99390713809260745</v>
      </c>
      <c r="S51" s="3" t="e">
        <v>#DIV/0!</v>
      </c>
      <c r="T51" s="3">
        <v>0.57715321868385083</v>
      </c>
      <c r="U51" s="3">
        <v>0.57715321868384706</v>
      </c>
      <c r="V51" s="3">
        <v>1.4228467813161527</v>
      </c>
      <c r="W51" s="3">
        <v>2.9898087416869736</v>
      </c>
      <c r="X51" s="3">
        <v>4.0585414337848942</v>
      </c>
      <c r="Y51" s="3">
        <v>6.8138062541377664</v>
      </c>
      <c r="Z51" s="3">
        <v>4.7011807631780336</v>
      </c>
      <c r="AA51" s="3">
        <v>0</v>
      </c>
      <c r="AB51" s="3">
        <v>2.3836427931643041</v>
      </c>
      <c r="AC51" s="3">
        <v>35.206346339714671</v>
      </c>
      <c r="AD51" s="3">
        <v>4.723851313969627</v>
      </c>
      <c r="AE51" s="3">
        <v>1.6563540428945835</v>
      </c>
      <c r="AF51" s="3">
        <v>0</v>
      </c>
      <c r="AG51" s="3">
        <v>0</v>
      </c>
      <c r="AH51" s="3">
        <v>0</v>
      </c>
      <c r="AI51" s="10">
        <v>0</v>
      </c>
      <c r="AJ51" s="3">
        <v>0</v>
      </c>
      <c r="AK51" s="3">
        <v>0</v>
      </c>
      <c r="AL51" s="3">
        <v>0</v>
      </c>
      <c r="AM51" s="3">
        <v>0</v>
      </c>
      <c r="AN51" s="10">
        <v>0</v>
      </c>
      <c r="AO51" s="10">
        <v>0</v>
      </c>
      <c r="AP51" s="10">
        <v>0</v>
      </c>
      <c r="AQ51" s="10">
        <v>0</v>
      </c>
      <c r="AR51" s="10">
        <v>0</v>
      </c>
      <c r="AS51" s="10">
        <v>0</v>
      </c>
      <c r="AT51" s="10">
        <v>0</v>
      </c>
      <c r="AU51" s="10">
        <v>0</v>
      </c>
      <c r="AV51" s="10">
        <v>0</v>
      </c>
      <c r="AW51" s="3">
        <v>0</v>
      </c>
      <c r="AX51" s="3">
        <v>0</v>
      </c>
      <c r="AY51" s="3">
        <v>0</v>
      </c>
      <c r="AZ51" s="3">
        <v>0</v>
      </c>
      <c r="BA51" s="10">
        <v>0</v>
      </c>
      <c r="BB51" s="10">
        <v>0</v>
      </c>
      <c r="BC51" s="10">
        <v>0</v>
      </c>
      <c r="BD51" s="10">
        <v>0</v>
      </c>
      <c r="BE51" s="10">
        <v>0</v>
      </c>
      <c r="BF51" s="10">
        <v>0</v>
      </c>
      <c r="BG51" s="10">
        <v>0</v>
      </c>
      <c r="BH51" s="10">
        <v>0</v>
      </c>
      <c r="BI51" s="10">
        <v>0</v>
      </c>
      <c r="BJ51" s="10">
        <v>0</v>
      </c>
      <c r="BK51" s="10">
        <v>0</v>
      </c>
      <c r="BL51" s="10">
        <v>0</v>
      </c>
      <c r="BM51" s="10">
        <v>0</v>
      </c>
      <c r="BN51" s="10">
        <v>0</v>
      </c>
      <c r="BO51" s="10">
        <v>0</v>
      </c>
      <c r="BP51" s="10">
        <v>0</v>
      </c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10">
        <v>0.2876490806916272</v>
      </c>
      <c r="CB51" s="10">
        <v>0</v>
      </c>
      <c r="CC51" s="10">
        <v>0</v>
      </c>
      <c r="CD51" s="10">
        <v>0</v>
      </c>
      <c r="CE51" s="10">
        <v>0</v>
      </c>
      <c r="CF51" s="10">
        <v>0</v>
      </c>
      <c r="CG51" s="10">
        <v>0</v>
      </c>
      <c r="CH51" s="10">
        <v>0</v>
      </c>
      <c r="CI51" s="10">
        <v>0</v>
      </c>
      <c r="CJ51" s="10">
        <v>0</v>
      </c>
      <c r="CK51" s="10">
        <v>0</v>
      </c>
      <c r="CL51" s="10">
        <v>0</v>
      </c>
      <c r="CM51" s="10">
        <v>0</v>
      </c>
      <c r="CN51" s="10">
        <v>0</v>
      </c>
      <c r="CO51" s="10">
        <v>0</v>
      </c>
      <c r="CP51" s="10">
        <v>0</v>
      </c>
      <c r="CQ51" s="10">
        <v>0</v>
      </c>
      <c r="CR51" s="10">
        <v>0</v>
      </c>
      <c r="CS51" s="10">
        <v>0.21863178510343445</v>
      </c>
      <c r="CT51" s="10">
        <v>0</v>
      </c>
      <c r="CU51" s="10">
        <v>0</v>
      </c>
      <c r="CV51" s="10">
        <v>0</v>
      </c>
      <c r="CW51" s="10">
        <v>0</v>
      </c>
      <c r="CX51" s="10">
        <v>0</v>
      </c>
      <c r="CY51" s="10">
        <v>0</v>
      </c>
      <c r="CZ51" s="10">
        <v>0</v>
      </c>
      <c r="DA51" s="10">
        <v>0</v>
      </c>
      <c r="DB51" s="10">
        <v>0</v>
      </c>
      <c r="DC51" s="10">
        <v>0</v>
      </c>
      <c r="DD51" s="10">
        <v>0.17884080828565885</v>
      </c>
      <c r="DE51" s="10">
        <v>0</v>
      </c>
      <c r="DF51" s="10">
        <v>0</v>
      </c>
      <c r="DG51" s="10">
        <v>0</v>
      </c>
      <c r="DH51" s="10">
        <v>0</v>
      </c>
      <c r="DI51" s="10">
        <v>0</v>
      </c>
      <c r="DJ51" s="10">
        <v>0</v>
      </c>
      <c r="DK51" s="10">
        <v>0</v>
      </c>
      <c r="DL51" s="10">
        <v>0</v>
      </c>
      <c r="DM51" s="10">
        <v>0</v>
      </c>
      <c r="DN51" s="10">
        <v>0</v>
      </c>
      <c r="DO51" s="10">
        <v>0</v>
      </c>
      <c r="DP51" s="10">
        <v>0</v>
      </c>
      <c r="DQ51" s="10">
        <v>0</v>
      </c>
      <c r="DR51" s="10">
        <v>0</v>
      </c>
      <c r="DS51" s="10">
        <v>0.3148783259192795</v>
      </c>
      <c r="DT51" s="10">
        <v>0</v>
      </c>
      <c r="DU51" s="10">
        <v>0</v>
      </c>
      <c r="DV51" s="10">
        <v>0</v>
      </c>
      <c r="DW51" s="10">
        <v>0</v>
      </c>
      <c r="DX51" s="10">
        <v>0</v>
      </c>
      <c r="DY51" s="10">
        <v>0</v>
      </c>
      <c r="DZ51" s="10">
        <v>0</v>
      </c>
      <c r="EA51" s="10">
        <v>0</v>
      </c>
      <c r="EB51" s="10">
        <v>0</v>
      </c>
      <c r="EC51" s="10">
        <v>0</v>
      </c>
      <c r="ED51" s="10">
        <v>0</v>
      </c>
      <c r="EE51" s="10">
        <v>0</v>
      </c>
      <c r="EF51" s="10">
        <v>0</v>
      </c>
      <c r="EG51" s="10">
        <v>0</v>
      </c>
      <c r="EH51" s="10">
        <v>0</v>
      </c>
      <c r="EI51" s="10">
        <v>0</v>
      </c>
      <c r="EJ51" s="10">
        <v>0</v>
      </c>
      <c r="EK51" s="10">
        <v>0</v>
      </c>
      <c r="EL51" s="10">
        <v>0</v>
      </c>
      <c r="EM51" s="10">
        <v>0</v>
      </c>
      <c r="EN51" s="10">
        <v>0</v>
      </c>
      <c r="EO51" s="10">
        <v>0</v>
      </c>
      <c r="EP51" s="10">
        <v>0</v>
      </c>
      <c r="EQ51" s="10">
        <v>0</v>
      </c>
      <c r="ER51" s="10">
        <v>0</v>
      </c>
      <c r="ES51" s="10">
        <v>0</v>
      </c>
      <c r="ET51" s="10">
        <v>0</v>
      </c>
      <c r="EU51" s="10">
        <v>0</v>
      </c>
      <c r="EV51" s="10">
        <v>0</v>
      </c>
      <c r="EW51" s="10">
        <v>0</v>
      </c>
      <c r="EX51" s="10">
        <v>0</v>
      </c>
      <c r="EY51" s="10">
        <v>0</v>
      </c>
      <c r="EZ51" s="10">
        <v>0</v>
      </c>
      <c r="FA51" s="10">
        <v>0</v>
      </c>
      <c r="FB51" s="10">
        <v>0</v>
      </c>
      <c r="FC51" s="10">
        <v>0</v>
      </c>
      <c r="FD51" s="10">
        <v>0</v>
      </c>
      <c r="FE51" s="10">
        <v>0</v>
      </c>
      <c r="FF51" s="10">
        <v>0</v>
      </c>
      <c r="FG51" s="10">
        <v>0</v>
      </c>
      <c r="FH51" s="10">
        <v>0</v>
      </c>
      <c r="FI51" s="10">
        <v>0</v>
      </c>
      <c r="FJ51" s="10">
        <v>0</v>
      </c>
      <c r="FK51" s="10">
        <v>0</v>
      </c>
      <c r="FL51" s="10">
        <v>0</v>
      </c>
      <c r="FM51" s="10">
        <v>0</v>
      </c>
      <c r="FN51" s="10">
        <v>0</v>
      </c>
      <c r="FO51" s="10">
        <v>0</v>
      </c>
      <c r="FP51" s="10">
        <v>0</v>
      </c>
      <c r="FQ51" s="10">
        <v>0</v>
      </c>
      <c r="FR51" s="10">
        <v>0</v>
      </c>
      <c r="FS51" s="10">
        <v>0</v>
      </c>
      <c r="FT51" s="10">
        <v>0</v>
      </c>
      <c r="FU51" s="10">
        <v>0</v>
      </c>
      <c r="FV51" s="10">
        <v>0</v>
      </c>
      <c r="FW51" s="10">
        <v>0</v>
      </c>
      <c r="FX51" s="10">
        <v>0</v>
      </c>
      <c r="FY51" s="10">
        <v>0</v>
      </c>
      <c r="FZ51" s="10">
        <v>0</v>
      </c>
      <c r="GA51" s="10">
        <v>0</v>
      </c>
      <c r="GB51" s="10">
        <v>0</v>
      </c>
      <c r="GC51" s="10">
        <v>0</v>
      </c>
      <c r="GD51" s="10">
        <v>0</v>
      </c>
      <c r="GE51" s="10">
        <v>0</v>
      </c>
      <c r="GF51" s="10">
        <v>0</v>
      </c>
      <c r="GG51" s="10">
        <v>0</v>
      </c>
      <c r="GH51" s="10">
        <v>0</v>
      </c>
      <c r="GI51" s="10">
        <v>0</v>
      </c>
      <c r="GJ51" s="10">
        <v>0</v>
      </c>
      <c r="GK51" s="10">
        <v>0</v>
      </c>
      <c r="GL51" s="10">
        <v>0</v>
      </c>
      <c r="GM51" s="10">
        <v>0</v>
      </c>
      <c r="GN51" s="10">
        <v>0</v>
      </c>
      <c r="GO51" s="10">
        <v>0</v>
      </c>
      <c r="GP51" s="10">
        <v>0</v>
      </c>
      <c r="GQ51" s="10">
        <v>0</v>
      </c>
      <c r="GR51" s="10">
        <v>0</v>
      </c>
      <c r="GS51" s="10">
        <v>0</v>
      </c>
      <c r="GT51" s="10">
        <v>0</v>
      </c>
      <c r="GU51" s="10">
        <v>0</v>
      </c>
      <c r="GV51" s="10">
        <v>0</v>
      </c>
      <c r="GW51" s="10">
        <v>0</v>
      </c>
      <c r="GX51" s="10">
        <v>0</v>
      </c>
      <c r="GY51" s="10">
        <v>0</v>
      </c>
      <c r="GZ51" s="10">
        <v>0</v>
      </c>
      <c r="HA51" s="10">
        <v>0</v>
      </c>
      <c r="HB51" s="10">
        <v>0</v>
      </c>
      <c r="HC51" s="10">
        <v>0</v>
      </c>
      <c r="HD51" s="10">
        <v>0</v>
      </c>
      <c r="HE51" s="10">
        <v>0</v>
      </c>
      <c r="HF51" s="10">
        <v>0</v>
      </c>
      <c r="HG51" s="10">
        <v>0</v>
      </c>
      <c r="HH51" s="10">
        <v>0</v>
      </c>
      <c r="HI51" s="10">
        <v>0</v>
      </c>
      <c r="HJ51" s="10">
        <v>0</v>
      </c>
      <c r="HK51" s="10">
        <v>0</v>
      </c>
      <c r="HL51" s="10">
        <v>0</v>
      </c>
      <c r="HM51" s="10">
        <v>0</v>
      </c>
      <c r="HN51" s="10">
        <v>0</v>
      </c>
      <c r="HO51" s="10">
        <v>0</v>
      </c>
      <c r="HP51" s="10">
        <v>0</v>
      </c>
      <c r="HQ51" s="10">
        <v>0</v>
      </c>
      <c r="HR51" s="10">
        <v>0</v>
      </c>
      <c r="HS51" s="10">
        <v>0</v>
      </c>
      <c r="HT51" s="10">
        <v>0</v>
      </c>
      <c r="HU51" s="10">
        <v>0</v>
      </c>
    </row>
    <row r="52" spans="1:229" x14ac:dyDescent="0.25">
      <c r="A52" s="10">
        <v>0</v>
      </c>
      <c r="B52" s="2" t="s">
        <v>92</v>
      </c>
      <c r="C52" s="2" t="s">
        <v>93</v>
      </c>
      <c r="D52" s="17">
        <v>19.337</v>
      </c>
      <c r="E52" s="3">
        <v>2.17</v>
      </c>
      <c r="F52" s="3">
        <v>2.96</v>
      </c>
      <c r="G52" s="3">
        <v>0</v>
      </c>
      <c r="H52" s="21">
        <v>2.96</v>
      </c>
      <c r="I52" s="3">
        <v>34</v>
      </c>
      <c r="J52" s="3">
        <v>9.093</v>
      </c>
      <c r="K52" s="3">
        <v>0.88400000000000001</v>
      </c>
      <c r="L52" s="3"/>
      <c r="M52" s="2" t="str">
        <f t="shared" si="7"/>
        <v>01052</v>
      </c>
      <c r="N52" s="3">
        <v>0.79066501533212463</v>
      </c>
      <c r="O52" s="3">
        <v>1.2093349846678754</v>
      </c>
      <c r="P52" s="17">
        <v>0.79066501533213318</v>
      </c>
      <c r="Q52" s="3">
        <v>4.369725898991315</v>
      </c>
      <c r="R52" s="3">
        <v>1.1182398422279947</v>
      </c>
      <c r="S52" s="3" t="e">
        <v>#DIV/0!</v>
      </c>
      <c r="T52" s="3">
        <v>0.57146889858547967</v>
      </c>
      <c r="U52" s="3">
        <v>0.7906650153321243</v>
      </c>
      <c r="V52" s="3">
        <v>1.2093349846678751</v>
      </c>
      <c r="W52" s="3">
        <v>3.2274790480368818</v>
      </c>
      <c r="X52" s="3">
        <v>15.289089401477458</v>
      </c>
      <c r="Y52" s="3">
        <v>9.4823052008111528</v>
      </c>
      <c r="Z52" s="3">
        <v>3.3099899329948643</v>
      </c>
      <c r="AA52" s="3">
        <v>0</v>
      </c>
      <c r="AB52" s="3">
        <v>1.6915479398130198</v>
      </c>
      <c r="AC52" s="3">
        <v>26.882610521292225</v>
      </c>
      <c r="AD52" s="3">
        <v>10.996483015584989</v>
      </c>
      <c r="AE52" s="3">
        <v>2.8530914784646035</v>
      </c>
      <c r="AF52" s="3">
        <v>0</v>
      </c>
      <c r="AG52" s="3">
        <v>0</v>
      </c>
      <c r="AH52" s="3">
        <v>0.15365670418071581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10">
        <v>0</v>
      </c>
      <c r="BB52" s="10">
        <v>0</v>
      </c>
      <c r="BC52" s="10">
        <v>0</v>
      </c>
      <c r="BD52" s="10">
        <v>0</v>
      </c>
      <c r="BE52" s="10">
        <v>0</v>
      </c>
      <c r="BF52" s="10">
        <v>0</v>
      </c>
      <c r="BG52" s="10">
        <v>0</v>
      </c>
      <c r="BH52" s="10">
        <v>0</v>
      </c>
      <c r="BI52" s="10">
        <v>0</v>
      </c>
      <c r="BJ52" s="10">
        <v>0</v>
      </c>
      <c r="BK52" s="10">
        <v>0</v>
      </c>
      <c r="BL52" s="10">
        <v>0</v>
      </c>
      <c r="BM52" s="10">
        <v>0</v>
      </c>
      <c r="BN52" s="10">
        <v>0</v>
      </c>
      <c r="BO52" s="10">
        <v>0</v>
      </c>
      <c r="BP52" s="10">
        <v>0</v>
      </c>
      <c r="BQ52" s="10">
        <v>0</v>
      </c>
      <c r="BR52" s="10">
        <v>0</v>
      </c>
      <c r="BS52" s="10">
        <v>0</v>
      </c>
      <c r="BT52" s="10">
        <v>0</v>
      </c>
      <c r="BU52" s="10">
        <v>0</v>
      </c>
      <c r="BV52" s="10">
        <v>0</v>
      </c>
      <c r="BW52" s="10">
        <v>0</v>
      </c>
      <c r="BX52" s="10">
        <v>0</v>
      </c>
      <c r="BY52" s="10">
        <v>0</v>
      </c>
      <c r="BZ52" s="10">
        <v>0</v>
      </c>
      <c r="CA52" s="10">
        <v>0</v>
      </c>
      <c r="CB52" s="10">
        <v>0</v>
      </c>
      <c r="CC52" s="10">
        <v>0</v>
      </c>
      <c r="CD52" s="10">
        <v>0</v>
      </c>
      <c r="CE52" s="10">
        <v>0</v>
      </c>
      <c r="CF52" s="10">
        <v>0</v>
      </c>
      <c r="CG52" s="10">
        <v>0</v>
      </c>
      <c r="CH52" s="10">
        <v>0</v>
      </c>
      <c r="CI52" s="10">
        <v>0</v>
      </c>
      <c r="CJ52" s="10">
        <v>0</v>
      </c>
      <c r="CK52" s="10">
        <v>0</v>
      </c>
      <c r="CL52" s="10">
        <v>0</v>
      </c>
      <c r="CM52" s="10">
        <v>0</v>
      </c>
      <c r="CN52" s="10">
        <v>0</v>
      </c>
      <c r="CO52" s="10">
        <v>0</v>
      </c>
      <c r="CP52" s="10">
        <v>0</v>
      </c>
      <c r="CQ52" s="10">
        <v>0</v>
      </c>
      <c r="CR52" s="10">
        <v>0</v>
      </c>
      <c r="CS52" s="10">
        <v>0.31220402414210785</v>
      </c>
      <c r="CT52" s="10">
        <v>0</v>
      </c>
      <c r="CU52" s="10">
        <v>0</v>
      </c>
      <c r="CV52" s="10">
        <v>0</v>
      </c>
      <c r="CW52" s="10">
        <v>0</v>
      </c>
      <c r="CX52" s="10">
        <v>0</v>
      </c>
      <c r="CY52" s="10">
        <v>0</v>
      </c>
      <c r="CZ52" s="10">
        <v>0</v>
      </c>
      <c r="DA52" s="10">
        <v>0</v>
      </c>
      <c r="DB52" s="10">
        <v>0</v>
      </c>
      <c r="DC52" s="10">
        <v>0</v>
      </c>
      <c r="DD52" s="10">
        <v>0</v>
      </c>
      <c r="DE52" s="10">
        <v>0</v>
      </c>
      <c r="DF52" s="10">
        <v>0</v>
      </c>
      <c r="DG52" s="10">
        <v>0</v>
      </c>
      <c r="DH52" s="10">
        <v>0</v>
      </c>
      <c r="DI52" s="10">
        <v>0</v>
      </c>
      <c r="DJ52" s="10">
        <v>0</v>
      </c>
      <c r="DK52" s="10">
        <v>0</v>
      </c>
      <c r="DL52" s="10">
        <v>0</v>
      </c>
      <c r="DM52" s="10">
        <v>0</v>
      </c>
      <c r="DN52" s="10">
        <v>0</v>
      </c>
      <c r="DO52" s="10">
        <v>0</v>
      </c>
      <c r="DP52" s="10">
        <v>0</v>
      </c>
      <c r="DQ52" s="10">
        <v>0</v>
      </c>
      <c r="DR52" s="10">
        <v>0</v>
      </c>
      <c r="DS52" s="10">
        <v>0.53413927167717645</v>
      </c>
      <c r="DT52" s="10">
        <v>0</v>
      </c>
      <c r="DU52" s="10">
        <v>0</v>
      </c>
      <c r="DV52" s="10">
        <v>0</v>
      </c>
      <c r="DW52" s="10">
        <v>0</v>
      </c>
      <c r="DX52" s="10">
        <v>0</v>
      </c>
      <c r="DY52" s="10">
        <v>0</v>
      </c>
      <c r="DZ52" s="10">
        <v>0</v>
      </c>
      <c r="EA52" s="10">
        <v>0</v>
      </c>
      <c r="EB52" s="10">
        <v>0</v>
      </c>
      <c r="EC52" s="10">
        <v>0</v>
      </c>
      <c r="ED52" s="10">
        <v>0</v>
      </c>
      <c r="EE52" s="10">
        <v>0</v>
      </c>
      <c r="EF52" s="10">
        <v>0</v>
      </c>
      <c r="EG52" s="10">
        <v>0</v>
      </c>
      <c r="EH52" s="10">
        <v>0</v>
      </c>
      <c r="EI52" s="10">
        <v>0</v>
      </c>
      <c r="EJ52" s="10">
        <v>0</v>
      </c>
      <c r="EK52" s="10">
        <v>0</v>
      </c>
      <c r="EL52" s="10">
        <v>0</v>
      </c>
      <c r="EM52" s="10">
        <v>0</v>
      </c>
      <c r="EN52" s="10">
        <v>0</v>
      </c>
      <c r="EO52" s="10">
        <v>0</v>
      </c>
      <c r="EP52" s="10">
        <v>0</v>
      </c>
      <c r="EQ52" s="10">
        <v>0</v>
      </c>
      <c r="ER52" s="10">
        <v>0</v>
      </c>
      <c r="ES52" s="10">
        <v>0</v>
      </c>
      <c r="ET52" s="10">
        <v>0</v>
      </c>
      <c r="EU52" s="10">
        <v>0</v>
      </c>
      <c r="EV52" s="10">
        <v>0</v>
      </c>
      <c r="EW52" s="10">
        <v>0</v>
      </c>
      <c r="EX52" s="10">
        <v>0</v>
      </c>
      <c r="EY52" s="10">
        <v>0</v>
      </c>
      <c r="EZ52" s="10">
        <v>0</v>
      </c>
      <c r="FA52" s="10">
        <v>0</v>
      </c>
      <c r="FB52" s="10">
        <v>0</v>
      </c>
      <c r="FC52" s="10">
        <v>0</v>
      </c>
      <c r="FD52" s="10">
        <v>0</v>
      </c>
      <c r="FE52" s="10">
        <v>0</v>
      </c>
      <c r="FF52" s="10">
        <v>0</v>
      </c>
      <c r="FG52" s="10">
        <v>0</v>
      </c>
      <c r="FH52" s="10">
        <v>0</v>
      </c>
      <c r="FI52" s="10">
        <v>0</v>
      </c>
      <c r="FJ52" s="10">
        <v>0</v>
      </c>
      <c r="FK52" s="10">
        <v>0</v>
      </c>
      <c r="FL52" s="10">
        <v>0</v>
      </c>
      <c r="FM52" s="10">
        <v>0</v>
      </c>
      <c r="FN52" s="10">
        <v>0</v>
      </c>
      <c r="FO52" s="10">
        <v>0</v>
      </c>
      <c r="FP52" s="10">
        <v>0</v>
      </c>
      <c r="FQ52" s="10">
        <v>0</v>
      </c>
      <c r="FR52" s="10">
        <v>0</v>
      </c>
      <c r="FS52" s="10">
        <v>0</v>
      </c>
      <c r="FT52" s="10">
        <v>0</v>
      </c>
      <c r="FU52" s="10">
        <v>0</v>
      </c>
      <c r="FV52" s="10">
        <v>0</v>
      </c>
      <c r="FW52" s="10">
        <v>0</v>
      </c>
      <c r="FX52" s="10">
        <v>0</v>
      </c>
      <c r="FY52" s="10">
        <v>0</v>
      </c>
      <c r="FZ52" s="10">
        <v>0</v>
      </c>
      <c r="GA52" s="10">
        <v>0</v>
      </c>
      <c r="GB52" s="10">
        <v>0</v>
      </c>
      <c r="GC52" s="10">
        <v>0</v>
      </c>
      <c r="GD52" s="10">
        <v>0</v>
      </c>
      <c r="GE52" s="10">
        <v>0</v>
      </c>
      <c r="GF52" s="10">
        <v>0</v>
      </c>
      <c r="GG52" s="10">
        <v>0</v>
      </c>
      <c r="GH52" s="10">
        <v>0</v>
      </c>
      <c r="GI52" s="10">
        <v>0</v>
      </c>
      <c r="GJ52" s="10">
        <v>0</v>
      </c>
      <c r="GK52" s="10">
        <v>0</v>
      </c>
      <c r="GL52" s="10">
        <v>0</v>
      </c>
      <c r="GM52" s="10">
        <v>0</v>
      </c>
      <c r="GN52" s="10">
        <v>0</v>
      </c>
      <c r="GO52" s="10">
        <v>0</v>
      </c>
      <c r="GP52" s="10">
        <v>0</v>
      </c>
      <c r="GQ52" s="10">
        <v>0</v>
      </c>
      <c r="GR52" s="10">
        <v>0</v>
      </c>
      <c r="GS52" s="10">
        <v>0</v>
      </c>
      <c r="GT52" s="10">
        <v>0</v>
      </c>
      <c r="GU52" s="10">
        <v>0</v>
      </c>
      <c r="GV52" s="10">
        <v>0</v>
      </c>
      <c r="GW52" s="10">
        <v>0</v>
      </c>
      <c r="GX52" s="10">
        <v>0</v>
      </c>
      <c r="GY52" s="10">
        <v>0</v>
      </c>
      <c r="GZ52" s="10">
        <v>0</v>
      </c>
      <c r="HA52" s="10">
        <v>0</v>
      </c>
      <c r="HB52" s="10">
        <v>0</v>
      </c>
      <c r="HC52" s="10">
        <v>0</v>
      </c>
      <c r="HD52" s="10">
        <v>0</v>
      </c>
      <c r="HE52" s="10">
        <v>0</v>
      </c>
      <c r="HF52" s="10">
        <v>0</v>
      </c>
      <c r="HG52" s="10">
        <v>0</v>
      </c>
      <c r="HH52" s="10">
        <v>0</v>
      </c>
      <c r="HI52" s="10">
        <v>0</v>
      </c>
      <c r="HJ52" s="10">
        <v>0</v>
      </c>
      <c r="HK52" s="10">
        <v>0</v>
      </c>
      <c r="HL52" s="10">
        <v>0</v>
      </c>
      <c r="HM52" s="10">
        <v>0</v>
      </c>
      <c r="HN52" s="10">
        <v>0</v>
      </c>
      <c r="HO52" s="10">
        <v>0</v>
      </c>
      <c r="HP52" s="10">
        <v>0</v>
      </c>
      <c r="HQ52" s="10">
        <v>0</v>
      </c>
      <c r="HR52" s="10">
        <v>0</v>
      </c>
      <c r="HS52" s="10">
        <v>0</v>
      </c>
      <c r="HT52" s="10">
        <v>0</v>
      </c>
      <c r="HU52" s="10">
        <v>0</v>
      </c>
    </row>
    <row r="53" spans="1:229" x14ac:dyDescent="0.25">
      <c r="A53" s="10">
        <v>0</v>
      </c>
      <c r="B53" s="2" t="s">
        <v>94</v>
      </c>
      <c r="C53" s="2" t="s">
        <v>95</v>
      </c>
      <c r="D53" s="17">
        <v>13.831</v>
      </c>
      <c r="E53" s="3">
        <v>3.2</v>
      </c>
      <c r="F53" s="3">
        <v>12.49</v>
      </c>
      <c r="G53" s="3">
        <v>0</v>
      </c>
      <c r="H53" s="3">
        <v>8</v>
      </c>
      <c r="I53" s="3">
        <v>8</v>
      </c>
      <c r="J53" s="3">
        <v>6.4180000000000001</v>
      </c>
      <c r="K53" s="3">
        <v>0.82499999999999996</v>
      </c>
      <c r="L53" s="3"/>
      <c r="M53" s="2" t="str">
        <f t="shared" si="7"/>
        <v>01054</v>
      </c>
      <c r="N53" s="3">
        <v>0.94068840357984684</v>
      </c>
      <c r="O53" s="3">
        <v>1.0593115964201529</v>
      </c>
      <c r="P53" s="17">
        <v>0.94068840357984485</v>
      </c>
      <c r="Q53" s="3">
        <v>1.2360177228990967</v>
      </c>
      <c r="R53" s="3">
        <v>0.28956812555815242</v>
      </c>
      <c r="S53" s="3" t="e">
        <v>#DIV/0!</v>
      </c>
      <c r="T53" s="3">
        <v>0.41257840027267439</v>
      </c>
      <c r="U53" s="3">
        <v>0.94068840357985017</v>
      </c>
      <c r="V53" s="3">
        <v>1.0593115964201545</v>
      </c>
      <c r="W53" s="3">
        <v>1.3998633374651195</v>
      </c>
      <c r="X53" s="3">
        <v>13.010661309912834</v>
      </c>
      <c r="Y53" s="3">
        <v>3.9552567132771097</v>
      </c>
      <c r="Z53" s="3">
        <v>3.6167058882213237</v>
      </c>
      <c r="AA53" s="3">
        <v>0</v>
      </c>
      <c r="AB53" s="3">
        <v>3.3006272021813952</v>
      </c>
      <c r="AC53" s="3">
        <v>7.5255072286388014</v>
      </c>
      <c r="AD53" s="3">
        <v>6.798661825824551</v>
      </c>
      <c r="AE53" s="3">
        <v>1.1548872534087236</v>
      </c>
      <c r="AF53" s="3">
        <v>0</v>
      </c>
      <c r="AG53" s="3">
        <v>0</v>
      </c>
      <c r="AH53" s="3">
        <v>0.16873068284528833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10">
        <v>0</v>
      </c>
      <c r="BB53" s="10">
        <v>0</v>
      </c>
      <c r="BC53" s="10">
        <v>0</v>
      </c>
      <c r="BD53" s="10">
        <v>0</v>
      </c>
      <c r="BE53" s="10">
        <v>0</v>
      </c>
      <c r="BF53" s="10">
        <v>0</v>
      </c>
      <c r="BG53" s="10">
        <v>0</v>
      </c>
      <c r="BH53" s="10">
        <v>0</v>
      </c>
      <c r="BI53" s="10">
        <v>0</v>
      </c>
      <c r="BJ53" s="10">
        <v>0</v>
      </c>
      <c r="BK53" s="10">
        <v>0</v>
      </c>
      <c r="BL53" s="10">
        <v>0</v>
      </c>
      <c r="BM53" s="10">
        <v>0</v>
      </c>
      <c r="BN53" s="10">
        <v>0</v>
      </c>
      <c r="BO53" s="10">
        <v>0</v>
      </c>
      <c r="BP53" s="10">
        <v>0</v>
      </c>
      <c r="BQ53" s="10">
        <v>0</v>
      </c>
      <c r="BR53" s="10">
        <v>0</v>
      </c>
      <c r="BS53" s="10">
        <v>0</v>
      </c>
      <c r="BT53" s="10">
        <v>0</v>
      </c>
      <c r="BU53" s="10">
        <v>0</v>
      </c>
      <c r="BV53" s="10">
        <v>0</v>
      </c>
      <c r="BW53" s="10">
        <v>0</v>
      </c>
      <c r="BX53" s="10">
        <v>0</v>
      </c>
      <c r="BY53" s="10">
        <v>0</v>
      </c>
      <c r="BZ53" s="10">
        <v>0</v>
      </c>
      <c r="CA53" s="10">
        <v>0</v>
      </c>
      <c r="CB53" s="10">
        <v>0</v>
      </c>
      <c r="CC53" s="10">
        <v>0</v>
      </c>
      <c r="CD53" s="10">
        <v>0</v>
      </c>
      <c r="CE53" s="10">
        <v>0</v>
      </c>
      <c r="CF53" s="10">
        <v>0</v>
      </c>
      <c r="CG53" s="10">
        <v>0</v>
      </c>
      <c r="CH53" s="10">
        <v>0</v>
      </c>
      <c r="CI53" s="10">
        <v>0</v>
      </c>
      <c r="CJ53" s="10">
        <v>0</v>
      </c>
      <c r="CK53" s="10">
        <v>0</v>
      </c>
      <c r="CL53" s="10">
        <v>0</v>
      </c>
      <c r="CM53" s="10">
        <v>0</v>
      </c>
      <c r="CN53" s="10">
        <v>0</v>
      </c>
      <c r="CO53" s="10">
        <v>0</v>
      </c>
      <c r="CP53" s="10">
        <v>0</v>
      </c>
      <c r="CQ53" s="10">
        <v>0</v>
      </c>
      <c r="CR53" s="10">
        <v>0</v>
      </c>
      <c r="CS53" s="10">
        <v>0.72695291912173243</v>
      </c>
      <c r="CT53" s="10">
        <v>0</v>
      </c>
      <c r="CU53" s="10">
        <v>0</v>
      </c>
      <c r="CV53" s="10">
        <v>0</v>
      </c>
      <c r="CW53" s="10">
        <v>0</v>
      </c>
      <c r="CX53" s="10">
        <v>0</v>
      </c>
      <c r="CY53" s="10">
        <v>0</v>
      </c>
      <c r="CZ53" s="10">
        <v>0</v>
      </c>
      <c r="DA53" s="10">
        <v>0</v>
      </c>
      <c r="DB53" s="10">
        <v>0</v>
      </c>
      <c r="DC53" s="10">
        <v>0</v>
      </c>
      <c r="DD53" s="10">
        <v>0</v>
      </c>
      <c r="DE53" s="10">
        <v>0</v>
      </c>
      <c r="DF53" s="10">
        <v>0</v>
      </c>
      <c r="DG53" s="10">
        <v>0</v>
      </c>
      <c r="DH53" s="10">
        <v>0</v>
      </c>
      <c r="DI53" s="10">
        <v>0</v>
      </c>
      <c r="DJ53" s="10">
        <v>0</v>
      </c>
      <c r="DK53" s="10">
        <v>0</v>
      </c>
      <c r="DL53" s="10">
        <v>0</v>
      </c>
      <c r="DM53" s="10">
        <v>0</v>
      </c>
      <c r="DN53" s="10">
        <v>0</v>
      </c>
      <c r="DO53" s="10">
        <v>0</v>
      </c>
      <c r="DP53" s="10">
        <v>0</v>
      </c>
      <c r="DQ53" s="10">
        <v>0</v>
      </c>
      <c r="DR53" s="10">
        <v>0</v>
      </c>
      <c r="DS53" s="10">
        <v>0.10431639803297973</v>
      </c>
      <c r="DT53" s="10">
        <v>0</v>
      </c>
      <c r="DU53" s="10">
        <v>0</v>
      </c>
      <c r="DV53" s="10">
        <v>0</v>
      </c>
      <c r="DW53" s="10">
        <v>0</v>
      </c>
      <c r="DX53" s="10">
        <v>0</v>
      </c>
      <c r="DY53" s="10">
        <v>0</v>
      </c>
      <c r="DZ53" s="10">
        <v>0</v>
      </c>
      <c r="EA53" s="10">
        <v>0</v>
      </c>
      <c r="EB53" s="10">
        <v>0</v>
      </c>
      <c r="EC53" s="10">
        <v>0</v>
      </c>
      <c r="ED53" s="10">
        <v>0</v>
      </c>
      <c r="EE53" s="10">
        <v>0</v>
      </c>
      <c r="EF53" s="10">
        <v>0</v>
      </c>
      <c r="EG53" s="10">
        <v>0</v>
      </c>
      <c r="EH53" s="10">
        <v>0</v>
      </c>
      <c r="EI53" s="10">
        <v>0</v>
      </c>
      <c r="EJ53" s="10">
        <v>0</v>
      </c>
      <c r="EK53" s="10">
        <v>0</v>
      </c>
      <c r="EL53" s="10">
        <v>0</v>
      </c>
      <c r="EM53" s="10">
        <v>0</v>
      </c>
      <c r="EN53" s="10">
        <v>0</v>
      </c>
      <c r="EO53" s="10">
        <v>0</v>
      </c>
      <c r="EP53" s="10">
        <v>0</v>
      </c>
      <c r="EQ53" s="10">
        <v>0</v>
      </c>
      <c r="ER53" s="10">
        <v>0</v>
      </c>
      <c r="ES53" s="10">
        <v>0</v>
      </c>
      <c r="ET53" s="10">
        <v>0</v>
      </c>
      <c r="EU53" s="10">
        <v>0</v>
      </c>
      <c r="EV53" s="10">
        <v>0</v>
      </c>
      <c r="EW53" s="10">
        <v>0</v>
      </c>
      <c r="EX53" s="10">
        <v>0</v>
      </c>
      <c r="EY53" s="10">
        <v>0</v>
      </c>
      <c r="EZ53" s="10">
        <v>0</v>
      </c>
      <c r="FA53" s="10">
        <v>0</v>
      </c>
      <c r="FB53" s="10">
        <v>0</v>
      </c>
      <c r="FC53" s="10">
        <v>0</v>
      </c>
      <c r="FD53" s="10">
        <v>0</v>
      </c>
      <c r="FE53" s="10">
        <v>0</v>
      </c>
      <c r="FF53" s="10">
        <v>0</v>
      </c>
      <c r="FG53" s="10">
        <v>0</v>
      </c>
      <c r="FH53" s="10">
        <v>0</v>
      </c>
      <c r="FI53" s="10">
        <v>0</v>
      </c>
      <c r="FJ53" s="10">
        <v>0</v>
      </c>
      <c r="FK53" s="10">
        <v>0</v>
      </c>
      <c r="FL53" s="10">
        <v>0</v>
      </c>
      <c r="FM53" s="10">
        <v>0</v>
      </c>
      <c r="FN53" s="10">
        <v>0</v>
      </c>
      <c r="FO53" s="10">
        <v>0</v>
      </c>
      <c r="FP53" s="10">
        <v>0</v>
      </c>
      <c r="FQ53" s="10">
        <v>0</v>
      </c>
      <c r="FR53" s="10">
        <v>0</v>
      </c>
      <c r="FS53" s="10">
        <v>0</v>
      </c>
      <c r="FT53" s="10">
        <v>0</v>
      </c>
      <c r="FU53" s="10">
        <v>0</v>
      </c>
      <c r="FV53" s="10">
        <v>0</v>
      </c>
      <c r="FW53" s="10">
        <v>0</v>
      </c>
      <c r="FX53" s="10">
        <v>0</v>
      </c>
      <c r="FY53" s="10">
        <v>0</v>
      </c>
      <c r="FZ53" s="10">
        <v>0</v>
      </c>
      <c r="GA53" s="10">
        <v>0</v>
      </c>
      <c r="GB53" s="10">
        <v>0</v>
      </c>
      <c r="GC53" s="10">
        <v>0</v>
      </c>
      <c r="GD53" s="10">
        <v>0</v>
      </c>
      <c r="GE53" s="10">
        <v>0</v>
      </c>
      <c r="GF53" s="10">
        <v>0</v>
      </c>
      <c r="GG53" s="10">
        <v>0</v>
      </c>
      <c r="GH53" s="10">
        <v>0</v>
      </c>
      <c r="GI53" s="10">
        <v>0</v>
      </c>
      <c r="GJ53" s="10">
        <v>0</v>
      </c>
      <c r="GK53" s="10">
        <v>0</v>
      </c>
      <c r="GL53" s="10">
        <v>0</v>
      </c>
      <c r="GM53" s="10">
        <v>0</v>
      </c>
      <c r="GN53" s="10">
        <v>0</v>
      </c>
      <c r="GO53" s="10">
        <v>0</v>
      </c>
      <c r="GP53" s="10">
        <v>0</v>
      </c>
      <c r="GQ53" s="10">
        <v>0</v>
      </c>
      <c r="GR53" s="10">
        <v>0</v>
      </c>
      <c r="GS53" s="10">
        <v>0</v>
      </c>
      <c r="GT53" s="10">
        <v>0</v>
      </c>
      <c r="GU53" s="10">
        <v>0</v>
      </c>
      <c r="GV53" s="10">
        <v>0</v>
      </c>
      <c r="GW53" s="10">
        <v>0</v>
      </c>
      <c r="GX53" s="10">
        <v>0</v>
      </c>
      <c r="GY53" s="10">
        <v>0</v>
      </c>
      <c r="GZ53" s="10">
        <v>0</v>
      </c>
      <c r="HA53" s="10">
        <v>0</v>
      </c>
      <c r="HB53" s="10">
        <v>0</v>
      </c>
      <c r="HC53" s="10">
        <v>0</v>
      </c>
      <c r="HD53" s="10">
        <v>0</v>
      </c>
      <c r="HE53" s="10">
        <v>0</v>
      </c>
      <c r="HF53" s="10">
        <v>0</v>
      </c>
      <c r="HG53" s="10">
        <v>0</v>
      </c>
      <c r="HH53" s="10">
        <v>0</v>
      </c>
      <c r="HI53" s="10">
        <v>0</v>
      </c>
      <c r="HJ53" s="10">
        <v>0</v>
      </c>
      <c r="HK53" s="10">
        <v>0</v>
      </c>
      <c r="HL53" s="10">
        <v>0</v>
      </c>
      <c r="HM53" s="10">
        <v>0</v>
      </c>
      <c r="HN53" s="10">
        <v>0</v>
      </c>
      <c r="HO53" s="10">
        <v>0</v>
      </c>
      <c r="HP53" s="10">
        <v>0</v>
      </c>
      <c r="HQ53" s="10">
        <v>0</v>
      </c>
      <c r="HR53" s="10">
        <v>0</v>
      </c>
      <c r="HS53" s="10">
        <v>0</v>
      </c>
      <c r="HT53" s="10">
        <v>0</v>
      </c>
      <c r="HU53" s="10">
        <v>0</v>
      </c>
    </row>
    <row r="54" spans="1:229" x14ac:dyDescent="0.25">
      <c r="A54" s="10">
        <v>0</v>
      </c>
      <c r="B54" s="2" t="s">
        <v>96</v>
      </c>
      <c r="C54" s="2" t="s">
        <v>97</v>
      </c>
      <c r="D54" s="17">
        <v>7.47</v>
      </c>
      <c r="E54" s="3">
        <v>2.94</v>
      </c>
      <c r="F54" s="3">
        <v>4.26</v>
      </c>
      <c r="G54" s="3">
        <v>0</v>
      </c>
      <c r="H54" s="21">
        <v>0.16</v>
      </c>
      <c r="I54" s="3">
        <v>89</v>
      </c>
      <c r="J54" s="3">
        <v>3.4660000000000002</v>
      </c>
      <c r="K54" s="3">
        <v>0.44600000000000001</v>
      </c>
      <c r="L54" s="3"/>
      <c r="M54" s="2" t="str">
        <f t="shared" si="7"/>
        <v>01055</v>
      </c>
      <c r="N54" s="3">
        <v>0.61610653419888473</v>
      </c>
      <c r="O54" s="3">
        <v>1.3838934658011155</v>
      </c>
      <c r="P54" s="17">
        <v>0.61610653419888117</v>
      </c>
      <c r="Q54" s="3">
        <v>2.1008127275009674</v>
      </c>
      <c r="R54" s="3">
        <v>0.95995905519062708</v>
      </c>
      <c r="S54" s="3" t="e">
        <v>#DIV/0!</v>
      </c>
      <c r="T54" s="3">
        <v>0.61610653419894934</v>
      </c>
      <c r="U54" s="3">
        <v>0.61610653419888473</v>
      </c>
      <c r="V54" s="3">
        <v>1.3838934658011171</v>
      </c>
      <c r="W54" s="3">
        <v>3.8314624960257202</v>
      </c>
      <c r="X54" s="3">
        <v>4.6023158104656421</v>
      </c>
      <c r="Y54" s="3">
        <v>6.1763894188528443</v>
      </c>
      <c r="Z54" s="3">
        <v>4.0894255751120712</v>
      </c>
      <c r="AA54" s="3">
        <v>0</v>
      </c>
      <c r="AB54" s="3">
        <v>9.8577045471831895E-2</v>
      </c>
      <c r="AC54" s="3">
        <v>54.833481543700742</v>
      </c>
      <c r="AD54" s="3">
        <v>4.7965747524666718</v>
      </c>
      <c r="AE54" s="3">
        <v>1.7088322732274712</v>
      </c>
      <c r="AF54" s="3">
        <v>0</v>
      </c>
      <c r="AG54" s="3">
        <v>0</v>
      </c>
      <c r="AH54" s="3">
        <v>3.0002524385077219E-2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10">
        <v>0</v>
      </c>
      <c r="BB54" s="10">
        <v>0</v>
      </c>
      <c r="BC54" s="10">
        <v>0</v>
      </c>
      <c r="BD54" s="10">
        <v>0</v>
      </c>
      <c r="BE54" s="10">
        <v>0</v>
      </c>
      <c r="BF54" s="10">
        <v>0</v>
      </c>
      <c r="BG54" s="10">
        <v>0</v>
      </c>
      <c r="BH54" s="10">
        <v>0</v>
      </c>
      <c r="BI54" s="10">
        <v>0</v>
      </c>
      <c r="BJ54" s="10">
        <v>0</v>
      </c>
      <c r="BK54" s="10">
        <v>0</v>
      </c>
      <c r="BL54" s="10">
        <v>0</v>
      </c>
      <c r="BM54" s="10">
        <v>0</v>
      </c>
      <c r="BN54" s="10">
        <v>0</v>
      </c>
      <c r="BO54" s="10">
        <v>0</v>
      </c>
      <c r="BP54" s="10">
        <v>0</v>
      </c>
      <c r="BQ54" s="10">
        <v>0</v>
      </c>
      <c r="BR54" s="10">
        <v>0</v>
      </c>
      <c r="BS54" s="10">
        <v>0</v>
      </c>
      <c r="BT54" s="10">
        <v>0</v>
      </c>
      <c r="BU54" s="10">
        <v>0</v>
      </c>
      <c r="BV54" s="10">
        <v>0</v>
      </c>
      <c r="BW54" s="10">
        <v>0</v>
      </c>
      <c r="BX54" s="10">
        <v>0</v>
      </c>
      <c r="BY54" s="10">
        <v>0</v>
      </c>
      <c r="BZ54" s="10">
        <v>0</v>
      </c>
      <c r="CA54" s="10">
        <v>0.73329122306992178</v>
      </c>
      <c r="CB54" s="10">
        <v>0</v>
      </c>
      <c r="CC54" s="10">
        <v>0</v>
      </c>
      <c r="CD54" s="10">
        <v>0</v>
      </c>
      <c r="CE54" s="10">
        <v>0</v>
      </c>
      <c r="CF54" s="10">
        <v>0</v>
      </c>
      <c r="CG54" s="10">
        <v>0</v>
      </c>
      <c r="CH54" s="10">
        <v>0</v>
      </c>
      <c r="CI54" s="10">
        <v>0</v>
      </c>
      <c r="CJ54" s="10">
        <v>0</v>
      </c>
      <c r="CK54" s="10">
        <v>0</v>
      </c>
      <c r="CL54" s="10">
        <v>0</v>
      </c>
      <c r="CM54" s="10">
        <v>0</v>
      </c>
      <c r="CN54" s="10">
        <v>0</v>
      </c>
      <c r="CO54" s="10">
        <v>0</v>
      </c>
      <c r="CP54" s="10">
        <v>0</v>
      </c>
      <c r="CQ54" s="10">
        <v>0</v>
      </c>
      <c r="CR54" s="10">
        <v>0</v>
      </c>
      <c r="CS54" s="10">
        <v>0</v>
      </c>
      <c r="CT54" s="10">
        <v>0</v>
      </c>
      <c r="CU54" s="10">
        <v>0</v>
      </c>
      <c r="CV54" s="10">
        <v>0</v>
      </c>
      <c r="CW54" s="10">
        <v>0</v>
      </c>
      <c r="CX54" s="10">
        <v>0</v>
      </c>
      <c r="CY54" s="10">
        <v>0</v>
      </c>
      <c r="CZ54" s="10">
        <v>0</v>
      </c>
      <c r="DA54" s="10">
        <v>0</v>
      </c>
      <c r="DB54" s="10">
        <v>0</v>
      </c>
      <c r="DC54" s="10">
        <v>0</v>
      </c>
      <c r="DD54" s="10">
        <v>0</v>
      </c>
      <c r="DE54" s="10">
        <v>0</v>
      </c>
      <c r="DF54" s="10">
        <v>0</v>
      </c>
      <c r="DG54" s="10">
        <v>0</v>
      </c>
      <c r="DH54" s="10">
        <v>0</v>
      </c>
      <c r="DI54" s="10">
        <v>0</v>
      </c>
      <c r="DJ54" s="10">
        <v>0</v>
      </c>
      <c r="DK54" s="10">
        <v>0</v>
      </c>
      <c r="DL54" s="10">
        <v>0</v>
      </c>
      <c r="DM54" s="10">
        <v>0</v>
      </c>
      <c r="DN54" s="10">
        <v>0</v>
      </c>
      <c r="DO54" s="10">
        <v>0</v>
      </c>
      <c r="DP54" s="10">
        <v>0</v>
      </c>
      <c r="DQ54" s="10">
        <v>0</v>
      </c>
      <c r="DR54" s="10">
        <v>0</v>
      </c>
      <c r="DS54" s="10">
        <v>0.1517601126615794</v>
      </c>
      <c r="DT54" s="10">
        <v>8.4946139883421395E-2</v>
      </c>
      <c r="DU54" s="10">
        <v>0</v>
      </c>
      <c r="DV54" s="10">
        <v>0</v>
      </c>
      <c r="DW54" s="10">
        <v>0</v>
      </c>
      <c r="DX54" s="10">
        <v>0</v>
      </c>
      <c r="DY54" s="10">
        <v>0</v>
      </c>
      <c r="DZ54" s="10">
        <v>0</v>
      </c>
      <c r="EA54" s="10">
        <v>0</v>
      </c>
      <c r="EB54" s="10">
        <v>0</v>
      </c>
      <c r="EC54" s="10">
        <v>0</v>
      </c>
      <c r="ED54" s="10">
        <v>0</v>
      </c>
      <c r="EE54" s="10">
        <v>0</v>
      </c>
      <c r="EF54" s="10">
        <v>0</v>
      </c>
      <c r="EG54" s="10">
        <v>0</v>
      </c>
      <c r="EH54" s="10">
        <v>0</v>
      </c>
      <c r="EI54" s="10">
        <v>0</v>
      </c>
      <c r="EJ54" s="10">
        <v>0</v>
      </c>
      <c r="EK54" s="10">
        <v>0</v>
      </c>
      <c r="EL54" s="10">
        <v>0</v>
      </c>
      <c r="EM54" s="10">
        <v>0</v>
      </c>
      <c r="EN54" s="10">
        <v>0</v>
      </c>
      <c r="EO54" s="10">
        <v>0</v>
      </c>
      <c r="EP54" s="10">
        <v>0</v>
      </c>
      <c r="EQ54" s="10">
        <v>0</v>
      </c>
      <c r="ER54" s="10">
        <v>0</v>
      </c>
      <c r="ES54" s="10">
        <v>0</v>
      </c>
      <c r="ET54" s="10">
        <v>0</v>
      </c>
      <c r="EU54" s="10">
        <v>0</v>
      </c>
      <c r="EV54" s="10">
        <v>0</v>
      </c>
      <c r="EW54" s="10">
        <v>0</v>
      </c>
      <c r="EX54" s="10">
        <v>0</v>
      </c>
      <c r="EY54" s="10">
        <v>0</v>
      </c>
      <c r="EZ54" s="10">
        <v>0</v>
      </c>
      <c r="FA54" s="10">
        <v>0</v>
      </c>
      <c r="FB54" s="10">
        <v>0</v>
      </c>
      <c r="FC54" s="10">
        <v>0</v>
      </c>
      <c r="FD54" s="10">
        <v>0</v>
      </c>
      <c r="FE54" s="10">
        <v>0</v>
      </c>
      <c r="FF54" s="10">
        <v>0</v>
      </c>
      <c r="FG54" s="10">
        <v>0</v>
      </c>
      <c r="FH54" s="10">
        <v>0</v>
      </c>
      <c r="FI54" s="10">
        <v>0</v>
      </c>
      <c r="FJ54" s="10">
        <v>0</v>
      </c>
      <c r="FK54" s="10">
        <v>0</v>
      </c>
      <c r="FL54" s="10">
        <v>0</v>
      </c>
      <c r="FM54" s="10">
        <v>0</v>
      </c>
      <c r="FN54" s="10">
        <v>0</v>
      </c>
      <c r="FO54" s="10">
        <v>0</v>
      </c>
      <c r="FP54" s="10">
        <v>0</v>
      </c>
      <c r="FQ54" s="10">
        <v>0</v>
      </c>
      <c r="FR54" s="10">
        <v>0</v>
      </c>
      <c r="FS54" s="10">
        <v>0</v>
      </c>
      <c r="FT54" s="10">
        <v>0</v>
      </c>
      <c r="FU54" s="10">
        <v>0</v>
      </c>
      <c r="FV54" s="10">
        <v>0</v>
      </c>
      <c r="FW54" s="10">
        <v>0</v>
      </c>
      <c r="FX54" s="10">
        <v>0</v>
      </c>
      <c r="FY54" s="10">
        <v>0</v>
      </c>
      <c r="FZ54" s="10">
        <v>0</v>
      </c>
      <c r="GA54" s="10">
        <v>0</v>
      </c>
      <c r="GB54" s="10">
        <v>0</v>
      </c>
      <c r="GC54" s="10">
        <v>0</v>
      </c>
      <c r="GD54" s="10">
        <v>0</v>
      </c>
      <c r="GE54" s="10">
        <v>0</v>
      </c>
      <c r="GF54" s="10">
        <v>0</v>
      </c>
      <c r="GG54" s="10">
        <v>0</v>
      </c>
      <c r="GH54" s="10">
        <v>0</v>
      </c>
      <c r="GI54" s="10">
        <v>0</v>
      </c>
      <c r="GJ54" s="10">
        <v>0</v>
      </c>
      <c r="GK54" s="10">
        <v>0</v>
      </c>
      <c r="GL54" s="10">
        <v>0</v>
      </c>
      <c r="GM54" s="10">
        <v>0</v>
      </c>
      <c r="GN54" s="10">
        <v>0</v>
      </c>
      <c r="GO54" s="10">
        <v>0</v>
      </c>
      <c r="GP54" s="10">
        <v>0</v>
      </c>
      <c r="GQ54" s="10">
        <v>0</v>
      </c>
      <c r="GR54" s="10">
        <v>0</v>
      </c>
      <c r="GS54" s="10">
        <v>0</v>
      </c>
      <c r="GT54" s="10">
        <v>0</v>
      </c>
      <c r="GU54" s="10">
        <v>0</v>
      </c>
      <c r="GV54" s="10">
        <v>0</v>
      </c>
      <c r="GW54" s="10">
        <v>0</v>
      </c>
      <c r="GX54" s="10">
        <v>0</v>
      </c>
      <c r="GY54" s="10">
        <v>0</v>
      </c>
      <c r="GZ54" s="10">
        <v>0</v>
      </c>
      <c r="HA54" s="10">
        <v>0</v>
      </c>
      <c r="HB54" s="10">
        <v>0</v>
      </c>
      <c r="HC54" s="10">
        <v>0</v>
      </c>
      <c r="HD54" s="10">
        <v>0</v>
      </c>
      <c r="HE54" s="10">
        <v>0</v>
      </c>
      <c r="HF54" s="10">
        <v>0</v>
      </c>
      <c r="HG54" s="10">
        <v>0</v>
      </c>
      <c r="HH54" s="10">
        <v>0</v>
      </c>
      <c r="HI54" s="10">
        <v>0</v>
      </c>
      <c r="HJ54" s="10">
        <v>0</v>
      </c>
      <c r="HK54" s="10">
        <v>0</v>
      </c>
      <c r="HL54" s="10">
        <v>0</v>
      </c>
      <c r="HM54" s="10">
        <v>0</v>
      </c>
      <c r="HN54" s="10">
        <v>0</v>
      </c>
      <c r="HO54" s="10">
        <v>0</v>
      </c>
      <c r="HP54" s="10">
        <v>0</v>
      </c>
      <c r="HQ54" s="10">
        <v>0</v>
      </c>
      <c r="HR54" s="10">
        <v>0</v>
      </c>
      <c r="HS54" s="10">
        <v>0</v>
      </c>
      <c r="HT54" s="10">
        <v>0</v>
      </c>
      <c r="HU54" s="10">
        <v>0</v>
      </c>
    </row>
    <row r="55" spans="1:229" x14ac:dyDescent="0.25">
      <c r="A55" s="10">
        <v>0</v>
      </c>
      <c r="B55" s="2" t="s">
        <v>98</v>
      </c>
      <c r="C55" s="2" t="s">
        <v>99</v>
      </c>
      <c r="D55" s="17">
        <v>10.14</v>
      </c>
      <c r="E55" s="3">
        <v>2.44</v>
      </c>
      <c r="F55" s="3">
        <v>4.63</v>
      </c>
      <c r="G55" s="3">
        <v>0</v>
      </c>
      <c r="H55" s="8">
        <v>3.41</v>
      </c>
      <c r="I55" s="3">
        <v>31</v>
      </c>
      <c r="J55" s="3">
        <v>4.5940000000000003</v>
      </c>
      <c r="K55" s="3">
        <v>0.8</v>
      </c>
      <c r="L55" s="3"/>
      <c r="M55" s="2" t="str">
        <f t="shared" si="7"/>
        <v>01056</v>
      </c>
      <c r="N55" s="3">
        <v>0.71830156722211325</v>
      </c>
      <c r="O55" s="3">
        <v>1.2816984327778869</v>
      </c>
      <c r="P55" s="17">
        <v>0.71830156722212712</v>
      </c>
      <c r="Q55" s="3">
        <v>4.2954020696720194</v>
      </c>
      <c r="R55" s="3">
        <v>0.82901265403977709</v>
      </c>
      <c r="S55" s="3" t="e">
        <v>#DIV/0!</v>
      </c>
      <c r="T55" s="3">
        <v>0.71830156722211747</v>
      </c>
      <c r="U55" s="3">
        <v>0.71830156722211314</v>
      </c>
      <c r="V55" s="3">
        <v>1.2816984327779233</v>
      </c>
      <c r="W55" s="3">
        <v>2.1026876587911292</v>
      </c>
      <c r="X55" s="3">
        <v>7.2835778916323699</v>
      </c>
      <c r="Y55" s="3">
        <v>10.480781049999727</v>
      </c>
      <c r="Z55" s="3">
        <v>3.8383285882041678</v>
      </c>
      <c r="AA55" s="3">
        <v>0</v>
      </c>
      <c r="AB55" s="3">
        <v>2.4494083442274208</v>
      </c>
      <c r="AC55" s="3">
        <v>22.267348583885507</v>
      </c>
      <c r="AD55" s="3">
        <v>5.8881226001817799</v>
      </c>
      <c r="AE55" s="3">
        <v>1.6821501270329036</v>
      </c>
      <c r="AF55" s="3">
        <v>0</v>
      </c>
      <c r="AG55" s="3">
        <v>0</v>
      </c>
      <c r="AH55" s="3">
        <v>0</v>
      </c>
      <c r="AI55" s="10">
        <v>0</v>
      </c>
      <c r="AJ55" s="3">
        <v>0</v>
      </c>
      <c r="AK55" s="3">
        <v>0</v>
      </c>
      <c r="AL55" s="10">
        <v>0</v>
      </c>
      <c r="AM55" s="10">
        <v>0</v>
      </c>
      <c r="AN55" s="10">
        <v>0</v>
      </c>
      <c r="AO55" s="10">
        <v>0</v>
      </c>
      <c r="AP55" s="10">
        <v>0</v>
      </c>
      <c r="AQ55" s="10">
        <v>0</v>
      </c>
      <c r="AR55" s="10">
        <v>0</v>
      </c>
      <c r="AS55" s="10">
        <v>0</v>
      </c>
      <c r="AT55" s="10">
        <v>0</v>
      </c>
      <c r="AU55" s="10">
        <v>0</v>
      </c>
      <c r="AV55" s="10">
        <v>0</v>
      </c>
      <c r="AW55" s="3">
        <v>0</v>
      </c>
      <c r="AX55" s="3">
        <v>0</v>
      </c>
      <c r="AY55" s="3">
        <v>0</v>
      </c>
      <c r="AZ55" s="3">
        <v>0</v>
      </c>
      <c r="BA55" s="10">
        <v>0</v>
      </c>
      <c r="BB55" s="10">
        <v>0</v>
      </c>
      <c r="BC55" s="10">
        <v>0</v>
      </c>
      <c r="BD55" s="10">
        <v>0</v>
      </c>
      <c r="BE55" s="10">
        <v>0</v>
      </c>
      <c r="BF55" s="10">
        <v>0</v>
      </c>
      <c r="BG55" s="10">
        <v>0</v>
      </c>
      <c r="BH55" s="10">
        <v>0</v>
      </c>
      <c r="BI55" s="10">
        <v>0</v>
      </c>
      <c r="BJ55" s="10">
        <v>0</v>
      </c>
      <c r="BK55" s="10">
        <v>0</v>
      </c>
      <c r="BL55" s="10">
        <v>0</v>
      </c>
      <c r="BM55" s="10">
        <v>0</v>
      </c>
      <c r="BN55" s="10">
        <v>0</v>
      </c>
      <c r="BO55" s="10">
        <v>0</v>
      </c>
      <c r="BP55" s="10">
        <v>0</v>
      </c>
      <c r="BQ55" s="10">
        <v>0</v>
      </c>
      <c r="BR55" s="10">
        <v>0</v>
      </c>
      <c r="BS55" s="10">
        <v>0</v>
      </c>
      <c r="BT55" s="10">
        <v>0</v>
      </c>
      <c r="BU55" s="10">
        <v>0</v>
      </c>
      <c r="BV55" s="10">
        <v>0</v>
      </c>
      <c r="BW55" s="10">
        <v>0</v>
      </c>
      <c r="BX55" s="10">
        <v>0</v>
      </c>
      <c r="BY55" s="10">
        <v>0</v>
      </c>
      <c r="BZ55" s="10">
        <v>0</v>
      </c>
      <c r="CA55" s="10">
        <v>0</v>
      </c>
      <c r="CB55" s="10">
        <v>0</v>
      </c>
      <c r="CC55" s="10">
        <v>0</v>
      </c>
      <c r="CD55" s="10">
        <v>0</v>
      </c>
      <c r="CE55" s="10">
        <v>0</v>
      </c>
      <c r="CF55" s="10">
        <v>0</v>
      </c>
      <c r="CG55" s="10">
        <v>0</v>
      </c>
      <c r="CH55" s="10">
        <v>0</v>
      </c>
      <c r="CI55" s="10">
        <v>0</v>
      </c>
      <c r="CJ55" s="10">
        <v>0</v>
      </c>
      <c r="CK55" s="10">
        <v>0</v>
      </c>
      <c r="CL55" s="10">
        <v>0</v>
      </c>
      <c r="CM55" s="10">
        <v>0</v>
      </c>
      <c r="CN55" s="10">
        <v>0</v>
      </c>
      <c r="CO55" s="10">
        <v>0</v>
      </c>
      <c r="CP55" s="10">
        <v>0</v>
      </c>
      <c r="CQ55" s="10">
        <v>0</v>
      </c>
      <c r="CR55" s="10">
        <v>0</v>
      </c>
      <c r="CS55" s="10">
        <v>0.49037621727969427</v>
      </c>
      <c r="CT55" s="10">
        <v>0</v>
      </c>
      <c r="CU55" s="10">
        <v>0</v>
      </c>
      <c r="CV55" s="10">
        <v>0</v>
      </c>
      <c r="CW55" s="10">
        <v>0</v>
      </c>
      <c r="CX55" s="10">
        <v>0</v>
      </c>
      <c r="CY55" s="10">
        <v>0</v>
      </c>
      <c r="CZ55" s="10">
        <v>0</v>
      </c>
      <c r="DA55" s="10">
        <v>0</v>
      </c>
      <c r="DB55" s="10">
        <v>0</v>
      </c>
      <c r="DC55" s="10">
        <v>0</v>
      </c>
      <c r="DD55" s="10">
        <v>0</v>
      </c>
      <c r="DE55" s="10">
        <v>0</v>
      </c>
      <c r="DF55" s="10">
        <v>2.4662390209869271E-2</v>
      </c>
      <c r="DG55" s="10">
        <v>0</v>
      </c>
      <c r="DH55" s="10">
        <v>0</v>
      </c>
      <c r="DI55" s="10">
        <v>0</v>
      </c>
      <c r="DJ55" s="10">
        <v>0</v>
      </c>
      <c r="DK55" s="10">
        <v>0</v>
      </c>
      <c r="DL55" s="10">
        <v>0</v>
      </c>
      <c r="DM55" s="10">
        <v>0</v>
      </c>
      <c r="DN55" s="10">
        <v>0</v>
      </c>
      <c r="DO55" s="10">
        <v>0</v>
      </c>
      <c r="DP55" s="10">
        <v>0</v>
      </c>
      <c r="DQ55" s="10">
        <v>0</v>
      </c>
      <c r="DR55" s="10">
        <v>0</v>
      </c>
      <c r="DS55" s="10">
        <v>0.35284761185529667</v>
      </c>
      <c r="DT55" s="10">
        <v>0</v>
      </c>
      <c r="DU55" s="10">
        <v>0</v>
      </c>
      <c r="DV55" s="10">
        <v>0</v>
      </c>
      <c r="DW55" s="10">
        <v>0</v>
      </c>
      <c r="DX55" s="10">
        <v>0</v>
      </c>
      <c r="DY55" s="10">
        <v>0</v>
      </c>
      <c r="DZ55" s="10">
        <v>0</v>
      </c>
      <c r="EA55" s="10">
        <v>0</v>
      </c>
      <c r="EB55" s="10">
        <v>0</v>
      </c>
      <c r="EC55" s="10">
        <v>0</v>
      </c>
      <c r="ED55" s="10">
        <v>0</v>
      </c>
      <c r="EE55" s="10">
        <v>0</v>
      </c>
      <c r="EF55" s="10">
        <v>0</v>
      </c>
      <c r="EG55" s="10">
        <v>0</v>
      </c>
      <c r="EH55" s="10">
        <v>0</v>
      </c>
      <c r="EI55" s="10">
        <v>0</v>
      </c>
      <c r="EJ55" s="10">
        <v>0</v>
      </c>
      <c r="EK55" s="10">
        <v>0</v>
      </c>
      <c r="EL55" s="10">
        <v>0</v>
      </c>
      <c r="EM55" s="10">
        <v>0</v>
      </c>
      <c r="EN55" s="10">
        <v>0</v>
      </c>
      <c r="EO55" s="10">
        <v>0</v>
      </c>
      <c r="EP55" s="10">
        <v>0</v>
      </c>
      <c r="EQ55" s="10">
        <v>0</v>
      </c>
      <c r="ER55" s="10">
        <v>0</v>
      </c>
      <c r="ES55" s="10">
        <v>0</v>
      </c>
      <c r="ET55" s="10">
        <v>0.13211378065513971</v>
      </c>
      <c r="EU55" s="10">
        <v>0</v>
      </c>
      <c r="EV55" s="10">
        <v>0</v>
      </c>
      <c r="EW55" s="10">
        <v>0</v>
      </c>
      <c r="EX55" s="10">
        <v>0</v>
      </c>
      <c r="EY55" s="10">
        <v>0</v>
      </c>
      <c r="EZ55" s="10">
        <v>0</v>
      </c>
      <c r="FA55" s="10">
        <v>0</v>
      </c>
      <c r="FB55" s="10">
        <v>0</v>
      </c>
      <c r="FC55" s="10">
        <v>0</v>
      </c>
      <c r="FD55" s="10">
        <v>0</v>
      </c>
      <c r="FE55" s="10">
        <v>0</v>
      </c>
      <c r="FF55" s="10">
        <v>0</v>
      </c>
      <c r="FG55" s="10">
        <v>0</v>
      </c>
      <c r="FH55" s="10">
        <v>0</v>
      </c>
      <c r="FI55" s="10">
        <v>0</v>
      </c>
      <c r="FJ55" s="10">
        <v>0</v>
      </c>
      <c r="FK55" s="10">
        <v>0</v>
      </c>
      <c r="FL55" s="10">
        <v>0</v>
      </c>
      <c r="FM55" s="10">
        <v>0</v>
      </c>
      <c r="FN55" s="10">
        <v>0</v>
      </c>
      <c r="FO55" s="10">
        <v>0</v>
      </c>
      <c r="FP55" s="10">
        <v>0</v>
      </c>
      <c r="FQ55" s="10">
        <v>0</v>
      </c>
      <c r="FR55" s="10">
        <v>0</v>
      </c>
      <c r="FS55" s="10">
        <v>0</v>
      </c>
      <c r="FT55" s="10">
        <v>0</v>
      </c>
      <c r="FU55" s="10">
        <v>0</v>
      </c>
      <c r="FV55" s="10">
        <v>0</v>
      </c>
      <c r="FW55" s="10">
        <v>0</v>
      </c>
      <c r="FX55" s="10">
        <v>0</v>
      </c>
      <c r="FY55" s="10">
        <v>0</v>
      </c>
      <c r="FZ55" s="10">
        <v>0</v>
      </c>
      <c r="GA55" s="10">
        <v>0</v>
      </c>
      <c r="GB55" s="10">
        <v>0</v>
      </c>
      <c r="GC55" s="10">
        <v>0</v>
      </c>
      <c r="GD55" s="10">
        <v>0</v>
      </c>
      <c r="GE55" s="10">
        <v>0</v>
      </c>
      <c r="GF55" s="10">
        <v>0</v>
      </c>
      <c r="GG55" s="10">
        <v>0</v>
      </c>
      <c r="GH55" s="10">
        <v>0</v>
      </c>
      <c r="GI55" s="10">
        <v>0</v>
      </c>
      <c r="GJ55" s="10">
        <v>0</v>
      </c>
      <c r="GK55" s="10">
        <v>0</v>
      </c>
      <c r="GL55" s="10">
        <v>0</v>
      </c>
      <c r="GM55" s="10">
        <v>0</v>
      </c>
      <c r="GN55" s="10">
        <v>0</v>
      </c>
      <c r="GO55" s="10">
        <v>0</v>
      </c>
      <c r="GP55" s="10">
        <v>0</v>
      </c>
      <c r="GQ55" s="10">
        <v>0</v>
      </c>
      <c r="GR55" s="10">
        <v>0</v>
      </c>
      <c r="GS55" s="10">
        <v>0</v>
      </c>
      <c r="GT55" s="10">
        <v>0</v>
      </c>
      <c r="GU55" s="10">
        <v>0</v>
      </c>
      <c r="GV55" s="10">
        <v>0</v>
      </c>
      <c r="GW55" s="10">
        <v>0</v>
      </c>
      <c r="GX55" s="10">
        <v>0</v>
      </c>
      <c r="GY55" s="10">
        <v>0</v>
      </c>
      <c r="GZ55" s="10">
        <v>0</v>
      </c>
      <c r="HA55" s="10">
        <v>0</v>
      </c>
      <c r="HB55" s="10">
        <v>0</v>
      </c>
      <c r="HC55" s="10">
        <v>0</v>
      </c>
      <c r="HD55" s="10">
        <v>0</v>
      </c>
      <c r="HE55" s="10">
        <v>0</v>
      </c>
      <c r="HF55" s="10">
        <v>0</v>
      </c>
      <c r="HG55" s="10">
        <v>0</v>
      </c>
      <c r="HH55" s="10">
        <v>0</v>
      </c>
      <c r="HI55" s="10">
        <v>0</v>
      </c>
      <c r="HJ55" s="10">
        <v>0</v>
      </c>
      <c r="HK55" s="10">
        <v>0</v>
      </c>
      <c r="HL55" s="10">
        <v>0</v>
      </c>
      <c r="HM55" s="10">
        <v>0</v>
      </c>
      <c r="HN55" s="10">
        <v>0</v>
      </c>
      <c r="HO55" s="10">
        <v>0</v>
      </c>
      <c r="HP55" s="10">
        <v>0</v>
      </c>
      <c r="HQ55" s="10">
        <v>0</v>
      </c>
      <c r="HR55" s="10">
        <v>0</v>
      </c>
      <c r="HS55" s="10">
        <v>0</v>
      </c>
      <c r="HT55" s="10">
        <v>0</v>
      </c>
      <c r="HU55" s="10">
        <v>0</v>
      </c>
    </row>
    <row r="56" spans="1:229" x14ac:dyDescent="0.25">
      <c r="A56" s="10">
        <v>0</v>
      </c>
      <c r="B56" s="2" t="s">
        <v>100</v>
      </c>
      <c r="C56" s="2" t="s">
        <v>101</v>
      </c>
      <c r="D56" s="17">
        <v>2.5910000000000002</v>
      </c>
      <c r="E56" s="3">
        <v>4.55</v>
      </c>
      <c r="F56" s="3">
        <v>8.0500000000000007</v>
      </c>
      <c r="G56" s="3">
        <v>0</v>
      </c>
      <c r="H56" s="8">
        <v>8.0500000000000007</v>
      </c>
      <c r="I56" s="3">
        <v>54</v>
      </c>
      <c r="J56" s="3">
        <v>1.302</v>
      </c>
      <c r="K56" s="3">
        <v>0.19800000000000001</v>
      </c>
      <c r="L56" s="3"/>
      <c r="M56" s="2" t="str">
        <f t="shared" si="7"/>
        <v>01057</v>
      </c>
      <c r="N56" s="3">
        <v>0.62022603031721379</v>
      </c>
      <c r="O56" s="3">
        <v>1.3797739696827864</v>
      </c>
      <c r="P56" s="17">
        <v>0.62022603031710943</v>
      </c>
      <c r="Q56" s="3">
        <v>1.3797739696827778</v>
      </c>
      <c r="R56" s="3">
        <v>0.76856838365702218</v>
      </c>
      <c r="S56" s="3" t="e">
        <v>#DIV/0!</v>
      </c>
      <c r="T56" s="3">
        <v>0.62022603031721668</v>
      </c>
      <c r="U56" s="3">
        <v>0.62022603031721346</v>
      </c>
      <c r="V56" s="3">
        <v>1.3797739696827278</v>
      </c>
      <c r="W56" s="3">
        <v>3.1673998392007872</v>
      </c>
      <c r="X56" s="3">
        <v>1.6070056445516308</v>
      </c>
      <c r="Y56" s="3">
        <v>6.2779715620566385</v>
      </c>
      <c r="Z56" s="3">
        <v>6.1869754884390291</v>
      </c>
      <c r="AA56" s="3">
        <v>0.117430375062488</v>
      </c>
      <c r="AB56" s="3">
        <v>4.992819544053595</v>
      </c>
      <c r="AC56" s="3">
        <v>33.49220563712953</v>
      </c>
      <c r="AD56" s="3">
        <v>1.7964657085269116</v>
      </c>
      <c r="AE56" s="3">
        <v>0.62714516816175592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10">
        <v>0</v>
      </c>
      <c r="BB56" s="10">
        <v>0</v>
      </c>
      <c r="BC56" s="10">
        <v>0</v>
      </c>
      <c r="BD56" s="10">
        <v>0</v>
      </c>
      <c r="BE56" s="10">
        <v>0</v>
      </c>
      <c r="BF56" s="10">
        <v>0</v>
      </c>
      <c r="BG56" s="10">
        <v>0</v>
      </c>
      <c r="BH56" s="10">
        <v>0</v>
      </c>
      <c r="BI56" s="10">
        <v>0</v>
      </c>
      <c r="BJ56" s="10">
        <v>0</v>
      </c>
      <c r="BK56" s="10">
        <v>0</v>
      </c>
      <c r="BL56" s="10">
        <v>0</v>
      </c>
      <c r="BM56" s="10">
        <v>0</v>
      </c>
      <c r="BN56" s="10">
        <v>0</v>
      </c>
      <c r="BO56" s="10">
        <v>0</v>
      </c>
      <c r="BP56" s="10">
        <v>0</v>
      </c>
      <c r="BQ56" s="10">
        <v>0</v>
      </c>
      <c r="BR56" s="10">
        <v>0</v>
      </c>
      <c r="BS56" s="10">
        <v>0</v>
      </c>
      <c r="BT56" s="10">
        <v>0</v>
      </c>
      <c r="BU56" s="10">
        <v>0</v>
      </c>
      <c r="BV56" s="10">
        <v>0</v>
      </c>
      <c r="BW56" s="10">
        <v>0</v>
      </c>
      <c r="BX56" s="10">
        <v>0</v>
      </c>
      <c r="BY56" s="10">
        <v>0</v>
      </c>
      <c r="BZ56" s="10">
        <v>0</v>
      </c>
      <c r="CA56" s="10">
        <v>0.15153892182098458</v>
      </c>
      <c r="CB56" s="10">
        <v>0</v>
      </c>
      <c r="CC56" s="10">
        <v>0</v>
      </c>
      <c r="CD56" s="10">
        <v>0</v>
      </c>
      <c r="CE56" s="10">
        <v>0</v>
      </c>
      <c r="CF56" s="10">
        <v>0</v>
      </c>
      <c r="CG56" s="10">
        <v>0</v>
      </c>
      <c r="CH56" s="10">
        <v>0</v>
      </c>
      <c r="CI56" s="10">
        <v>0</v>
      </c>
      <c r="CJ56" s="10">
        <v>0</v>
      </c>
      <c r="CK56" s="10">
        <v>0</v>
      </c>
      <c r="CL56" s="10">
        <v>0</v>
      </c>
      <c r="CM56" s="10">
        <v>0</v>
      </c>
      <c r="CN56" s="10">
        <v>0</v>
      </c>
      <c r="CO56" s="10">
        <v>0</v>
      </c>
      <c r="CP56" s="10">
        <v>0</v>
      </c>
      <c r="CQ56" s="10">
        <v>0</v>
      </c>
      <c r="CR56" s="10">
        <v>0</v>
      </c>
      <c r="CS56" s="10">
        <v>0</v>
      </c>
      <c r="CT56" s="10">
        <v>0</v>
      </c>
      <c r="CU56" s="10">
        <v>0</v>
      </c>
      <c r="CV56" s="10">
        <v>0</v>
      </c>
      <c r="CW56" s="10">
        <v>0</v>
      </c>
      <c r="CX56" s="10">
        <v>0</v>
      </c>
      <c r="CY56" s="10">
        <v>0</v>
      </c>
      <c r="CZ56" s="10">
        <v>0</v>
      </c>
      <c r="DA56" s="10">
        <v>0</v>
      </c>
      <c r="DB56" s="10">
        <v>0</v>
      </c>
      <c r="DC56" s="10">
        <v>0</v>
      </c>
      <c r="DD56" s="10">
        <v>0.32511544997710595</v>
      </c>
      <c r="DE56" s="10">
        <v>0</v>
      </c>
      <c r="DF56" s="10">
        <v>0</v>
      </c>
      <c r="DG56" s="10">
        <v>0</v>
      </c>
      <c r="DH56" s="10">
        <v>0</v>
      </c>
      <c r="DI56" s="10">
        <v>0</v>
      </c>
      <c r="DJ56" s="10">
        <v>0</v>
      </c>
      <c r="DK56" s="10">
        <v>0</v>
      </c>
      <c r="DL56" s="10">
        <v>0</v>
      </c>
      <c r="DM56" s="10">
        <v>0</v>
      </c>
      <c r="DN56" s="10">
        <v>0</v>
      </c>
      <c r="DO56" s="10">
        <v>0</v>
      </c>
      <c r="DP56" s="10">
        <v>0</v>
      </c>
      <c r="DQ56" s="10">
        <v>0</v>
      </c>
      <c r="DR56" s="10">
        <v>0</v>
      </c>
      <c r="DS56" s="10">
        <v>8.2529572036329782E-2</v>
      </c>
      <c r="DT56" s="10">
        <v>0</v>
      </c>
      <c r="DU56" s="10">
        <v>0</v>
      </c>
      <c r="DV56" s="10">
        <v>0</v>
      </c>
      <c r="DW56" s="10">
        <v>0</v>
      </c>
      <c r="DX56" s="10">
        <v>0</v>
      </c>
      <c r="DY56" s="10">
        <v>0</v>
      </c>
      <c r="DZ56" s="10">
        <v>0</v>
      </c>
      <c r="EA56" s="10">
        <v>0</v>
      </c>
      <c r="EB56" s="10">
        <v>0</v>
      </c>
      <c r="EC56" s="10">
        <v>0</v>
      </c>
      <c r="ED56" s="10">
        <v>0</v>
      </c>
      <c r="EE56" s="10">
        <v>0</v>
      </c>
      <c r="EF56" s="10">
        <v>0</v>
      </c>
      <c r="EG56" s="10">
        <v>0</v>
      </c>
      <c r="EH56" s="10">
        <v>0</v>
      </c>
      <c r="EI56" s="10">
        <v>0</v>
      </c>
      <c r="EJ56" s="10">
        <v>0</v>
      </c>
      <c r="EK56" s="10">
        <v>0</v>
      </c>
      <c r="EL56" s="10">
        <v>0</v>
      </c>
      <c r="EM56" s="10">
        <v>0</v>
      </c>
      <c r="EN56" s="10">
        <v>0</v>
      </c>
      <c r="EO56" s="10">
        <v>0</v>
      </c>
      <c r="EP56" s="10">
        <v>0</v>
      </c>
      <c r="EQ56" s="10">
        <v>0</v>
      </c>
      <c r="ER56" s="10">
        <v>0</v>
      </c>
      <c r="ES56" s="10">
        <v>0</v>
      </c>
      <c r="ET56" s="10">
        <v>0</v>
      </c>
      <c r="EU56" s="10">
        <v>0</v>
      </c>
      <c r="EV56" s="10">
        <v>0</v>
      </c>
      <c r="EW56" s="10">
        <v>0</v>
      </c>
      <c r="EX56" s="10">
        <v>0</v>
      </c>
      <c r="EY56" s="10">
        <v>0</v>
      </c>
      <c r="EZ56" s="10">
        <v>0</v>
      </c>
      <c r="FA56" s="10">
        <v>0</v>
      </c>
      <c r="FB56" s="10">
        <v>0</v>
      </c>
      <c r="FC56" s="10">
        <v>0</v>
      </c>
      <c r="FD56" s="10">
        <v>0</v>
      </c>
      <c r="FE56" s="10">
        <v>0</v>
      </c>
      <c r="FF56" s="10">
        <v>0</v>
      </c>
      <c r="FG56" s="10">
        <v>0</v>
      </c>
      <c r="FH56" s="10">
        <v>0</v>
      </c>
      <c r="FI56" s="10">
        <v>0</v>
      </c>
      <c r="FJ56" s="10">
        <v>0</v>
      </c>
      <c r="FK56" s="10">
        <v>0</v>
      </c>
      <c r="FL56" s="10">
        <v>0</v>
      </c>
      <c r="FM56" s="10">
        <v>0</v>
      </c>
      <c r="FN56" s="10">
        <v>0</v>
      </c>
      <c r="FO56" s="10">
        <v>0</v>
      </c>
      <c r="FP56" s="10">
        <v>0</v>
      </c>
      <c r="FQ56" s="10">
        <v>0</v>
      </c>
      <c r="FR56" s="10">
        <v>0</v>
      </c>
      <c r="FS56" s="10">
        <v>0</v>
      </c>
      <c r="FT56" s="10">
        <v>0</v>
      </c>
      <c r="FU56" s="10">
        <v>0</v>
      </c>
      <c r="FV56" s="10">
        <v>0</v>
      </c>
      <c r="FW56" s="10">
        <v>0</v>
      </c>
      <c r="FX56" s="10">
        <v>0</v>
      </c>
      <c r="FY56" s="10">
        <v>0</v>
      </c>
      <c r="FZ56" s="10">
        <v>0</v>
      </c>
      <c r="GA56" s="10">
        <v>0</v>
      </c>
      <c r="GB56" s="10">
        <v>0</v>
      </c>
      <c r="GC56" s="10">
        <v>0</v>
      </c>
      <c r="GD56" s="10">
        <v>0</v>
      </c>
      <c r="GE56" s="10">
        <v>0</v>
      </c>
      <c r="GF56" s="10">
        <v>0</v>
      </c>
      <c r="GG56" s="10">
        <v>0</v>
      </c>
      <c r="GH56" s="10">
        <v>0</v>
      </c>
      <c r="GI56" s="10">
        <v>0</v>
      </c>
      <c r="GJ56" s="10">
        <v>0</v>
      </c>
      <c r="GK56" s="10">
        <v>0</v>
      </c>
      <c r="GL56" s="10">
        <v>0</v>
      </c>
      <c r="GM56" s="10">
        <v>0</v>
      </c>
      <c r="GN56" s="10">
        <v>0</v>
      </c>
      <c r="GO56" s="10">
        <v>0</v>
      </c>
      <c r="GP56" s="10">
        <v>0</v>
      </c>
      <c r="GQ56" s="10">
        <v>0</v>
      </c>
      <c r="GR56" s="10">
        <v>0</v>
      </c>
      <c r="GS56" s="10">
        <v>0</v>
      </c>
      <c r="GT56" s="10">
        <v>0</v>
      </c>
      <c r="GU56" s="10">
        <v>0</v>
      </c>
      <c r="GV56" s="10">
        <v>0.27305837750488254</v>
      </c>
      <c r="GW56" s="10">
        <v>0</v>
      </c>
      <c r="GX56" s="10">
        <v>0</v>
      </c>
      <c r="GY56" s="10">
        <v>0</v>
      </c>
      <c r="GZ56" s="10">
        <v>0</v>
      </c>
      <c r="HA56" s="10">
        <v>0</v>
      </c>
      <c r="HB56" s="10">
        <v>0</v>
      </c>
      <c r="HC56" s="10">
        <v>0</v>
      </c>
      <c r="HD56" s="10">
        <v>0</v>
      </c>
      <c r="HE56" s="10">
        <v>0</v>
      </c>
      <c r="HF56" s="10">
        <v>0</v>
      </c>
      <c r="HG56" s="10">
        <v>0.16775767866069716</v>
      </c>
      <c r="HH56" s="10">
        <v>0</v>
      </c>
      <c r="HI56" s="10">
        <v>0</v>
      </c>
      <c r="HJ56" s="10">
        <v>0</v>
      </c>
      <c r="HK56" s="10">
        <v>0</v>
      </c>
      <c r="HL56" s="10">
        <v>0</v>
      </c>
      <c r="HM56" s="10">
        <v>0</v>
      </c>
      <c r="HN56" s="10">
        <v>0</v>
      </c>
      <c r="HO56" s="10">
        <v>0</v>
      </c>
      <c r="HP56" s="10">
        <v>0</v>
      </c>
      <c r="HQ56" s="10">
        <v>0</v>
      </c>
      <c r="HR56" s="10">
        <v>0</v>
      </c>
      <c r="HS56" s="10">
        <v>0</v>
      </c>
      <c r="HT56" s="10">
        <v>0</v>
      </c>
      <c r="HU56" s="10">
        <v>0</v>
      </c>
    </row>
    <row r="57" spans="1:229" x14ac:dyDescent="0.25">
      <c r="A57" s="10">
        <v>0</v>
      </c>
      <c r="B57" s="2" t="s">
        <v>102</v>
      </c>
      <c r="C57" s="2" t="s">
        <v>103</v>
      </c>
      <c r="D57" s="17">
        <v>13.272</v>
      </c>
      <c r="E57" s="3">
        <v>3.25</v>
      </c>
      <c r="F57" s="3">
        <v>4.68</v>
      </c>
      <c r="G57" s="3">
        <v>0</v>
      </c>
      <c r="H57" s="21">
        <v>4.68</v>
      </c>
      <c r="I57" s="3">
        <v>48</v>
      </c>
      <c r="J57" s="3">
        <v>1.958</v>
      </c>
      <c r="K57" s="3">
        <v>0.46800000000000003</v>
      </c>
      <c r="L57" s="3"/>
      <c r="M57" s="2" t="str">
        <f t="shared" si="7"/>
        <v>01058</v>
      </c>
      <c r="N57" s="3">
        <v>0.45927927227530146</v>
      </c>
      <c r="O57" s="3">
        <v>1.540720727724699</v>
      </c>
      <c r="P57" s="17">
        <v>0.4592792722752953</v>
      </c>
      <c r="Q57" s="3">
        <v>2.4188761036910318</v>
      </c>
      <c r="R57" s="3">
        <v>0.92941299918766662</v>
      </c>
      <c r="S57" s="3" t="e">
        <v>#DIV/0!</v>
      </c>
      <c r="T57" s="3">
        <v>0.45927927227530196</v>
      </c>
      <c r="U57" s="3">
        <v>0.45927927227530119</v>
      </c>
      <c r="V57" s="3">
        <v>1.5407207277247446</v>
      </c>
      <c r="W57" s="3">
        <v>1.1369898326878629</v>
      </c>
      <c r="X57" s="3">
        <v>6.0955545016377197</v>
      </c>
      <c r="Y57" s="3">
        <v>7.8613473369958538</v>
      </c>
      <c r="Z57" s="3">
        <v>4.3496528361982794</v>
      </c>
      <c r="AA57" s="3">
        <v>0</v>
      </c>
      <c r="AB57" s="3">
        <v>2.149426994248413</v>
      </c>
      <c r="AC57" s="3">
        <v>22.045405069214457</v>
      </c>
      <c r="AD57" s="3">
        <v>3.01673118488505</v>
      </c>
      <c r="AE57" s="3">
        <v>0.5321112416979199</v>
      </c>
      <c r="AF57" s="3">
        <v>0</v>
      </c>
      <c r="AG57" s="3">
        <v>0</v>
      </c>
      <c r="AH57" s="3">
        <v>0</v>
      </c>
      <c r="AI57" s="10">
        <v>0</v>
      </c>
      <c r="AJ57" s="3">
        <v>0</v>
      </c>
      <c r="AK57" s="3">
        <v>0</v>
      </c>
      <c r="AL57" s="3">
        <v>0</v>
      </c>
      <c r="AM57" s="3">
        <v>0</v>
      </c>
      <c r="AN57" s="10">
        <v>0</v>
      </c>
      <c r="AO57" s="10">
        <v>0</v>
      </c>
      <c r="AP57" s="10">
        <v>0</v>
      </c>
      <c r="AQ57" s="10">
        <v>0</v>
      </c>
      <c r="AR57" s="10">
        <v>0</v>
      </c>
      <c r="AS57" s="10">
        <v>0</v>
      </c>
      <c r="AT57" s="10">
        <v>0</v>
      </c>
      <c r="AU57" s="10">
        <v>0</v>
      </c>
      <c r="AV57" s="10">
        <v>0</v>
      </c>
      <c r="AW57" s="3">
        <v>0</v>
      </c>
      <c r="AX57" s="3">
        <v>0</v>
      </c>
      <c r="AY57" s="3">
        <v>0</v>
      </c>
      <c r="AZ57" s="3">
        <v>0</v>
      </c>
      <c r="BA57" s="10">
        <v>0</v>
      </c>
      <c r="BB57" s="10">
        <v>0</v>
      </c>
      <c r="BC57" s="10">
        <v>0</v>
      </c>
      <c r="BD57" s="10">
        <v>0</v>
      </c>
      <c r="BE57" s="10">
        <v>0</v>
      </c>
      <c r="BF57" s="10">
        <v>0</v>
      </c>
      <c r="BG57" s="10">
        <v>0</v>
      </c>
      <c r="BH57" s="10">
        <v>0</v>
      </c>
      <c r="BI57" s="10">
        <v>0</v>
      </c>
      <c r="BJ57" s="10">
        <v>0</v>
      </c>
      <c r="BK57" s="10">
        <v>0</v>
      </c>
      <c r="BL57" s="10">
        <v>0</v>
      </c>
      <c r="BM57" s="10">
        <v>0</v>
      </c>
      <c r="BN57" s="10">
        <v>0</v>
      </c>
      <c r="BO57" s="10">
        <v>0</v>
      </c>
      <c r="BP57" s="10">
        <v>0</v>
      </c>
      <c r="BQ57" s="10">
        <v>0</v>
      </c>
      <c r="BR57" s="10">
        <v>0</v>
      </c>
      <c r="BS57" s="10">
        <v>0</v>
      </c>
      <c r="BT57" s="10">
        <v>0</v>
      </c>
      <c r="BU57" s="10">
        <v>0</v>
      </c>
      <c r="BV57" s="10">
        <v>0</v>
      </c>
      <c r="BW57" s="10">
        <v>0</v>
      </c>
      <c r="BX57" s="10">
        <v>0</v>
      </c>
      <c r="BY57" s="10">
        <v>0</v>
      </c>
      <c r="BZ57" s="10">
        <v>0</v>
      </c>
      <c r="CA57" s="10">
        <v>0</v>
      </c>
      <c r="CB57" s="10">
        <v>0</v>
      </c>
      <c r="CC57" s="10">
        <v>0</v>
      </c>
      <c r="CD57" s="10">
        <v>0</v>
      </c>
      <c r="CE57" s="10">
        <v>0</v>
      </c>
      <c r="CF57" s="10">
        <v>0</v>
      </c>
      <c r="CG57" s="10">
        <v>0</v>
      </c>
      <c r="CH57" s="10">
        <v>0</v>
      </c>
      <c r="CI57" s="10">
        <v>0</v>
      </c>
      <c r="CJ57" s="10">
        <v>0</v>
      </c>
      <c r="CK57" s="10">
        <v>0</v>
      </c>
      <c r="CL57" s="10">
        <v>0</v>
      </c>
      <c r="CM57" s="10">
        <v>0</v>
      </c>
      <c r="CN57" s="10">
        <v>0</v>
      </c>
      <c r="CO57" s="10">
        <v>0</v>
      </c>
      <c r="CP57" s="10">
        <v>0</v>
      </c>
      <c r="CQ57" s="10">
        <v>0</v>
      </c>
      <c r="CR57" s="10">
        <v>0</v>
      </c>
      <c r="CS57" s="10">
        <v>0.45918647388923145</v>
      </c>
      <c r="CT57" s="10">
        <v>0</v>
      </c>
      <c r="CU57" s="10">
        <v>0</v>
      </c>
      <c r="CV57" s="10">
        <v>0</v>
      </c>
      <c r="CW57" s="10">
        <v>0</v>
      </c>
      <c r="CX57" s="10">
        <v>0</v>
      </c>
      <c r="CY57" s="10">
        <v>0</v>
      </c>
      <c r="CZ57" s="10">
        <v>0</v>
      </c>
      <c r="DA57" s="10">
        <v>0</v>
      </c>
      <c r="DB57" s="10">
        <v>0</v>
      </c>
      <c r="DC57" s="10">
        <v>0</v>
      </c>
      <c r="DD57" s="10">
        <v>0</v>
      </c>
      <c r="DE57" s="10">
        <v>0</v>
      </c>
      <c r="DF57" s="10">
        <v>0.341470525837265</v>
      </c>
      <c r="DG57" s="10">
        <v>0</v>
      </c>
      <c r="DH57" s="10">
        <v>0</v>
      </c>
      <c r="DI57" s="10">
        <v>0</v>
      </c>
      <c r="DJ57" s="10">
        <v>0</v>
      </c>
      <c r="DK57" s="10">
        <v>0</v>
      </c>
      <c r="DL57" s="10">
        <v>0</v>
      </c>
      <c r="DM57" s="10">
        <v>0</v>
      </c>
      <c r="DN57" s="10">
        <v>0</v>
      </c>
      <c r="DO57" s="10">
        <v>0</v>
      </c>
      <c r="DP57" s="10">
        <v>0</v>
      </c>
      <c r="DQ57" s="10">
        <v>0</v>
      </c>
      <c r="DR57" s="10">
        <v>0</v>
      </c>
      <c r="DS57" s="10">
        <v>5.3960722406056691E-2</v>
      </c>
      <c r="DT57" s="10">
        <v>0</v>
      </c>
      <c r="DU57" s="10">
        <v>0</v>
      </c>
      <c r="DV57" s="10">
        <v>0</v>
      </c>
      <c r="DW57" s="10">
        <v>0</v>
      </c>
      <c r="DX57" s="10">
        <v>0</v>
      </c>
      <c r="DY57" s="10">
        <v>0</v>
      </c>
      <c r="DZ57" s="10">
        <v>0</v>
      </c>
      <c r="EA57" s="10">
        <v>0</v>
      </c>
      <c r="EB57" s="10">
        <v>0</v>
      </c>
      <c r="EC57" s="10">
        <v>0</v>
      </c>
      <c r="ED57" s="10">
        <v>0</v>
      </c>
      <c r="EE57" s="10">
        <v>0</v>
      </c>
      <c r="EF57" s="10">
        <v>0</v>
      </c>
      <c r="EG57" s="10">
        <v>0</v>
      </c>
      <c r="EH57" s="10">
        <v>0</v>
      </c>
      <c r="EI57" s="10">
        <v>0</v>
      </c>
      <c r="EJ57" s="10">
        <v>0</v>
      </c>
      <c r="EK57" s="10">
        <v>0</v>
      </c>
      <c r="EL57" s="10">
        <v>0</v>
      </c>
      <c r="EM57" s="10">
        <v>0</v>
      </c>
      <c r="EN57" s="10">
        <v>0</v>
      </c>
      <c r="EO57" s="10">
        <v>0</v>
      </c>
      <c r="EP57" s="10">
        <v>0</v>
      </c>
      <c r="EQ57" s="10">
        <v>0</v>
      </c>
      <c r="ER57" s="10">
        <v>0</v>
      </c>
      <c r="ES57" s="10">
        <v>0</v>
      </c>
      <c r="ET57" s="10">
        <v>0.1453822778674469</v>
      </c>
      <c r="EU57" s="10">
        <v>0</v>
      </c>
      <c r="EV57" s="10">
        <v>0</v>
      </c>
      <c r="EW57" s="10">
        <v>0</v>
      </c>
      <c r="EX57" s="10">
        <v>0</v>
      </c>
      <c r="EY57" s="10">
        <v>0</v>
      </c>
      <c r="EZ57" s="10">
        <v>0</v>
      </c>
      <c r="FA57" s="10">
        <v>0</v>
      </c>
      <c r="FB57" s="10">
        <v>0</v>
      </c>
      <c r="FC57" s="10">
        <v>0</v>
      </c>
      <c r="FD57" s="10">
        <v>0</v>
      </c>
      <c r="FE57" s="10">
        <v>0</v>
      </c>
      <c r="FF57" s="10">
        <v>0</v>
      </c>
      <c r="FG57" s="10">
        <v>0</v>
      </c>
      <c r="FH57" s="10">
        <v>0</v>
      </c>
      <c r="FI57" s="10">
        <v>0</v>
      </c>
      <c r="FJ57" s="10">
        <v>0</v>
      </c>
      <c r="FK57" s="10">
        <v>0</v>
      </c>
      <c r="FL57" s="10">
        <v>0</v>
      </c>
      <c r="FM57" s="10">
        <v>0</v>
      </c>
      <c r="FN57" s="10">
        <v>0</v>
      </c>
      <c r="FO57" s="10">
        <v>0</v>
      </c>
      <c r="FP57" s="10">
        <v>0</v>
      </c>
      <c r="FQ57" s="10">
        <v>0</v>
      </c>
      <c r="FR57" s="10">
        <v>0</v>
      </c>
      <c r="FS57" s="10">
        <v>0</v>
      </c>
      <c r="FT57" s="10">
        <v>0</v>
      </c>
      <c r="FU57" s="10">
        <v>0</v>
      </c>
      <c r="FV57" s="10">
        <v>0</v>
      </c>
      <c r="FW57" s="10">
        <v>0</v>
      </c>
      <c r="FX57" s="10">
        <v>0</v>
      </c>
      <c r="FY57" s="10">
        <v>0</v>
      </c>
      <c r="FZ57" s="10">
        <v>0</v>
      </c>
      <c r="GA57" s="10">
        <v>0</v>
      </c>
      <c r="GB57" s="10">
        <v>0</v>
      </c>
      <c r="GC57" s="10">
        <v>0</v>
      </c>
      <c r="GD57" s="10">
        <v>0</v>
      </c>
      <c r="GE57" s="10">
        <v>0</v>
      </c>
      <c r="GF57" s="10">
        <v>0</v>
      </c>
      <c r="GG57" s="10">
        <v>0</v>
      </c>
      <c r="GH57" s="10">
        <v>0</v>
      </c>
      <c r="GI57" s="10">
        <v>0</v>
      </c>
      <c r="GJ57" s="10">
        <v>0</v>
      </c>
      <c r="GK57" s="10">
        <v>0</v>
      </c>
      <c r="GL57" s="10">
        <v>0</v>
      </c>
      <c r="GM57" s="10">
        <v>0</v>
      </c>
      <c r="GN57" s="10">
        <v>0</v>
      </c>
      <c r="GO57" s="10">
        <v>0</v>
      </c>
      <c r="GP57" s="10">
        <v>0</v>
      </c>
      <c r="GQ57" s="10">
        <v>0</v>
      </c>
      <c r="GR57" s="10">
        <v>0</v>
      </c>
      <c r="GS57" s="10">
        <v>0</v>
      </c>
      <c r="GT57" s="10">
        <v>0</v>
      </c>
      <c r="GU57" s="10">
        <v>0</v>
      </c>
      <c r="GV57" s="10">
        <v>0</v>
      </c>
      <c r="GW57" s="10">
        <v>0</v>
      </c>
      <c r="GX57" s="10">
        <v>0</v>
      </c>
      <c r="GY57" s="10">
        <v>0</v>
      </c>
      <c r="GZ57" s="10">
        <v>0</v>
      </c>
      <c r="HA57" s="10">
        <v>0</v>
      </c>
      <c r="HB57" s="10">
        <v>0</v>
      </c>
      <c r="HC57" s="10">
        <v>0</v>
      </c>
      <c r="HD57" s="10">
        <v>0</v>
      </c>
      <c r="HE57" s="10">
        <v>0</v>
      </c>
      <c r="HF57" s="10">
        <v>0</v>
      </c>
      <c r="HG57" s="10">
        <v>0</v>
      </c>
      <c r="HH57" s="10">
        <v>0</v>
      </c>
      <c r="HI57" s="10">
        <v>0</v>
      </c>
      <c r="HJ57" s="10">
        <v>0</v>
      </c>
      <c r="HK57" s="10">
        <v>0</v>
      </c>
      <c r="HL57" s="10">
        <v>0</v>
      </c>
      <c r="HM57" s="10">
        <v>0</v>
      </c>
      <c r="HN57" s="10">
        <v>0</v>
      </c>
      <c r="HO57" s="10">
        <v>0</v>
      </c>
      <c r="HP57" s="10">
        <v>0</v>
      </c>
      <c r="HQ57" s="10">
        <v>0</v>
      </c>
      <c r="HR57" s="10">
        <v>0</v>
      </c>
      <c r="HS57" s="10">
        <v>0</v>
      </c>
      <c r="HT57" s="10">
        <v>0</v>
      </c>
      <c r="HU57" s="10">
        <v>0</v>
      </c>
    </row>
    <row r="58" spans="1:229" x14ac:dyDescent="0.25">
      <c r="A58" s="10">
        <v>0.35921245692350035</v>
      </c>
      <c r="B58" s="2" t="s">
        <v>104</v>
      </c>
      <c r="C58" s="2" t="s">
        <v>105</v>
      </c>
      <c r="D58" s="17">
        <v>0.76800000000000002</v>
      </c>
      <c r="E58" s="3">
        <v>3.33</v>
      </c>
      <c r="F58" s="3">
        <v>4.74</v>
      </c>
      <c r="G58" s="3">
        <v>0</v>
      </c>
      <c r="H58" s="3"/>
      <c r="I58" s="3">
        <v>57</v>
      </c>
      <c r="J58" s="3">
        <v>1.7829999999999999</v>
      </c>
      <c r="K58" s="3">
        <v>0.75</v>
      </c>
      <c r="L58" s="3"/>
      <c r="M58" s="2" t="str">
        <f t="shared" si="7"/>
        <v>01059</v>
      </c>
      <c r="N58" s="3">
        <v>1.0000000000000104</v>
      </c>
      <c r="O58" s="3">
        <v>0.99999999999998956</v>
      </c>
      <c r="P58" s="17">
        <v>0.99999999999998523</v>
      </c>
      <c r="Q58" s="3">
        <v>1.0000000000000016</v>
      </c>
      <c r="R58" s="3">
        <v>1.0000000000000018</v>
      </c>
      <c r="S58" s="3" t="e">
        <v>#DIV/0!</v>
      </c>
      <c r="T58" s="3" t="e">
        <v>#DIV/0!</v>
      </c>
      <c r="U58" s="3">
        <v>0.99999999999999289</v>
      </c>
      <c r="V58" s="3">
        <v>0.99999999999994382</v>
      </c>
      <c r="W58" s="3">
        <v>0.99999999999993661</v>
      </c>
      <c r="X58" s="3">
        <v>0.76799999999998869</v>
      </c>
      <c r="Y58" s="3">
        <v>3.330000000000005</v>
      </c>
      <c r="Z58" s="3">
        <v>4.7400000000000082</v>
      </c>
      <c r="AA58" s="3">
        <v>0</v>
      </c>
      <c r="AB58" s="3">
        <v>0</v>
      </c>
      <c r="AC58" s="3">
        <v>56.999999999999595</v>
      </c>
      <c r="AD58" s="3">
        <v>1.7829999999998998</v>
      </c>
      <c r="AE58" s="3">
        <v>0.74999999999995248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10">
        <v>0</v>
      </c>
      <c r="BB58" s="10">
        <v>0</v>
      </c>
      <c r="BC58" s="10">
        <v>0</v>
      </c>
      <c r="BD58" s="10">
        <v>0</v>
      </c>
      <c r="BE58" s="10">
        <v>0</v>
      </c>
      <c r="BF58" s="10">
        <v>0</v>
      </c>
      <c r="BG58" s="10">
        <v>0</v>
      </c>
      <c r="BH58" s="10">
        <v>0</v>
      </c>
      <c r="BI58" s="10">
        <v>0</v>
      </c>
      <c r="BJ58" s="10">
        <v>0</v>
      </c>
      <c r="BK58" s="10">
        <v>0</v>
      </c>
      <c r="BL58" s="10">
        <v>0</v>
      </c>
      <c r="BM58" s="10">
        <v>0</v>
      </c>
      <c r="BN58" s="10">
        <v>0</v>
      </c>
      <c r="BO58" s="10">
        <v>0</v>
      </c>
      <c r="BP58" s="10">
        <v>0</v>
      </c>
      <c r="BQ58" s="10">
        <v>0</v>
      </c>
      <c r="BR58" s="10">
        <v>0</v>
      </c>
      <c r="BS58" s="10">
        <v>0</v>
      </c>
      <c r="BT58" s="10">
        <v>0</v>
      </c>
      <c r="BU58" s="10">
        <v>0</v>
      </c>
      <c r="BV58" s="10">
        <v>0</v>
      </c>
      <c r="BW58" s="10">
        <v>0</v>
      </c>
      <c r="BX58" s="10">
        <v>0</v>
      </c>
      <c r="BY58" s="10">
        <v>0</v>
      </c>
      <c r="BZ58" s="10">
        <v>0</v>
      </c>
      <c r="CA58" s="10">
        <v>0.9999999999999335</v>
      </c>
      <c r="CB58" s="10">
        <v>0</v>
      </c>
      <c r="CC58" s="10">
        <v>0</v>
      </c>
      <c r="CD58" s="10">
        <v>0</v>
      </c>
      <c r="CE58" s="10">
        <v>0</v>
      </c>
      <c r="CF58" s="10">
        <v>0</v>
      </c>
      <c r="CG58" s="10">
        <v>0</v>
      </c>
      <c r="CH58" s="10">
        <v>0</v>
      </c>
      <c r="CI58" s="10">
        <v>0</v>
      </c>
      <c r="CJ58" s="10">
        <v>0</v>
      </c>
      <c r="CK58" s="10">
        <v>0</v>
      </c>
      <c r="CL58" s="10">
        <v>0</v>
      </c>
      <c r="CM58" s="10">
        <v>0</v>
      </c>
      <c r="CN58" s="10">
        <v>6.4837024638109142E-14</v>
      </c>
      <c r="CO58" s="10">
        <v>0</v>
      </c>
      <c r="CP58" s="10">
        <v>0</v>
      </c>
      <c r="CQ58" s="10">
        <v>0</v>
      </c>
      <c r="CR58" s="10">
        <v>0</v>
      </c>
      <c r="CS58" s="10">
        <v>0</v>
      </c>
      <c r="CT58" s="10">
        <v>0</v>
      </c>
      <c r="CU58" s="10">
        <v>0</v>
      </c>
      <c r="CV58" s="10">
        <v>0</v>
      </c>
      <c r="CW58" s="10">
        <v>0</v>
      </c>
      <c r="CX58" s="10">
        <v>0</v>
      </c>
      <c r="CY58" s="10">
        <v>0</v>
      </c>
      <c r="CZ58" s="10">
        <v>0</v>
      </c>
      <c r="DA58" s="10">
        <v>0</v>
      </c>
      <c r="DB58" s="10">
        <v>0</v>
      </c>
      <c r="DC58" s="10">
        <v>0</v>
      </c>
      <c r="DD58" s="10">
        <v>0</v>
      </c>
      <c r="DE58" s="10">
        <v>0</v>
      </c>
      <c r="DF58" s="10">
        <v>1.1945420837281726E-16</v>
      </c>
      <c r="DG58" s="10">
        <v>0</v>
      </c>
      <c r="DH58" s="10">
        <v>0</v>
      </c>
      <c r="DI58" s="10">
        <v>0</v>
      </c>
      <c r="DJ58" s="10">
        <v>0</v>
      </c>
      <c r="DK58" s="10">
        <v>0</v>
      </c>
      <c r="DL58" s="10">
        <v>0</v>
      </c>
      <c r="DM58" s="10">
        <v>0</v>
      </c>
      <c r="DN58" s="10">
        <v>0</v>
      </c>
      <c r="DO58" s="10">
        <v>0</v>
      </c>
      <c r="DP58" s="10">
        <v>0</v>
      </c>
      <c r="DQ58" s="10">
        <v>0</v>
      </c>
      <c r="DR58" s="10">
        <v>0</v>
      </c>
      <c r="DS58" s="10">
        <v>0</v>
      </c>
      <c r="DT58" s="10">
        <v>0</v>
      </c>
      <c r="DU58" s="10">
        <v>0</v>
      </c>
      <c r="DV58" s="10">
        <v>0</v>
      </c>
      <c r="DW58" s="10">
        <v>0</v>
      </c>
      <c r="DX58" s="10">
        <v>0</v>
      </c>
      <c r="DY58" s="10">
        <v>0</v>
      </c>
      <c r="DZ58" s="10">
        <v>0</v>
      </c>
      <c r="EA58" s="10">
        <v>0</v>
      </c>
      <c r="EB58" s="10">
        <v>0</v>
      </c>
      <c r="EC58" s="10">
        <v>0</v>
      </c>
      <c r="ED58" s="10">
        <v>0</v>
      </c>
      <c r="EE58" s="10">
        <v>0</v>
      </c>
      <c r="EF58" s="10">
        <v>0</v>
      </c>
      <c r="EG58" s="10">
        <v>0</v>
      </c>
      <c r="EH58" s="10">
        <v>0</v>
      </c>
      <c r="EI58" s="10">
        <v>0</v>
      </c>
      <c r="EJ58" s="10">
        <v>0</v>
      </c>
      <c r="EK58" s="10">
        <v>0</v>
      </c>
      <c r="EL58" s="10">
        <v>0</v>
      </c>
      <c r="EM58" s="10">
        <v>0</v>
      </c>
      <c r="EN58" s="10">
        <v>0</v>
      </c>
      <c r="EO58" s="10">
        <v>0</v>
      </c>
      <c r="EP58" s="10">
        <v>0</v>
      </c>
      <c r="EQ58" s="10">
        <v>0</v>
      </c>
      <c r="ER58" s="10">
        <v>0</v>
      </c>
      <c r="ES58" s="10">
        <v>0</v>
      </c>
      <c r="ET58" s="10">
        <v>0</v>
      </c>
      <c r="EU58" s="10">
        <v>0</v>
      </c>
      <c r="EV58" s="10">
        <v>0</v>
      </c>
      <c r="EW58" s="10">
        <v>0</v>
      </c>
      <c r="EX58" s="10">
        <v>0</v>
      </c>
      <c r="EY58" s="10">
        <v>0</v>
      </c>
      <c r="EZ58" s="10">
        <v>0</v>
      </c>
      <c r="FA58" s="10">
        <v>0</v>
      </c>
      <c r="FB58" s="10">
        <v>0</v>
      </c>
      <c r="FC58" s="10">
        <v>0</v>
      </c>
      <c r="FD58" s="10">
        <v>0</v>
      </c>
      <c r="FE58" s="10">
        <v>0</v>
      </c>
      <c r="FF58" s="10">
        <v>0</v>
      </c>
      <c r="FG58" s="10">
        <v>0</v>
      </c>
      <c r="FH58" s="10">
        <v>0</v>
      </c>
      <c r="FI58" s="10">
        <v>0</v>
      </c>
      <c r="FJ58" s="10">
        <v>0</v>
      </c>
      <c r="FK58" s="10">
        <v>0</v>
      </c>
      <c r="FL58" s="10">
        <v>0</v>
      </c>
      <c r="FM58" s="10">
        <v>0</v>
      </c>
      <c r="FN58" s="10">
        <v>0</v>
      </c>
      <c r="FO58" s="10">
        <v>0</v>
      </c>
      <c r="FP58" s="10">
        <v>0</v>
      </c>
      <c r="FQ58" s="10">
        <v>0</v>
      </c>
      <c r="FR58" s="10">
        <v>0</v>
      </c>
      <c r="FS58" s="10">
        <v>0</v>
      </c>
      <c r="FT58" s="10">
        <v>0</v>
      </c>
      <c r="FU58" s="10">
        <v>0</v>
      </c>
      <c r="FV58" s="10">
        <v>0</v>
      </c>
      <c r="FW58" s="10">
        <v>0</v>
      </c>
      <c r="FX58" s="10">
        <v>0</v>
      </c>
      <c r="FY58" s="10">
        <v>0</v>
      </c>
      <c r="FZ58" s="10">
        <v>0</v>
      </c>
      <c r="GA58" s="10">
        <v>0</v>
      </c>
      <c r="GB58" s="10">
        <v>0</v>
      </c>
      <c r="GC58" s="10">
        <v>0</v>
      </c>
      <c r="GD58" s="10">
        <v>0</v>
      </c>
      <c r="GE58" s="10">
        <v>0</v>
      </c>
      <c r="GF58" s="10">
        <v>0</v>
      </c>
      <c r="GG58" s="10">
        <v>0</v>
      </c>
      <c r="GH58" s="10">
        <v>0</v>
      </c>
      <c r="GI58" s="10">
        <v>0</v>
      </c>
      <c r="GJ58" s="10">
        <v>0</v>
      </c>
      <c r="GK58" s="10">
        <v>0</v>
      </c>
      <c r="GL58" s="10">
        <v>0</v>
      </c>
      <c r="GM58" s="10">
        <v>0</v>
      </c>
      <c r="GN58" s="10">
        <v>0</v>
      </c>
      <c r="GO58" s="10">
        <v>0</v>
      </c>
      <c r="GP58" s="10">
        <v>0</v>
      </c>
      <c r="GQ58" s="10">
        <v>0</v>
      </c>
      <c r="GR58" s="10">
        <v>0</v>
      </c>
      <c r="GS58" s="10">
        <v>0</v>
      </c>
      <c r="GT58" s="10">
        <v>0</v>
      </c>
      <c r="GU58" s="10">
        <v>0</v>
      </c>
      <c r="GV58" s="10">
        <v>0</v>
      </c>
      <c r="GW58" s="10">
        <v>0</v>
      </c>
      <c r="GX58" s="10">
        <v>0</v>
      </c>
      <c r="GY58" s="10">
        <v>0</v>
      </c>
      <c r="GZ58" s="10">
        <v>0</v>
      </c>
      <c r="HA58" s="10">
        <v>0</v>
      </c>
      <c r="HB58" s="10">
        <v>0</v>
      </c>
      <c r="HC58" s="10">
        <v>0</v>
      </c>
      <c r="HD58" s="10">
        <v>0</v>
      </c>
      <c r="HE58" s="10">
        <v>0</v>
      </c>
      <c r="HF58" s="10">
        <v>0</v>
      </c>
      <c r="HG58" s="10">
        <v>0</v>
      </c>
      <c r="HH58" s="10">
        <v>0</v>
      </c>
      <c r="HI58" s="10">
        <v>0</v>
      </c>
      <c r="HJ58" s="10">
        <v>0</v>
      </c>
      <c r="HK58" s="10">
        <v>0</v>
      </c>
      <c r="HL58" s="10">
        <v>0</v>
      </c>
      <c r="HM58" s="10">
        <v>0</v>
      </c>
      <c r="HN58" s="10">
        <v>0</v>
      </c>
      <c r="HO58" s="10">
        <v>0</v>
      </c>
      <c r="HP58" s="10">
        <v>0</v>
      </c>
      <c r="HQ58" s="10">
        <v>0</v>
      </c>
      <c r="HR58" s="10">
        <v>0</v>
      </c>
      <c r="HS58" s="10">
        <v>0</v>
      </c>
      <c r="HT58" s="10">
        <v>0</v>
      </c>
      <c r="HU58" s="10">
        <v>0</v>
      </c>
    </row>
    <row r="59" spans="1:229" x14ac:dyDescent="0.25">
      <c r="A59" s="10">
        <v>0</v>
      </c>
      <c r="B59" s="2" t="s">
        <v>106</v>
      </c>
      <c r="C59" s="2" t="s">
        <v>107</v>
      </c>
      <c r="D59" s="17">
        <v>3.101</v>
      </c>
      <c r="E59" s="3">
        <v>3.33</v>
      </c>
      <c r="F59" s="3">
        <v>4.74</v>
      </c>
      <c r="G59" s="3">
        <v>0</v>
      </c>
      <c r="H59" s="3">
        <v>4.74</v>
      </c>
      <c r="I59" s="3">
        <v>57</v>
      </c>
      <c r="J59" s="3">
        <v>0.1</v>
      </c>
      <c r="K59" s="3">
        <v>0.01</v>
      </c>
      <c r="L59" s="3"/>
      <c r="M59" s="2" t="str">
        <f t="shared" si="7"/>
        <v>01060</v>
      </c>
      <c r="N59" s="3">
        <v>0.50429419385829188</v>
      </c>
      <c r="O59" s="3">
        <v>1.4957058061417081</v>
      </c>
      <c r="P59" s="17">
        <v>0.50429419385819685</v>
      </c>
      <c r="Q59" s="3">
        <v>1.495705806141701</v>
      </c>
      <c r="R59" s="3">
        <v>0.93935925391711395</v>
      </c>
      <c r="S59" s="3" t="e">
        <v>#DIV/0!</v>
      </c>
      <c r="T59" s="3">
        <v>0.50429419385829122</v>
      </c>
      <c r="U59" s="3">
        <v>0.50429419385829188</v>
      </c>
      <c r="V59" s="3">
        <v>7.156743388958553</v>
      </c>
      <c r="W59" s="3">
        <v>8.8365828395085568</v>
      </c>
      <c r="X59" s="3">
        <v>1.5638162951542685</v>
      </c>
      <c r="Y59" s="3">
        <v>4.9807003344518641</v>
      </c>
      <c r="Z59" s="3">
        <v>4.4525628635671204</v>
      </c>
      <c r="AA59" s="3">
        <v>0</v>
      </c>
      <c r="AB59" s="3">
        <v>2.3903544788883004</v>
      </c>
      <c r="AC59" s="3">
        <v>28.744769049922635</v>
      </c>
      <c r="AD59" s="3">
        <v>0.7156743388958553</v>
      </c>
      <c r="AE59" s="3">
        <v>8.8365828395085569E-2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10">
        <v>0</v>
      </c>
      <c r="BB59" s="10">
        <v>0</v>
      </c>
      <c r="BC59" s="10">
        <v>0</v>
      </c>
      <c r="BD59" s="10">
        <v>0</v>
      </c>
      <c r="BE59" s="10">
        <v>0</v>
      </c>
      <c r="BF59" s="10">
        <v>0</v>
      </c>
      <c r="BG59" s="10">
        <v>0</v>
      </c>
      <c r="BH59" s="10">
        <v>0</v>
      </c>
      <c r="BI59" s="10">
        <v>0</v>
      </c>
      <c r="BJ59" s="10">
        <v>0</v>
      </c>
      <c r="BK59" s="10">
        <v>0</v>
      </c>
      <c r="BL59" s="10">
        <v>0</v>
      </c>
      <c r="BM59" s="10">
        <v>0</v>
      </c>
      <c r="BN59" s="10">
        <v>0</v>
      </c>
      <c r="BO59" s="10">
        <v>0</v>
      </c>
      <c r="BP59" s="10">
        <v>0</v>
      </c>
      <c r="BQ59" s="10">
        <v>0</v>
      </c>
      <c r="BR59" s="10">
        <v>0</v>
      </c>
      <c r="BS59" s="10">
        <v>0</v>
      </c>
      <c r="BT59" s="10">
        <v>0</v>
      </c>
      <c r="BU59" s="10">
        <v>0</v>
      </c>
      <c r="BV59" s="10">
        <v>0</v>
      </c>
      <c r="BW59" s="10">
        <v>0</v>
      </c>
      <c r="BX59" s="10">
        <v>0</v>
      </c>
      <c r="BY59" s="10">
        <v>0</v>
      </c>
      <c r="BZ59" s="10">
        <v>0</v>
      </c>
      <c r="CA59" s="10">
        <v>0</v>
      </c>
      <c r="CB59" s="10">
        <v>0</v>
      </c>
      <c r="CC59" s="10">
        <v>0</v>
      </c>
      <c r="CD59" s="10">
        <v>0</v>
      </c>
      <c r="CE59" s="10">
        <v>0</v>
      </c>
      <c r="CF59" s="10">
        <v>0</v>
      </c>
      <c r="CG59" s="10">
        <v>0</v>
      </c>
      <c r="CH59" s="10">
        <v>0</v>
      </c>
      <c r="CI59" s="10">
        <v>0</v>
      </c>
      <c r="CJ59" s="10">
        <v>0</v>
      </c>
      <c r="CK59" s="10">
        <v>0</v>
      </c>
      <c r="CL59" s="10">
        <v>0</v>
      </c>
      <c r="CM59" s="10">
        <v>0</v>
      </c>
      <c r="CN59" s="10">
        <v>0.39580919009947541</v>
      </c>
      <c r="CO59" s="10">
        <v>0</v>
      </c>
      <c r="CP59" s="10">
        <v>0</v>
      </c>
      <c r="CQ59" s="10">
        <v>0</v>
      </c>
      <c r="CR59" s="10">
        <v>0</v>
      </c>
      <c r="CS59" s="10">
        <v>0.40219287757220251</v>
      </c>
      <c r="CT59" s="10">
        <v>0</v>
      </c>
      <c r="CU59" s="10">
        <v>0</v>
      </c>
      <c r="CV59" s="10">
        <v>0</v>
      </c>
      <c r="CW59" s="10">
        <v>0</v>
      </c>
      <c r="CX59" s="10">
        <v>0</v>
      </c>
      <c r="CY59" s="10">
        <v>0</v>
      </c>
      <c r="CZ59" s="10">
        <v>0</v>
      </c>
      <c r="DA59" s="10">
        <v>0</v>
      </c>
      <c r="DB59" s="10">
        <v>0</v>
      </c>
      <c r="DC59" s="10">
        <v>0</v>
      </c>
      <c r="DD59" s="10">
        <v>0</v>
      </c>
      <c r="DE59" s="10">
        <v>0</v>
      </c>
      <c r="DF59" s="10">
        <v>0</v>
      </c>
      <c r="DG59" s="10">
        <v>0</v>
      </c>
      <c r="DH59" s="10">
        <v>0</v>
      </c>
      <c r="DI59" s="10">
        <v>0</v>
      </c>
      <c r="DJ59" s="10">
        <v>0</v>
      </c>
      <c r="DK59" s="10">
        <v>0</v>
      </c>
      <c r="DL59" s="10">
        <v>0</v>
      </c>
      <c r="DM59" s="10">
        <v>0</v>
      </c>
      <c r="DN59" s="10">
        <v>0</v>
      </c>
      <c r="DO59" s="10">
        <v>0</v>
      </c>
      <c r="DP59" s="10">
        <v>0</v>
      </c>
      <c r="DQ59" s="10">
        <v>0</v>
      </c>
      <c r="DR59" s="10">
        <v>0</v>
      </c>
      <c r="DS59" s="10">
        <v>0</v>
      </c>
      <c r="DT59" s="10">
        <v>0</v>
      </c>
      <c r="DU59" s="10">
        <v>0</v>
      </c>
      <c r="DV59" s="10">
        <v>0</v>
      </c>
      <c r="DW59" s="10">
        <v>0</v>
      </c>
      <c r="DX59" s="10">
        <v>0</v>
      </c>
      <c r="DY59" s="10">
        <v>0</v>
      </c>
      <c r="DZ59" s="10">
        <v>0</v>
      </c>
      <c r="EA59" s="10">
        <v>0</v>
      </c>
      <c r="EB59" s="10">
        <v>0</v>
      </c>
      <c r="EC59" s="10">
        <v>0</v>
      </c>
      <c r="ED59" s="10">
        <v>0</v>
      </c>
      <c r="EE59" s="10">
        <v>0</v>
      </c>
      <c r="EF59" s="10">
        <v>0</v>
      </c>
      <c r="EG59" s="10">
        <v>0</v>
      </c>
      <c r="EH59" s="10">
        <v>0</v>
      </c>
      <c r="EI59" s="10">
        <v>0</v>
      </c>
      <c r="EJ59" s="10">
        <v>0</v>
      </c>
      <c r="EK59" s="10">
        <v>0</v>
      </c>
      <c r="EL59" s="10">
        <v>0</v>
      </c>
      <c r="EM59" s="10">
        <v>0</v>
      </c>
      <c r="EN59" s="10">
        <v>0</v>
      </c>
      <c r="EO59" s="10">
        <v>0</v>
      </c>
      <c r="EP59" s="10">
        <v>0</v>
      </c>
      <c r="EQ59" s="10">
        <v>0</v>
      </c>
      <c r="ER59" s="10">
        <v>0</v>
      </c>
      <c r="ES59" s="10">
        <v>0</v>
      </c>
      <c r="ET59" s="10">
        <v>2.105420211908612E-2</v>
      </c>
      <c r="EU59" s="10">
        <v>0</v>
      </c>
      <c r="EV59" s="10">
        <v>0</v>
      </c>
      <c r="EW59" s="10">
        <v>0</v>
      </c>
      <c r="EX59" s="10">
        <v>0</v>
      </c>
      <c r="EY59" s="10">
        <v>0</v>
      </c>
      <c r="EZ59" s="10">
        <v>0</v>
      </c>
      <c r="FA59" s="10">
        <v>0</v>
      </c>
      <c r="FB59" s="10">
        <v>0</v>
      </c>
      <c r="FC59" s="10">
        <v>0</v>
      </c>
      <c r="FD59" s="10">
        <v>0</v>
      </c>
      <c r="FE59" s="10">
        <v>0</v>
      </c>
      <c r="FF59" s="10">
        <v>0</v>
      </c>
      <c r="FG59" s="10">
        <v>0</v>
      </c>
      <c r="FH59" s="10">
        <v>0</v>
      </c>
      <c r="FI59" s="10">
        <v>0</v>
      </c>
      <c r="FJ59" s="10">
        <v>0</v>
      </c>
      <c r="FK59" s="10">
        <v>0</v>
      </c>
      <c r="FL59" s="10">
        <v>0</v>
      </c>
      <c r="FM59" s="10">
        <v>0</v>
      </c>
      <c r="FN59" s="10">
        <v>0</v>
      </c>
      <c r="FO59" s="10">
        <v>0</v>
      </c>
      <c r="FP59" s="10">
        <v>0</v>
      </c>
      <c r="FQ59" s="10">
        <v>0</v>
      </c>
      <c r="FR59" s="10">
        <v>0</v>
      </c>
      <c r="FS59" s="10">
        <v>0</v>
      </c>
      <c r="FT59" s="10">
        <v>0</v>
      </c>
      <c r="FU59" s="10">
        <v>0</v>
      </c>
      <c r="FV59" s="10">
        <v>0</v>
      </c>
      <c r="FW59" s="10">
        <v>0</v>
      </c>
      <c r="FX59" s="10">
        <v>0</v>
      </c>
      <c r="FY59" s="10">
        <v>0</v>
      </c>
      <c r="FZ59" s="10">
        <v>0</v>
      </c>
      <c r="GA59" s="10">
        <v>0</v>
      </c>
      <c r="GB59" s="10">
        <v>0</v>
      </c>
      <c r="GC59" s="10">
        <v>0</v>
      </c>
      <c r="GD59" s="10">
        <v>0</v>
      </c>
      <c r="GE59" s="10">
        <v>0</v>
      </c>
      <c r="GF59" s="10">
        <v>0</v>
      </c>
      <c r="GG59" s="10">
        <v>0</v>
      </c>
      <c r="GH59" s="10">
        <v>0</v>
      </c>
      <c r="GI59" s="10">
        <v>0</v>
      </c>
      <c r="GJ59" s="10">
        <v>0</v>
      </c>
      <c r="GK59" s="10">
        <v>0</v>
      </c>
      <c r="GL59" s="10">
        <v>0</v>
      </c>
      <c r="GM59" s="10">
        <v>0</v>
      </c>
      <c r="GN59" s="10">
        <v>0</v>
      </c>
      <c r="GO59" s="10">
        <v>0</v>
      </c>
      <c r="GP59" s="10">
        <v>0</v>
      </c>
      <c r="GQ59" s="10">
        <v>0</v>
      </c>
      <c r="GR59" s="10">
        <v>0</v>
      </c>
      <c r="GS59" s="10">
        <v>0</v>
      </c>
      <c r="GT59" s="10">
        <v>0</v>
      </c>
      <c r="GU59" s="10">
        <v>0</v>
      </c>
      <c r="GV59" s="10">
        <v>0.18094373020923604</v>
      </c>
      <c r="GW59" s="10">
        <v>0</v>
      </c>
      <c r="GX59" s="10">
        <v>0</v>
      </c>
      <c r="GY59" s="10">
        <v>0</v>
      </c>
      <c r="GZ59" s="10">
        <v>0</v>
      </c>
      <c r="HA59" s="10">
        <v>0</v>
      </c>
      <c r="HB59" s="10">
        <v>0</v>
      </c>
      <c r="HC59" s="10">
        <v>0</v>
      </c>
      <c r="HD59" s="10">
        <v>0</v>
      </c>
      <c r="HE59" s="10">
        <v>0</v>
      </c>
      <c r="HF59" s="10">
        <v>0</v>
      </c>
      <c r="HG59" s="10">
        <v>0</v>
      </c>
      <c r="HH59" s="10">
        <v>0</v>
      </c>
      <c r="HI59" s="10">
        <v>0</v>
      </c>
      <c r="HJ59" s="10">
        <v>0</v>
      </c>
      <c r="HK59" s="10">
        <v>0</v>
      </c>
      <c r="HL59" s="10">
        <v>0</v>
      </c>
      <c r="HM59" s="10">
        <v>0</v>
      </c>
      <c r="HN59" s="10">
        <v>0</v>
      </c>
      <c r="HO59" s="10">
        <v>0</v>
      </c>
      <c r="HP59" s="10">
        <v>0</v>
      </c>
      <c r="HQ59" s="10">
        <v>0</v>
      </c>
      <c r="HR59" s="10">
        <v>0</v>
      </c>
      <c r="HS59" s="10">
        <v>0</v>
      </c>
      <c r="HT59" s="10">
        <v>0</v>
      </c>
      <c r="HU59" s="10">
        <v>0</v>
      </c>
    </row>
    <row r="60" spans="1:229" x14ac:dyDescent="0.25">
      <c r="A60" s="10">
        <v>0</v>
      </c>
      <c r="B60" s="2" t="s">
        <v>108</v>
      </c>
      <c r="C60" s="2" t="s">
        <v>109</v>
      </c>
      <c r="D60" s="17">
        <v>0</v>
      </c>
      <c r="E60" s="3">
        <v>21.05</v>
      </c>
      <c r="F60" s="3">
        <v>10.53</v>
      </c>
      <c r="G60" s="3">
        <v>0</v>
      </c>
      <c r="H60" s="3">
        <v>5.26</v>
      </c>
      <c r="I60" s="3">
        <v>1316</v>
      </c>
      <c r="J60" s="3">
        <v>0</v>
      </c>
      <c r="K60" s="3">
        <v>0</v>
      </c>
      <c r="L60" s="3"/>
      <c r="M60" s="2" t="str">
        <f t="shared" si="7"/>
        <v>01061</v>
      </c>
      <c r="N60" s="3">
        <v>0.40218618105504744</v>
      </c>
      <c r="O60" s="3">
        <v>1.5978138189449527</v>
      </c>
      <c r="P60" s="17" t="e">
        <v>#DIV/0!</v>
      </c>
      <c r="Q60" s="3">
        <v>1.5978138189449518</v>
      </c>
      <c r="R60" s="3">
        <v>1.0786990025741501</v>
      </c>
      <c r="S60" s="3" t="e">
        <v>#DIV/0!</v>
      </c>
      <c r="T60" s="3">
        <v>0.40218618105504095</v>
      </c>
      <c r="U60" s="3">
        <v>0.40218618105504733</v>
      </c>
      <c r="V60" s="3" t="e">
        <v>#DIV/0!</v>
      </c>
      <c r="W60" s="3" t="e">
        <v>#DIV/0!</v>
      </c>
      <c r="X60" s="3">
        <v>1.4168253406929542E-12</v>
      </c>
      <c r="Y60" s="3">
        <v>33.633980888791235</v>
      </c>
      <c r="Z60" s="3">
        <v>11.358700497105801</v>
      </c>
      <c r="AA60" s="3">
        <v>1.8039285063250956E-14</v>
      </c>
      <c r="AB60" s="3">
        <v>2.1154993123495154</v>
      </c>
      <c r="AC60" s="3">
        <v>529.27701426844226</v>
      </c>
      <c r="AD60" s="3">
        <v>7.1380093312784133E-13</v>
      </c>
      <c r="AE60" s="3">
        <v>1.5548518214910216E-13</v>
      </c>
      <c r="AF60" s="3">
        <v>0</v>
      </c>
      <c r="AG60" s="3">
        <v>0</v>
      </c>
      <c r="AH60" s="3">
        <v>0</v>
      </c>
      <c r="AI60" s="3">
        <v>0</v>
      </c>
      <c r="AJ60" s="3">
        <v>0</v>
      </c>
      <c r="AK60" s="3">
        <v>0</v>
      </c>
      <c r="AL60" s="3">
        <v>0</v>
      </c>
      <c r="AM60" s="3">
        <v>0</v>
      </c>
      <c r="AN60" s="3">
        <v>0</v>
      </c>
      <c r="AO60" s="3">
        <v>0</v>
      </c>
      <c r="AP60" s="3">
        <v>0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">
        <v>0</v>
      </c>
      <c r="AX60" s="3">
        <v>0</v>
      </c>
      <c r="AY60" s="3">
        <v>0</v>
      </c>
      <c r="AZ60" s="3">
        <v>0</v>
      </c>
      <c r="BA60" s="10">
        <v>0</v>
      </c>
      <c r="BB60" s="10">
        <v>0</v>
      </c>
      <c r="BC60" s="10">
        <v>0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 s="10">
        <v>0</v>
      </c>
      <c r="BM60" s="10">
        <v>0</v>
      </c>
      <c r="BN60" s="10">
        <v>0</v>
      </c>
      <c r="BO60" s="10">
        <v>0</v>
      </c>
      <c r="BP60" s="10">
        <v>0</v>
      </c>
      <c r="BQ60" s="10">
        <v>0</v>
      </c>
      <c r="BR60" s="10">
        <v>0</v>
      </c>
      <c r="BS60" s="10">
        <v>0</v>
      </c>
      <c r="BT60" s="10">
        <v>0</v>
      </c>
      <c r="BU60" s="10">
        <v>0</v>
      </c>
      <c r="BV60" s="10">
        <v>0</v>
      </c>
      <c r="BW60" s="10">
        <v>0</v>
      </c>
      <c r="BX60" s="10">
        <v>0</v>
      </c>
      <c r="BY60" s="10">
        <v>0</v>
      </c>
      <c r="BZ60" s="10">
        <v>0</v>
      </c>
      <c r="CA60" s="10">
        <v>0</v>
      </c>
      <c r="CB60" s="10">
        <v>0</v>
      </c>
      <c r="CC60" s="10">
        <v>0</v>
      </c>
      <c r="CD60" s="10">
        <v>0</v>
      </c>
      <c r="CE60" s="10">
        <v>0</v>
      </c>
      <c r="CF60" s="10">
        <v>0</v>
      </c>
      <c r="CG60" s="10">
        <v>0</v>
      </c>
      <c r="CH60" s="10">
        <v>0</v>
      </c>
      <c r="CI60" s="10">
        <v>0</v>
      </c>
      <c r="CJ60" s="10">
        <v>0</v>
      </c>
      <c r="CK60" s="10">
        <v>0</v>
      </c>
      <c r="CL60" s="10">
        <v>0</v>
      </c>
      <c r="CM60" s="10">
        <v>0</v>
      </c>
      <c r="CN60" s="10">
        <v>0</v>
      </c>
      <c r="CO60" s="10">
        <v>0</v>
      </c>
      <c r="CP60" s="10">
        <v>0</v>
      </c>
      <c r="CQ60" s="10">
        <v>0</v>
      </c>
      <c r="CR60" s="10">
        <v>0</v>
      </c>
      <c r="CS60" s="10">
        <v>0</v>
      </c>
      <c r="CT60" s="10">
        <v>0</v>
      </c>
      <c r="CU60" s="10">
        <v>0</v>
      </c>
      <c r="CV60" s="10">
        <v>0</v>
      </c>
      <c r="CW60" s="10">
        <v>0</v>
      </c>
      <c r="CX60" s="10">
        <v>0</v>
      </c>
      <c r="CY60" s="10">
        <v>0</v>
      </c>
      <c r="CZ60" s="10">
        <v>0</v>
      </c>
      <c r="DA60" s="10">
        <v>0</v>
      </c>
      <c r="DB60" s="10">
        <v>0</v>
      </c>
      <c r="DC60" s="10">
        <v>0</v>
      </c>
      <c r="DD60" s="10">
        <v>0</v>
      </c>
      <c r="DE60" s="10">
        <v>0</v>
      </c>
      <c r="DF60" s="10">
        <v>0</v>
      </c>
      <c r="DG60" s="10">
        <v>0</v>
      </c>
      <c r="DH60" s="10">
        <v>0</v>
      </c>
      <c r="DI60" s="10">
        <v>0</v>
      </c>
      <c r="DJ60" s="10">
        <v>0</v>
      </c>
      <c r="DK60" s="10">
        <v>0</v>
      </c>
      <c r="DL60" s="10">
        <v>0</v>
      </c>
      <c r="DM60" s="10">
        <v>0</v>
      </c>
      <c r="DN60" s="10">
        <v>0</v>
      </c>
      <c r="DO60" s="10">
        <v>0</v>
      </c>
      <c r="DP60" s="10">
        <v>0</v>
      </c>
      <c r="DQ60" s="10">
        <v>0</v>
      </c>
      <c r="DR60" s="10">
        <v>0</v>
      </c>
      <c r="DS60" s="10">
        <v>0</v>
      </c>
      <c r="DT60" s="10">
        <v>0</v>
      </c>
      <c r="DU60" s="10">
        <v>0</v>
      </c>
      <c r="DV60" s="10">
        <v>0</v>
      </c>
      <c r="DW60" s="10">
        <v>0</v>
      </c>
      <c r="DX60" s="10">
        <v>0</v>
      </c>
      <c r="DY60" s="10">
        <v>0</v>
      </c>
      <c r="DZ60" s="10">
        <v>0.41437250707649903</v>
      </c>
      <c r="EA60" s="10">
        <v>0</v>
      </c>
      <c r="EB60" s="10">
        <v>0</v>
      </c>
      <c r="EC60" s="10">
        <v>0</v>
      </c>
      <c r="ED60" s="10">
        <v>0</v>
      </c>
      <c r="EE60" s="10">
        <v>0</v>
      </c>
      <c r="EF60" s="10">
        <v>0</v>
      </c>
      <c r="EG60" s="10">
        <v>0</v>
      </c>
      <c r="EH60" s="10">
        <v>0</v>
      </c>
      <c r="EI60" s="10">
        <v>0</v>
      </c>
      <c r="EJ60" s="10">
        <v>0</v>
      </c>
      <c r="EK60" s="10">
        <v>0</v>
      </c>
      <c r="EL60" s="10">
        <v>0</v>
      </c>
      <c r="EM60" s="10">
        <v>0</v>
      </c>
      <c r="EN60" s="10">
        <v>0</v>
      </c>
      <c r="EO60" s="10">
        <v>0</v>
      </c>
      <c r="EP60" s="10">
        <v>0</v>
      </c>
      <c r="EQ60" s="10">
        <v>0</v>
      </c>
      <c r="ER60" s="10">
        <v>0</v>
      </c>
      <c r="ES60" s="10">
        <v>0</v>
      </c>
      <c r="ET60" s="10">
        <v>0</v>
      </c>
      <c r="EU60" s="10">
        <v>0</v>
      </c>
      <c r="EV60" s="10">
        <v>0</v>
      </c>
      <c r="EW60" s="10">
        <v>0</v>
      </c>
      <c r="EX60" s="10">
        <v>0.24189259490143994</v>
      </c>
      <c r="EY60" s="10">
        <v>0</v>
      </c>
      <c r="EZ60" s="10">
        <v>0</v>
      </c>
      <c r="FA60" s="10">
        <v>0</v>
      </c>
      <c r="FB60" s="10">
        <v>0</v>
      </c>
      <c r="FC60" s="10">
        <v>0</v>
      </c>
      <c r="FD60" s="10">
        <v>0</v>
      </c>
      <c r="FE60" s="10">
        <v>0</v>
      </c>
      <c r="FF60" s="10">
        <v>0</v>
      </c>
      <c r="FG60" s="10">
        <v>0</v>
      </c>
      <c r="FH60" s="10">
        <v>0</v>
      </c>
      <c r="FI60" s="10">
        <v>0</v>
      </c>
      <c r="FJ60" s="10">
        <v>0</v>
      </c>
      <c r="FK60" s="10">
        <v>0</v>
      </c>
      <c r="FL60" s="10">
        <v>0</v>
      </c>
      <c r="FM60" s="10">
        <v>0</v>
      </c>
      <c r="FN60" s="10">
        <v>0</v>
      </c>
      <c r="FO60" s="10">
        <v>0</v>
      </c>
      <c r="FP60" s="10">
        <v>0</v>
      </c>
      <c r="FQ60" s="10">
        <v>0</v>
      </c>
      <c r="FR60" s="10">
        <v>0</v>
      </c>
      <c r="FS60" s="10">
        <v>0</v>
      </c>
      <c r="FT60" s="10">
        <v>0</v>
      </c>
      <c r="FU60" s="10">
        <v>0</v>
      </c>
      <c r="FV60" s="10">
        <v>0</v>
      </c>
      <c r="FW60" s="10">
        <v>0</v>
      </c>
      <c r="FX60" s="10">
        <v>0</v>
      </c>
      <c r="FY60" s="10">
        <v>0</v>
      </c>
      <c r="FZ60" s="10">
        <v>0</v>
      </c>
      <c r="GA60" s="10">
        <v>0</v>
      </c>
      <c r="GB60" s="10">
        <v>9.0196425316254782E-15</v>
      </c>
      <c r="GC60" s="10">
        <v>0</v>
      </c>
      <c r="GD60" s="10">
        <v>0</v>
      </c>
      <c r="GE60" s="10">
        <v>0</v>
      </c>
      <c r="GF60" s="10">
        <v>0</v>
      </c>
      <c r="GG60" s="10">
        <v>0</v>
      </c>
      <c r="GH60" s="10">
        <v>0</v>
      </c>
      <c r="GI60" s="10">
        <v>0</v>
      </c>
      <c r="GJ60" s="10">
        <v>0</v>
      </c>
      <c r="GK60" s="10">
        <v>0</v>
      </c>
      <c r="GL60" s="10">
        <v>0</v>
      </c>
      <c r="GM60" s="10">
        <v>0</v>
      </c>
      <c r="GN60" s="10">
        <v>0</v>
      </c>
      <c r="GO60" s="10">
        <v>0</v>
      </c>
      <c r="GP60" s="10">
        <v>0</v>
      </c>
      <c r="GQ60" s="10">
        <v>0</v>
      </c>
      <c r="GR60" s="10">
        <v>0</v>
      </c>
      <c r="GS60" s="10">
        <v>0</v>
      </c>
      <c r="GT60" s="10">
        <v>0</v>
      </c>
      <c r="GU60" s="10">
        <v>0</v>
      </c>
      <c r="GV60" s="10">
        <v>1.202582042103485E-11</v>
      </c>
      <c r="GW60" s="10">
        <v>0</v>
      </c>
      <c r="GX60" s="10">
        <v>0</v>
      </c>
      <c r="GY60" s="10">
        <v>0</v>
      </c>
      <c r="GZ60" s="10">
        <v>0</v>
      </c>
      <c r="HA60" s="10">
        <v>0</v>
      </c>
      <c r="HB60" s="10">
        <v>0</v>
      </c>
      <c r="HC60" s="10">
        <v>0</v>
      </c>
      <c r="HD60" s="10">
        <v>0</v>
      </c>
      <c r="HE60" s="10">
        <v>0</v>
      </c>
      <c r="HF60" s="10">
        <v>0</v>
      </c>
      <c r="HG60" s="10">
        <v>0</v>
      </c>
      <c r="HH60" s="10">
        <v>0</v>
      </c>
      <c r="HI60" s="10">
        <v>0</v>
      </c>
      <c r="HJ60" s="10">
        <v>0</v>
      </c>
      <c r="HK60" s="10">
        <v>0</v>
      </c>
      <c r="HL60" s="10">
        <v>0</v>
      </c>
      <c r="HM60" s="10">
        <v>0</v>
      </c>
      <c r="HN60" s="10">
        <v>0</v>
      </c>
      <c r="HO60" s="10">
        <v>0</v>
      </c>
      <c r="HP60" s="10">
        <v>0.34373489801002621</v>
      </c>
      <c r="HQ60" s="10">
        <v>0</v>
      </c>
      <c r="HR60" s="10">
        <v>0</v>
      </c>
      <c r="HS60" s="10">
        <v>0</v>
      </c>
      <c r="HT60" s="10">
        <v>0</v>
      </c>
      <c r="HU60" s="10">
        <v>0</v>
      </c>
    </row>
    <row r="61" spans="1:229" x14ac:dyDescent="0.25">
      <c r="A61" s="10">
        <v>0</v>
      </c>
      <c r="B61" s="2" t="s">
        <v>110</v>
      </c>
      <c r="C61" s="2" t="s">
        <v>111</v>
      </c>
      <c r="D61" s="17">
        <v>9.3040000000000003</v>
      </c>
      <c r="E61" s="3">
        <v>1</v>
      </c>
      <c r="F61" s="3">
        <v>11.38</v>
      </c>
      <c r="G61" s="3">
        <v>0</v>
      </c>
      <c r="H61" s="21"/>
      <c r="I61" s="3">
        <v>79</v>
      </c>
      <c r="J61" s="3">
        <v>0.106</v>
      </c>
      <c r="K61" s="3">
        <v>3.0000000000000001E-3</v>
      </c>
      <c r="L61" s="3"/>
      <c r="M61" s="2" t="str">
        <f t="shared" si="7"/>
        <v>01068</v>
      </c>
      <c r="N61" s="3">
        <v>0.55201868136357812</v>
      </c>
      <c r="O61" s="3">
        <v>1.4479813186364181</v>
      </c>
      <c r="P61" s="17">
        <v>0.55201868136364696</v>
      </c>
      <c r="Q61" s="3">
        <v>5.9270002909052177</v>
      </c>
      <c r="R61" s="3">
        <v>0.4666222914817002</v>
      </c>
      <c r="S61" s="3" t="e">
        <v>#DIV/0!</v>
      </c>
      <c r="T61" s="3" t="e">
        <v>#DIV/0!</v>
      </c>
      <c r="U61" s="3">
        <v>0.5520186813635779</v>
      </c>
      <c r="V61" s="3">
        <v>18.633260746825364</v>
      </c>
      <c r="W61" s="3">
        <v>113.16122894707212</v>
      </c>
      <c r="X61" s="3">
        <v>5.1359818114073716</v>
      </c>
      <c r="Y61" s="3">
        <v>5.9270002909052177</v>
      </c>
      <c r="Z61" s="3">
        <v>5.3101616770617488</v>
      </c>
      <c r="AA61" s="3">
        <v>0</v>
      </c>
      <c r="AB61" s="3">
        <v>0</v>
      </c>
      <c r="AC61" s="3">
        <v>43.609475827722655</v>
      </c>
      <c r="AD61" s="3">
        <v>1.9751256391634884</v>
      </c>
      <c r="AE61" s="3">
        <v>0.33948368684121638</v>
      </c>
      <c r="AF61" s="3">
        <v>0</v>
      </c>
      <c r="AG61" s="3">
        <v>0</v>
      </c>
      <c r="AH61" s="3">
        <v>9.2981945780320069E-3</v>
      </c>
      <c r="AI61" s="3">
        <v>0</v>
      </c>
      <c r="AJ61" s="3">
        <v>0</v>
      </c>
      <c r="AK61" s="3">
        <v>0</v>
      </c>
      <c r="AL61" s="3">
        <v>0</v>
      </c>
      <c r="AM61" s="3">
        <v>0</v>
      </c>
      <c r="AN61" s="3">
        <v>0</v>
      </c>
      <c r="AO61" s="3">
        <v>0</v>
      </c>
      <c r="AP61" s="3">
        <v>0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">
        <v>0</v>
      </c>
      <c r="AY61" s="3">
        <v>0</v>
      </c>
      <c r="AZ61" s="3">
        <v>0</v>
      </c>
      <c r="BA61" s="10">
        <v>0</v>
      </c>
      <c r="BB61" s="10">
        <v>0</v>
      </c>
      <c r="BC61" s="10">
        <v>0</v>
      </c>
      <c r="BD61" s="10">
        <v>0</v>
      </c>
      <c r="BE61" s="10">
        <v>0</v>
      </c>
      <c r="BF61" s="10">
        <v>0</v>
      </c>
      <c r="BG61" s="10">
        <v>0</v>
      </c>
      <c r="BH61" s="10">
        <v>0</v>
      </c>
      <c r="BI61" s="10">
        <v>0</v>
      </c>
      <c r="BJ61" s="10">
        <v>0</v>
      </c>
      <c r="BK61" s="10">
        <v>0</v>
      </c>
      <c r="BL61" s="10">
        <v>0</v>
      </c>
      <c r="BM61" s="10">
        <v>0</v>
      </c>
      <c r="BN61" s="10">
        <v>0</v>
      </c>
      <c r="BO61" s="10">
        <v>0</v>
      </c>
      <c r="BP61" s="10">
        <v>0</v>
      </c>
      <c r="BQ61" s="10">
        <v>0</v>
      </c>
      <c r="BR61" s="10">
        <v>0</v>
      </c>
      <c r="BS61" s="10">
        <v>0</v>
      </c>
      <c r="BT61" s="10">
        <v>0</v>
      </c>
      <c r="BU61" s="10">
        <v>0</v>
      </c>
      <c r="BV61" s="10">
        <v>0</v>
      </c>
      <c r="BW61" s="10">
        <v>0</v>
      </c>
      <c r="BX61" s="10">
        <v>0</v>
      </c>
      <c r="BY61" s="10">
        <v>0</v>
      </c>
      <c r="BZ61" s="10">
        <v>0</v>
      </c>
      <c r="CA61" s="10">
        <v>0</v>
      </c>
      <c r="CB61" s="10">
        <v>0</v>
      </c>
      <c r="CC61" s="10">
        <v>0</v>
      </c>
      <c r="CD61" s="10">
        <v>0</v>
      </c>
      <c r="CE61" s="10">
        <v>0</v>
      </c>
      <c r="CF61" s="10">
        <v>0</v>
      </c>
      <c r="CG61" s="10">
        <v>0</v>
      </c>
      <c r="CH61" s="10">
        <v>0</v>
      </c>
      <c r="CI61" s="10">
        <v>0</v>
      </c>
      <c r="CJ61" s="10">
        <v>0</v>
      </c>
      <c r="CK61" s="10">
        <v>0</v>
      </c>
      <c r="CL61" s="10">
        <v>0</v>
      </c>
      <c r="CM61" s="10">
        <v>0</v>
      </c>
      <c r="CN61" s="10">
        <v>0</v>
      </c>
      <c r="CO61" s="10">
        <v>0</v>
      </c>
      <c r="CP61" s="10">
        <v>0</v>
      </c>
      <c r="CQ61" s="10">
        <v>0</v>
      </c>
      <c r="CR61" s="10">
        <v>0</v>
      </c>
      <c r="CS61" s="10">
        <v>0</v>
      </c>
      <c r="CT61" s="10">
        <v>0</v>
      </c>
      <c r="CU61" s="10">
        <v>0</v>
      </c>
      <c r="CV61" s="10">
        <v>0</v>
      </c>
      <c r="CW61" s="10">
        <v>0</v>
      </c>
      <c r="CX61" s="10">
        <v>0</v>
      </c>
      <c r="CY61" s="10">
        <v>0</v>
      </c>
      <c r="CZ61" s="10">
        <v>0</v>
      </c>
      <c r="DA61" s="10">
        <v>0</v>
      </c>
      <c r="DB61" s="10">
        <v>0</v>
      </c>
      <c r="DC61" s="10">
        <v>0</v>
      </c>
      <c r="DD61" s="10">
        <v>0</v>
      </c>
      <c r="DE61" s="10">
        <v>0</v>
      </c>
      <c r="DF61" s="10">
        <v>0.99070180542196795</v>
      </c>
      <c r="DG61" s="10">
        <v>0</v>
      </c>
      <c r="DH61" s="10">
        <v>0</v>
      </c>
      <c r="DI61" s="10">
        <v>0</v>
      </c>
      <c r="DJ61" s="10">
        <v>0</v>
      </c>
      <c r="DK61" s="10">
        <v>0</v>
      </c>
      <c r="DL61" s="10">
        <v>0</v>
      </c>
      <c r="DM61" s="10">
        <v>0</v>
      </c>
      <c r="DN61" s="10">
        <v>0</v>
      </c>
      <c r="DO61" s="10">
        <v>0</v>
      </c>
      <c r="DP61" s="10">
        <v>0</v>
      </c>
      <c r="DQ61" s="10">
        <v>0</v>
      </c>
      <c r="DR61" s="10">
        <v>0</v>
      </c>
      <c r="DS61" s="10">
        <v>0</v>
      </c>
      <c r="DT61" s="10">
        <v>0</v>
      </c>
      <c r="DU61" s="10">
        <v>0</v>
      </c>
      <c r="DV61" s="10">
        <v>0</v>
      </c>
      <c r="DW61" s="10">
        <v>0</v>
      </c>
      <c r="DX61" s="10">
        <v>0</v>
      </c>
      <c r="DY61" s="10">
        <v>0</v>
      </c>
      <c r="DZ61" s="10">
        <v>0</v>
      </c>
      <c r="EA61" s="10">
        <v>0</v>
      </c>
      <c r="EB61" s="10">
        <v>0</v>
      </c>
      <c r="EC61" s="10">
        <v>0</v>
      </c>
      <c r="ED61" s="10">
        <v>0</v>
      </c>
      <c r="EE61" s="10">
        <v>0</v>
      </c>
      <c r="EF61" s="10">
        <v>0</v>
      </c>
      <c r="EG61" s="10">
        <v>0</v>
      </c>
      <c r="EH61" s="10">
        <v>0</v>
      </c>
      <c r="EI61" s="10">
        <v>0</v>
      </c>
      <c r="EJ61" s="10">
        <v>0</v>
      </c>
      <c r="EK61" s="10">
        <v>0</v>
      </c>
      <c r="EL61" s="10">
        <v>0</v>
      </c>
      <c r="EM61" s="10">
        <v>0</v>
      </c>
      <c r="EN61" s="10">
        <v>0</v>
      </c>
      <c r="EO61" s="10">
        <v>0</v>
      </c>
      <c r="EP61" s="10">
        <v>0</v>
      </c>
      <c r="EQ61" s="10">
        <v>0</v>
      </c>
      <c r="ER61" s="10">
        <v>0</v>
      </c>
      <c r="ES61" s="10">
        <v>0</v>
      </c>
      <c r="ET61" s="10">
        <v>0</v>
      </c>
      <c r="EU61" s="10">
        <v>0</v>
      </c>
      <c r="EV61" s="10">
        <v>0</v>
      </c>
      <c r="EW61" s="10">
        <v>0</v>
      </c>
      <c r="EX61" s="10">
        <v>0</v>
      </c>
      <c r="EY61" s="10">
        <v>0</v>
      </c>
      <c r="EZ61" s="10">
        <v>0</v>
      </c>
      <c r="FA61" s="10">
        <v>0</v>
      </c>
      <c r="FB61" s="10">
        <v>0</v>
      </c>
      <c r="FC61" s="10">
        <v>0</v>
      </c>
      <c r="FD61" s="10">
        <v>0</v>
      </c>
      <c r="FE61" s="10">
        <v>0</v>
      </c>
      <c r="FF61" s="10">
        <v>0</v>
      </c>
      <c r="FG61" s="10">
        <v>0</v>
      </c>
      <c r="FH61" s="10">
        <v>0</v>
      </c>
      <c r="FI61" s="10">
        <v>0</v>
      </c>
      <c r="FJ61" s="10">
        <v>0</v>
      </c>
      <c r="FK61" s="10">
        <v>0</v>
      </c>
      <c r="FL61" s="10">
        <v>0</v>
      </c>
      <c r="FM61" s="10">
        <v>0</v>
      </c>
      <c r="FN61" s="10">
        <v>0</v>
      </c>
      <c r="FO61" s="10">
        <v>0</v>
      </c>
      <c r="FP61" s="10">
        <v>0</v>
      </c>
      <c r="FQ61" s="10">
        <v>0</v>
      </c>
      <c r="FR61" s="10">
        <v>0</v>
      </c>
      <c r="FS61" s="10">
        <v>0</v>
      </c>
      <c r="FT61" s="10">
        <v>0</v>
      </c>
      <c r="FU61" s="10">
        <v>0</v>
      </c>
      <c r="FV61" s="10">
        <v>0</v>
      </c>
      <c r="FW61" s="10">
        <v>0</v>
      </c>
      <c r="FX61" s="10">
        <v>0</v>
      </c>
      <c r="FY61" s="10">
        <v>0</v>
      </c>
      <c r="FZ61" s="10">
        <v>0</v>
      </c>
      <c r="GA61" s="10">
        <v>0</v>
      </c>
      <c r="GB61" s="10">
        <v>0</v>
      </c>
      <c r="GC61" s="10">
        <v>0</v>
      </c>
      <c r="GD61" s="10">
        <v>0</v>
      </c>
      <c r="GE61" s="10">
        <v>0</v>
      </c>
      <c r="GF61" s="10">
        <v>0</v>
      </c>
      <c r="GG61" s="10">
        <v>0</v>
      </c>
      <c r="GH61" s="10">
        <v>0</v>
      </c>
      <c r="GI61" s="10">
        <v>0</v>
      </c>
      <c r="GJ61" s="10">
        <v>0</v>
      </c>
      <c r="GK61" s="10">
        <v>0</v>
      </c>
      <c r="GL61" s="10">
        <v>0</v>
      </c>
      <c r="GM61" s="10">
        <v>0</v>
      </c>
      <c r="GN61" s="10">
        <v>0</v>
      </c>
      <c r="GO61" s="10">
        <v>0</v>
      </c>
      <c r="GP61" s="10">
        <v>0</v>
      </c>
      <c r="GQ61" s="10">
        <v>0</v>
      </c>
      <c r="GR61" s="10">
        <v>0</v>
      </c>
      <c r="GS61" s="10">
        <v>0</v>
      </c>
      <c r="GT61" s="10">
        <v>0</v>
      </c>
      <c r="GU61" s="10">
        <v>0</v>
      </c>
      <c r="GV61" s="10">
        <v>0</v>
      </c>
      <c r="GW61" s="10">
        <v>0</v>
      </c>
      <c r="GX61" s="10">
        <v>0</v>
      </c>
      <c r="GY61" s="10">
        <v>0</v>
      </c>
      <c r="GZ61" s="10">
        <v>0</v>
      </c>
      <c r="HA61" s="10">
        <v>0</v>
      </c>
      <c r="HB61" s="10">
        <v>0</v>
      </c>
      <c r="HC61" s="10">
        <v>0</v>
      </c>
      <c r="HD61" s="10">
        <v>0</v>
      </c>
      <c r="HE61" s="10">
        <v>0</v>
      </c>
      <c r="HF61" s="10">
        <v>0</v>
      </c>
      <c r="HG61" s="10">
        <v>0</v>
      </c>
      <c r="HH61" s="10">
        <v>0</v>
      </c>
      <c r="HI61" s="10">
        <v>0</v>
      </c>
      <c r="HJ61" s="10">
        <v>0</v>
      </c>
      <c r="HK61" s="10">
        <v>0</v>
      </c>
      <c r="HL61" s="10">
        <v>0</v>
      </c>
      <c r="HM61" s="10">
        <v>0</v>
      </c>
      <c r="HN61" s="10">
        <v>0</v>
      </c>
      <c r="HO61" s="10">
        <v>0</v>
      </c>
      <c r="HP61" s="10">
        <v>0</v>
      </c>
      <c r="HQ61" s="10">
        <v>0</v>
      </c>
      <c r="HR61" s="10">
        <v>0</v>
      </c>
      <c r="HS61" s="10">
        <v>0</v>
      </c>
      <c r="HT61" s="10">
        <v>0</v>
      </c>
      <c r="HU61" s="10">
        <v>0</v>
      </c>
    </row>
    <row r="62" spans="1:229" x14ac:dyDescent="0.25">
      <c r="A62" s="10">
        <v>0</v>
      </c>
      <c r="B62" s="2" t="s">
        <v>112</v>
      </c>
      <c r="C62" s="2" t="s">
        <v>113</v>
      </c>
      <c r="D62" s="17">
        <v>19.146000000000001</v>
      </c>
      <c r="E62" s="3">
        <v>2.48</v>
      </c>
      <c r="F62" s="3">
        <v>59.29</v>
      </c>
      <c r="G62" s="3">
        <v>0</v>
      </c>
      <c r="H62" s="3">
        <v>7.77</v>
      </c>
      <c r="I62" s="3">
        <v>124</v>
      </c>
      <c r="J62" s="3">
        <v>9.7959999999999994</v>
      </c>
      <c r="K62" s="3">
        <v>0.40799999999999997</v>
      </c>
      <c r="L62" s="3"/>
      <c r="M62" s="2" t="str">
        <f t="shared" si="7"/>
        <v>01069</v>
      </c>
      <c r="N62" s="3">
        <v>0.65956236661515155</v>
      </c>
      <c r="O62" s="3">
        <v>1.3404376333848484</v>
      </c>
      <c r="P62" s="17">
        <v>0.65956236661518142</v>
      </c>
      <c r="Q62" s="3">
        <v>7.5013046934190957</v>
      </c>
      <c r="R62" s="3">
        <v>8.9252768850291167E-2</v>
      </c>
      <c r="S62" s="3" t="e">
        <v>#DIV/0!</v>
      </c>
      <c r="T62" s="3">
        <v>0.15464502977131778</v>
      </c>
      <c r="U62" s="3">
        <v>0.65956236661515166</v>
      </c>
      <c r="V62" s="3">
        <v>1.3404376333848405</v>
      </c>
      <c r="W62" s="3">
        <v>9.4105435037075242</v>
      </c>
      <c r="X62" s="3">
        <v>12.627981071214263</v>
      </c>
      <c r="Y62" s="3">
        <v>18.603235639679358</v>
      </c>
      <c r="Z62" s="3">
        <v>5.2917966651337629</v>
      </c>
      <c r="AA62" s="3">
        <v>0.94558501636998549</v>
      </c>
      <c r="AB62" s="3">
        <v>1.201591881323139</v>
      </c>
      <c r="AC62" s="3">
        <v>81.785733460278806</v>
      </c>
      <c r="AD62" s="3">
        <v>13.130927056637896</v>
      </c>
      <c r="AE62" s="3">
        <v>3.83950174951267</v>
      </c>
      <c r="AF62" s="3">
        <v>0</v>
      </c>
      <c r="AG62" s="3">
        <v>0</v>
      </c>
      <c r="AH62" s="3">
        <v>7.9089657170809721E-2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">
        <v>0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">
        <v>0</v>
      </c>
      <c r="AY62" s="3">
        <v>0</v>
      </c>
      <c r="AZ62" s="3">
        <v>0</v>
      </c>
      <c r="BA62" s="10">
        <v>0</v>
      </c>
      <c r="BB62" s="10">
        <v>0</v>
      </c>
      <c r="BC62" s="10">
        <v>0</v>
      </c>
      <c r="BD62" s="10">
        <v>0</v>
      </c>
      <c r="BE62" s="10">
        <v>0</v>
      </c>
      <c r="BF62" s="10">
        <v>0</v>
      </c>
      <c r="BG62" s="10">
        <v>0</v>
      </c>
      <c r="BH62" s="10">
        <v>0</v>
      </c>
      <c r="BI62" s="10">
        <v>0</v>
      </c>
      <c r="BJ62" s="10">
        <v>0</v>
      </c>
      <c r="BK62" s="10">
        <v>0</v>
      </c>
      <c r="BL62" s="10">
        <v>0</v>
      </c>
      <c r="BM62" s="10">
        <v>0</v>
      </c>
      <c r="BN62" s="10">
        <v>0</v>
      </c>
      <c r="BO62" s="10">
        <v>0</v>
      </c>
      <c r="BP62" s="10">
        <v>0</v>
      </c>
      <c r="BQ62" s="10">
        <v>0</v>
      </c>
      <c r="BR62" s="10">
        <v>0</v>
      </c>
      <c r="BS62" s="10">
        <v>0</v>
      </c>
      <c r="BT62" s="10">
        <v>0</v>
      </c>
      <c r="BU62" s="10">
        <v>0</v>
      </c>
      <c r="BV62" s="10">
        <v>0</v>
      </c>
      <c r="BW62" s="10">
        <v>0</v>
      </c>
      <c r="BX62" s="10">
        <v>0</v>
      </c>
      <c r="BY62" s="10">
        <v>0</v>
      </c>
      <c r="BZ62" s="10">
        <v>0</v>
      </c>
      <c r="CA62" s="10">
        <v>0</v>
      </c>
      <c r="CB62" s="10">
        <v>0</v>
      </c>
      <c r="CC62" s="10">
        <v>0</v>
      </c>
      <c r="CD62" s="10">
        <v>0</v>
      </c>
      <c r="CE62" s="10">
        <v>0</v>
      </c>
      <c r="CF62" s="10">
        <v>0</v>
      </c>
      <c r="CG62" s="10">
        <v>0</v>
      </c>
      <c r="CH62" s="10">
        <v>0</v>
      </c>
      <c r="CI62" s="10">
        <v>0</v>
      </c>
      <c r="CJ62" s="10">
        <v>0</v>
      </c>
      <c r="CK62" s="10">
        <v>0</v>
      </c>
      <c r="CL62" s="10">
        <v>0</v>
      </c>
      <c r="CM62" s="10">
        <v>0</v>
      </c>
      <c r="CN62" s="10">
        <v>0</v>
      </c>
      <c r="CO62" s="10">
        <v>0</v>
      </c>
      <c r="CP62" s="10">
        <v>0</v>
      </c>
      <c r="CQ62" s="10">
        <v>0</v>
      </c>
      <c r="CR62" s="10">
        <v>0</v>
      </c>
      <c r="CS62" s="10">
        <v>0</v>
      </c>
      <c r="CT62" s="10">
        <v>0</v>
      </c>
      <c r="CU62" s="10">
        <v>0</v>
      </c>
      <c r="CV62" s="10">
        <v>0</v>
      </c>
      <c r="CW62" s="10">
        <v>0</v>
      </c>
      <c r="CX62" s="10">
        <v>0</v>
      </c>
      <c r="CY62" s="10">
        <v>0</v>
      </c>
      <c r="CZ62" s="10">
        <v>0</v>
      </c>
      <c r="DA62" s="10">
        <v>0</v>
      </c>
      <c r="DB62" s="10">
        <v>0</v>
      </c>
      <c r="DC62" s="10">
        <v>0</v>
      </c>
      <c r="DD62" s="10">
        <v>0</v>
      </c>
      <c r="DE62" s="10">
        <v>0</v>
      </c>
      <c r="DF62" s="10">
        <v>0</v>
      </c>
      <c r="DG62" s="10">
        <v>0</v>
      </c>
      <c r="DH62" s="10">
        <v>0</v>
      </c>
      <c r="DI62" s="10">
        <v>0</v>
      </c>
      <c r="DJ62" s="10">
        <v>0</v>
      </c>
      <c r="DK62" s="10">
        <v>0</v>
      </c>
      <c r="DL62" s="10">
        <v>0</v>
      </c>
      <c r="DM62" s="10">
        <v>0</v>
      </c>
      <c r="DN62" s="10">
        <v>0</v>
      </c>
      <c r="DO62" s="10">
        <v>0</v>
      </c>
      <c r="DP62" s="10">
        <v>0</v>
      </c>
      <c r="DQ62" s="10">
        <v>0</v>
      </c>
      <c r="DR62" s="10">
        <v>0</v>
      </c>
      <c r="DS62" s="10">
        <v>0.7877293546080657</v>
      </c>
      <c r="DT62" s="10">
        <v>0</v>
      </c>
      <c r="DU62" s="10">
        <v>0</v>
      </c>
      <c r="DV62" s="10">
        <v>0</v>
      </c>
      <c r="DW62" s="10">
        <v>0</v>
      </c>
      <c r="DX62" s="10">
        <v>0</v>
      </c>
      <c r="DY62" s="10">
        <v>0</v>
      </c>
      <c r="DZ62" s="10">
        <v>0</v>
      </c>
      <c r="EA62" s="10">
        <v>0</v>
      </c>
      <c r="EB62" s="10">
        <v>0</v>
      </c>
      <c r="EC62" s="10">
        <v>0</v>
      </c>
      <c r="ED62" s="10">
        <v>0</v>
      </c>
      <c r="EE62" s="10">
        <v>0</v>
      </c>
      <c r="EF62" s="10">
        <v>0</v>
      </c>
      <c r="EG62" s="10">
        <v>0</v>
      </c>
      <c r="EH62" s="10">
        <v>0</v>
      </c>
      <c r="EI62" s="10">
        <v>0</v>
      </c>
      <c r="EJ62" s="10">
        <v>0</v>
      </c>
      <c r="EK62" s="10">
        <v>0</v>
      </c>
      <c r="EL62" s="10">
        <v>0</v>
      </c>
      <c r="EM62" s="10">
        <v>0</v>
      </c>
      <c r="EN62" s="10">
        <v>0</v>
      </c>
      <c r="EO62" s="10">
        <v>0</v>
      </c>
      <c r="EP62" s="10">
        <v>0</v>
      </c>
      <c r="EQ62" s="10">
        <v>0</v>
      </c>
      <c r="ER62" s="10">
        <v>0</v>
      </c>
      <c r="ES62" s="10">
        <v>0</v>
      </c>
      <c r="ET62" s="10">
        <v>0</v>
      </c>
      <c r="EU62" s="10">
        <v>0</v>
      </c>
      <c r="EV62" s="10">
        <v>0</v>
      </c>
      <c r="EW62" s="10">
        <v>0</v>
      </c>
      <c r="EX62" s="10">
        <v>0</v>
      </c>
      <c r="EY62" s="10">
        <v>0</v>
      </c>
      <c r="EZ62" s="10">
        <v>0</v>
      </c>
      <c r="FA62" s="10">
        <v>0</v>
      </c>
      <c r="FB62" s="10">
        <v>0</v>
      </c>
      <c r="FC62" s="10">
        <v>0</v>
      </c>
      <c r="FD62" s="10">
        <v>0</v>
      </c>
      <c r="FE62" s="10">
        <v>0</v>
      </c>
      <c r="FF62" s="10">
        <v>0</v>
      </c>
      <c r="FG62" s="10">
        <v>0</v>
      </c>
      <c r="FH62" s="10">
        <v>0</v>
      </c>
      <c r="FI62" s="10">
        <v>0</v>
      </c>
      <c r="FJ62" s="10">
        <v>0</v>
      </c>
      <c r="FK62" s="10">
        <v>0</v>
      </c>
      <c r="FL62" s="10">
        <v>0</v>
      </c>
      <c r="FM62" s="10">
        <v>0</v>
      </c>
      <c r="FN62" s="10">
        <v>0</v>
      </c>
      <c r="FO62" s="10">
        <v>0</v>
      </c>
      <c r="FP62" s="10">
        <v>0</v>
      </c>
      <c r="FQ62" s="10">
        <v>0</v>
      </c>
      <c r="FR62" s="10">
        <v>0</v>
      </c>
      <c r="FS62" s="10">
        <v>0</v>
      </c>
      <c r="FT62" s="10">
        <v>0</v>
      </c>
      <c r="FU62" s="10">
        <v>0</v>
      </c>
      <c r="FV62" s="10">
        <v>0</v>
      </c>
      <c r="FW62" s="10">
        <v>0</v>
      </c>
      <c r="FX62" s="10">
        <v>0</v>
      </c>
      <c r="FY62" s="10">
        <v>0</v>
      </c>
      <c r="FZ62" s="10">
        <v>0</v>
      </c>
      <c r="GA62" s="10">
        <v>0.13318098822112473</v>
      </c>
      <c r="GB62" s="10">
        <v>0</v>
      </c>
      <c r="GC62" s="10">
        <v>0</v>
      </c>
      <c r="GD62" s="10">
        <v>0</v>
      </c>
      <c r="GE62" s="10">
        <v>0</v>
      </c>
      <c r="GF62" s="10">
        <v>0</v>
      </c>
      <c r="GG62" s="10">
        <v>0</v>
      </c>
      <c r="GH62" s="10">
        <v>0</v>
      </c>
      <c r="GI62" s="10">
        <v>0</v>
      </c>
      <c r="GJ62" s="10">
        <v>0</v>
      </c>
      <c r="GK62" s="10">
        <v>0</v>
      </c>
      <c r="GL62" s="10">
        <v>0</v>
      </c>
      <c r="GM62" s="10">
        <v>0</v>
      </c>
      <c r="GN62" s="10">
        <v>0</v>
      </c>
      <c r="GO62" s="10">
        <v>0</v>
      </c>
      <c r="GP62" s="10">
        <v>0</v>
      </c>
      <c r="GQ62" s="10">
        <v>0</v>
      </c>
      <c r="GR62" s="10">
        <v>0</v>
      </c>
      <c r="GS62" s="10">
        <v>0</v>
      </c>
      <c r="GT62" s="10">
        <v>0</v>
      </c>
      <c r="GU62" s="10">
        <v>0</v>
      </c>
      <c r="GV62" s="10">
        <v>0</v>
      </c>
      <c r="GW62" s="10">
        <v>0</v>
      </c>
      <c r="GX62" s="10">
        <v>0</v>
      </c>
      <c r="GY62" s="10">
        <v>0</v>
      </c>
      <c r="GZ62" s="10">
        <v>0</v>
      </c>
      <c r="HA62" s="10">
        <v>0</v>
      </c>
      <c r="HB62" s="10">
        <v>0</v>
      </c>
      <c r="HC62" s="10">
        <v>0</v>
      </c>
      <c r="HD62" s="10">
        <v>0</v>
      </c>
      <c r="HE62" s="10">
        <v>0</v>
      </c>
      <c r="HF62" s="10">
        <v>0</v>
      </c>
      <c r="HG62" s="10">
        <v>0</v>
      </c>
      <c r="HH62" s="10">
        <v>0</v>
      </c>
      <c r="HI62" s="10">
        <v>0</v>
      </c>
      <c r="HJ62" s="10">
        <v>0</v>
      </c>
      <c r="HK62" s="10">
        <v>0</v>
      </c>
      <c r="HL62" s="10">
        <v>0</v>
      </c>
      <c r="HM62" s="10">
        <v>0</v>
      </c>
      <c r="HN62" s="10">
        <v>0</v>
      </c>
      <c r="HO62" s="10">
        <v>0</v>
      </c>
      <c r="HP62" s="10">
        <v>0</v>
      </c>
      <c r="HQ62" s="10">
        <v>0</v>
      </c>
      <c r="HR62" s="10">
        <v>0</v>
      </c>
      <c r="HS62" s="10">
        <v>0</v>
      </c>
      <c r="HT62" s="10">
        <v>0</v>
      </c>
      <c r="HU62" s="10">
        <v>0</v>
      </c>
    </row>
    <row r="63" spans="1:229" x14ac:dyDescent="0.25">
      <c r="A63" s="10">
        <v>0</v>
      </c>
      <c r="B63" s="2" t="s">
        <v>114</v>
      </c>
      <c r="C63" s="2" t="s">
        <v>115</v>
      </c>
      <c r="D63" s="17">
        <v>36.722999999999999</v>
      </c>
      <c r="E63" s="3">
        <v>4.9000000000000004</v>
      </c>
      <c r="F63" s="3">
        <v>52.54</v>
      </c>
      <c r="G63" s="3">
        <v>0</v>
      </c>
      <c r="H63" s="3">
        <v>52.54</v>
      </c>
      <c r="I63" s="3">
        <v>122</v>
      </c>
      <c r="J63" s="3">
        <v>0.6</v>
      </c>
      <c r="K63" s="3">
        <v>0.44700000000000001</v>
      </c>
      <c r="L63" s="3"/>
      <c r="M63" s="2" t="str">
        <f t="shared" si="7"/>
        <v>01070</v>
      </c>
      <c r="N63" s="3">
        <v>0.13415969223301075</v>
      </c>
      <c r="O63" s="3">
        <v>1.8658403077669892</v>
      </c>
      <c r="P63" s="17">
        <v>0.13415969223301663</v>
      </c>
      <c r="Q63" s="3">
        <v>1.8658403077669876</v>
      </c>
      <c r="R63" s="3">
        <v>7.1033013522083646E-2</v>
      </c>
      <c r="S63" s="3" t="e">
        <v>#DIV/0!</v>
      </c>
      <c r="T63" s="3">
        <v>6.4009410687664692E-2</v>
      </c>
      <c r="U63" s="3">
        <v>0.13415969223301058</v>
      </c>
      <c r="V63" s="3">
        <v>3.6729760139138934</v>
      </c>
      <c r="W63" s="3">
        <v>0.55145214445578028</v>
      </c>
      <c r="X63" s="3">
        <v>4.9267463778730693</v>
      </c>
      <c r="Y63" s="3">
        <v>9.1426175080582404</v>
      </c>
      <c r="Z63" s="3">
        <v>3.7320745304502747</v>
      </c>
      <c r="AA63" s="3">
        <v>0</v>
      </c>
      <c r="AB63" s="3">
        <v>3.363054437529903</v>
      </c>
      <c r="AC63" s="3">
        <v>16.367482452427289</v>
      </c>
      <c r="AD63" s="3">
        <v>2.203785608348336</v>
      </c>
      <c r="AE63" s="3">
        <v>0.24649910857173377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  <c r="AM63" s="3">
        <v>0</v>
      </c>
      <c r="AN63" s="3">
        <v>0</v>
      </c>
      <c r="AO63" s="3">
        <v>0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  <c r="AX63" s="3">
        <v>0</v>
      </c>
      <c r="AY63" s="3">
        <v>0</v>
      </c>
      <c r="AZ63" s="3">
        <v>0</v>
      </c>
      <c r="BA63" s="10">
        <v>0</v>
      </c>
      <c r="BB63" s="10">
        <v>0</v>
      </c>
      <c r="BC63" s="10">
        <v>0</v>
      </c>
      <c r="BD63" s="10">
        <v>0</v>
      </c>
      <c r="BE63" s="10">
        <v>0</v>
      </c>
      <c r="BF63" s="10">
        <v>0</v>
      </c>
      <c r="BG63" s="10">
        <v>0</v>
      </c>
      <c r="BH63" s="10">
        <v>0</v>
      </c>
      <c r="BI63" s="10">
        <v>0</v>
      </c>
      <c r="BJ63" s="10">
        <v>0</v>
      </c>
      <c r="BK63" s="10">
        <v>0</v>
      </c>
      <c r="BL63" s="10">
        <v>0</v>
      </c>
      <c r="BM63" s="10">
        <v>0</v>
      </c>
      <c r="BN63" s="10">
        <v>0</v>
      </c>
      <c r="BO63" s="10">
        <v>0</v>
      </c>
      <c r="BP63" s="10">
        <v>0</v>
      </c>
      <c r="BQ63" s="10">
        <v>0</v>
      </c>
      <c r="BR63" s="10">
        <v>0</v>
      </c>
      <c r="BS63" s="10">
        <v>0</v>
      </c>
      <c r="BT63" s="10">
        <v>0</v>
      </c>
      <c r="BU63" s="10">
        <v>0</v>
      </c>
      <c r="BV63" s="10">
        <v>0</v>
      </c>
      <c r="BW63" s="10">
        <v>0</v>
      </c>
      <c r="BX63" s="10">
        <v>0</v>
      </c>
      <c r="BY63" s="10">
        <v>0</v>
      </c>
      <c r="BZ63" s="10">
        <v>0</v>
      </c>
      <c r="CA63" s="10">
        <v>0</v>
      </c>
      <c r="CB63" s="10">
        <v>0</v>
      </c>
      <c r="CC63" s="10">
        <v>0</v>
      </c>
      <c r="CD63" s="10">
        <v>0</v>
      </c>
      <c r="CE63" s="10">
        <v>0</v>
      </c>
      <c r="CF63" s="10">
        <v>0</v>
      </c>
      <c r="CG63" s="10">
        <v>0</v>
      </c>
      <c r="CH63" s="10">
        <v>0</v>
      </c>
      <c r="CI63" s="10">
        <v>0</v>
      </c>
      <c r="CJ63" s="10">
        <v>0</v>
      </c>
      <c r="CK63" s="10">
        <v>0</v>
      </c>
      <c r="CL63" s="10">
        <v>0</v>
      </c>
      <c r="CM63" s="10">
        <v>0</v>
      </c>
      <c r="CN63" s="10">
        <v>0</v>
      </c>
      <c r="CO63" s="10">
        <v>0</v>
      </c>
      <c r="CP63" s="10">
        <v>0</v>
      </c>
      <c r="CQ63" s="10">
        <v>0</v>
      </c>
      <c r="CR63" s="10">
        <v>0</v>
      </c>
      <c r="CS63" s="10">
        <v>0.51201503731108211</v>
      </c>
      <c r="CT63" s="10">
        <v>0</v>
      </c>
      <c r="CU63" s="10">
        <v>0</v>
      </c>
      <c r="CV63" s="10">
        <v>0</v>
      </c>
      <c r="CW63" s="10">
        <v>0</v>
      </c>
      <c r="CX63" s="10">
        <v>0</v>
      </c>
      <c r="CY63" s="10">
        <v>0</v>
      </c>
      <c r="CZ63" s="10">
        <v>0</v>
      </c>
      <c r="DA63" s="10">
        <v>0</v>
      </c>
      <c r="DB63" s="10">
        <v>0</v>
      </c>
      <c r="DC63" s="10">
        <v>0</v>
      </c>
      <c r="DD63" s="10">
        <v>0</v>
      </c>
      <c r="DE63" s="10">
        <v>0</v>
      </c>
      <c r="DF63" s="10">
        <v>0</v>
      </c>
      <c r="DG63" s="10">
        <v>0</v>
      </c>
      <c r="DH63" s="10">
        <v>0</v>
      </c>
      <c r="DI63" s="10">
        <v>0</v>
      </c>
      <c r="DJ63" s="10">
        <v>0</v>
      </c>
      <c r="DK63" s="10">
        <v>0</v>
      </c>
      <c r="DL63" s="10">
        <v>0</v>
      </c>
      <c r="DM63" s="10">
        <v>0</v>
      </c>
      <c r="DN63" s="10">
        <v>0</v>
      </c>
      <c r="DO63" s="10">
        <v>0</v>
      </c>
      <c r="DP63" s="10">
        <v>0</v>
      </c>
      <c r="DQ63" s="10">
        <v>0</v>
      </c>
      <c r="DR63" s="10">
        <v>0</v>
      </c>
      <c r="DS63" s="10">
        <v>0</v>
      </c>
      <c r="DT63" s="10">
        <v>0</v>
      </c>
      <c r="DU63" s="10">
        <v>0</v>
      </c>
      <c r="DV63" s="10">
        <v>0</v>
      </c>
      <c r="DW63" s="10">
        <v>0</v>
      </c>
      <c r="DX63" s="10">
        <v>0</v>
      </c>
      <c r="DY63" s="10">
        <v>0</v>
      </c>
      <c r="DZ63" s="10">
        <v>0</v>
      </c>
      <c r="EA63" s="10">
        <v>0</v>
      </c>
      <c r="EB63" s="10">
        <v>0</v>
      </c>
      <c r="EC63" s="10">
        <v>0</v>
      </c>
      <c r="ED63" s="10">
        <v>0</v>
      </c>
      <c r="EE63" s="10">
        <v>0</v>
      </c>
      <c r="EF63" s="10">
        <v>0</v>
      </c>
      <c r="EG63" s="10">
        <v>0</v>
      </c>
      <c r="EH63" s="10">
        <v>0</v>
      </c>
      <c r="EI63" s="10">
        <v>0</v>
      </c>
      <c r="EJ63" s="10">
        <v>0</v>
      </c>
      <c r="EK63" s="10">
        <v>0</v>
      </c>
      <c r="EL63" s="10">
        <v>0</v>
      </c>
      <c r="EM63" s="10">
        <v>0</v>
      </c>
      <c r="EN63" s="10">
        <v>0</v>
      </c>
      <c r="EO63" s="10">
        <v>0</v>
      </c>
      <c r="EP63" s="10">
        <v>0</v>
      </c>
      <c r="EQ63" s="10">
        <v>0</v>
      </c>
      <c r="ER63" s="10">
        <v>0</v>
      </c>
      <c r="ES63" s="10">
        <v>0</v>
      </c>
      <c r="ET63" s="10">
        <v>0.18240142108713359</v>
      </c>
      <c r="EU63" s="10">
        <v>0</v>
      </c>
      <c r="EV63" s="10">
        <v>0</v>
      </c>
      <c r="EW63" s="10">
        <v>0</v>
      </c>
      <c r="EX63" s="10">
        <v>0</v>
      </c>
      <c r="EY63" s="10">
        <v>0</v>
      </c>
      <c r="EZ63" s="10">
        <v>0</v>
      </c>
      <c r="FA63" s="10">
        <v>0</v>
      </c>
      <c r="FB63" s="10">
        <v>0</v>
      </c>
      <c r="FC63" s="10">
        <v>0</v>
      </c>
      <c r="FD63" s="10">
        <v>0</v>
      </c>
      <c r="FE63" s="10">
        <v>0</v>
      </c>
      <c r="FF63" s="10">
        <v>0</v>
      </c>
      <c r="FG63" s="10">
        <v>0</v>
      </c>
      <c r="FH63" s="10">
        <v>0</v>
      </c>
      <c r="FI63" s="10">
        <v>0</v>
      </c>
      <c r="FJ63" s="10">
        <v>0</v>
      </c>
      <c r="FK63" s="10">
        <v>0</v>
      </c>
      <c r="FL63" s="10">
        <v>0</v>
      </c>
      <c r="FM63" s="10">
        <v>0</v>
      </c>
      <c r="FN63" s="10">
        <v>0</v>
      </c>
      <c r="FO63" s="10">
        <v>0</v>
      </c>
      <c r="FP63" s="10">
        <v>0</v>
      </c>
      <c r="FQ63" s="10">
        <v>0</v>
      </c>
      <c r="FR63" s="10">
        <v>0</v>
      </c>
      <c r="FS63" s="10">
        <v>0</v>
      </c>
      <c r="FT63" s="10">
        <v>0</v>
      </c>
      <c r="FU63" s="10">
        <v>0</v>
      </c>
      <c r="FV63" s="10">
        <v>0</v>
      </c>
      <c r="FW63" s="10">
        <v>0</v>
      </c>
      <c r="FX63" s="10">
        <v>0</v>
      </c>
      <c r="FY63" s="10">
        <v>0</v>
      </c>
      <c r="FZ63" s="10">
        <v>0</v>
      </c>
      <c r="GA63" s="10">
        <v>0</v>
      </c>
      <c r="GB63" s="10">
        <v>0</v>
      </c>
      <c r="GC63" s="10">
        <v>0</v>
      </c>
      <c r="GD63" s="10">
        <v>0</v>
      </c>
      <c r="GE63" s="10">
        <v>0</v>
      </c>
      <c r="GF63" s="10">
        <v>0</v>
      </c>
      <c r="GG63" s="10">
        <v>0</v>
      </c>
      <c r="GH63" s="10">
        <v>0</v>
      </c>
      <c r="GI63" s="10">
        <v>0</v>
      </c>
      <c r="GJ63" s="10">
        <v>0</v>
      </c>
      <c r="GK63" s="10">
        <v>0</v>
      </c>
      <c r="GL63" s="10">
        <v>0</v>
      </c>
      <c r="GM63" s="10">
        <v>0</v>
      </c>
      <c r="GN63" s="10">
        <v>0</v>
      </c>
      <c r="GO63" s="10">
        <v>0</v>
      </c>
      <c r="GP63" s="10">
        <v>0</v>
      </c>
      <c r="GQ63" s="10">
        <v>0</v>
      </c>
      <c r="GR63" s="10">
        <v>0</v>
      </c>
      <c r="GS63" s="10">
        <v>0</v>
      </c>
      <c r="GT63" s="10">
        <v>0</v>
      </c>
      <c r="GU63" s="10">
        <v>0</v>
      </c>
      <c r="GV63" s="10">
        <v>0.30558354160178436</v>
      </c>
      <c r="GW63" s="10">
        <v>0</v>
      </c>
      <c r="GX63" s="10">
        <v>0</v>
      </c>
      <c r="GY63" s="10">
        <v>0</v>
      </c>
      <c r="GZ63" s="10">
        <v>0</v>
      </c>
      <c r="HA63" s="10">
        <v>0</v>
      </c>
      <c r="HB63" s="10">
        <v>0</v>
      </c>
      <c r="HC63" s="10">
        <v>0</v>
      </c>
      <c r="HD63" s="10">
        <v>0</v>
      </c>
      <c r="HE63" s="10">
        <v>0</v>
      </c>
      <c r="HF63" s="10">
        <v>0</v>
      </c>
      <c r="HG63" s="10">
        <v>0</v>
      </c>
      <c r="HH63" s="10">
        <v>0</v>
      </c>
      <c r="HI63" s="10">
        <v>0</v>
      </c>
      <c r="HJ63" s="10">
        <v>0</v>
      </c>
      <c r="HK63" s="10">
        <v>0</v>
      </c>
      <c r="HL63" s="10">
        <v>0</v>
      </c>
      <c r="HM63" s="10">
        <v>0</v>
      </c>
      <c r="HN63" s="10">
        <v>0</v>
      </c>
      <c r="HO63" s="10">
        <v>0</v>
      </c>
      <c r="HP63" s="10">
        <v>0</v>
      </c>
      <c r="HQ63" s="10">
        <v>0</v>
      </c>
      <c r="HR63" s="10">
        <v>0</v>
      </c>
      <c r="HS63" s="10">
        <v>0</v>
      </c>
      <c r="HT63" s="10">
        <v>0</v>
      </c>
      <c r="HU63" s="10">
        <v>0</v>
      </c>
    </row>
    <row r="64" spans="1:229" x14ac:dyDescent="0.25">
      <c r="A64" s="10">
        <v>0</v>
      </c>
      <c r="B64" s="2" t="s">
        <v>116</v>
      </c>
      <c r="C64" s="2" t="s">
        <v>117</v>
      </c>
      <c r="D64" s="17">
        <v>10.683999999999999</v>
      </c>
      <c r="E64" s="3">
        <v>3.61</v>
      </c>
      <c r="F64" s="3">
        <v>17.13</v>
      </c>
      <c r="G64" s="3">
        <v>0</v>
      </c>
      <c r="H64" s="3">
        <v>17.13</v>
      </c>
      <c r="I64" s="3">
        <v>66</v>
      </c>
      <c r="J64" s="3">
        <v>0.84299999999999997</v>
      </c>
      <c r="K64" s="3">
        <v>0.20100000000000001</v>
      </c>
      <c r="L64" s="3"/>
      <c r="M64" s="2" t="str">
        <f t="shared" si="7"/>
        <v>01071</v>
      </c>
      <c r="N64" s="3">
        <v>0.23103970137450935</v>
      </c>
      <c r="O64" s="3">
        <v>1.7689602986254906</v>
      </c>
      <c r="P64" s="17">
        <v>0.23103970137447305</v>
      </c>
      <c r="Q64" s="3">
        <v>1.7689602986254842</v>
      </c>
      <c r="R64" s="3">
        <v>0.23908724940231135</v>
      </c>
      <c r="S64" s="3" t="e">
        <v>#DIV/0!</v>
      </c>
      <c r="T64" s="3">
        <v>0.22193036066126115</v>
      </c>
      <c r="U64" s="3">
        <v>0.23103970137450958</v>
      </c>
      <c r="V64" s="3">
        <v>1.76896029862552</v>
      </c>
      <c r="W64" s="3">
        <v>1.5894404557220785</v>
      </c>
      <c r="X64" s="3">
        <v>2.46842816948487</v>
      </c>
      <c r="Y64" s="3">
        <v>6.3859466780379979</v>
      </c>
      <c r="Z64" s="3">
        <v>4.0955645822615931</v>
      </c>
      <c r="AA64" s="3">
        <v>0</v>
      </c>
      <c r="AB64" s="3">
        <v>3.8016670781274033</v>
      </c>
      <c r="AC64" s="3">
        <v>15.248620290717632</v>
      </c>
      <c r="AD64" s="3">
        <v>1.4912335317413132</v>
      </c>
      <c r="AE64" s="3">
        <v>0.31947753160013781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  <c r="AM64" s="3">
        <v>0</v>
      </c>
      <c r="AN64" s="3">
        <v>0</v>
      </c>
      <c r="AO64" s="3">
        <v>0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  <c r="AX64" s="3">
        <v>0</v>
      </c>
      <c r="AY64" s="3">
        <v>0</v>
      </c>
      <c r="AZ64" s="3">
        <v>0</v>
      </c>
      <c r="BA64" s="10">
        <v>0</v>
      </c>
      <c r="BB64" s="10">
        <v>0</v>
      </c>
      <c r="BC64" s="10">
        <v>0</v>
      </c>
      <c r="BD64" s="10">
        <v>0</v>
      </c>
      <c r="BE64" s="10">
        <v>0</v>
      </c>
      <c r="BF64" s="10">
        <v>0</v>
      </c>
      <c r="BG64" s="10">
        <v>0</v>
      </c>
      <c r="BH64" s="10">
        <v>0</v>
      </c>
      <c r="BI64" s="10">
        <v>0</v>
      </c>
      <c r="BJ64" s="10">
        <v>0</v>
      </c>
      <c r="BK64" s="10">
        <v>0</v>
      </c>
      <c r="BL64" s="10">
        <v>0</v>
      </c>
      <c r="BM64" s="10">
        <v>0</v>
      </c>
      <c r="BN64" s="10">
        <v>0</v>
      </c>
      <c r="BO64" s="10">
        <v>0</v>
      </c>
      <c r="BP64" s="10">
        <v>0</v>
      </c>
      <c r="BQ64" s="10">
        <v>0</v>
      </c>
      <c r="BR64" s="10">
        <v>0</v>
      </c>
      <c r="BS64" s="10">
        <v>0</v>
      </c>
      <c r="BT64" s="10">
        <v>0</v>
      </c>
      <c r="BU64" s="10">
        <v>0</v>
      </c>
      <c r="BV64" s="10">
        <v>0</v>
      </c>
      <c r="BW64" s="10">
        <v>0</v>
      </c>
      <c r="BX64" s="10">
        <v>0</v>
      </c>
      <c r="BY64" s="10">
        <v>0</v>
      </c>
      <c r="BZ64" s="10">
        <v>0</v>
      </c>
      <c r="CA64" s="10">
        <v>0</v>
      </c>
      <c r="CB64" s="10">
        <v>0</v>
      </c>
      <c r="CC64" s="10">
        <v>0</v>
      </c>
      <c r="CD64" s="10">
        <v>0</v>
      </c>
      <c r="CE64" s="10">
        <v>0</v>
      </c>
      <c r="CF64" s="10">
        <v>0</v>
      </c>
      <c r="CG64" s="10">
        <v>0</v>
      </c>
      <c r="CH64" s="10">
        <v>0</v>
      </c>
      <c r="CI64" s="10">
        <v>0</v>
      </c>
      <c r="CJ64" s="10">
        <v>0</v>
      </c>
      <c r="CK64" s="10">
        <v>0</v>
      </c>
      <c r="CL64" s="10">
        <v>0</v>
      </c>
      <c r="CM64" s="10">
        <v>0</v>
      </c>
      <c r="CN64" s="10">
        <v>0</v>
      </c>
      <c r="CO64" s="10">
        <v>0</v>
      </c>
      <c r="CP64" s="10">
        <v>0</v>
      </c>
      <c r="CQ64" s="10">
        <v>0</v>
      </c>
      <c r="CR64" s="10">
        <v>0</v>
      </c>
      <c r="CS64" s="10">
        <v>0.63358740216944276</v>
      </c>
      <c r="CT64" s="10">
        <v>0</v>
      </c>
      <c r="CU64" s="10">
        <v>0</v>
      </c>
      <c r="CV64" s="10">
        <v>0</v>
      </c>
      <c r="CW64" s="10">
        <v>0</v>
      </c>
      <c r="CX64" s="10">
        <v>0</v>
      </c>
      <c r="CY64" s="10">
        <v>0</v>
      </c>
      <c r="CZ64" s="10">
        <v>0</v>
      </c>
      <c r="DA64" s="10">
        <v>0</v>
      </c>
      <c r="DB64" s="10">
        <v>0</v>
      </c>
      <c r="DC64" s="10">
        <v>0</v>
      </c>
      <c r="DD64" s="10">
        <v>0</v>
      </c>
      <c r="DE64" s="10">
        <v>0</v>
      </c>
      <c r="DF64" s="10">
        <v>0</v>
      </c>
      <c r="DG64" s="10">
        <v>0</v>
      </c>
      <c r="DH64" s="10">
        <v>0</v>
      </c>
      <c r="DI64" s="10">
        <v>0</v>
      </c>
      <c r="DJ64" s="10">
        <v>0</v>
      </c>
      <c r="DK64" s="10">
        <v>0</v>
      </c>
      <c r="DL64" s="10">
        <v>0</v>
      </c>
      <c r="DM64" s="10">
        <v>0</v>
      </c>
      <c r="DN64" s="10">
        <v>0</v>
      </c>
      <c r="DO64" s="10">
        <v>0</v>
      </c>
      <c r="DP64" s="10">
        <v>0</v>
      </c>
      <c r="DQ64" s="10">
        <v>0</v>
      </c>
      <c r="DR64" s="10">
        <v>0</v>
      </c>
      <c r="DS64" s="10">
        <v>4.9199533253281039E-2</v>
      </c>
      <c r="DT64" s="10">
        <v>0</v>
      </c>
      <c r="DU64" s="10">
        <v>0</v>
      </c>
      <c r="DV64" s="10">
        <v>0</v>
      </c>
      <c r="DW64" s="10">
        <v>0</v>
      </c>
      <c r="DX64" s="10">
        <v>0</v>
      </c>
      <c r="DY64" s="10">
        <v>0</v>
      </c>
      <c r="DZ64" s="10">
        <v>0</v>
      </c>
      <c r="EA64" s="10">
        <v>0</v>
      </c>
      <c r="EB64" s="10">
        <v>0</v>
      </c>
      <c r="EC64" s="10">
        <v>0</v>
      </c>
      <c r="ED64" s="10">
        <v>0</v>
      </c>
      <c r="EE64" s="10">
        <v>0</v>
      </c>
      <c r="EF64" s="10">
        <v>0</v>
      </c>
      <c r="EG64" s="10">
        <v>0</v>
      </c>
      <c r="EH64" s="10">
        <v>0</v>
      </c>
      <c r="EI64" s="10">
        <v>0</v>
      </c>
      <c r="EJ64" s="10">
        <v>0</v>
      </c>
      <c r="EK64" s="10">
        <v>0</v>
      </c>
      <c r="EL64" s="10">
        <v>0</v>
      </c>
      <c r="EM64" s="10">
        <v>0</v>
      </c>
      <c r="EN64" s="10">
        <v>0</v>
      </c>
      <c r="EO64" s="10">
        <v>0</v>
      </c>
      <c r="EP64" s="10">
        <v>0</v>
      </c>
      <c r="EQ64" s="10">
        <v>0</v>
      </c>
      <c r="ER64" s="10">
        <v>0</v>
      </c>
      <c r="ES64" s="10">
        <v>0</v>
      </c>
      <c r="ET64" s="10">
        <v>2.8892655782008718E-2</v>
      </c>
      <c r="EU64" s="10">
        <v>0</v>
      </c>
      <c r="EV64" s="10">
        <v>0</v>
      </c>
      <c r="EW64" s="10">
        <v>0</v>
      </c>
      <c r="EX64" s="10">
        <v>0</v>
      </c>
      <c r="EY64" s="10">
        <v>0</v>
      </c>
      <c r="EZ64" s="10">
        <v>0</v>
      </c>
      <c r="FA64" s="10">
        <v>0</v>
      </c>
      <c r="FB64" s="10">
        <v>0</v>
      </c>
      <c r="FC64" s="10">
        <v>0</v>
      </c>
      <c r="FD64" s="10">
        <v>0</v>
      </c>
      <c r="FE64" s="10">
        <v>0</v>
      </c>
      <c r="FF64" s="10">
        <v>0</v>
      </c>
      <c r="FG64" s="10">
        <v>0</v>
      </c>
      <c r="FH64" s="10">
        <v>0</v>
      </c>
      <c r="FI64" s="10">
        <v>0</v>
      </c>
      <c r="FJ64" s="10">
        <v>0</v>
      </c>
      <c r="FK64" s="10">
        <v>0</v>
      </c>
      <c r="FL64" s="10">
        <v>0</v>
      </c>
      <c r="FM64" s="10">
        <v>0</v>
      </c>
      <c r="FN64" s="10">
        <v>0</v>
      </c>
      <c r="FO64" s="10">
        <v>0</v>
      </c>
      <c r="FP64" s="10">
        <v>0</v>
      </c>
      <c r="FQ64" s="10">
        <v>0</v>
      </c>
      <c r="FR64" s="10">
        <v>0</v>
      </c>
      <c r="FS64" s="10">
        <v>0</v>
      </c>
      <c r="FT64" s="10">
        <v>0</v>
      </c>
      <c r="FU64" s="10">
        <v>0</v>
      </c>
      <c r="FV64" s="10">
        <v>0</v>
      </c>
      <c r="FW64" s="10">
        <v>0</v>
      </c>
      <c r="FX64" s="10">
        <v>0</v>
      </c>
      <c r="FY64" s="10">
        <v>0</v>
      </c>
      <c r="FZ64" s="10">
        <v>0</v>
      </c>
      <c r="GA64" s="10">
        <v>0</v>
      </c>
      <c r="GB64" s="10">
        <v>0</v>
      </c>
      <c r="GC64" s="10">
        <v>0</v>
      </c>
      <c r="GD64" s="10">
        <v>0</v>
      </c>
      <c r="GE64" s="10">
        <v>0</v>
      </c>
      <c r="GF64" s="10">
        <v>0</v>
      </c>
      <c r="GG64" s="10">
        <v>0</v>
      </c>
      <c r="GH64" s="10">
        <v>0</v>
      </c>
      <c r="GI64" s="10">
        <v>0</v>
      </c>
      <c r="GJ64" s="10">
        <v>0</v>
      </c>
      <c r="GK64" s="10">
        <v>0</v>
      </c>
      <c r="GL64" s="10">
        <v>0</v>
      </c>
      <c r="GM64" s="10">
        <v>0</v>
      </c>
      <c r="GN64" s="10">
        <v>0</v>
      </c>
      <c r="GO64" s="10">
        <v>0</v>
      </c>
      <c r="GP64" s="10">
        <v>0</v>
      </c>
      <c r="GQ64" s="10">
        <v>0</v>
      </c>
      <c r="GR64" s="10">
        <v>0</v>
      </c>
      <c r="GS64" s="10">
        <v>0</v>
      </c>
      <c r="GT64" s="10">
        <v>0</v>
      </c>
      <c r="GU64" s="10">
        <v>0</v>
      </c>
      <c r="GV64" s="10">
        <v>0.28832040879526755</v>
      </c>
      <c r="GW64" s="10">
        <v>0</v>
      </c>
      <c r="GX64" s="10">
        <v>0</v>
      </c>
      <c r="GY64" s="10">
        <v>0</v>
      </c>
      <c r="GZ64" s="10">
        <v>0</v>
      </c>
      <c r="HA64" s="10">
        <v>0</v>
      </c>
      <c r="HB64" s="10">
        <v>0</v>
      </c>
      <c r="HC64" s="10">
        <v>0</v>
      </c>
      <c r="HD64" s="10">
        <v>0</v>
      </c>
      <c r="HE64" s="10">
        <v>0</v>
      </c>
      <c r="HF64" s="10">
        <v>0</v>
      </c>
      <c r="HG64" s="10">
        <v>0</v>
      </c>
      <c r="HH64" s="10">
        <v>0</v>
      </c>
      <c r="HI64" s="10">
        <v>0</v>
      </c>
      <c r="HJ64" s="10">
        <v>0</v>
      </c>
      <c r="HK64" s="10">
        <v>0</v>
      </c>
      <c r="HL64" s="10">
        <v>0</v>
      </c>
      <c r="HM64" s="10">
        <v>0</v>
      </c>
      <c r="HN64" s="10">
        <v>0</v>
      </c>
      <c r="HO64" s="10">
        <v>0</v>
      </c>
      <c r="HP64" s="10">
        <v>0</v>
      </c>
      <c r="HQ64" s="10">
        <v>0</v>
      </c>
      <c r="HR64" s="10">
        <v>0</v>
      </c>
      <c r="HS64" s="10">
        <v>0</v>
      </c>
      <c r="HT64" s="10">
        <v>0</v>
      </c>
      <c r="HU64" s="10">
        <v>0</v>
      </c>
    </row>
    <row r="65" spans="1:229" x14ac:dyDescent="0.25">
      <c r="A65" s="10">
        <v>0</v>
      </c>
      <c r="B65" s="2" t="s">
        <v>118</v>
      </c>
      <c r="C65" s="2" t="s">
        <v>119</v>
      </c>
      <c r="D65" s="17">
        <v>18.911999999999999</v>
      </c>
      <c r="E65" s="3">
        <v>0.98</v>
      </c>
      <c r="F65" s="3">
        <v>16.07</v>
      </c>
      <c r="G65" s="3">
        <v>0</v>
      </c>
      <c r="H65" s="3">
        <v>16.07</v>
      </c>
      <c r="I65" s="3">
        <v>62</v>
      </c>
      <c r="J65" s="3">
        <v>1.927</v>
      </c>
      <c r="K65" s="3">
        <v>0.24099999999999999</v>
      </c>
      <c r="L65" s="3"/>
      <c r="M65" s="2" t="str">
        <f t="shared" si="7"/>
        <v>01072</v>
      </c>
      <c r="N65" s="3">
        <v>0.21732102419220081</v>
      </c>
      <c r="O65" s="3">
        <v>1.782678975807799</v>
      </c>
      <c r="P65" s="17">
        <v>0.21732102419220325</v>
      </c>
      <c r="Q65" s="3">
        <v>6.3733021761694575</v>
      </c>
      <c r="R65" s="3">
        <v>0.26391543604260254</v>
      </c>
      <c r="S65" s="3" t="e">
        <v>#DIV/0!</v>
      </c>
      <c r="T65" s="3">
        <v>0.21732102419220056</v>
      </c>
      <c r="U65" s="3">
        <v>0.21732102419220101</v>
      </c>
      <c r="V65" s="3">
        <v>1.7826789758078234</v>
      </c>
      <c r="W65" s="3">
        <v>4.1821118903302175</v>
      </c>
      <c r="X65" s="3">
        <v>4.1099752095229478</v>
      </c>
      <c r="Y65" s="3">
        <v>6.2458361326460681</v>
      </c>
      <c r="Z65" s="3">
        <v>4.241121057204623</v>
      </c>
      <c r="AA65" s="3">
        <v>0</v>
      </c>
      <c r="AB65" s="3">
        <v>3.4923488587686631</v>
      </c>
      <c r="AC65" s="3">
        <v>13.473903499916462</v>
      </c>
      <c r="AD65" s="3">
        <v>3.435222386381676</v>
      </c>
      <c r="AE65" s="3">
        <v>1.0078889655695824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">
        <v>0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AY65" s="3">
        <v>0</v>
      </c>
      <c r="AZ65" s="3">
        <v>0</v>
      </c>
      <c r="BA65" s="10">
        <v>0</v>
      </c>
      <c r="BB65" s="10">
        <v>0</v>
      </c>
      <c r="BC65" s="10">
        <v>0</v>
      </c>
      <c r="BD65" s="10">
        <v>0</v>
      </c>
      <c r="BE65" s="10">
        <v>0</v>
      </c>
      <c r="BF65" s="10">
        <v>0</v>
      </c>
      <c r="BG65" s="10">
        <v>0</v>
      </c>
      <c r="BH65" s="10">
        <v>0</v>
      </c>
      <c r="BI65" s="10">
        <v>0</v>
      </c>
      <c r="BJ65" s="10">
        <v>0</v>
      </c>
      <c r="BK65" s="10">
        <v>0</v>
      </c>
      <c r="BL65" s="10">
        <v>0</v>
      </c>
      <c r="BM65" s="10">
        <v>0</v>
      </c>
      <c r="BN65" s="10">
        <v>0</v>
      </c>
      <c r="BO65" s="10">
        <v>0</v>
      </c>
      <c r="BP65" s="10">
        <v>0</v>
      </c>
      <c r="BQ65" s="10">
        <v>0</v>
      </c>
      <c r="BR65" s="10">
        <v>0</v>
      </c>
      <c r="BS65" s="10">
        <v>0</v>
      </c>
      <c r="BT65" s="10">
        <v>0</v>
      </c>
      <c r="BU65" s="10">
        <v>0</v>
      </c>
      <c r="BV65" s="10">
        <v>0</v>
      </c>
      <c r="BW65" s="10">
        <v>0</v>
      </c>
      <c r="BX65" s="10">
        <v>0</v>
      </c>
      <c r="BY65" s="10">
        <v>0</v>
      </c>
      <c r="BZ65" s="10">
        <v>0</v>
      </c>
      <c r="CA65" s="10">
        <v>0</v>
      </c>
      <c r="CB65" s="10">
        <v>0</v>
      </c>
      <c r="CC65" s="10">
        <v>0</v>
      </c>
      <c r="CD65" s="10">
        <v>0</v>
      </c>
      <c r="CE65" s="10">
        <v>0</v>
      </c>
      <c r="CF65" s="10">
        <v>0</v>
      </c>
      <c r="CG65" s="10">
        <v>0</v>
      </c>
      <c r="CH65" s="10">
        <v>0</v>
      </c>
      <c r="CI65" s="10">
        <v>0</v>
      </c>
      <c r="CJ65" s="10">
        <v>0</v>
      </c>
      <c r="CK65" s="10">
        <v>0</v>
      </c>
      <c r="CL65" s="10">
        <v>0</v>
      </c>
      <c r="CM65" s="10">
        <v>0</v>
      </c>
      <c r="CN65" s="10">
        <v>0</v>
      </c>
      <c r="CO65" s="10">
        <v>0</v>
      </c>
      <c r="CP65" s="10">
        <v>0</v>
      </c>
      <c r="CQ65" s="10">
        <v>0</v>
      </c>
      <c r="CR65" s="10">
        <v>0</v>
      </c>
      <c r="CS65" s="10">
        <v>0.75441251961435152</v>
      </c>
      <c r="CT65" s="10">
        <v>0</v>
      </c>
      <c r="CU65" s="10">
        <v>0</v>
      </c>
      <c r="CV65" s="10">
        <v>0</v>
      </c>
      <c r="CW65" s="10">
        <v>0</v>
      </c>
      <c r="CX65" s="10">
        <v>0</v>
      </c>
      <c r="CY65" s="10">
        <v>0</v>
      </c>
      <c r="CZ65" s="10">
        <v>0</v>
      </c>
      <c r="DA65" s="10">
        <v>0</v>
      </c>
      <c r="DB65" s="10">
        <v>0</v>
      </c>
      <c r="DC65" s="10">
        <v>0</v>
      </c>
      <c r="DD65" s="10">
        <v>0</v>
      </c>
      <c r="DE65" s="10">
        <v>0</v>
      </c>
      <c r="DF65" s="10">
        <v>1.5215081564466448E-2</v>
      </c>
      <c r="DG65" s="10">
        <v>0</v>
      </c>
      <c r="DH65" s="10">
        <v>0</v>
      </c>
      <c r="DI65" s="10">
        <v>0</v>
      </c>
      <c r="DJ65" s="10">
        <v>0</v>
      </c>
      <c r="DK65" s="10">
        <v>0</v>
      </c>
      <c r="DL65" s="10">
        <v>0</v>
      </c>
      <c r="DM65" s="10">
        <v>0</v>
      </c>
      <c r="DN65" s="10">
        <v>0</v>
      </c>
      <c r="DO65" s="10">
        <v>0</v>
      </c>
      <c r="DP65" s="10">
        <v>0</v>
      </c>
      <c r="DQ65" s="10">
        <v>0</v>
      </c>
      <c r="DR65" s="10">
        <v>0</v>
      </c>
      <c r="DS65" s="10">
        <v>0.21123636951822414</v>
      </c>
      <c r="DT65" s="10">
        <v>0</v>
      </c>
      <c r="DU65" s="10">
        <v>0</v>
      </c>
      <c r="DV65" s="10">
        <v>0</v>
      </c>
      <c r="DW65" s="10">
        <v>0</v>
      </c>
      <c r="DX65" s="10">
        <v>0</v>
      </c>
      <c r="DY65" s="10">
        <v>0</v>
      </c>
      <c r="DZ65" s="10">
        <v>0</v>
      </c>
      <c r="EA65" s="10">
        <v>0</v>
      </c>
      <c r="EB65" s="10">
        <v>0</v>
      </c>
      <c r="EC65" s="10">
        <v>0</v>
      </c>
      <c r="ED65" s="10">
        <v>0</v>
      </c>
      <c r="EE65" s="10">
        <v>0</v>
      </c>
      <c r="EF65" s="10">
        <v>0</v>
      </c>
      <c r="EG65" s="10">
        <v>0</v>
      </c>
      <c r="EH65" s="10">
        <v>0</v>
      </c>
      <c r="EI65" s="10">
        <v>0</v>
      </c>
      <c r="EJ65" s="10">
        <v>0</v>
      </c>
      <c r="EK65" s="10">
        <v>0</v>
      </c>
      <c r="EL65" s="10">
        <v>0</v>
      </c>
      <c r="EM65" s="10">
        <v>0</v>
      </c>
      <c r="EN65" s="10">
        <v>0</v>
      </c>
      <c r="EO65" s="10">
        <v>0</v>
      </c>
      <c r="EP65" s="10">
        <v>0</v>
      </c>
      <c r="EQ65" s="10">
        <v>0</v>
      </c>
      <c r="ER65" s="10">
        <v>0</v>
      </c>
      <c r="ES65" s="10">
        <v>0</v>
      </c>
      <c r="ET65" s="10">
        <v>1.9136029302958275E-2</v>
      </c>
      <c r="EU65" s="10">
        <v>0</v>
      </c>
      <c r="EV65" s="10">
        <v>0</v>
      </c>
      <c r="EW65" s="10">
        <v>0</v>
      </c>
      <c r="EX65" s="10">
        <v>0</v>
      </c>
      <c r="EY65" s="10">
        <v>0</v>
      </c>
      <c r="EZ65" s="10">
        <v>0</v>
      </c>
      <c r="FA65" s="10">
        <v>0</v>
      </c>
      <c r="FB65" s="10">
        <v>0</v>
      </c>
      <c r="FC65" s="10">
        <v>0</v>
      </c>
      <c r="FD65" s="10">
        <v>0</v>
      </c>
      <c r="FE65" s="10">
        <v>0</v>
      </c>
      <c r="FF65" s="10">
        <v>0</v>
      </c>
      <c r="FG65" s="10">
        <v>0</v>
      </c>
      <c r="FH65" s="10">
        <v>0</v>
      </c>
      <c r="FI65" s="10">
        <v>0</v>
      </c>
      <c r="FJ65" s="10">
        <v>0</v>
      </c>
      <c r="FK65" s="10">
        <v>0</v>
      </c>
      <c r="FL65" s="10">
        <v>0</v>
      </c>
      <c r="FM65" s="10">
        <v>0</v>
      </c>
      <c r="FN65" s="10">
        <v>0</v>
      </c>
      <c r="FO65" s="10">
        <v>0</v>
      </c>
      <c r="FP65" s="10">
        <v>0</v>
      </c>
      <c r="FQ65" s="10">
        <v>0</v>
      </c>
      <c r="FR65" s="10">
        <v>0</v>
      </c>
      <c r="FS65" s="10">
        <v>0</v>
      </c>
      <c r="FT65" s="10">
        <v>0</v>
      </c>
      <c r="FU65" s="10">
        <v>0</v>
      </c>
      <c r="FV65" s="10">
        <v>0</v>
      </c>
      <c r="FW65" s="10">
        <v>0</v>
      </c>
      <c r="FX65" s="10">
        <v>0</v>
      </c>
      <c r="FY65" s="10">
        <v>0</v>
      </c>
      <c r="FZ65" s="10">
        <v>0</v>
      </c>
      <c r="GA65" s="10">
        <v>0</v>
      </c>
      <c r="GB65" s="10">
        <v>0</v>
      </c>
      <c r="GC65" s="10">
        <v>0</v>
      </c>
      <c r="GD65" s="10">
        <v>0</v>
      </c>
      <c r="GE65" s="10">
        <v>0</v>
      </c>
      <c r="GF65" s="10">
        <v>0</v>
      </c>
      <c r="GG65" s="10">
        <v>0</v>
      </c>
      <c r="GH65" s="10">
        <v>0</v>
      </c>
      <c r="GI65" s="10">
        <v>0</v>
      </c>
      <c r="GJ65" s="10">
        <v>0</v>
      </c>
      <c r="GK65" s="10">
        <v>0</v>
      </c>
      <c r="GL65" s="10">
        <v>0</v>
      </c>
      <c r="GM65" s="10">
        <v>0</v>
      </c>
      <c r="GN65" s="10">
        <v>0</v>
      </c>
      <c r="GO65" s="10">
        <v>0</v>
      </c>
      <c r="GP65" s="10">
        <v>0</v>
      </c>
      <c r="GQ65" s="10">
        <v>0</v>
      </c>
      <c r="GR65" s="10">
        <v>0</v>
      </c>
      <c r="GS65" s="10">
        <v>0</v>
      </c>
      <c r="GT65" s="10">
        <v>0</v>
      </c>
      <c r="GU65" s="10">
        <v>0</v>
      </c>
      <c r="GV65" s="10">
        <v>0</v>
      </c>
      <c r="GW65" s="10">
        <v>0</v>
      </c>
      <c r="GX65" s="10">
        <v>0</v>
      </c>
      <c r="GY65" s="10">
        <v>0</v>
      </c>
      <c r="GZ65" s="10">
        <v>0</v>
      </c>
      <c r="HA65" s="10">
        <v>0</v>
      </c>
      <c r="HB65" s="10">
        <v>0</v>
      </c>
      <c r="HC65" s="10">
        <v>0</v>
      </c>
      <c r="HD65" s="10">
        <v>0</v>
      </c>
      <c r="HE65" s="10">
        <v>0</v>
      </c>
      <c r="HF65" s="10">
        <v>0</v>
      </c>
      <c r="HG65" s="10">
        <v>0</v>
      </c>
      <c r="HH65" s="10">
        <v>0</v>
      </c>
      <c r="HI65" s="10">
        <v>0</v>
      </c>
      <c r="HJ65" s="10">
        <v>0</v>
      </c>
      <c r="HK65" s="10">
        <v>0</v>
      </c>
      <c r="HL65" s="10">
        <v>0</v>
      </c>
      <c r="HM65" s="10">
        <v>0</v>
      </c>
      <c r="HN65" s="10">
        <v>0</v>
      </c>
      <c r="HO65" s="10">
        <v>0</v>
      </c>
      <c r="HP65" s="10">
        <v>0</v>
      </c>
      <c r="HQ65" s="10">
        <v>0</v>
      </c>
      <c r="HR65" s="10">
        <v>0</v>
      </c>
      <c r="HS65" s="10">
        <v>0</v>
      </c>
      <c r="HT65" s="10">
        <v>0</v>
      </c>
      <c r="HU65" s="10">
        <v>0</v>
      </c>
    </row>
    <row r="66" spans="1:229" x14ac:dyDescent="0.25">
      <c r="A66" s="10">
        <v>0</v>
      </c>
      <c r="B66" s="2" t="s">
        <v>120</v>
      </c>
      <c r="C66" s="2" t="s">
        <v>121</v>
      </c>
      <c r="D66" s="17">
        <v>21.783000000000001</v>
      </c>
      <c r="E66" s="3">
        <v>1.25</v>
      </c>
      <c r="F66" s="3">
        <v>23.05</v>
      </c>
      <c r="G66" s="3">
        <v>0</v>
      </c>
      <c r="H66" s="3">
        <v>23.05</v>
      </c>
      <c r="I66" s="3">
        <v>25</v>
      </c>
      <c r="J66" s="3">
        <v>1.6160000000000001</v>
      </c>
      <c r="K66" s="3">
        <v>0.52300000000000002</v>
      </c>
      <c r="L66" s="3"/>
      <c r="M66" s="2" t="str">
        <f t="shared" si="7"/>
        <v>01073</v>
      </c>
      <c r="N66" s="3">
        <v>0.23524725054101409</v>
      </c>
      <c r="O66" s="3">
        <v>1.7647527494589861</v>
      </c>
      <c r="P66" s="17">
        <v>0.23524725054101608</v>
      </c>
      <c r="Q66" s="3">
        <v>3.0490479662544674</v>
      </c>
      <c r="R66" s="3">
        <v>0.18298021376143686</v>
      </c>
      <c r="S66" s="3" t="e">
        <v>#DIV/0!</v>
      </c>
      <c r="T66" s="3">
        <v>0.17444205506219135</v>
      </c>
      <c r="U66" s="3">
        <v>0.23524725054101403</v>
      </c>
      <c r="V66" s="3">
        <v>1.7647527494590027</v>
      </c>
      <c r="W66" s="3">
        <v>1.0349890986876804</v>
      </c>
      <c r="X66" s="3">
        <v>5.1243908585349534</v>
      </c>
      <c r="Y66" s="3">
        <v>3.811309957818084</v>
      </c>
      <c r="Z66" s="3">
        <v>4.21769392720112</v>
      </c>
      <c r="AA66" s="3">
        <v>0</v>
      </c>
      <c r="AB66" s="3">
        <v>4.0208893691835108</v>
      </c>
      <c r="AC66" s="3">
        <v>5.8811812635253506</v>
      </c>
      <c r="AD66" s="3">
        <v>2.8518404431257487</v>
      </c>
      <c r="AE66" s="3">
        <v>0.54129929861365689</v>
      </c>
      <c r="AF66" s="3">
        <v>0</v>
      </c>
      <c r="AG66" s="3">
        <v>0</v>
      </c>
      <c r="AH66" s="3">
        <v>4.1658707033201847E-2</v>
      </c>
      <c r="AI66" s="3">
        <v>0</v>
      </c>
      <c r="AJ66" s="3">
        <v>0</v>
      </c>
      <c r="AK66" s="3">
        <v>0</v>
      </c>
      <c r="AL66" s="3">
        <v>0</v>
      </c>
      <c r="AM66" s="3">
        <v>0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">
        <v>0</v>
      </c>
      <c r="AW66" s="3">
        <v>0</v>
      </c>
      <c r="AX66" s="3">
        <v>0</v>
      </c>
      <c r="AY66" s="3">
        <v>0</v>
      </c>
      <c r="AZ66" s="3">
        <v>0</v>
      </c>
      <c r="BA66" s="10">
        <v>0</v>
      </c>
      <c r="BB66" s="10">
        <v>0</v>
      </c>
      <c r="BC66" s="10">
        <v>0</v>
      </c>
      <c r="BD66" s="10">
        <v>0</v>
      </c>
      <c r="BE66" s="10">
        <v>0</v>
      </c>
      <c r="BF66" s="10">
        <v>0</v>
      </c>
      <c r="BG66" s="10">
        <v>0</v>
      </c>
      <c r="BH66" s="10">
        <v>0</v>
      </c>
      <c r="BI66" s="10">
        <v>0</v>
      </c>
      <c r="BJ66" s="10">
        <v>0</v>
      </c>
      <c r="BK66" s="10">
        <v>0</v>
      </c>
      <c r="BL66" s="10">
        <v>0</v>
      </c>
      <c r="BM66" s="10">
        <v>0</v>
      </c>
      <c r="BN66" s="10">
        <v>0</v>
      </c>
      <c r="BO66" s="10">
        <v>0</v>
      </c>
      <c r="BP66" s="10">
        <v>0</v>
      </c>
      <c r="BQ66" s="10">
        <v>0</v>
      </c>
      <c r="BR66" s="10">
        <v>0</v>
      </c>
      <c r="BS66" s="10">
        <v>0</v>
      </c>
      <c r="BT66" s="10">
        <v>0</v>
      </c>
      <c r="BU66" s="10">
        <v>0</v>
      </c>
      <c r="BV66" s="10">
        <v>0</v>
      </c>
      <c r="BW66" s="10">
        <v>0</v>
      </c>
      <c r="BX66" s="10">
        <v>0</v>
      </c>
      <c r="BY66" s="10">
        <v>0</v>
      </c>
      <c r="BZ66" s="10">
        <v>0</v>
      </c>
      <c r="CA66" s="10">
        <v>0</v>
      </c>
      <c r="CB66" s="10">
        <v>0</v>
      </c>
      <c r="CC66" s="10">
        <v>0</v>
      </c>
      <c r="CD66" s="10">
        <v>0</v>
      </c>
      <c r="CE66" s="10">
        <v>0</v>
      </c>
      <c r="CF66" s="10">
        <v>0</v>
      </c>
      <c r="CG66" s="10">
        <v>0</v>
      </c>
      <c r="CH66" s="10">
        <v>0</v>
      </c>
      <c r="CI66" s="10">
        <v>0</v>
      </c>
      <c r="CJ66" s="10">
        <v>0</v>
      </c>
      <c r="CK66" s="10">
        <v>0</v>
      </c>
      <c r="CL66" s="10">
        <v>0</v>
      </c>
      <c r="CM66" s="10">
        <v>0</v>
      </c>
      <c r="CN66" s="10">
        <v>0</v>
      </c>
      <c r="CO66" s="10">
        <v>0</v>
      </c>
      <c r="CP66" s="10">
        <v>0</v>
      </c>
      <c r="CQ66" s="10">
        <v>0</v>
      </c>
      <c r="CR66" s="10">
        <v>0</v>
      </c>
      <c r="CS66" s="10">
        <v>0.89338929362105235</v>
      </c>
      <c r="CT66" s="10">
        <v>0</v>
      </c>
      <c r="CU66" s="10">
        <v>0</v>
      </c>
      <c r="CV66" s="10">
        <v>0</v>
      </c>
      <c r="CW66" s="10">
        <v>0</v>
      </c>
      <c r="CX66" s="10">
        <v>0</v>
      </c>
      <c r="CY66" s="10">
        <v>0</v>
      </c>
      <c r="CZ66" s="10">
        <v>0</v>
      </c>
      <c r="DA66" s="10">
        <v>0</v>
      </c>
      <c r="DB66" s="10">
        <v>0</v>
      </c>
      <c r="DC66" s="10">
        <v>0</v>
      </c>
      <c r="DD66" s="10">
        <v>0</v>
      </c>
      <c r="DE66" s="10">
        <v>0</v>
      </c>
      <c r="DF66" s="10">
        <v>0</v>
      </c>
      <c r="DG66" s="10">
        <v>0</v>
      </c>
      <c r="DH66" s="10">
        <v>0</v>
      </c>
      <c r="DI66" s="10">
        <v>0</v>
      </c>
      <c r="DJ66" s="10">
        <v>0</v>
      </c>
      <c r="DK66" s="10">
        <v>0</v>
      </c>
      <c r="DL66" s="10">
        <v>0</v>
      </c>
      <c r="DM66" s="10">
        <v>0</v>
      </c>
      <c r="DN66" s="10">
        <v>0</v>
      </c>
      <c r="DO66" s="10">
        <v>0</v>
      </c>
      <c r="DP66" s="10">
        <v>0</v>
      </c>
      <c r="DQ66" s="10">
        <v>0</v>
      </c>
      <c r="DR66" s="10">
        <v>0</v>
      </c>
      <c r="DS66" s="10">
        <v>6.4951999345745609E-2</v>
      </c>
      <c r="DT66" s="10">
        <v>0</v>
      </c>
      <c r="DU66" s="10">
        <v>0</v>
      </c>
      <c r="DV66" s="10">
        <v>0</v>
      </c>
      <c r="DW66" s="10">
        <v>0</v>
      </c>
      <c r="DX66" s="10">
        <v>0</v>
      </c>
      <c r="DY66" s="10">
        <v>0</v>
      </c>
      <c r="DZ66" s="10">
        <v>0</v>
      </c>
      <c r="EA66" s="10">
        <v>0</v>
      </c>
      <c r="EB66" s="10">
        <v>0</v>
      </c>
      <c r="EC66" s="10">
        <v>0</v>
      </c>
      <c r="ED66" s="10">
        <v>0</v>
      </c>
      <c r="EE66" s="10">
        <v>0</v>
      </c>
      <c r="EF66" s="10">
        <v>0</v>
      </c>
      <c r="EG66" s="10">
        <v>0</v>
      </c>
      <c r="EH66" s="10">
        <v>0</v>
      </c>
      <c r="EI66" s="10">
        <v>0</v>
      </c>
      <c r="EJ66" s="10">
        <v>0</v>
      </c>
      <c r="EK66" s="10">
        <v>0</v>
      </c>
      <c r="EL66" s="10">
        <v>0</v>
      </c>
      <c r="EM66" s="10">
        <v>0</v>
      </c>
      <c r="EN66" s="10">
        <v>0</v>
      </c>
      <c r="EO66" s="10">
        <v>0</v>
      </c>
      <c r="EP66" s="10">
        <v>0</v>
      </c>
      <c r="EQ66" s="10">
        <v>0</v>
      </c>
      <c r="ER66" s="10">
        <v>0</v>
      </c>
      <c r="ES66" s="10">
        <v>0</v>
      </c>
      <c r="ET66" s="10">
        <v>0</v>
      </c>
      <c r="EU66" s="10">
        <v>0</v>
      </c>
      <c r="EV66" s="10">
        <v>0</v>
      </c>
      <c r="EW66" s="10">
        <v>0</v>
      </c>
      <c r="EX66" s="10">
        <v>0</v>
      </c>
      <c r="EY66" s="10">
        <v>0</v>
      </c>
      <c r="EZ66" s="10">
        <v>0</v>
      </c>
      <c r="FA66" s="10">
        <v>0</v>
      </c>
      <c r="FB66" s="10">
        <v>0</v>
      </c>
      <c r="FC66" s="10">
        <v>0</v>
      </c>
      <c r="FD66" s="10">
        <v>0</v>
      </c>
      <c r="FE66" s="10">
        <v>0</v>
      </c>
      <c r="FF66" s="10">
        <v>0</v>
      </c>
      <c r="FG66" s="10">
        <v>0</v>
      </c>
      <c r="FH66" s="10">
        <v>0</v>
      </c>
      <c r="FI66" s="10">
        <v>0</v>
      </c>
      <c r="FJ66" s="10">
        <v>0</v>
      </c>
      <c r="FK66" s="10">
        <v>0</v>
      </c>
      <c r="FL66" s="10">
        <v>0</v>
      </c>
      <c r="FM66" s="10">
        <v>0</v>
      </c>
      <c r="FN66" s="10">
        <v>0</v>
      </c>
      <c r="FO66" s="10">
        <v>0</v>
      </c>
      <c r="FP66" s="10">
        <v>0</v>
      </c>
      <c r="FQ66" s="10">
        <v>0</v>
      </c>
      <c r="FR66" s="10">
        <v>0</v>
      </c>
      <c r="FS66" s="10">
        <v>0</v>
      </c>
      <c r="FT66" s="10">
        <v>0</v>
      </c>
      <c r="FU66" s="10">
        <v>0</v>
      </c>
      <c r="FV66" s="10">
        <v>0</v>
      </c>
      <c r="FW66" s="10">
        <v>0</v>
      </c>
      <c r="FX66" s="10">
        <v>0</v>
      </c>
      <c r="FY66" s="10">
        <v>0</v>
      </c>
      <c r="FZ66" s="10">
        <v>0</v>
      </c>
      <c r="GA66" s="10">
        <v>0</v>
      </c>
      <c r="GB66" s="10">
        <v>0</v>
      </c>
      <c r="GC66" s="10">
        <v>0</v>
      </c>
      <c r="GD66" s="10">
        <v>0</v>
      </c>
      <c r="GE66" s="10">
        <v>0</v>
      </c>
      <c r="GF66" s="10">
        <v>0</v>
      </c>
      <c r="GG66" s="10">
        <v>0</v>
      </c>
      <c r="GH66" s="10">
        <v>0</v>
      </c>
      <c r="GI66" s="10">
        <v>0</v>
      </c>
      <c r="GJ66" s="10">
        <v>0</v>
      </c>
      <c r="GK66" s="10">
        <v>0</v>
      </c>
      <c r="GL66" s="10">
        <v>0</v>
      </c>
      <c r="GM66" s="10">
        <v>0</v>
      </c>
      <c r="GN66" s="10">
        <v>0</v>
      </c>
      <c r="GO66" s="10">
        <v>0</v>
      </c>
      <c r="GP66" s="10">
        <v>0</v>
      </c>
      <c r="GQ66" s="10">
        <v>0</v>
      </c>
      <c r="GR66" s="10">
        <v>0</v>
      </c>
      <c r="GS66" s="10">
        <v>0</v>
      </c>
      <c r="GT66" s="10">
        <v>0</v>
      </c>
      <c r="GU66" s="10">
        <v>0</v>
      </c>
      <c r="GV66" s="10">
        <v>0</v>
      </c>
      <c r="GW66" s="10">
        <v>0</v>
      </c>
      <c r="GX66" s="10">
        <v>0</v>
      </c>
      <c r="GY66" s="10">
        <v>0</v>
      </c>
      <c r="GZ66" s="10">
        <v>0</v>
      </c>
      <c r="HA66" s="10">
        <v>0</v>
      </c>
      <c r="HB66" s="10">
        <v>0</v>
      </c>
      <c r="HC66" s="10">
        <v>0</v>
      </c>
      <c r="HD66" s="10">
        <v>0</v>
      </c>
      <c r="HE66" s="10">
        <v>0</v>
      </c>
      <c r="HF66" s="10">
        <v>0</v>
      </c>
      <c r="HG66" s="10">
        <v>0</v>
      </c>
      <c r="HH66" s="10">
        <v>0</v>
      </c>
      <c r="HI66" s="10">
        <v>0</v>
      </c>
      <c r="HJ66" s="10">
        <v>0</v>
      </c>
      <c r="HK66" s="10">
        <v>0</v>
      </c>
      <c r="HL66" s="10">
        <v>0</v>
      </c>
      <c r="HM66" s="10">
        <v>0</v>
      </c>
      <c r="HN66" s="10">
        <v>0</v>
      </c>
      <c r="HO66" s="10">
        <v>0</v>
      </c>
      <c r="HP66" s="10">
        <v>0</v>
      </c>
      <c r="HQ66" s="10">
        <v>0</v>
      </c>
      <c r="HR66" s="10">
        <v>0</v>
      </c>
      <c r="HS66" s="10">
        <v>0</v>
      </c>
      <c r="HT66" s="10">
        <v>0</v>
      </c>
      <c r="HU66" s="10">
        <v>0</v>
      </c>
    </row>
    <row r="67" spans="1:229" x14ac:dyDescent="0.25">
      <c r="A67" s="10">
        <v>0</v>
      </c>
      <c r="B67" s="2" t="s">
        <v>122</v>
      </c>
      <c r="C67" s="2" t="s">
        <v>123</v>
      </c>
      <c r="D67" s="17">
        <v>17.791</v>
      </c>
      <c r="E67" s="3">
        <v>2.4</v>
      </c>
      <c r="F67" s="3">
        <v>6.63</v>
      </c>
      <c r="G67" s="3">
        <v>0</v>
      </c>
      <c r="H67" s="3">
        <v>6.63</v>
      </c>
      <c r="I67" s="3">
        <v>102</v>
      </c>
      <c r="J67" s="3">
        <v>0.58799999999999997</v>
      </c>
      <c r="K67" s="3">
        <v>5.6000000000000001E-2</v>
      </c>
      <c r="L67" s="3"/>
      <c r="M67" s="2" t="str">
        <f t="shared" si="7"/>
        <v>01074</v>
      </c>
      <c r="N67" s="3">
        <v>0.26290070021787099</v>
      </c>
      <c r="O67" s="3">
        <v>1.7370992997821295</v>
      </c>
      <c r="P67" s="17">
        <v>0.26290070021789891</v>
      </c>
      <c r="Q67" s="3">
        <v>2.5113244803235064</v>
      </c>
      <c r="R67" s="3">
        <v>0.72367377791158505</v>
      </c>
      <c r="S67" s="3" t="e">
        <v>#DIV/0!</v>
      </c>
      <c r="T67" s="3">
        <v>0.26290070021787099</v>
      </c>
      <c r="U67" s="3">
        <v>0.26290070021787082</v>
      </c>
      <c r="V67" s="3">
        <v>3.2553533153550465</v>
      </c>
      <c r="W67" s="3">
        <v>5.010105433191832</v>
      </c>
      <c r="X67" s="3">
        <v>4.6772663575766398</v>
      </c>
      <c r="Y67" s="3">
        <v>6.0271787527764147</v>
      </c>
      <c r="Z67" s="3">
        <v>4.7979571475538085</v>
      </c>
      <c r="AA67" s="3">
        <v>0</v>
      </c>
      <c r="AB67" s="3">
        <v>1.7430316424444845</v>
      </c>
      <c r="AC67" s="3">
        <v>26.815871422222823</v>
      </c>
      <c r="AD67" s="3">
        <v>1.9141477494287673</v>
      </c>
      <c r="AE67" s="3">
        <v>0.28056590425874262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3">
        <v>0</v>
      </c>
      <c r="AW67" s="3">
        <v>0</v>
      </c>
      <c r="AX67" s="3">
        <v>0</v>
      </c>
      <c r="AY67" s="3">
        <v>0</v>
      </c>
      <c r="AZ67" s="3">
        <v>0</v>
      </c>
      <c r="BA67" s="10">
        <v>0</v>
      </c>
      <c r="BB67" s="10">
        <v>0</v>
      </c>
      <c r="BC67" s="10">
        <v>0</v>
      </c>
      <c r="BD67" s="10">
        <v>0</v>
      </c>
      <c r="BE67" s="10">
        <v>0</v>
      </c>
      <c r="BF67" s="10">
        <v>0</v>
      </c>
      <c r="BG67" s="10">
        <v>0</v>
      </c>
      <c r="BH67" s="10">
        <v>0</v>
      </c>
      <c r="BI67" s="10">
        <v>0</v>
      </c>
      <c r="BJ67" s="10">
        <v>0</v>
      </c>
      <c r="BK67" s="10">
        <v>0</v>
      </c>
      <c r="BL67" s="10">
        <v>0</v>
      </c>
      <c r="BM67" s="10">
        <v>0</v>
      </c>
      <c r="BN67" s="10">
        <v>0</v>
      </c>
      <c r="BO67" s="10">
        <v>0</v>
      </c>
      <c r="BP67" s="10">
        <v>0</v>
      </c>
      <c r="BQ67" s="10">
        <v>0</v>
      </c>
      <c r="BR67" s="10">
        <v>0</v>
      </c>
      <c r="BS67" s="10">
        <v>0</v>
      </c>
      <c r="BT67" s="10">
        <v>0</v>
      </c>
      <c r="BU67" s="10">
        <v>0</v>
      </c>
      <c r="BV67" s="10">
        <v>0</v>
      </c>
      <c r="BW67" s="10">
        <v>0</v>
      </c>
      <c r="BX67" s="10">
        <v>0</v>
      </c>
      <c r="BY67" s="10">
        <v>0</v>
      </c>
      <c r="BZ67" s="10">
        <v>0</v>
      </c>
      <c r="CA67" s="10">
        <v>0</v>
      </c>
      <c r="CB67" s="10">
        <v>0</v>
      </c>
      <c r="CC67" s="10">
        <v>0</v>
      </c>
      <c r="CD67" s="10">
        <v>0</v>
      </c>
      <c r="CE67" s="10">
        <v>0</v>
      </c>
      <c r="CF67" s="10">
        <v>0</v>
      </c>
      <c r="CG67" s="10">
        <v>0</v>
      </c>
      <c r="CH67" s="10">
        <v>0</v>
      </c>
      <c r="CI67" s="10">
        <v>0</v>
      </c>
      <c r="CJ67" s="10">
        <v>0</v>
      </c>
      <c r="CK67" s="10">
        <v>0</v>
      </c>
      <c r="CL67" s="10">
        <v>0</v>
      </c>
      <c r="CM67" s="10">
        <v>0</v>
      </c>
      <c r="CN67" s="10">
        <v>0</v>
      </c>
      <c r="CO67" s="10">
        <v>0</v>
      </c>
      <c r="CP67" s="10">
        <v>0</v>
      </c>
      <c r="CQ67" s="10">
        <v>0</v>
      </c>
      <c r="CR67" s="10">
        <v>0</v>
      </c>
      <c r="CS67" s="10">
        <v>0.38391932080388302</v>
      </c>
      <c r="CT67" s="10">
        <v>0</v>
      </c>
      <c r="CU67" s="10">
        <v>0</v>
      </c>
      <c r="CV67" s="10">
        <v>0</v>
      </c>
      <c r="CW67" s="10">
        <v>0</v>
      </c>
      <c r="CX67" s="10">
        <v>0</v>
      </c>
      <c r="CY67" s="10">
        <v>0</v>
      </c>
      <c r="CZ67" s="10">
        <v>0</v>
      </c>
      <c r="DA67" s="10">
        <v>0</v>
      </c>
      <c r="DB67" s="10">
        <v>0</v>
      </c>
      <c r="DC67" s="10">
        <v>0</v>
      </c>
      <c r="DD67" s="10">
        <v>0</v>
      </c>
      <c r="DE67" s="10">
        <v>0</v>
      </c>
      <c r="DF67" s="10">
        <v>0.55332257376924798</v>
      </c>
      <c r="DG67" s="10">
        <v>0</v>
      </c>
      <c r="DH67" s="10">
        <v>0</v>
      </c>
      <c r="DI67" s="10">
        <v>0</v>
      </c>
      <c r="DJ67" s="10">
        <v>0</v>
      </c>
      <c r="DK67" s="10">
        <v>0</v>
      </c>
      <c r="DL67" s="10">
        <v>0</v>
      </c>
      <c r="DM67" s="10">
        <v>0</v>
      </c>
      <c r="DN67" s="10">
        <v>0</v>
      </c>
      <c r="DO67" s="10">
        <v>0</v>
      </c>
      <c r="DP67" s="10">
        <v>0</v>
      </c>
      <c r="DQ67" s="10">
        <v>0</v>
      </c>
      <c r="DR67" s="10">
        <v>0</v>
      </c>
      <c r="DS67" s="10">
        <v>0</v>
      </c>
      <c r="DT67" s="10">
        <v>0</v>
      </c>
      <c r="DU67" s="10">
        <v>0</v>
      </c>
      <c r="DV67" s="10">
        <v>0</v>
      </c>
      <c r="DW67" s="10">
        <v>0</v>
      </c>
      <c r="DX67" s="10">
        <v>0</v>
      </c>
      <c r="DY67" s="10">
        <v>0</v>
      </c>
      <c r="DZ67" s="10">
        <v>0</v>
      </c>
      <c r="EA67" s="10">
        <v>0</v>
      </c>
      <c r="EB67" s="10">
        <v>0</v>
      </c>
      <c r="EC67" s="10">
        <v>0</v>
      </c>
      <c r="ED67" s="10">
        <v>0</v>
      </c>
      <c r="EE67" s="10">
        <v>0</v>
      </c>
      <c r="EF67" s="10">
        <v>0</v>
      </c>
      <c r="EG67" s="10">
        <v>0</v>
      </c>
      <c r="EH67" s="10">
        <v>0</v>
      </c>
      <c r="EI67" s="10">
        <v>0</v>
      </c>
      <c r="EJ67" s="10">
        <v>0</v>
      </c>
      <c r="EK67" s="10">
        <v>0</v>
      </c>
      <c r="EL67" s="10">
        <v>0</v>
      </c>
      <c r="EM67" s="10">
        <v>0</v>
      </c>
      <c r="EN67" s="10">
        <v>0</v>
      </c>
      <c r="EO67" s="10">
        <v>0</v>
      </c>
      <c r="EP67" s="10">
        <v>0</v>
      </c>
      <c r="EQ67" s="10">
        <v>0</v>
      </c>
      <c r="ER67" s="10">
        <v>0</v>
      </c>
      <c r="ES67" s="10">
        <v>0</v>
      </c>
      <c r="ET67" s="10">
        <v>6.275810542686959E-2</v>
      </c>
      <c r="EU67" s="10">
        <v>0</v>
      </c>
      <c r="EV67" s="10">
        <v>0</v>
      </c>
      <c r="EW67" s="10">
        <v>0</v>
      </c>
      <c r="EX67" s="10">
        <v>0</v>
      </c>
      <c r="EY67" s="10">
        <v>0</v>
      </c>
      <c r="EZ67" s="10">
        <v>0</v>
      </c>
      <c r="FA67" s="10">
        <v>0</v>
      </c>
      <c r="FB67" s="10">
        <v>0</v>
      </c>
      <c r="FC67" s="10">
        <v>0</v>
      </c>
      <c r="FD67" s="10">
        <v>0</v>
      </c>
      <c r="FE67" s="10">
        <v>0</v>
      </c>
      <c r="FF67" s="10">
        <v>0</v>
      </c>
      <c r="FG67" s="10">
        <v>0</v>
      </c>
      <c r="FH67" s="10">
        <v>0</v>
      </c>
      <c r="FI67" s="10">
        <v>0</v>
      </c>
      <c r="FJ67" s="10">
        <v>0</v>
      </c>
      <c r="FK67" s="10">
        <v>0</v>
      </c>
      <c r="FL67" s="10">
        <v>0</v>
      </c>
      <c r="FM67" s="10">
        <v>0</v>
      </c>
      <c r="FN67" s="10">
        <v>0</v>
      </c>
      <c r="FO67" s="10">
        <v>0</v>
      </c>
      <c r="FP67" s="10">
        <v>0</v>
      </c>
      <c r="FQ67" s="10">
        <v>0</v>
      </c>
      <c r="FR67" s="10">
        <v>0</v>
      </c>
      <c r="FS67" s="10">
        <v>0</v>
      </c>
      <c r="FT67" s="10">
        <v>0</v>
      </c>
      <c r="FU67" s="10">
        <v>0</v>
      </c>
      <c r="FV67" s="10">
        <v>0</v>
      </c>
      <c r="FW67" s="10">
        <v>0</v>
      </c>
      <c r="FX67" s="10">
        <v>0</v>
      </c>
      <c r="FY67" s="10">
        <v>0</v>
      </c>
      <c r="FZ67" s="10">
        <v>0</v>
      </c>
      <c r="GA67" s="10">
        <v>0</v>
      </c>
      <c r="GB67" s="10">
        <v>0</v>
      </c>
      <c r="GC67" s="10">
        <v>0</v>
      </c>
      <c r="GD67" s="10">
        <v>0</v>
      </c>
      <c r="GE67" s="10">
        <v>0</v>
      </c>
      <c r="GF67" s="10">
        <v>0</v>
      </c>
      <c r="GG67" s="10">
        <v>0</v>
      </c>
      <c r="GH67" s="10">
        <v>0</v>
      </c>
      <c r="GI67" s="10">
        <v>0</v>
      </c>
      <c r="GJ67" s="10">
        <v>0</v>
      </c>
      <c r="GK67" s="10">
        <v>0</v>
      </c>
      <c r="GL67" s="10">
        <v>0</v>
      </c>
      <c r="GM67" s="10">
        <v>0</v>
      </c>
      <c r="GN67" s="10">
        <v>0</v>
      </c>
      <c r="GO67" s="10">
        <v>0</v>
      </c>
      <c r="GP67" s="10">
        <v>0</v>
      </c>
      <c r="GQ67" s="10">
        <v>0</v>
      </c>
      <c r="GR67" s="10">
        <v>0</v>
      </c>
      <c r="GS67" s="10">
        <v>0</v>
      </c>
      <c r="GT67" s="10">
        <v>0</v>
      </c>
      <c r="GU67" s="10">
        <v>0</v>
      </c>
      <c r="GV67" s="10">
        <v>0</v>
      </c>
      <c r="GW67" s="10">
        <v>0</v>
      </c>
      <c r="GX67" s="10">
        <v>0</v>
      </c>
      <c r="GY67" s="10">
        <v>0</v>
      </c>
      <c r="GZ67" s="10">
        <v>0</v>
      </c>
      <c r="HA67" s="10">
        <v>0</v>
      </c>
      <c r="HB67" s="10">
        <v>0</v>
      </c>
      <c r="HC67" s="10">
        <v>0</v>
      </c>
      <c r="HD67" s="10">
        <v>0</v>
      </c>
      <c r="HE67" s="10">
        <v>0</v>
      </c>
      <c r="HF67" s="10">
        <v>0</v>
      </c>
      <c r="HG67" s="10">
        <v>0</v>
      </c>
      <c r="HH67" s="10">
        <v>0</v>
      </c>
      <c r="HI67" s="10">
        <v>0</v>
      </c>
      <c r="HJ67" s="10">
        <v>0</v>
      </c>
      <c r="HK67" s="10">
        <v>0</v>
      </c>
      <c r="HL67" s="10">
        <v>0</v>
      </c>
      <c r="HM67" s="10">
        <v>0</v>
      </c>
      <c r="HN67" s="10">
        <v>0</v>
      </c>
      <c r="HO67" s="10">
        <v>0</v>
      </c>
      <c r="HP67" s="10">
        <v>0</v>
      </c>
      <c r="HQ67" s="10">
        <v>0</v>
      </c>
      <c r="HR67" s="10">
        <v>0</v>
      </c>
      <c r="HS67" s="10">
        <v>0</v>
      </c>
      <c r="HT67" s="10">
        <v>0</v>
      </c>
      <c r="HU67" s="10">
        <v>0</v>
      </c>
    </row>
    <row r="68" spans="1:229" x14ac:dyDescent="0.25">
      <c r="A68" s="10">
        <v>0</v>
      </c>
      <c r="B68" s="2" t="s">
        <v>124</v>
      </c>
      <c r="C68" s="2" t="s">
        <v>125</v>
      </c>
      <c r="D68" s="17">
        <v>3.0369999999999999</v>
      </c>
      <c r="E68" s="3">
        <v>1.75</v>
      </c>
      <c r="F68" s="3">
        <v>6.16</v>
      </c>
      <c r="G68" s="3">
        <v>0</v>
      </c>
      <c r="H68" s="3"/>
      <c r="I68" s="3">
        <v>78</v>
      </c>
      <c r="J68" s="3">
        <v>0.17599999999999999</v>
      </c>
      <c r="K68" s="3">
        <v>8.0000000000000002E-3</v>
      </c>
      <c r="L68" s="3"/>
      <c r="M68" s="2" t="str">
        <f t="shared" si="7"/>
        <v>01076</v>
      </c>
      <c r="N68" s="3">
        <v>0.63286320185118283</v>
      </c>
      <c r="O68" s="3">
        <v>1.3671367981488181</v>
      </c>
      <c r="P68" s="17">
        <v>0.63286320185115685</v>
      </c>
      <c r="Q68" s="3">
        <v>2.4594054027871124</v>
      </c>
      <c r="R68" s="3">
        <v>0.82768468749364954</v>
      </c>
      <c r="S68" s="3" t="e">
        <v>#DIV/0!</v>
      </c>
      <c r="T68" s="3" t="e">
        <v>#DIV/0!</v>
      </c>
      <c r="U68" s="3">
        <v>0.63286320185118172</v>
      </c>
      <c r="V68" s="3">
        <v>4.2949942110068928</v>
      </c>
      <c r="W68" s="3">
        <v>15.705848586333271</v>
      </c>
      <c r="X68" s="3">
        <v>1.9220055440219634</v>
      </c>
      <c r="Y68" s="3">
        <v>4.3039594548774467</v>
      </c>
      <c r="Z68" s="3">
        <v>5.0985376749608813</v>
      </c>
      <c r="AA68" s="3">
        <v>0</v>
      </c>
      <c r="AB68" s="3">
        <v>0</v>
      </c>
      <c r="AC68" s="3">
        <v>49.363329744392175</v>
      </c>
      <c r="AD68" s="3">
        <v>0.75591898113721312</v>
      </c>
      <c r="AE68" s="3">
        <v>0.12564678869066617</v>
      </c>
      <c r="AF68" s="3">
        <v>0</v>
      </c>
      <c r="AG68" s="3">
        <v>0</v>
      </c>
      <c r="AH68" s="3">
        <v>0</v>
      </c>
      <c r="AI68" s="10">
        <v>0</v>
      </c>
      <c r="AJ68" s="3">
        <v>0</v>
      </c>
      <c r="AK68" s="3">
        <v>0</v>
      </c>
      <c r="AL68" s="3">
        <v>0</v>
      </c>
      <c r="AM68" s="3">
        <v>0</v>
      </c>
      <c r="AN68" s="10">
        <v>0</v>
      </c>
      <c r="AO68" s="10">
        <v>0</v>
      </c>
      <c r="AP68" s="10">
        <v>0</v>
      </c>
      <c r="AQ68" s="10">
        <v>0</v>
      </c>
      <c r="AR68" s="10">
        <v>0</v>
      </c>
      <c r="AS68" s="10">
        <v>0</v>
      </c>
      <c r="AT68" s="10">
        <v>0</v>
      </c>
      <c r="AU68" s="10">
        <v>0</v>
      </c>
      <c r="AV68" s="10">
        <v>0</v>
      </c>
      <c r="AW68" s="3">
        <v>0</v>
      </c>
      <c r="AX68" s="3">
        <v>0</v>
      </c>
      <c r="AY68" s="3">
        <v>0</v>
      </c>
      <c r="AZ68" s="3">
        <v>0</v>
      </c>
      <c r="BA68" s="10">
        <v>0</v>
      </c>
      <c r="BB68" s="10">
        <v>0</v>
      </c>
      <c r="BC68" s="10">
        <v>0</v>
      </c>
      <c r="BD68" s="10">
        <v>0</v>
      </c>
      <c r="BE68" s="10">
        <v>0</v>
      </c>
      <c r="BF68" s="10">
        <v>0</v>
      </c>
      <c r="BG68" s="10">
        <v>0</v>
      </c>
      <c r="BH68" s="10">
        <v>0</v>
      </c>
      <c r="BI68" s="10">
        <v>0</v>
      </c>
      <c r="BJ68" s="10">
        <v>0</v>
      </c>
      <c r="BK68" s="10">
        <v>0</v>
      </c>
      <c r="BL68" s="10">
        <v>0</v>
      </c>
      <c r="BM68" s="10">
        <v>0</v>
      </c>
      <c r="BN68" s="10">
        <v>0</v>
      </c>
      <c r="BO68" s="10">
        <v>0</v>
      </c>
      <c r="BP68" s="10">
        <v>0</v>
      </c>
      <c r="BQ68" s="10">
        <v>0</v>
      </c>
      <c r="BR68" s="10">
        <v>0</v>
      </c>
      <c r="BS68" s="10">
        <v>0</v>
      </c>
      <c r="BT68" s="10">
        <v>0</v>
      </c>
      <c r="BU68" s="10">
        <v>0</v>
      </c>
      <c r="BV68" s="10">
        <v>0</v>
      </c>
      <c r="BW68" s="10">
        <v>0</v>
      </c>
      <c r="BX68" s="10">
        <v>0</v>
      </c>
      <c r="BY68" s="10">
        <v>0</v>
      </c>
      <c r="BZ68" s="10">
        <v>0</v>
      </c>
      <c r="CA68" s="10">
        <v>0</v>
      </c>
      <c r="CB68" s="10">
        <v>0</v>
      </c>
      <c r="CC68" s="10">
        <v>0</v>
      </c>
      <c r="CD68" s="10">
        <v>0</v>
      </c>
      <c r="CE68" s="10">
        <v>0</v>
      </c>
      <c r="CF68" s="10">
        <v>0</v>
      </c>
      <c r="CG68" s="10">
        <v>0</v>
      </c>
      <c r="CH68" s="10">
        <v>0</v>
      </c>
      <c r="CI68" s="10">
        <v>0</v>
      </c>
      <c r="CJ68" s="10">
        <v>0</v>
      </c>
      <c r="CK68" s="10">
        <v>0</v>
      </c>
      <c r="CL68" s="10">
        <v>0</v>
      </c>
      <c r="CM68" s="10">
        <v>0</v>
      </c>
      <c r="CN68" s="10">
        <v>0.67041621804902141</v>
      </c>
      <c r="CO68" s="10">
        <v>0</v>
      </c>
      <c r="CP68" s="10">
        <v>0</v>
      </c>
      <c r="CQ68" s="10">
        <v>0</v>
      </c>
      <c r="CR68" s="10">
        <v>0</v>
      </c>
      <c r="CS68" s="10">
        <v>0</v>
      </c>
      <c r="CT68" s="10">
        <v>0</v>
      </c>
      <c r="CU68" s="10">
        <v>0</v>
      </c>
      <c r="CV68" s="10">
        <v>0</v>
      </c>
      <c r="CW68" s="10">
        <v>0</v>
      </c>
      <c r="CX68" s="10">
        <v>0</v>
      </c>
      <c r="CY68" s="10">
        <v>0</v>
      </c>
      <c r="CZ68" s="10">
        <v>0</v>
      </c>
      <c r="DA68" s="10">
        <v>0</v>
      </c>
      <c r="DB68" s="10">
        <v>0</v>
      </c>
      <c r="DC68" s="10">
        <v>0</v>
      </c>
      <c r="DD68" s="10">
        <v>0</v>
      </c>
      <c r="DE68" s="10">
        <v>0</v>
      </c>
      <c r="DF68" s="10">
        <v>0.32958378195097859</v>
      </c>
      <c r="DG68" s="10">
        <v>0</v>
      </c>
      <c r="DH68" s="10">
        <v>0</v>
      </c>
      <c r="DI68" s="10">
        <v>0</v>
      </c>
      <c r="DJ68" s="10">
        <v>0</v>
      </c>
      <c r="DK68" s="10">
        <v>0</v>
      </c>
      <c r="DL68" s="10">
        <v>0</v>
      </c>
      <c r="DM68" s="10">
        <v>0</v>
      </c>
      <c r="DN68" s="10">
        <v>0</v>
      </c>
      <c r="DO68" s="10">
        <v>0</v>
      </c>
      <c r="DP68" s="10">
        <v>0</v>
      </c>
      <c r="DQ68" s="10">
        <v>0</v>
      </c>
      <c r="DR68" s="10">
        <v>0</v>
      </c>
      <c r="DS68" s="10">
        <v>0</v>
      </c>
      <c r="DT68" s="10">
        <v>0</v>
      </c>
      <c r="DU68" s="10">
        <v>0</v>
      </c>
      <c r="DV68" s="10">
        <v>0</v>
      </c>
      <c r="DW68" s="10">
        <v>0</v>
      </c>
      <c r="DX68" s="10">
        <v>0</v>
      </c>
      <c r="DY68" s="10">
        <v>0</v>
      </c>
      <c r="DZ68" s="10">
        <v>0</v>
      </c>
      <c r="EA68" s="10">
        <v>0</v>
      </c>
      <c r="EB68" s="10">
        <v>0</v>
      </c>
      <c r="EC68" s="10">
        <v>0</v>
      </c>
      <c r="ED68" s="10">
        <v>0</v>
      </c>
      <c r="EE68" s="10">
        <v>0</v>
      </c>
      <c r="EF68" s="10">
        <v>0</v>
      </c>
      <c r="EG68" s="10">
        <v>0</v>
      </c>
      <c r="EH68" s="10">
        <v>0</v>
      </c>
      <c r="EI68" s="10">
        <v>0</v>
      </c>
      <c r="EJ68" s="10">
        <v>0</v>
      </c>
      <c r="EK68" s="10">
        <v>0</v>
      </c>
      <c r="EL68" s="10">
        <v>0</v>
      </c>
      <c r="EM68" s="10">
        <v>0</v>
      </c>
      <c r="EN68" s="10">
        <v>0</v>
      </c>
      <c r="EO68" s="10">
        <v>0</v>
      </c>
      <c r="EP68" s="10">
        <v>0</v>
      </c>
      <c r="EQ68" s="10">
        <v>0</v>
      </c>
      <c r="ER68" s="10">
        <v>0</v>
      </c>
      <c r="ES68" s="10">
        <v>0</v>
      </c>
      <c r="ET68" s="10">
        <v>0</v>
      </c>
      <c r="EU68" s="10">
        <v>0</v>
      </c>
      <c r="EV68" s="10">
        <v>0</v>
      </c>
      <c r="EW68" s="10">
        <v>0</v>
      </c>
      <c r="EX68" s="10">
        <v>0</v>
      </c>
      <c r="EY68" s="10">
        <v>0</v>
      </c>
      <c r="EZ68" s="10">
        <v>0</v>
      </c>
      <c r="FA68" s="10">
        <v>0</v>
      </c>
      <c r="FB68" s="10">
        <v>0</v>
      </c>
      <c r="FC68" s="10">
        <v>0</v>
      </c>
      <c r="FD68" s="10">
        <v>0</v>
      </c>
      <c r="FE68" s="10">
        <v>0</v>
      </c>
      <c r="FF68" s="10">
        <v>0</v>
      </c>
      <c r="FG68" s="10">
        <v>0</v>
      </c>
      <c r="FH68" s="10">
        <v>0</v>
      </c>
      <c r="FI68" s="10">
        <v>0</v>
      </c>
      <c r="FJ68" s="10">
        <v>0</v>
      </c>
      <c r="FK68" s="10">
        <v>0</v>
      </c>
      <c r="FL68" s="10">
        <v>0</v>
      </c>
      <c r="FM68" s="10">
        <v>0</v>
      </c>
      <c r="FN68" s="10">
        <v>0</v>
      </c>
      <c r="FO68" s="10">
        <v>0</v>
      </c>
      <c r="FP68" s="10">
        <v>0</v>
      </c>
      <c r="FQ68" s="10">
        <v>0</v>
      </c>
      <c r="FR68" s="10">
        <v>0</v>
      </c>
      <c r="FS68" s="10">
        <v>0</v>
      </c>
      <c r="FT68" s="10">
        <v>0</v>
      </c>
      <c r="FU68" s="10">
        <v>0</v>
      </c>
      <c r="FV68" s="10">
        <v>0</v>
      </c>
      <c r="FW68" s="10">
        <v>0</v>
      </c>
      <c r="FX68" s="10">
        <v>0</v>
      </c>
      <c r="FY68" s="10">
        <v>0</v>
      </c>
      <c r="FZ68" s="10">
        <v>0</v>
      </c>
      <c r="GA68" s="10">
        <v>0</v>
      </c>
      <c r="GB68" s="10">
        <v>0</v>
      </c>
      <c r="GC68" s="10">
        <v>0</v>
      </c>
      <c r="GD68" s="10">
        <v>0</v>
      </c>
      <c r="GE68" s="10">
        <v>0</v>
      </c>
      <c r="GF68" s="10">
        <v>0</v>
      </c>
      <c r="GG68" s="10">
        <v>0</v>
      </c>
      <c r="GH68" s="10">
        <v>0</v>
      </c>
      <c r="GI68" s="10">
        <v>0</v>
      </c>
      <c r="GJ68" s="10">
        <v>0</v>
      </c>
      <c r="GK68" s="10">
        <v>0</v>
      </c>
      <c r="GL68" s="10">
        <v>0</v>
      </c>
      <c r="GM68" s="10">
        <v>0</v>
      </c>
      <c r="GN68" s="10">
        <v>0</v>
      </c>
      <c r="GO68" s="10">
        <v>0</v>
      </c>
      <c r="GP68" s="10">
        <v>0</v>
      </c>
      <c r="GQ68" s="10">
        <v>0</v>
      </c>
      <c r="GR68" s="10">
        <v>0</v>
      </c>
      <c r="GS68" s="10">
        <v>0</v>
      </c>
      <c r="GT68" s="10">
        <v>0</v>
      </c>
      <c r="GU68" s="10">
        <v>0</v>
      </c>
      <c r="GV68" s="10">
        <v>0</v>
      </c>
      <c r="GW68" s="10">
        <v>0</v>
      </c>
      <c r="GX68" s="10">
        <v>0</v>
      </c>
      <c r="GY68" s="10">
        <v>0</v>
      </c>
      <c r="GZ68" s="10">
        <v>0</v>
      </c>
      <c r="HA68" s="10">
        <v>0</v>
      </c>
      <c r="HB68" s="10">
        <v>0</v>
      </c>
      <c r="HC68" s="10">
        <v>0</v>
      </c>
      <c r="HD68" s="10">
        <v>0</v>
      </c>
      <c r="HE68" s="10">
        <v>0</v>
      </c>
      <c r="HF68" s="10">
        <v>0</v>
      </c>
      <c r="HG68" s="10">
        <v>0</v>
      </c>
      <c r="HH68" s="10">
        <v>0</v>
      </c>
      <c r="HI68" s="10">
        <v>0</v>
      </c>
      <c r="HJ68" s="10">
        <v>0</v>
      </c>
      <c r="HK68" s="10">
        <v>0</v>
      </c>
      <c r="HL68" s="10">
        <v>0</v>
      </c>
      <c r="HM68" s="10">
        <v>0</v>
      </c>
      <c r="HN68" s="10">
        <v>0</v>
      </c>
      <c r="HO68" s="10">
        <v>0</v>
      </c>
      <c r="HP68" s="10">
        <v>0</v>
      </c>
      <c r="HQ68" s="10">
        <v>0</v>
      </c>
      <c r="HR68" s="10">
        <v>0</v>
      </c>
      <c r="HS68" s="10">
        <v>0</v>
      </c>
      <c r="HT68" s="10">
        <v>0</v>
      </c>
      <c r="HU68" s="10">
        <v>0</v>
      </c>
    </row>
    <row r="69" spans="1:229" x14ac:dyDescent="0.25">
      <c r="A69" s="10">
        <v>0</v>
      </c>
      <c r="B69" s="2" t="s">
        <v>126</v>
      </c>
      <c r="C69" s="2" t="s">
        <v>127</v>
      </c>
      <c r="D69" s="17">
        <v>1.1950000000000001</v>
      </c>
      <c r="E69" s="3">
        <v>3.48</v>
      </c>
      <c r="F69" s="3">
        <v>4.97</v>
      </c>
      <c r="G69" s="3">
        <v>0</v>
      </c>
      <c r="H69" s="8"/>
      <c r="I69" s="3">
        <v>52</v>
      </c>
      <c r="J69" s="3">
        <v>0.55500000000000005</v>
      </c>
      <c r="K69" s="3">
        <v>7.0999999999999994E-2</v>
      </c>
      <c r="L69" s="3"/>
      <c r="M69" s="2" t="str">
        <f t="shared" si="7"/>
        <v>01080</v>
      </c>
      <c r="N69" s="3">
        <v>0.98354358028154276</v>
      </c>
      <c r="O69" s="3">
        <v>1.0164564197184569</v>
      </c>
      <c r="P69" s="17">
        <v>0.98354358028148026</v>
      </c>
      <c r="Q69" s="3">
        <v>1.0987242811556523</v>
      </c>
      <c r="R69" s="3">
        <v>1.0085429065654934</v>
      </c>
      <c r="S69" s="3" t="e">
        <v>#DIV/0!</v>
      </c>
      <c r="T69" s="3" t="e">
        <v>#DIV/0!</v>
      </c>
      <c r="U69" s="3">
        <v>0.98354358028154298</v>
      </c>
      <c r="V69" s="3">
        <v>1.016456419718476</v>
      </c>
      <c r="W69" s="3">
        <v>1.5880107522076707</v>
      </c>
      <c r="X69" s="3">
        <v>1.1753345784363689</v>
      </c>
      <c r="Y69" s="3">
        <v>3.8235604984216698</v>
      </c>
      <c r="Z69" s="3">
        <v>5.0124582456305022</v>
      </c>
      <c r="AA69" s="3">
        <v>0</v>
      </c>
      <c r="AB69" s="3">
        <v>0</v>
      </c>
      <c r="AC69" s="3">
        <v>51.144266174640236</v>
      </c>
      <c r="AD69" s="3">
        <v>0.56413331294375424</v>
      </c>
      <c r="AE69" s="3">
        <v>0.11274876340674461</v>
      </c>
      <c r="AF69" s="3">
        <v>0</v>
      </c>
      <c r="AG69" s="3">
        <v>0</v>
      </c>
      <c r="AH69" s="3">
        <v>0</v>
      </c>
      <c r="AI69" s="3">
        <v>0</v>
      </c>
      <c r="AJ69" s="3">
        <v>0</v>
      </c>
      <c r="AK69" s="3">
        <v>0</v>
      </c>
      <c r="AL69" s="3">
        <v>0</v>
      </c>
      <c r="AM69" s="3">
        <v>0</v>
      </c>
      <c r="AN69" s="3">
        <v>0</v>
      </c>
      <c r="AO69" s="3">
        <v>0</v>
      </c>
      <c r="AP69" s="3">
        <v>0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3">
        <v>0</v>
      </c>
      <c r="AW69" s="3">
        <v>0</v>
      </c>
      <c r="AX69" s="3">
        <v>0</v>
      </c>
      <c r="AY69" s="3">
        <v>0</v>
      </c>
      <c r="AZ69" s="3">
        <v>0</v>
      </c>
      <c r="BA69" s="10">
        <v>0</v>
      </c>
      <c r="BB69" s="10">
        <v>0</v>
      </c>
      <c r="BC69" s="10">
        <v>0</v>
      </c>
      <c r="BD69" s="10">
        <v>0</v>
      </c>
      <c r="BE69" s="10">
        <v>0</v>
      </c>
      <c r="BF69" s="10">
        <v>0</v>
      </c>
      <c r="BG69" s="10">
        <v>0</v>
      </c>
      <c r="BH69" s="10">
        <v>0</v>
      </c>
      <c r="BI69" s="10">
        <v>0</v>
      </c>
      <c r="BJ69" s="10">
        <v>0</v>
      </c>
      <c r="BK69" s="10">
        <v>0</v>
      </c>
      <c r="BL69" s="10">
        <v>0</v>
      </c>
      <c r="BM69" s="10">
        <v>0</v>
      </c>
      <c r="BN69" s="10">
        <v>0</v>
      </c>
      <c r="BO69" s="10">
        <v>0</v>
      </c>
      <c r="BP69" s="10">
        <v>0</v>
      </c>
      <c r="BQ69" s="10">
        <v>0</v>
      </c>
      <c r="BR69" s="10">
        <v>0</v>
      </c>
      <c r="BS69" s="10">
        <v>0</v>
      </c>
      <c r="BT69" s="10">
        <v>0</v>
      </c>
      <c r="BU69" s="10">
        <v>0</v>
      </c>
      <c r="BV69" s="10">
        <v>0</v>
      </c>
      <c r="BW69" s="10">
        <v>0</v>
      </c>
      <c r="BX69" s="10">
        <v>0</v>
      </c>
      <c r="BY69" s="10">
        <v>0</v>
      </c>
      <c r="BZ69" s="10">
        <v>0</v>
      </c>
      <c r="CA69" s="10">
        <v>5.3907028670263687E-2</v>
      </c>
      <c r="CB69" s="10">
        <v>0</v>
      </c>
      <c r="CC69" s="10">
        <v>0</v>
      </c>
      <c r="CD69" s="10">
        <v>0</v>
      </c>
      <c r="CE69" s="10">
        <v>0</v>
      </c>
      <c r="CF69" s="10">
        <v>0</v>
      </c>
      <c r="CG69" s="10">
        <v>0</v>
      </c>
      <c r="CH69" s="10">
        <v>0</v>
      </c>
      <c r="CI69" s="10">
        <v>0</v>
      </c>
      <c r="CJ69" s="10">
        <v>0</v>
      </c>
      <c r="CK69" s="10">
        <v>0</v>
      </c>
      <c r="CL69" s="10">
        <v>0</v>
      </c>
      <c r="CM69" s="10">
        <v>0</v>
      </c>
      <c r="CN69" s="10">
        <v>0.80543435024085253</v>
      </c>
      <c r="CO69" s="10">
        <v>0</v>
      </c>
      <c r="CP69" s="10">
        <v>0</v>
      </c>
      <c r="CQ69" s="10">
        <v>0</v>
      </c>
      <c r="CR69" s="10">
        <v>0</v>
      </c>
      <c r="CS69" s="10">
        <v>0</v>
      </c>
      <c r="CT69" s="10">
        <v>0</v>
      </c>
      <c r="CU69" s="10">
        <v>0</v>
      </c>
      <c r="CV69" s="10">
        <v>0</v>
      </c>
      <c r="CW69" s="10">
        <v>0</v>
      </c>
      <c r="CX69" s="10">
        <v>0</v>
      </c>
      <c r="CY69" s="10">
        <v>0</v>
      </c>
      <c r="CZ69" s="10">
        <v>0</v>
      </c>
      <c r="DA69" s="10">
        <v>0</v>
      </c>
      <c r="DB69" s="10">
        <v>0</v>
      </c>
      <c r="DC69" s="10">
        <v>0</v>
      </c>
      <c r="DD69" s="10">
        <v>0</v>
      </c>
      <c r="DE69" s="10">
        <v>0</v>
      </c>
      <c r="DF69" s="10">
        <v>0.14065862108888366</v>
      </c>
      <c r="DG69" s="10">
        <v>0</v>
      </c>
      <c r="DH69" s="10">
        <v>0</v>
      </c>
      <c r="DI69" s="10">
        <v>0</v>
      </c>
      <c r="DJ69" s="10">
        <v>0</v>
      </c>
      <c r="DK69" s="10">
        <v>0</v>
      </c>
      <c r="DL69" s="10">
        <v>0</v>
      </c>
      <c r="DM69" s="10">
        <v>0</v>
      </c>
      <c r="DN69" s="10">
        <v>0</v>
      </c>
      <c r="DO69" s="10">
        <v>0</v>
      </c>
      <c r="DP69" s="10">
        <v>0</v>
      </c>
      <c r="DQ69" s="10">
        <v>0</v>
      </c>
      <c r="DR69" s="10">
        <v>0</v>
      </c>
      <c r="DS69" s="10">
        <v>0</v>
      </c>
      <c r="DT69" s="10">
        <v>0</v>
      </c>
      <c r="DU69" s="10">
        <v>0</v>
      </c>
      <c r="DV69" s="10">
        <v>0</v>
      </c>
      <c r="DW69" s="10">
        <v>0</v>
      </c>
      <c r="DX69" s="10">
        <v>0</v>
      </c>
      <c r="DY69" s="10">
        <v>0</v>
      </c>
      <c r="DZ69" s="10">
        <v>0</v>
      </c>
      <c r="EA69" s="10">
        <v>0</v>
      </c>
      <c r="EB69" s="10">
        <v>0</v>
      </c>
      <c r="EC69" s="10">
        <v>0</v>
      </c>
      <c r="ED69" s="10">
        <v>0</v>
      </c>
      <c r="EE69" s="10">
        <v>0</v>
      </c>
      <c r="EF69" s="10">
        <v>0</v>
      </c>
      <c r="EG69" s="10">
        <v>0</v>
      </c>
      <c r="EH69" s="10">
        <v>0</v>
      </c>
      <c r="EI69" s="10">
        <v>0</v>
      </c>
      <c r="EJ69" s="10">
        <v>0</v>
      </c>
      <c r="EK69" s="10">
        <v>0</v>
      </c>
      <c r="EL69" s="10">
        <v>0</v>
      </c>
      <c r="EM69" s="10">
        <v>0</v>
      </c>
      <c r="EN69" s="10">
        <v>0</v>
      </c>
      <c r="EO69" s="10">
        <v>0</v>
      </c>
      <c r="EP69" s="10">
        <v>0</v>
      </c>
      <c r="EQ69" s="10">
        <v>0</v>
      </c>
      <c r="ER69" s="10">
        <v>0</v>
      </c>
      <c r="ES69" s="10">
        <v>0</v>
      </c>
      <c r="ET69" s="10">
        <v>0</v>
      </c>
      <c r="EU69" s="10">
        <v>0</v>
      </c>
      <c r="EV69" s="10">
        <v>0</v>
      </c>
      <c r="EW69" s="10">
        <v>0</v>
      </c>
      <c r="EX69" s="10">
        <v>0</v>
      </c>
      <c r="EY69" s="10">
        <v>0</v>
      </c>
      <c r="EZ69" s="10">
        <v>0</v>
      </c>
      <c r="FA69" s="10">
        <v>0</v>
      </c>
      <c r="FB69" s="10">
        <v>0</v>
      </c>
      <c r="FC69" s="10">
        <v>0</v>
      </c>
      <c r="FD69" s="10">
        <v>0</v>
      </c>
      <c r="FE69" s="10">
        <v>0</v>
      </c>
      <c r="FF69" s="10">
        <v>0</v>
      </c>
      <c r="FG69" s="10">
        <v>0</v>
      </c>
      <c r="FH69" s="10">
        <v>0</v>
      </c>
      <c r="FI69" s="10">
        <v>0</v>
      </c>
      <c r="FJ69" s="10">
        <v>0</v>
      </c>
      <c r="FK69" s="10">
        <v>0</v>
      </c>
      <c r="FL69" s="10">
        <v>0</v>
      </c>
      <c r="FM69" s="10">
        <v>0</v>
      </c>
      <c r="FN69" s="10">
        <v>0</v>
      </c>
      <c r="FO69" s="10">
        <v>0</v>
      </c>
      <c r="FP69" s="10">
        <v>0</v>
      </c>
      <c r="FQ69" s="10">
        <v>0</v>
      </c>
      <c r="FR69" s="10">
        <v>0</v>
      </c>
      <c r="FS69" s="10">
        <v>0</v>
      </c>
      <c r="FT69" s="10">
        <v>0</v>
      </c>
      <c r="FU69" s="10">
        <v>0</v>
      </c>
      <c r="FV69" s="10">
        <v>0</v>
      </c>
      <c r="FW69" s="10">
        <v>0</v>
      </c>
      <c r="FX69" s="10">
        <v>0</v>
      </c>
      <c r="FY69" s="10">
        <v>0</v>
      </c>
      <c r="FZ69" s="10">
        <v>0</v>
      </c>
      <c r="GA69" s="10">
        <v>0</v>
      </c>
      <c r="GB69" s="10">
        <v>0</v>
      </c>
      <c r="GC69" s="10">
        <v>0</v>
      </c>
      <c r="GD69" s="10">
        <v>0</v>
      </c>
      <c r="GE69" s="10">
        <v>0</v>
      </c>
      <c r="GF69" s="10">
        <v>0</v>
      </c>
      <c r="GG69" s="10">
        <v>0</v>
      </c>
      <c r="GH69" s="10">
        <v>0</v>
      </c>
      <c r="GI69" s="10">
        <v>0</v>
      </c>
      <c r="GJ69" s="10">
        <v>0</v>
      </c>
      <c r="GK69" s="10">
        <v>0</v>
      </c>
      <c r="GL69" s="10">
        <v>0</v>
      </c>
      <c r="GM69" s="10">
        <v>0</v>
      </c>
      <c r="GN69" s="10">
        <v>0</v>
      </c>
      <c r="GO69" s="10">
        <v>0</v>
      </c>
      <c r="GP69" s="10">
        <v>0</v>
      </c>
      <c r="GQ69" s="10">
        <v>0</v>
      </c>
      <c r="GR69" s="10">
        <v>0</v>
      </c>
      <c r="GS69" s="10">
        <v>0</v>
      </c>
      <c r="GT69" s="10">
        <v>0</v>
      </c>
      <c r="GU69" s="10">
        <v>0</v>
      </c>
      <c r="GV69" s="10">
        <v>0</v>
      </c>
      <c r="GW69" s="10">
        <v>0</v>
      </c>
      <c r="GX69" s="10">
        <v>0</v>
      </c>
      <c r="GY69" s="10">
        <v>0</v>
      </c>
      <c r="GZ69" s="10">
        <v>0</v>
      </c>
      <c r="HA69" s="10">
        <v>0</v>
      </c>
      <c r="HB69" s="10">
        <v>0</v>
      </c>
      <c r="HC69" s="10">
        <v>0</v>
      </c>
      <c r="HD69" s="10">
        <v>0</v>
      </c>
      <c r="HE69" s="10">
        <v>0</v>
      </c>
      <c r="HF69" s="10">
        <v>0</v>
      </c>
      <c r="HG69" s="10">
        <v>0</v>
      </c>
      <c r="HH69" s="10">
        <v>0</v>
      </c>
      <c r="HI69" s="10">
        <v>0</v>
      </c>
      <c r="HJ69" s="10">
        <v>0</v>
      </c>
      <c r="HK69" s="10">
        <v>0</v>
      </c>
      <c r="HL69" s="10">
        <v>0</v>
      </c>
      <c r="HM69" s="10">
        <v>0</v>
      </c>
      <c r="HN69" s="10">
        <v>0</v>
      </c>
      <c r="HO69" s="10">
        <v>0</v>
      </c>
      <c r="HP69" s="10">
        <v>0</v>
      </c>
      <c r="HQ69" s="10">
        <v>0</v>
      </c>
      <c r="HR69" s="10">
        <v>0</v>
      </c>
      <c r="HS69" s="10">
        <v>0</v>
      </c>
      <c r="HT69" s="10">
        <v>0</v>
      </c>
      <c r="HU69" s="10">
        <v>0</v>
      </c>
    </row>
    <row r="70" spans="1:229" x14ac:dyDescent="0.25">
      <c r="A70" s="10">
        <v>0</v>
      </c>
      <c r="B70" s="2" t="s">
        <v>128</v>
      </c>
      <c r="C70" s="2" t="s">
        <v>129</v>
      </c>
      <c r="D70" s="17">
        <v>1.232</v>
      </c>
      <c r="E70" s="3">
        <v>3.95</v>
      </c>
      <c r="F70" s="3">
        <v>5.49</v>
      </c>
      <c r="G70" s="3">
        <v>0</v>
      </c>
      <c r="H70" s="3">
        <v>5.26</v>
      </c>
      <c r="I70" s="3">
        <v>59</v>
      </c>
      <c r="J70" s="3">
        <v>0.57199999999999995</v>
      </c>
      <c r="K70" s="3">
        <v>7.3999999999999996E-2</v>
      </c>
      <c r="L70" s="3"/>
      <c r="M70" s="2" t="str">
        <f t="shared" si="7"/>
        <v>01081</v>
      </c>
      <c r="N70" s="3">
        <v>0.59946480507813382</v>
      </c>
      <c r="O70" s="3">
        <v>1.4005351949218661</v>
      </c>
      <c r="P70" s="17">
        <v>0.59946480507817212</v>
      </c>
      <c r="Q70" s="3">
        <v>1.6479966764750384</v>
      </c>
      <c r="R70" s="3">
        <v>0.8149633353389204</v>
      </c>
      <c r="S70" s="3" t="e">
        <v>#DIV/0!</v>
      </c>
      <c r="T70" s="3">
        <v>0.59946480507813271</v>
      </c>
      <c r="U70" s="3">
        <v>0.59946480507813382</v>
      </c>
      <c r="V70" s="10">
        <v>1.4005351949216844</v>
      </c>
      <c r="W70" s="3">
        <v>3.7341338551408949</v>
      </c>
      <c r="X70" s="3">
        <v>0.73854063985630802</v>
      </c>
      <c r="Y70" s="3">
        <v>6.5095868720764019</v>
      </c>
      <c r="Z70" s="3">
        <v>4.474148711010673</v>
      </c>
      <c r="AA70" s="3">
        <v>0</v>
      </c>
      <c r="AB70" s="3">
        <v>3.1531848747109779</v>
      </c>
      <c r="AC70" s="10">
        <v>35.368423499609897</v>
      </c>
      <c r="AD70" s="3">
        <v>0.80110613149520338</v>
      </c>
      <c r="AE70" s="3">
        <v>0.27632590528042622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  <c r="AX70" s="3">
        <v>0</v>
      </c>
      <c r="AY70" s="3">
        <v>0</v>
      </c>
      <c r="AZ70" s="3">
        <v>0</v>
      </c>
      <c r="BA70" s="10">
        <v>0</v>
      </c>
      <c r="BB70" s="10">
        <v>0</v>
      </c>
      <c r="BC70" s="10">
        <v>0</v>
      </c>
      <c r="BD70" s="10">
        <v>0</v>
      </c>
      <c r="BE70" s="10">
        <v>0</v>
      </c>
      <c r="BF70" s="10">
        <v>0</v>
      </c>
      <c r="BG70" s="10">
        <v>0</v>
      </c>
      <c r="BH70" s="10">
        <v>0</v>
      </c>
      <c r="BI70" s="10">
        <v>0</v>
      </c>
      <c r="BJ70" s="10">
        <v>0</v>
      </c>
      <c r="BK70" s="10">
        <v>0</v>
      </c>
      <c r="BL70" s="10">
        <v>0</v>
      </c>
      <c r="BM70" s="10">
        <v>0</v>
      </c>
      <c r="BN70" s="10">
        <v>0</v>
      </c>
      <c r="BO70" s="10">
        <v>0</v>
      </c>
      <c r="BP70" s="10">
        <v>0</v>
      </c>
      <c r="BQ70" s="10">
        <v>0</v>
      </c>
      <c r="BR70" s="10">
        <v>0</v>
      </c>
      <c r="BS70" s="10">
        <v>0</v>
      </c>
      <c r="BT70" s="10">
        <v>0</v>
      </c>
      <c r="BU70" s="10">
        <v>0</v>
      </c>
      <c r="BV70" s="10">
        <v>0</v>
      </c>
      <c r="BW70" s="10">
        <v>0</v>
      </c>
      <c r="BX70" s="10">
        <v>0</v>
      </c>
      <c r="BY70" s="10">
        <v>0</v>
      </c>
      <c r="BZ70" s="10">
        <v>0</v>
      </c>
      <c r="CA70" s="10">
        <v>0.23914596291418588</v>
      </c>
      <c r="CB70" s="10">
        <v>0</v>
      </c>
      <c r="CC70" s="10">
        <v>0</v>
      </c>
      <c r="CD70" s="10">
        <v>0</v>
      </c>
      <c r="CE70" s="10">
        <v>0</v>
      </c>
      <c r="CF70" s="10">
        <v>0</v>
      </c>
      <c r="CG70" s="10">
        <v>0</v>
      </c>
      <c r="CH70" s="10">
        <v>0</v>
      </c>
      <c r="CI70" s="10">
        <v>0</v>
      </c>
      <c r="CJ70" s="10">
        <v>0</v>
      </c>
      <c r="CK70" s="10">
        <v>0</v>
      </c>
      <c r="CL70" s="10">
        <v>0</v>
      </c>
      <c r="CM70" s="10">
        <v>0</v>
      </c>
      <c r="CN70" s="10">
        <v>0</v>
      </c>
      <c r="CO70" s="10">
        <v>0</v>
      </c>
      <c r="CP70" s="10">
        <v>0</v>
      </c>
      <c r="CQ70" s="10">
        <v>0</v>
      </c>
      <c r="CR70" s="10">
        <v>0</v>
      </c>
      <c r="CS70" s="10">
        <v>7.7757316616535205E-2</v>
      </c>
      <c r="CT70" s="10">
        <v>0</v>
      </c>
      <c r="CU70" s="10">
        <v>0</v>
      </c>
      <c r="CV70" s="10">
        <v>0</v>
      </c>
      <c r="CW70" s="10">
        <v>0</v>
      </c>
      <c r="CX70" s="10">
        <v>0</v>
      </c>
      <c r="CY70" s="10">
        <v>0</v>
      </c>
      <c r="CZ70" s="10">
        <v>0</v>
      </c>
      <c r="DA70" s="10">
        <v>0</v>
      </c>
      <c r="DB70" s="10">
        <v>0</v>
      </c>
      <c r="DC70" s="10">
        <v>0</v>
      </c>
      <c r="DD70" s="10">
        <v>0.16250790911801838</v>
      </c>
      <c r="DE70" s="10">
        <v>0</v>
      </c>
      <c r="DF70" s="10">
        <v>0</v>
      </c>
      <c r="DG70" s="10">
        <v>0</v>
      </c>
      <c r="DH70" s="10">
        <v>0</v>
      </c>
      <c r="DI70" s="10">
        <v>0</v>
      </c>
      <c r="DJ70" s="10">
        <v>0</v>
      </c>
      <c r="DK70" s="10">
        <v>0</v>
      </c>
      <c r="DL70" s="10">
        <v>0</v>
      </c>
      <c r="DM70" s="10">
        <v>0</v>
      </c>
      <c r="DN70" s="10">
        <v>0</v>
      </c>
      <c r="DO70" s="10">
        <v>0</v>
      </c>
      <c r="DP70" s="10">
        <v>0</v>
      </c>
      <c r="DQ70" s="10">
        <v>0</v>
      </c>
      <c r="DR70" s="10">
        <v>0</v>
      </c>
      <c r="DS70" s="10">
        <v>0</v>
      </c>
      <c r="DT70" s="10">
        <v>0</v>
      </c>
      <c r="DU70" s="10">
        <v>0</v>
      </c>
      <c r="DV70" s="10">
        <v>0</v>
      </c>
      <c r="DW70" s="10">
        <v>0</v>
      </c>
      <c r="DX70" s="10">
        <v>0</v>
      </c>
      <c r="DY70" s="10">
        <v>0</v>
      </c>
      <c r="DZ70" s="10">
        <v>0</v>
      </c>
      <c r="EA70" s="10">
        <v>0</v>
      </c>
      <c r="EB70" s="10">
        <v>0</v>
      </c>
      <c r="EC70" s="10">
        <v>0</v>
      </c>
      <c r="ED70" s="10">
        <v>0</v>
      </c>
      <c r="EE70" s="10">
        <v>0</v>
      </c>
      <c r="EF70" s="10">
        <v>0</v>
      </c>
      <c r="EG70" s="10">
        <v>0</v>
      </c>
      <c r="EH70" s="10">
        <v>0</v>
      </c>
      <c r="EI70" s="10">
        <v>0</v>
      </c>
      <c r="EJ70" s="10">
        <v>0</v>
      </c>
      <c r="EK70" s="10">
        <v>0</v>
      </c>
      <c r="EL70" s="10">
        <v>0</v>
      </c>
      <c r="EM70" s="10">
        <v>0</v>
      </c>
      <c r="EN70" s="10">
        <v>0</v>
      </c>
      <c r="EO70" s="10">
        <v>0</v>
      </c>
      <c r="EP70" s="10">
        <v>0</v>
      </c>
      <c r="EQ70" s="10">
        <v>0</v>
      </c>
      <c r="ER70" s="10">
        <v>0</v>
      </c>
      <c r="ES70" s="10">
        <v>0</v>
      </c>
      <c r="ET70" s="10">
        <v>0</v>
      </c>
      <c r="EU70" s="10">
        <v>0</v>
      </c>
      <c r="EV70" s="10">
        <v>0</v>
      </c>
      <c r="EW70" s="10">
        <v>0</v>
      </c>
      <c r="EX70" s="10">
        <v>0</v>
      </c>
      <c r="EY70" s="10">
        <v>0</v>
      </c>
      <c r="EZ70" s="10">
        <v>0</v>
      </c>
      <c r="FA70" s="10">
        <v>0</v>
      </c>
      <c r="FB70" s="10">
        <v>0</v>
      </c>
      <c r="FC70" s="10">
        <v>0</v>
      </c>
      <c r="FD70" s="10">
        <v>0</v>
      </c>
      <c r="FE70" s="10">
        <v>0</v>
      </c>
      <c r="FF70" s="10">
        <v>0</v>
      </c>
      <c r="FG70" s="10">
        <v>0</v>
      </c>
      <c r="FH70" s="10">
        <v>0</v>
      </c>
      <c r="FI70" s="10">
        <v>0</v>
      </c>
      <c r="FJ70" s="10">
        <v>0</v>
      </c>
      <c r="FK70" s="10">
        <v>0</v>
      </c>
      <c r="FL70" s="10">
        <v>0</v>
      </c>
      <c r="FM70" s="10">
        <v>0</v>
      </c>
      <c r="FN70" s="10">
        <v>0</v>
      </c>
      <c r="FO70" s="10">
        <v>0</v>
      </c>
      <c r="FP70" s="10">
        <v>0</v>
      </c>
      <c r="FQ70" s="10">
        <v>0</v>
      </c>
      <c r="FR70" s="10">
        <v>0</v>
      </c>
      <c r="FS70" s="10">
        <v>0</v>
      </c>
      <c r="FT70" s="10">
        <v>0</v>
      </c>
      <c r="FU70" s="10">
        <v>0</v>
      </c>
      <c r="FV70" s="10">
        <v>0</v>
      </c>
      <c r="FW70" s="10">
        <v>0</v>
      </c>
      <c r="FX70" s="10">
        <v>0</v>
      </c>
      <c r="FY70" s="10">
        <v>0</v>
      </c>
      <c r="FZ70" s="10">
        <v>0</v>
      </c>
      <c r="GA70" s="10">
        <v>0</v>
      </c>
      <c r="GB70" s="10">
        <v>0</v>
      </c>
      <c r="GC70" s="10">
        <v>0</v>
      </c>
      <c r="GD70" s="10">
        <v>0</v>
      </c>
      <c r="GE70" s="10">
        <v>0</v>
      </c>
      <c r="GF70" s="10">
        <v>0</v>
      </c>
      <c r="GG70" s="10">
        <v>0</v>
      </c>
      <c r="GH70" s="10">
        <v>0</v>
      </c>
      <c r="GI70" s="10">
        <v>0</v>
      </c>
      <c r="GJ70" s="10">
        <v>0</v>
      </c>
      <c r="GK70" s="10">
        <v>0</v>
      </c>
      <c r="GL70" s="10">
        <v>0</v>
      </c>
      <c r="GM70" s="10">
        <v>0</v>
      </c>
      <c r="GN70" s="10">
        <v>0</v>
      </c>
      <c r="GO70" s="10">
        <v>0</v>
      </c>
      <c r="GP70" s="10">
        <v>0</v>
      </c>
      <c r="GQ70" s="10">
        <v>0</v>
      </c>
      <c r="GR70" s="10">
        <v>0</v>
      </c>
      <c r="GS70" s="10">
        <v>0</v>
      </c>
      <c r="GT70" s="10">
        <v>0</v>
      </c>
      <c r="GU70" s="10">
        <v>0</v>
      </c>
      <c r="GV70" s="10">
        <v>0.52058881135126056</v>
      </c>
      <c r="GW70" s="10">
        <v>0</v>
      </c>
      <c r="GX70" s="10">
        <v>0</v>
      </c>
      <c r="GY70" s="10">
        <v>0</v>
      </c>
      <c r="GZ70" s="10">
        <v>0</v>
      </c>
      <c r="HA70" s="10">
        <v>0</v>
      </c>
      <c r="HB70" s="10">
        <v>0</v>
      </c>
      <c r="HC70" s="10">
        <v>0</v>
      </c>
      <c r="HD70" s="10">
        <v>0</v>
      </c>
      <c r="HE70" s="10">
        <v>0</v>
      </c>
      <c r="HF70" s="10">
        <v>0</v>
      </c>
      <c r="HG70" s="10">
        <v>0</v>
      </c>
      <c r="HH70" s="10">
        <v>0</v>
      </c>
      <c r="HI70" s="10">
        <v>0</v>
      </c>
      <c r="HJ70" s="10">
        <v>0</v>
      </c>
      <c r="HK70" s="10">
        <v>0</v>
      </c>
      <c r="HL70" s="10">
        <v>0</v>
      </c>
      <c r="HM70" s="10">
        <v>0</v>
      </c>
      <c r="HN70" s="10">
        <v>0</v>
      </c>
      <c r="HO70" s="10">
        <v>0</v>
      </c>
      <c r="HP70" s="10">
        <v>0</v>
      </c>
      <c r="HQ70" s="10">
        <v>0</v>
      </c>
      <c r="HR70" s="10">
        <v>0</v>
      </c>
      <c r="HS70" s="10">
        <v>0</v>
      </c>
      <c r="HT70" s="10">
        <v>0</v>
      </c>
      <c r="HU70" s="10">
        <v>0</v>
      </c>
    </row>
    <row r="71" spans="1:229" x14ac:dyDescent="0.25">
      <c r="A71" s="10">
        <v>8.508328806114325E-2</v>
      </c>
      <c r="B71" s="2" t="s">
        <v>130</v>
      </c>
      <c r="C71" s="2" t="s">
        <v>131</v>
      </c>
      <c r="D71" s="17">
        <v>0.60399999999999998</v>
      </c>
      <c r="E71" s="3">
        <v>3.48</v>
      </c>
      <c r="F71" s="3">
        <v>4.97</v>
      </c>
      <c r="G71" s="3">
        <v>0</v>
      </c>
      <c r="H71" s="3"/>
      <c r="I71" s="3">
        <v>52</v>
      </c>
      <c r="J71" s="3">
        <v>0.28000000000000003</v>
      </c>
      <c r="K71" s="3">
        <v>3.5999999999999997E-2</v>
      </c>
      <c r="L71" s="3"/>
      <c r="M71" s="2" t="str">
        <f t="shared" si="7"/>
        <v>01083</v>
      </c>
      <c r="N71" s="3">
        <v>0.99999999999999978</v>
      </c>
      <c r="O71" s="3">
        <v>0.99999999999999978</v>
      </c>
      <c r="P71" s="17">
        <v>1</v>
      </c>
      <c r="Q71" s="3">
        <v>1.0000000000000002</v>
      </c>
      <c r="R71" s="3">
        <v>1.0000000000000002</v>
      </c>
      <c r="S71" s="3" t="e">
        <v>#DIV/0!</v>
      </c>
      <c r="T71" s="3" t="e">
        <v>#DIV/0!</v>
      </c>
      <c r="U71" s="3">
        <v>1.0000000000000002</v>
      </c>
      <c r="V71" s="3">
        <v>1</v>
      </c>
      <c r="W71" s="3">
        <v>1</v>
      </c>
      <c r="X71" s="3">
        <v>0.60399999999999998</v>
      </c>
      <c r="Y71" s="3">
        <v>3.4800000000000004</v>
      </c>
      <c r="Z71" s="3">
        <v>4.9700000000000006</v>
      </c>
      <c r="AA71" s="3">
        <v>0</v>
      </c>
      <c r="AB71" s="3">
        <v>0</v>
      </c>
      <c r="AC71" s="3">
        <v>52.000000000000007</v>
      </c>
      <c r="AD71" s="3">
        <v>0.28000000000000003</v>
      </c>
      <c r="AE71" s="3">
        <v>3.5999999999999997E-2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3">
        <v>0</v>
      </c>
      <c r="AO71" s="3">
        <v>0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  <c r="AX71" s="3">
        <v>0</v>
      </c>
      <c r="AY71" s="3">
        <v>0</v>
      </c>
      <c r="AZ71" s="3">
        <v>0</v>
      </c>
      <c r="BA71" s="10">
        <v>0</v>
      </c>
      <c r="BB71" s="10">
        <v>0</v>
      </c>
      <c r="BC71" s="10">
        <v>0</v>
      </c>
      <c r="BD71" s="10">
        <v>0</v>
      </c>
      <c r="BE71" s="10">
        <v>0</v>
      </c>
      <c r="BF71" s="10">
        <v>0</v>
      </c>
      <c r="BG71" s="10">
        <v>0</v>
      </c>
      <c r="BH71" s="10">
        <v>0</v>
      </c>
      <c r="BI71" s="10">
        <v>0</v>
      </c>
      <c r="BJ71" s="10">
        <v>0</v>
      </c>
      <c r="BK71" s="10">
        <v>0</v>
      </c>
      <c r="BL71" s="10">
        <v>0</v>
      </c>
      <c r="BM71" s="10">
        <v>0</v>
      </c>
      <c r="BN71" s="10">
        <v>0</v>
      </c>
      <c r="BO71" s="10">
        <v>0</v>
      </c>
      <c r="BP71" s="10">
        <v>0</v>
      </c>
      <c r="BQ71" s="10">
        <v>0</v>
      </c>
      <c r="BR71" s="10">
        <v>0</v>
      </c>
      <c r="BS71" s="10">
        <v>0</v>
      </c>
      <c r="BT71" s="10">
        <v>0</v>
      </c>
      <c r="BU71" s="10">
        <v>0</v>
      </c>
      <c r="BV71" s="10">
        <v>0</v>
      </c>
      <c r="BW71" s="10">
        <v>0</v>
      </c>
      <c r="BX71" s="10">
        <v>0</v>
      </c>
      <c r="BY71" s="10">
        <v>0</v>
      </c>
      <c r="BZ71" s="10">
        <v>0</v>
      </c>
      <c r="CA71" s="10">
        <v>0</v>
      </c>
      <c r="CB71" s="10">
        <v>0</v>
      </c>
      <c r="CC71" s="10">
        <v>0</v>
      </c>
      <c r="CD71" s="10">
        <v>0</v>
      </c>
      <c r="CE71" s="10">
        <v>0</v>
      </c>
      <c r="CF71" s="10">
        <v>0</v>
      </c>
      <c r="CG71" s="10">
        <v>0</v>
      </c>
      <c r="CH71" s="10">
        <v>0</v>
      </c>
      <c r="CI71" s="10">
        <v>0</v>
      </c>
      <c r="CJ71" s="10">
        <v>0</v>
      </c>
      <c r="CK71" s="10">
        <v>0</v>
      </c>
      <c r="CL71" s="10">
        <v>0</v>
      </c>
      <c r="CM71" s="10">
        <v>0</v>
      </c>
      <c r="CN71" s="10">
        <v>1</v>
      </c>
      <c r="CO71" s="10">
        <v>0</v>
      </c>
      <c r="CP71" s="10">
        <v>0</v>
      </c>
      <c r="CQ71" s="10">
        <v>1.1102230246251565E-16</v>
      </c>
      <c r="CR71" s="10">
        <v>0</v>
      </c>
      <c r="CS71" s="10">
        <v>0</v>
      </c>
      <c r="CT71" s="10">
        <v>0</v>
      </c>
      <c r="CU71" s="10">
        <v>0</v>
      </c>
      <c r="CV71" s="10">
        <v>0</v>
      </c>
      <c r="CW71" s="10">
        <v>0</v>
      </c>
      <c r="CX71" s="10">
        <v>0</v>
      </c>
      <c r="CY71" s="10">
        <v>0</v>
      </c>
      <c r="CZ71" s="10">
        <v>0</v>
      </c>
      <c r="DA71" s="10">
        <v>0</v>
      </c>
      <c r="DB71" s="10">
        <v>0</v>
      </c>
      <c r="DC71" s="10">
        <v>0</v>
      </c>
      <c r="DD71" s="10">
        <v>0</v>
      </c>
      <c r="DE71" s="10">
        <v>0</v>
      </c>
      <c r="DF71" s="10">
        <v>0</v>
      </c>
      <c r="DG71" s="10">
        <v>0</v>
      </c>
      <c r="DH71" s="10">
        <v>0</v>
      </c>
      <c r="DI71" s="10">
        <v>0</v>
      </c>
      <c r="DJ71" s="10">
        <v>0</v>
      </c>
      <c r="DK71" s="10">
        <v>0</v>
      </c>
      <c r="DL71" s="10">
        <v>0</v>
      </c>
      <c r="DM71" s="10">
        <v>0</v>
      </c>
      <c r="DN71" s="10">
        <v>0</v>
      </c>
      <c r="DO71" s="10">
        <v>0</v>
      </c>
      <c r="DP71" s="10">
        <v>0</v>
      </c>
      <c r="DQ71" s="10">
        <v>0</v>
      </c>
      <c r="DR71" s="10">
        <v>0</v>
      </c>
      <c r="DS71" s="10">
        <v>0</v>
      </c>
      <c r="DT71" s="10">
        <v>0</v>
      </c>
      <c r="DU71" s="10">
        <v>0</v>
      </c>
      <c r="DV71" s="10">
        <v>0</v>
      </c>
      <c r="DW71" s="10">
        <v>0</v>
      </c>
      <c r="DX71" s="10">
        <v>0</v>
      </c>
      <c r="DY71" s="10">
        <v>0</v>
      </c>
      <c r="DZ71" s="10">
        <v>0</v>
      </c>
      <c r="EA71" s="10">
        <v>0</v>
      </c>
      <c r="EB71" s="10">
        <v>0</v>
      </c>
      <c r="EC71" s="10">
        <v>0</v>
      </c>
      <c r="ED71" s="10">
        <v>0</v>
      </c>
      <c r="EE71" s="10">
        <v>0</v>
      </c>
      <c r="EF71" s="10">
        <v>0</v>
      </c>
      <c r="EG71" s="10">
        <v>0</v>
      </c>
      <c r="EH71" s="10">
        <v>0</v>
      </c>
      <c r="EI71" s="10">
        <v>0</v>
      </c>
      <c r="EJ71" s="10">
        <v>0</v>
      </c>
      <c r="EK71" s="10">
        <v>0</v>
      </c>
      <c r="EL71" s="10">
        <v>0</v>
      </c>
      <c r="EM71" s="10">
        <v>0</v>
      </c>
      <c r="EN71" s="10">
        <v>0</v>
      </c>
      <c r="EO71" s="10">
        <v>0</v>
      </c>
      <c r="EP71" s="10">
        <v>0</v>
      </c>
      <c r="EQ71" s="10">
        <v>0</v>
      </c>
      <c r="ER71" s="10">
        <v>0</v>
      </c>
      <c r="ES71" s="10">
        <v>0</v>
      </c>
      <c r="ET71" s="10">
        <v>0</v>
      </c>
      <c r="EU71" s="10">
        <v>0</v>
      </c>
      <c r="EV71" s="10">
        <v>0</v>
      </c>
      <c r="EW71" s="10">
        <v>0</v>
      </c>
      <c r="EX71" s="10">
        <v>0</v>
      </c>
      <c r="EY71" s="10">
        <v>0</v>
      </c>
      <c r="EZ71" s="10">
        <v>0</v>
      </c>
      <c r="FA71" s="10">
        <v>0</v>
      </c>
      <c r="FB71" s="10">
        <v>0</v>
      </c>
      <c r="FC71" s="10">
        <v>0</v>
      </c>
      <c r="FD71" s="10">
        <v>0</v>
      </c>
      <c r="FE71" s="10">
        <v>0</v>
      </c>
      <c r="FF71" s="10">
        <v>0</v>
      </c>
      <c r="FG71" s="10">
        <v>0</v>
      </c>
      <c r="FH71" s="10">
        <v>0</v>
      </c>
      <c r="FI71" s="10">
        <v>0</v>
      </c>
      <c r="FJ71" s="10">
        <v>0</v>
      </c>
      <c r="FK71" s="10">
        <v>0</v>
      </c>
      <c r="FL71" s="10">
        <v>0</v>
      </c>
      <c r="FM71" s="10">
        <v>0</v>
      </c>
      <c r="FN71" s="10">
        <v>0</v>
      </c>
      <c r="FO71" s="10">
        <v>0</v>
      </c>
      <c r="FP71" s="10">
        <v>0</v>
      </c>
      <c r="FQ71" s="10">
        <v>0</v>
      </c>
      <c r="FR71" s="10">
        <v>0</v>
      </c>
      <c r="FS71" s="10">
        <v>0</v>
      </c>
      <c r="FT71" s="10">
        <v>0</v>
      </c>
      <c r="FU71" s="10">
        <v>0</v>
      </c>
      <c r="FV71" s="10">
        <v>0</v>
      </c>
      <c r="FW71" s="10">
        <v>0</v>
      </c>
      <c r="FX71" s="10">
        <v>0</v>
      </c>
      <c r="FY71" s="10">
        <v>0</v>
      </c>
      <c r="FZ71" s="10">
        <v>0</v>
      </c>
      <c r="GA71" s="10">
        <v>0</v>
      </c>
      <c r="GB71" s="10">
        <v>0</v>
      </c>
      <c r="GC71" s="10">
        <v>0</v>
      </c>
      <c r="GD71" s="10">
        <v>0</v>
      </c>
      <c r="GE71" s="10">
        <v>0</v>
      </c>
      <c r="GF71" s="10">
        <v>0</v>
      </c>
      <c r="GG71" s="10">
        <v>0</v>
      </c>
      <c r="GH71" s="10">
        <v>0</v>
      </c>
      <c r="GI71" s="10">
        <v>0</v>
      </c>
      <c r="GJ71" s="10">
        <v>0</v>
      </c>
      <c r="GK71" s="10">
        <v>0</v>
      </c>
      <c r="GL71" s="10">
        <v>0</v>
      </c>
      <c r="GM71" s="10">
        <v>0</v>
      </c>
      <c r="GN71" s="10">
        <v>0</v>
      </c>
      <c r="GO71" s="10">
        <v>0</v>
      </c>
      <c r="GP71" s="10">
        <v>0</v>
      </c>
      <c r="GQ71" s="10">
        <v>0</v>
      </c>
      <c r="GR71" s="10">
        <v>0</v>
      </c>
      <c r="GS71" s="10">
        <v>0</v>
      </c>
      <c r="GT71" s="10">
        <v>0</v>
      </c>
      <c r="GU71" s="10">
        <v>0</v>
      </c>
      <c r="GV71" s="10">
        <v>0</v>
      </c>
      <c r="GW71" s="10">
        <v>0</v>
      </c>
      <c r="GX71" s="10">
        <v>0</v>
      </c>
      <c r="GY71" s="10">
        <v>0</v>
      </c>
      <c r="GZ71" s="10">
        <v>0</v>
      </c>
      <c r="HA71" s="10">
        <v>0</v>
      </c>
      <c r="HB71" s="10">
        <v>0</v>
      </c>
      <c r="HC71" s="10">
        <v>0</v>
      </c>
      <c r="HD71" s="10">
        <v>0</v>
      </c>
      <c r="HE71" s="10">
        <v>0</v>
      </c>
      <c r="HF71" s="10">
        <v>0</v>
      </c>
      <c r="HG71" s="10">
        <v>0</v>
      </c>
      <c r="HH71" s="10">
        <v>0</v>
      </c>
      <c r="HI71" s="10">
        <v>0</v>
      </c>
      <c r="HJ71" s="10">
        <v>0</v>
      </c>
      <c r="HK71" s="10">
        <v>0</v>
      </c>
      <c r="HL71" s="10">
        <v>0</v>
      </c>
      <c r="HM71" s="10">
        <v>0</v>
      </c>
      <c r="HN71" s="10">
        <v>0</v>
      </c>
      <c r="HO71" s="10">
        <v>0</v>
      </c>
      <c r="HP71" s="10">
        <v>0</v>
      </c>
      <c r="HQ71" s="10">
        <v>0</v>
      </c>
      <c r="HR71" s="10">
        <v>0</v>
      </c>
      <c r="HS71" s="10">
        <v>0</v>
      </c>
      <c r="HT71" s="10">
        <v>0</v>
      </c>
      <c r="HU71" s="10">
        <v>0</v>
      </c>
    </row>
    <row r="72" spans="1:229" x14ac:dyDescent="0.25">
      <c r="A72" s="10">
        <v>0</v>
      </c>
      <c r="B72" s="2" t="s">
        <v>132</v>
      </c>
      <c r="C72" s="2" t="s">
        <v>133</v>
      </c>
      <c r="D72" s="17">
        <v>0.72799999999999998</v>
      </c>
      <c r="E72" s="3">
        <v>3.93</v>
      </c>
      <c r="F72" s="3">
        <v>5.52</v>
      </c>
      <c r="G72" s="3">
        <v>0</v>
      </c>
      <c r="H72" s="3"/>
      <c r="I72" s="3">
        <v>58</v>
      </c>
      <c r="J72" s="3">
        <v>0.33800000000000002</v>
      </c>
      <c r="K72" s="3">
        <v>4.2999999999999997E-2</v>
      </c>
      <c r="L72" s="3"/>
      <c r="M72" s="2" t="str">
        <f t="shared" si="7"/>
        <v>01084</v>
      </c>
      <c r="N72" s="3">
        <v>0.9696375843354843</v>
      </c>
      <c r="O72" s="3">
        <v>1.0303624156645159</v>
      </c>
      <c r="P72" s="17">
        <v>0.96963758433554492</v>
      </c>
      <c r="Q72" s="3">
        <v>1.0303624156645084</v>
      </c>
      <c r="R72" s="3">
        <v>0.97853718470042039</v>
      </c>
      <c r="S72" s="3" t="e">
        <v>#DIV/0!</v>
      </c>
      <c r="T72" s="3" t="e">
        <v>#DIV/0!</v>
      </c>
      <c r="U72" s="3">
        <v>0.9696375843354843</v>
      </c>
      <c r="V72" s="3">
        <v>1.0303624156646185</v>
      </c>
      <c r="W72" s="3">
        <v>1.8327697020648634</v>
      </c>
      <c r="X72" s="3">
        <v>0.70589616139627664</v>
      </c>
      <c r="Y72" s="3">
        <v>4.0493242935615177</v>
      </c>
      <c r="Z72" s="3">
        <v>5.4015252595463199</v>
      </c>
      <c r="AA72" s="3">
        <v>0</v>
      </c>
      <c r="AB72" s="3">
        <v>0</v>
      </c>
      <c r="AC72" s="3">
        <v>56.238979891458087</v>
      </c>
      <c r="AD72" s="3">
        <v>0.34826249649464108</v>
      </c>
      <c r="AE72" s="3">
        <v>7.8809097188789118E-2</v>
      </c>
      <c r="AF72" s="3">
        <v>0</v>
      </c>
      <c r="AG72" s="3">
        <v>0</v>
      </c>
      <c r="AH72" s="3">
        <v>0</v>
      </c>
      <c r="AI72" s="10">
        <v>0</v>
      </c>
      <c r="AJ72" s="3">
        <v>0</v>
      </c>
      <c r="AK72" s="3">
        <v>0</v>
      </c>
      <c r="AL72" s="3">
        <v>0</v>
      </c>
      <c r="AM72" s="3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0">
        <v>0</v>
      </c>
      <c r="AW72" s="3">
        <v>0</v>
      </c>
      <c r="AX72" s="3">
        <v>0</v>
      </c>
      <c r="AY72" s="3">
        <v>0</v>
      </c>
      <c r="AZ72" s="3">
        <v>0</v>
      </c>
      <c r="BA72" s="10">
        <v>0</v>
      </c>
      <c r="BB72" s="10">
        <v>0</v>
      </c>
      <c r="BC72" s="10">
        <v>0</v>
      </c>
      <c r="BD72" s="10">
        <v>0</v>
      </c>
      <c r="BE72" s="10">
        <v>0</v>
      </c>
      <c r="BF72" s="10">
        <v>0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 s="10">
        <v>0</v>
      </c>
      <c r="BM72" s="10">
        <v>0</v>
      </c>
      <c r="BN72" s="10">
        <v>0</v>
      </c>
      <c r="BO72" s="10">
        <v>0</v>
      </c>
      <c r="BP72" s="10">
        <v>0</v>
      </c>
      <c r="BQ72" s="10">
        <v>0</v>
      </c>
      <c r="BR72" s="10">
        <v>0</v>
      </c>
      <c r="BS72" s="10">
        <v>0</v>
      </c>
      <c r="BT72" s="10">
        <v>0</v>
      </c>
      <c r="BU72" s="10">
        <v>0</v>
      </c>
      <c r="BV72" s="10">
        <v>0</v>
      </c>
      <c r="BW72" s="10">
        <v>0</v>
      </c>
      <c r="BX72" s="10">
        <v>0</v>
      </c>
      <c r="BY72" s="10">
        <v>0</v>
      </c>
      <c r="BZ72" s="10">
        <v>0</v>
      </c>
      <c r="CA72" s="10">
        <v>4.8063506508945017E-2</v>
      </c>
      <c r="CB72" s="10">
        <v>0</v>
      </c>
      <c r="CC72" s="10">
        <v>0</v>
      </c>
      <c r="CD72" s="10">
        <v>0</v>
      </c>
      <c r="CE72" s="10">
        <v>0</v>
      </c>
      <c r="CF72" s="10">
        <v>0</v>
      </c>
      <c r="CG72" s="10">
        <v>0</v>
      </c>
      <c r="CH72" s="10">
        <v>0</v>
      </c>
      <c r="CI72" s="10">
        <v>0</v>
      </c>
      <c r="CJ72" s="10">
        <v>0</v>
      </c>
      <c r="CK72" s="10">
        <v>0</v>
      </c>
      <c r="CL72" s="10">
        <v>0</v>
      </c>
      <c r="CM72" s="10">
        <v>0</v>
      </c>
      <c r="CN72" s="10">
        <v>0.16818273256917732</v>
      </c>
      <c r="CO72" s="10">
        <v>0</v>
      </c>
      <c r="CP72" s="10">
        <v>0</v>
      </c>
      <c r="CQ72" s="10">
        <v>0.68457949641922522</v>
      </c>
      <c r="CR72" s="10">
        <v>0</v>
      </c>
      <c r="CS72" s="10">
        <v>0</v>
      </c>
      <c r="CT72" s="10">
        <v>0</v>
      </c>
      <c r="CU72" s="10">
        <v>0</v>
      </c>
      <c r="CV72" s="10">
        <v>0</v>
      </c>
      <c r="CW72" s="10">
        <v>0</v>
      </c>
      <c r="CX72" s="10">
        <v>0</v>
      </c>
      <c r="CY72" s="10">
        <v>0</v>
      </c>
      <c r="CZ72" s="10">
        <v>0</v>
      </c>
      <c r="DA72" s="10">
        <v>0</v>
      </c>
      <c r="DB72" s="10">
        <v>0</v>
      </c>
      <c r="DC72" s="10">
        <v>0</v>
      </c>
      <c r="DD72" s="10">
        <v>0</v>
      </c>
      <c r="DE72" s="10">
        <v>0</v>
      </c>
      <c r="DF72" s="10">
        <v>9.9174264502652459E-2</v>
      </c>
      <c r="DG72" s="10">
        <v>0</v>
      </c>
      <c r="DH72" s="10">
        <v>0</v>
      </c>
      <c r="DI72" s="10">
        <v>0</v>
      </c>
      <c r="DJ72" s="10">
        <v>0</v>
      </c>
      <c r="DK72" s="10">
        <v>0</v>
      </c>
      <c r="DL72" s="10">
        <v>0</v>
      </c>
      <c r="DM72" s="10">
        <v>0</v>
      </c>
      <c r="DN72" s="10">
        <v>0</v>
      </c>
      <c r="DO72" s="10">
        <v>0</v>
      </c>
      <c r="DP72" s="10">
        <v>0</v>
      </c>
      <c r="DQ72" s="10">
        <v>0</v>
      </c>
      <c r="DR72" s="10">
        <v>0</v>
      </c>
      <c r="DS72" s="10">
        <v>0</v>
      </c>
      <c r="DT72" s="10">
        <v>0</v>
      </c>
      <c r="DU72" s="10">
        <v>0</v>
      </c>
      <c r="DV72" s="10">
        <v>0</v>
      </c>
      <c r="DW72" s="10">
        <v>0</v>
      </c>
      <c r="DX72" s="10">
        <v>0</v>
      </c>
      <c r="DY72" s="10">
        <v>0</v>
      </c>
      <c r="DZ72" s="10">
        <v>0</v>
      </c>
      <c r="EA72" s="10">
        <v>0</v>
      </c>
      <c r="EB72" s="10">
        <v>0</v>
      </c>
      <c r="EC72" s="10">
        <v>0</v>
      </c>
      <c r="ED72" s="10">
        <v>0</v>
      </c>
      <c r="EE72" s="10">
        <v>0</v>
      </c>
      <c r="EF72" s="10">
        <v>0</v>
      </c>
      <c r="EG72" s="10">
        <v>0</v>
      </c>
      <c r="EH72" s="10">
        <v>0</v>
      </c>
      <c r="EI72" s="10">
        <v>0</v>
      </c>
      <c r="EJ72" s="10">
        <v>0</v>
      </c>
      <c r="EK72" s="10">
        <v>0</v>
      </c>
      <c r="EL72" s="10">
        <v>0</v>
      </c>
      <c r="EM72" s="10">
        <v>0</v>
      </c>
      <c r="EN72" s="10">
        <v>0</v>
      </c>
      <c r="EO72" s="10">
        <v>0</v>
      </c>
      <c r="EP72" s="10">
        <v>0</v>
      </c>
      <c r="EQ72" s="10">
        <v>0</v>
      </c>
      <c r="ER72" s="10">
        <v>0</v>
      </c>
      <c r="ES72" s="10">
        <v>0</v>
      </c>
      <c r="ET72" s="10">
        <v>0</v>
      </c>
      <c r="EU72" s="10">
        <v>0</v>
      </c>
      <c r="EV72" s="10">
        <v>0</v>
      </c>
      <c r="EW72" s="10">
        <v>0</v>
      </c>
      <c r="EX72" s="10">
        <v>0</v>
      </c>
      <c r="EY72" s="10">
        <v>0</v>
      </c>
      <c r="EZ72" s="10">
        <v>0</v>
      </c>
      <c r="FA72" s="10">
        <v>0</v>
      </c>
      <c r="FB72" s="10">
        <v>0</v>
      </c>
      <c r="FC72" s="10">
        <v>0</v>
      </c>
      <c r="FD72" s="10">
        <v>0</v>
      </c>
      <c r="FE72" s="10">
        <v>0</v>
      </c>
      <c r="FF72" s="10">
        <v>0</v>
      </c>
      <c r="FG72" s="10">
        <v>0</v>
      </c>
      <c r="FH72" s="10">
        <v>0</v>
      </c>
      <c r="FI72" s="10">
        <v>0</v>
      </c>
      <c r="FJ72" s="10">
        <v>0</v>
      </c>
      <c r="FK72" s="10">
        <v>0</v>
      </c>
      <c r="FL72" s="10">
        <v>0</v>
      </c>
      <c r="FM72" s="10">
        <v>0</v>
      </c>
      <c r="FN72" s="10">
        <v>0</v>
      </c>
      <c r="FO72" s="10">
        <v>0</v>
      </c>
      <c r="FP72" s="10">
        <v>0</v>
      </c>
      <c r="FQ72" s="10">
        <v>0</v>
      </c>
      <c r="FR72" s="10">
        <v>0</v>
      </c>
      <c r="FS72" s="10">
        <v>0</v>
      </c>
      <c r="FT72" s="10">
        <v>0</v>
      </c>
      <c r="FU72" s="10">
        <v>0</v>
      </c>
      <c r="FV72" s="10">
        <v>0</v>
      </c>
      <c r="FW72" s="10">
        <v>0</v>
      </c>
      <c r="FX72" s="10">
        <v>0</v>
      </c>
      <c r="FY72" s="10">
        <v>0</v>
      </c>
      <c r="FZ72" s="10">
        <v>0</v>
      </c>
      <c r="GA72" s="10">
        <v>0</v>
      </c>
      <c r="GB72" s="10">
        <v>0</v>
      </c>
      <c r="GC72" s="10">
        <v>0</v>
      </c>
      <c r="GD72" s="10">
        <v>0</v>
      </c>
      <c r="GE72" s="10">
        <v>0</v>
      </c>
      <c r="GF72" s="10">
        <v>0</v>
      </c>
      <c r="GG72" s="10">
        <v>0</v>
      </c>
      <c r="GH72" s="10">
        <v>0</v>
      </c>
      <c r="GI72" s="10">
        <v>0</v>
      </c>
      <c r="GJ72" s="10">
        <v>0</v>
      </c>
      <c r="GK72" s="10">
        <v>0</v>
      </c>
      <c r="GL72" s="10">
        <v>0</v>
      </c>
      <c r="GM72" s="10">
        <v>0</v>
      </c>
      <c r="GN72" s="10">
        <v>0</v>
      </c>
      <c r="GO72" s="10">
        <v>0</v>
      </c>
      <c r="GP72" s="10">
        <v>0</v>
      </c>
      <c r="GQ72" s="10">
        <v>0</v>
      </c>
      <c r="GR72" s="10">
        <v>0</v>
      </c>
      <c r="GS72" s="10">
        <v>0</v>
      </c>
      <c r="GT72" s="10">
        <v>0</v>
      </c>
      <c r="GU72" s="10">
        <v>0</v>
      </c>
      <c r="GV72" s="10">
        <v>0</v>
      </c>
      <c r="GW72" s="10">
        <v>0</v>
      </c>
      <c r="GX72" s="10">
        <v>0</v>
      </c>
      <c r="GY72" s="10">
        <v>0</v>
      </c>
      <c r="GZ72" s="10">
        <v>0</v>
      </c>
      <c r="HA72" s="10">
        <v>0</v>
      </c>
      <c r="HB72" s="10">
        <v>0</v>
      </c>
      <c r="HC72" s="10">
        <v>0</v>
      </c>
      <c r="HD72" s="10">
        <v>0</v>
      </c>
      <c r="HE72" s="10">
        <v>0</v>
      </c>
      <c r="HF72" s="10">
        <v>0</v>
      </c>
      <c r="HG72" s="10">
        <v>0</v>
      </c>
      <c r="HH72" s="10">
        <v>0</v>
      </c>
      <c r="HI72" s="10">
        <v>0</v>
      </c>
      <c r="HJ72" s="10">
        <v>0</v>
      </c>
      <c r="HK72" s="10">
        <v>0</v>
      </c>
      <c r="HL72" s="10">
        <v>0</v>
      </c>
      <c r="HM72" s="10">
        <v>0</v>
      </c>
      <c r="HN72" s="10">
        <v>0</v>
      </c>
      <c r="HO72" s="10">
        <v>0</v>
      </c>
      <c r="HP72" s="10">
        <v>0</v>
      </c>
      <c r="HQ72" s="10">
        <v>0</v>
      </c>
      <c r="HR72" s="10">
        <v>0</v>
      </c>
      <c r="HS72" s="10">
        <v>0</v>
      </c>
      <c r="HT72" s="10">
        <v>0</v>
      </c>
      <c r="HU72" s="10">
        <v>0</v>
      </c>
    </row>
    <row r="73" spans="1:229" x14ac:dyDescent="0.25">
      <c r="A73" s="10">
        <v>0</v>
      </c>
      <c r="B73" s="2" t="s">
        <v>134</v>
      </c>
      <c r="C73" s="2" t="s">
        <v>135</v>
      </c>
      <c r="D73" s="17">
        <v>0.16200000000000001</v>
      </c>
      <c r="E73" s="3">
        <v>3.57</v>
      </c>
      <c r="F73" s="3">
        <v>5.0199999999999996</v>
      </c>
      <c r="G73" s="3">
        <v>0</v>
      </c>
      <c r="H73" s="3">
        <v>5.0199999999999996</v>
      </c>
      <c r="I73" s="3">
        <v>53</v>
      </c>
      <c r="J73" s="3">
        <v>6.5000000000000002E-2</v>
      </c>
      <c r="K73" s="3">
        <v>8.9999999999999993E-3</v>
      </c>
      <c r="L73" s="3"/>
      <c r="M73" s="2" t="str">
        <f t="shared" si="7"/>
        <v>01086</v>
      </c>
      <c r="N73" s="3">
        <v>0.70205753725217535</v>
      </c>
      <c r="O73" s="3">
        <v>1.2979424627478249</v>
      </c>
      <c r="P73" s="17">
        <v>0.70205753724973874</v>
      </c>
      <c r="Q73" s="3">
        <v>2.7340773550533233</v>
      </c>
      <c r="R73" s="3">
        <v>0.88807150566114768</v>
      </c>
      <c r="S73" s="3" t="e">
        <v>#DIV/0!</v>
      </c>
      <c r="T73" s="3">
        <v>0.70205753725217279</v>
      </c>
      <c r="U73" s="3">
        <v>0.70205753725217512</v>
      </c>
      <c r="V73" s="3">
        <v>1.2979424627451113</v>
      </c>
      <c r="W73" s="3">
        <v>1.9171911504834178</v>
      </c>
      <c r="X73" s="3">
        <v>0.11373332103445769</v>
      </c>
      <c r="Y73" s="3">
        <v>9.7606561575403639</v>
      </c>
      <c r="Z73" s="3">
        <v>4.4581189584189609</v>
      </c>
      <c r="AA73" s="3">
        <v>5.0510093968510264E-2</v>
      </c>
      <c r="AB73" s="3">
        <v>3.5243288370059069</v>
      </c>
      <c r="AC73" s="3">
        <v>37.20904947436528</v>
      </c>
      <c r="AD73" s="3">
        <v>8.4366260078432231E-2</v>
      </c>
      <c r="AE73" s="3">
        <v>1.7254720354350758E-2</v>
      </c>
      <c r="AF73" s="3">
        <v>0</v>
      </c>
      <c r="AG73" s="3">
        <v>0</v>
      </c>
      <c r="AH73" s="3">
        <v>0</v>
      </c>
      <c r="AI73" s="3">
        <v>0</v>
      </c>
      <c r="AJ73" s="3">
        <v>0</v>
      </c>
      <c r="AK73" s="3">
        <v>0</v>
      </c>
      <c r="AL73" s="3">
        <v>0</v>
      </c>
      <c r="AM73" s="3">
        <v>0</v>
      </c>
      <c r="AN73" s="3">
        <v>0</v>
      </c>
      <c r="AO73" s="3">
        <v>0</v>
      </c>
      <c r="AP73" s="3">
        <v>0</v>
      </c>
      <c r="AQ73" s="3">
        <v>0</v>
      </c>
      <c r="AR73" s="3">
        <v>0</v>
      </c>
      <c r="AS73" s="3">
        <v>0</v>
      </c>
      <c r="AT73" s="3">
        <v>0</v>
      </c>
      <c r="AU73" s="3">
        <v>0</v>
      </c>
      <c r="AV73" s="3">
        <v>0</v>
      </c>
      <c r="AW73" s="3">
        <v>0</v>
      </c>
      <c r="AX73" s="3">
        <v>0</v>
      </c>
      <c r="AY73" s="3">
        <v>0</v>
      </c>
      <c r="AZ73" s="3">
        <v>0</v>
      </c>
      <c r="BA73" s="10">
        <v>0</v>
      </c>
      <c r="BB73" s="10">
        <v>0</v>
      </c>
      <c r="BC73" s="10">
        <v>0</v>
      </c>
      <c r="BD73" s="10">
        <v>0</v>
      </c>
      <c r="BE73" s="10">
        <v>0</v>
      </c>
      <c r="BF73" s="10">
        <v>0</v>
      </c>
      <c r="BG73" s="10">
        <v>0</v>
      </c>
      <c r="BH73" s="10">
        <v>0</v>
      </c>
      <c r="BI73" s="10">
        <v>0</v>
      </c>
      <c r="BJ73" s="10">
        <v>0</v>
      </c>
      <c r="BK73" s="10">
        <v>0</v>
      </c>
      <c r="BL73" s="10">
        <v>0</v>
      </c>
      <c r="BM73" s="10">
        <v>0</v>
      </c>
      <c r="BN73" s="10">
        <v>0</v>
      </c>
      <c r="BO73" s="10">
        <v>0</v>
      </c>
      <c r="BP73" s="10">
        <v>0</v>
      </c>
      <c r="BQ73" s="10">
        <v>0</v>
      </c>
      <c r="BR73" s="10">
        <v>0</v>
      </c>
      <c r="BS73" s="10">
        <v>0</v>
      </c>
      <c r="BT73" s="10">
        <v>0</v>
      </c>
      <c r="BU73" s="10">
        <v>0</v>
      </c>
      <c r="BV73" s="10">
        <v>0</v>
      </c>
      <c r="BW73" s="10">
        <v>0</v>
      </c>
      <c r="BX73" s="10">
        <v>0</v>
      </c>
      <c r="BY73" s="10">
        <v>0</v>
      </c>
      <c r="BZ73" s="10">
        <v>0</v>
      </c>
      <c r="CA73" s="10">
        <v>0</v>
      </c>
      <c r="CB73" s="10">
        <v>0</v>
      </c>
      <c r="CC73" s="10">
        <v>0</v>
      </c>
      <c r="CD73" s="10">
        <v>0</v>
      </c>
      <c r="CE73" s="10">
        <v>0</v>
      </c>
      <c r="CF73" s="10">
        <v>0</v>
      </c>
      <c r="CG73" s="10">
        <v>0</v>
      </c>
      <c r="CH73" s="10">
        <v>0</v>
      </c>
      <c r="CI73" s="10">
        <v>0</v>
      </c>
      <c r="CJ73" s="10">
        <v>0</v>
      </c>
      <c r="CK73" s="10">
        <v>0</v>
      </c>
      <c r="CL73" s="10">
        <v>0</v>
      </c>
      <c r="CM73" s="10">
        <v>0</v>
      </c>
      <c r="CN73" s="10">
        <v>0</v>
      </c>
      <c r="CO73" s="10">
        <v>0</v>
      </c>
      <c r="CP73" s="10">
        <v>0</v>
      </c>
      <c r="CQ73" s="10">
        <v>0</v>
      </c>
      <c r="CR73" s="10">
        <v>0</v>
      </c>
      <c r="CS73" s="10">
        <v>0</v>
      </c>
      <c r="CT73" s="10">
        <v>0</v>
      </c>
      <c r="CU73" s="10">
        <v>0</v>
      </c>
      <c r="CV73" s="10">
        <v>0</v>
      </c>
      <c r="CW73" s="10">
        <v>0</v>
      </c>
      <c r="CX73" s="10">
        <v>0</v>
      </c>
      <c r="CY73" s="10">
        <v>0</v>
      </c>
      <c r="CZ73" s="10">
        <v>0</v>
      </c>
      <c r="DA73" s="10">
        <v>0</v>
      </c>
      <c r="DB73" s="10">
        <v>0</v>
      </c>
      <c r="DC73" s="10">
        <v>0</v>
      </c>
      <c r="DD73" s="10">
        <v>0</v>
      </c>
      <c r="DE73" s="10">
        <v>0</v>
      </c>
      <c r="DF73" s="10">
        <v>0</v>
      </c>
      <c r="DG73" s="10">
        <v>0</v>
      </c>
      <c r="DH73" s="10">
        <v>0</v>
      </c>
      <c r="DI73" s="10">
        <v>0</v>
      </c>
      <c r="DJ73" s="10">
        <v>0</v>
      </c>
      <c r="DK73" s="10">
        <v>0</v>
      </c>
      <c r="DL73" s="10">
        <v>0</v>
      </c>
      <c r="DM73" s="10">
        <v>0</v>
      </c>
      <c r="DN73" s="10">
        <v>0</v>
      </c>
      <c r="DO73" s="10">
        <v>0</v>
      </c>
      <c r="DP73" s="10">
        <v>0</v>
      </c>
      <c r="DQ73" s="10">
        <v>0</v>
      </c>
      <c r="DR73" s="10">
        <v>0</v>
      </c>
      <c r="DS73" s="10">
        <v>0</v>
      </c>
      <c r="DT73" s="10">
        <v>0</v>
      </c>
      <c r="DU73" s="10">
        <v>0</v>
      </c>
      <c r="DV73" s="10">
        <v>0</v>
      </c>
      <c r="DW73" s="10">
        <v>0</v>
      </c>
      <c r="DX73" s="10">
        <v>0</v>
      </c>
      <c r="DY73" s="10">
        <v>0</v>
      </c>
      <c r="DZ73" s="10">
        <v>0</v>
      </c>
      <c r="EA73" s="10">
        <v>0</v>
      </c>
      <c r="EB73" s="10">
        <v>0</v>
      </c>
      <c r="EC73" s="10">
        <v>0</v>
      </c>
      <c r="ED73" s="10">
        <v>0</v>
      </c>
      <c r="EE73" s="10">
        <v>0</v>
      </c>
      <c r="EF73" s="10">
        <v>0</v>
      </c>
      <c r="EG73" s="10">
        <v>0</v>
      </c>
      <c r="EH73" s="10">
        <v>0</v>
      </c>
      <c r="EI73" s="10">
        <v>0</v>
      </c>
      <c r="EJ73" s="10">
        <v>0</v>
      </c>
      <c r="EK73" s="10">
        <v>0</v>
      </c>
      <c r="EL73" s="10">
        <v>0</v>
      </c>
      <c r="EM73" s="10">
        <v>0</v>
      </c>
      <c r="EN73" s="10">
        <v>0</v>
      </c>
      <c r="EO73" s="10">
        <v>0</v>
      </c>
      <c r="EP73" s="10">
        <v>0</v>
      </c>
      <c r="EQ73" s="10">
        <v>0</v>
      </c>
      <c r="ER73" s="10">
        <v>0</v>
      </c>
      <c r="ES73" s="10">
        <v>0</v>
      </c>
      <c r="ET73" s="10">
        <v>0</v>
      </c>
      <c r="EU73" s="10">
        <v>0</v>
      </c>
      <c r="EV73" s="10">
        <v>0</v>
      </c>
      <c r="EW73" s="10">
        <v>0</v>
      </c>
      <c r="EX73" s="10">
        <v>0</v>
      </c>
      <c r="EY73" s="10">
        <v>0</v>
      </c>
      <c r="EZ73" s="10">
        <v>0</v>
      </c>
      <c r="FA73" s="10">
        <v>0</v>
      </c>
      <c r="FB73" s="10">
        <v>0</v>
      </c>
      <c r="FC73" s="10">
        <v>0</v>
      </c>
      <c r="FD73" s="10">
        <v>0</v>
      </c>
      <c r="FE73" s="10">
        <v>0</v>
      </c>
      <c r="FF73" s="10">
        <v>0</v>
      </c>
      <c r="FG73" s="10">
        <v>0</v>
      </c>
      <c r="FH73" s="10">
        <v>0</v>
      </c>
      <c r="FI73" s="10">
        <v>0</v>
      </c>
      <c r="FJ73" s="10">
        <v>0</v>
      </c>
      <c r="FK73" s="10">
        <v>0</v>
      </c>
      <c r="FL73" s="10">
        <v>0</v>
      </c>
      <c r="FM73" s="10">
        <v>0</v>
      </c>
      <c r="FN73" s="10">
        <v>0</v>
      </c>
      <c r="FO73" s="10">
        <v>0</v>
      </c>
      <c r="FP73" s="10">
        <v>0</v>
      </c>
      <c r="FQ73" s="10">
        <v>0</v>
      </c>
      <c r="FR73" s="10">
        <v>0</v>
      </c>
      <c r="FS73" s="10">
        <v>0</v>
      </c>
      <c r="FT73" s="10">
        <v>0</v>
      </c>
      <c r="FU73" s="10">
        <v>0</v>
      </c>
      <c r="FV73" s="10">
        <v>0</v>
      </c>
      <c r="FW73" s="10">
        <v>0</v>
      </c>
      <c r="FX73" s="10">
        <v>0</v>
      </c>
      <c r="FY73" s="10">
        <v>0</v>
      </c>
      <c r="FZ73" s="10">
        <v>0</v>
      </c>
      <c r="GA73" s="10">
        <v>0</v>
      </c>
      <c r="GB73" s="10">
        <v>0</v>
      </c>
      <c r="GC73" s="10">
        <v>0</v>
      </c>
      <c r="GD73" s="10">
        <v>0</v>
      </c>
      <c r="GE73" s="10">
        <v>0</v>
      </c>
      <c r="GF73" s="10">
        <v>0</v>
      </c>
      <c r="GG73" s="10">
        <v>0</v>
      </c>
      <c r="GH73" s="10">
        <v>0</v>
      </c>
      <c r="GI73" s="10">
        <v>0</v>
      </c>
      <c r="GJ73" s="10">
        <v>0</v>
      </c>
      <c r="GK73" s="10">
        <v>0</v>
      </c>
      <c r="GL73" s="10">
        <v>0</v>
      </c>
      <c r="GM73" s="10">
        <v>0</v>
      </c>
      <c r="GN73" s="10">
        <v>0</v>
      </c>
      <c r="GO73" s="10">
        <v>0</v>
      </c>
      <c r="GP73" s="10">
        <v>0</v>
      </c>
      <c r="GQ73" s="10">
        <v>1.5095979183936969E-2</v>
      </c>
      <c r="GR73" s="10">
        <v>0</v>
      </c>
      <c r="GS73" s="10">
        <v>0</v>
      </c>
      <c r="GT73" s="10">
        <v>0</v>
      </c>
      <c r="GU73" s="10">
        <v>0</v>
      </c>
      <c r="GV73" s="10">
        <v>0.92039007214862711</v>
      </c>
      <c r="GW73" s="10">
        <v>0</v>
      </c>
      <c r="GX73" s="10">
        <v>0</v>
      </c>
      <c r="GY73" s="10">
        <v>0</v>
      </c>
      <c r="GZ73" s="10">
        <v>0</v>
      </c>
      <c r="HA73" s="10">
        <v>0</v>
      </c>
      <c r="HB73" s="10">
        <v>0</v>
      </c>
      <c r="HC73" s="10">
        <v>0</v>
      </c>
      <c r="HD73" s="10">
        <v>0</v>
      </c>
      <c r="HE73" s="10">
        <v>0</v>
      </c>
      <c r="HF73" s="10">
        <v>0</v>
      </c>
      <c r="HG73" s="10">
        <v>2.4712771091212761E-2</v>
      </c>
      <c r="HH73" s="10">
        <v>0</v>
      </c>
      <c r="HI73" s="10">
        <v>0</v>
      </c>
      <c r="HJ73" s="10">
        <v>0</v>
      </c>
      <c r="HK73" s="10">
        <v>0</v>
      </c>
      <c r="HL73" s="10">
        <v>0</v>
      </c>
      <c r="HM73" s="10">
        <v>0</v>
      </c>
      <c r="HN73" s="10">
        <v>0</v>
      </c>
      <c r="HO73" s="10">
        <v>0</v>
      </c>
      <c r="HP73" s="10">
        <v>3.9801177576223E-2</v>
      </c>
      <c r="HQ73" s="10">
        <v>0</v>
      </c>
      <c r="HR73" s="10">
        <v>0</v>
      </c>
      <c r="HS73" s="10">
        <v>0</v>
      </c>
      <c r="HT73" s="10">
        <v>0</v>
      </c>
      <c r="HU73" s="10">
        <v>0</v>
      </c>
    </row>
    <row r="74" spans="1:229" x14ac:dyDescent="0.25">
      <c r="A74" s="10">
        <v>0</v>
      </c>
      <c r="B74" s="2" t="s">
        <v>136</v>
      </c>
      <c r="C74" s="2" t="s">
        <v>137</v>
      </c>
      <c r="D74" s="17">
        <v>0.16200000000000001</v>
      </c>
      <c r="E74" s="3">
        <v>3.96</v>
      </c>
      <c r="F74" s="3">
        <v>5.56</v>
      </c>
      <c r="G74" s="3">
        <v>0</v>
      </c>
      <c r="H74" s="3"/>
      <c r="I74" s="3">
        <v>59</v>
      </c>
      <c r="J74" s="3">
        <v>6.5000000000000002E-2</v>
      </c>
      <c r="K74" s="3">
        <v>8.9999999999999993E-3</v>
      </c>
      <c r="L74" s="3"/>
      <c r="M74" s="2" t="str">
        <f t="shared" si="7"/>
        <v>01087</v>
      </c>
      <c r="N74" s="3">
        <v>0.99999999999998823</v>
      </c>
      <c r="O74" s="3">
        <v>1.0000000000000118</v>
      </c>
      <c r="P74" s="17">
        <v>1.0000000000006906</v>
      </c>
      <c r="Q74" s="3">
        <v>1.0000000000000024</v>
      </c>
      <c r="R74" s="3">
        <v>0.99999999999999312</v>
      </c>
      <c r="S74" s="3" t="e">
        <v>#DIV/0!</v>
      </c>
      <c r="T74" s="3" t="e">
        <v>#DIV/0!</v>
      </c>
      <c r="U74" s="3">
        <v>0.99999999999998823</v>
      </c>
      <c r="V74" s="3">
        <v>1.0000000000006903</v>
      </c>
      <c r="W74" s="3">
        <v>1.0000000000008182</v>
      </c>
      <c r="X74" s="3">
        <v>0.16200000000011189</v>
      </c>
      <c r="Y74" s="3">
        <v>3.9600000000000097</v>
      </c>
      <c r="Z74" s="3">
        <v>5.5599999999999614</v>
      </c>
      <c r="AA74" s="3">
        <v>0</v>
      </c>
      <c r="AB74" s="3">
        <v>0</v>
      </c>
      <c r="AC74" s="3">
        <v>58.999999999999304</v>
      </c>
      <c r="AD74" s="3">
        <v>6.5000000000044869E-2</v>
      </c>
      <c r="AE74" s="3">
        <v>9.0000000000073632E-3</v>
      </c>
      <c r="AF74" s="3">
        <v>0</v>
      </c>
      <c r="AG74" s="3">
        <v>0</v>
      </c>
      <c r="AH74" s="3">
        <v>0</v>
      </c>
      <c r="AI74" s="3">
        <v>0</v>
      </c>
      <c r="AJ74" s="3">
        <v>0</v>
      </c>
      <c r="AK74" s="3">
        <v>0</v>
      </c>
      <c r="AL74" s="3">
        <v>0</v>
      </c>
      <c r="AM74" s="3">
        <v>0</v>
      </c>
      <c r="AN74" s="3">
        <v>0</v>
      </c>
      <c r="AO74" s="3">
        <v>0</v>
      </c>
      <c r="AP74" s="3">
        <v>0</v>
      </c>
      <c r="AQ74" s="3">
        <v>0</v>
      </c>
      <c r="AR74" s="3">
        <v>0</v>
      </c>
      <c r="AS74" s="3">
        <v>0</v>
      </c>
      <c r="AT74" s="3">
        <v>0</v>
      </c>
      <c r="AU74" s="3">
        <v>0</v>
      </c>
      <c r="AV74" s="3">
        <v>0</v>
      </c>
      <c r="AW74" s="3">
        <v>0</v>
      </c>
      <c r="AX74" s="3">
        <v>0</v>
      </c>
      <c r="AY74" s="3">
        <v>0</v>
      </c>
      <c r="AZ74" s="3">
        <v>0</v>
      </c>
      <c r="BA74" s="10">
        <v>0</v>
      </c>
      <c r="BB74" s="10">
        <v>0</v>
      </c>
      <c r="BC74" s="10">
        <v>0</v>
      </c>
      <c r="BD74" s="10">
        <v>0</v>
      </c>
      <c r="BE74" s="10">
        <v>0</v>
      </c>
      <c r="BF74" s="10">
        <v>0</v>
      </c>
      <c r="BG74" s="10">
        <v>0</v>
      </c>
      <c r="BH74" s="10">
        <v>0</v>
      </c>
      <c r="BI74" s="10">
        <v>0</v>
      </c>
      <c r="BJ74" s="10">
        <v>0</v>
      </c>
      <c r="BK74" s="10">
        <v>0</v>
      </c>
      <c r="BL74" s="10">
        <v>0</v>
      </c>
      <c r="BM74" s="10">
        <v>0</v>
      </c>
      <c r="BN74" s="10">
        <v>0</v>
      </c>
      <c r="BO74" s="10">
        <v>0</v>
      </c>
      <c r="BP74" s="10">
        <v>0</v>
      </c>
      <c r="BQ74" s="10">
        <v>0</v>
      </c>
      <c r="BR74" s="10">
        <v>0</v>
      </c>
      <c r="BS74" s="10">
        <v>0</v>
      </c>
      <c r="BT74" s="10">
        <v>0</v>
      </c>
      <c r="BU74" s="10">
        <v>0</v>
      </c>
      <c r="BV74" s="10">
        <v>0</v>
      </c>
      <c r="BW74" s="10">
        <v>0</v>
      </c>
      <c r="BX74" s="10">
        <v>0</v>
      </c>
      <c r="BY74" s="10">
        <v>0</v>
      </c>
      <c r="BZ74" s="10">
        <v>0</v>
      </c>
      <c r="CA74" s="10">
        <v>0</v>
      </c>
      <c r="CB74" s="10">
        <v>0</v>
      </c>
      <c r="CC74" s="10">
        <v>0</v>
      </c>
      <c r="CD74" s="10">
        <v>0</v>
      </c>
      <c r="CE74" s="10">
        <v>0</v>
      </c>
      <c r="CF74" s="10">
        <v>0</v>
      </c>
      <c r="CG74" s="10">
        <v>0</v>
      </c>
      <c r="CH74" s="10">
        <v>0</v>
      </c>
      <c r="CI74" s="10">
        <v>0</v>
      </c>
      <c r="CJ74" s="10">
        <v>0</v>
      </c>
      <c r="CK74" s="10">
        <v>0</v>
      </c>
      <c r="CL74" s="10">
        <v>0</v>
      </c>
      <c r="CM74" s="10">
        <v>0</v>
      </c>
      <c r="CN74" s="10">
        <v>6.1568240881331292E-14</v>
      </c>
      <c r="CO74" s="10">
        <v>0</v>
      </c>
      <c r="CP74" s="10">
        <v>0</v>
      </c>
      <c r="CQ74" s="10">
        <v>0.99999999999991962</v>
      </c>
      <c r="CR74" s="10">
        <v>0</v>
      </c>
      <c r="CS74" s="10">
        <v>0</v>
      </c>
      <c r="CT74" s="10">
        <v>0</v>
      </c>
      <c r="CU74" s="10">
        <v>0</v>
      </c>
      <c r="CV74" s="10">
        <v>0</v>
      </c>
      <c r="CW74" s="10">
        <v>0</v>
      </c>
      <c r="CX74" s="10">
        <v>0</v>
      </c>
      <c r="CY74" s="10">
        <v>0</v>
      </c>
      <c r="CZ74" s="10">
        <v>0</v>
      </c>
      <c r="DA74" s="10">
        <v>0</v>
      </c>
      <c r="DB74" s="10">
        <v>0</v>
      </c>
      <c r="DC74" s="10">
        <v>0</v>
      </c>
      <c r="DD74" s="10">
        <v>0</v>
      </c>
      <c r="DE74" s="10">
        <v>0</v>
      </c>
      <c r="DF74" s="10">
        <v>1.9057201907623838E-14</v>
      </c>
      <c r="DG74" s="10">
        <v>0</v>
      </c>
      <c r="DH74" s="10">
        <v>0</v>
      </c>
      <c r="DI74" s="10">
        <v>0</v>
      </c>
      <c r="DJ74" s="10">
        <v>0</v>
      </c>
      <c r="DK74" s="10">
        <v>0</v>
      </c>
      <c r="DL74" s="10">
        <v>0</v>
      </c>
      <c r="DM74" s="10">
        <v>0</v>
      </c>
      <c r="DN74" s="10">
        <v>0</v>
      </c>
      <c r="DO74" s="10">
        <v>0</v>
      </c>
      <c r="DP74" s="10">
        <v>0</v>
      </c>
      <c r="DQ74" s="10">
        <v>0</v>
      </c>
      <c r="DR74" s="10">
        <v>0</v>
      </c>
      <c r="DS74" s="10">
        <v>0</v>
      </c>
      <c r="DT74" s="10">
        <v>0</v>
      </c>
      <c r="DU74" s="10">
        <v>0</v>
      </c>
      <c r="DV74" s="10">
        <v>0</v>
      </c>
      <c r="DW74" s="10">
        <v>0</v>
      </c>
      <c r="DX74" s="10">
        <v>0</v>
      </c>
      <c r="DY74" s="10">
        <v>0</v>
      </c>
      <c r="DZ74" s="10">
        <v>0</v>
      </c>
      <c r="EA74" s="10">
        <v>0</v>
      </c>
      <c r="EB74" s="10">
        <v>0</v>
      </c>
      <c r="EC74" s="10">
        <v>0</v>
      </c>
      <c r="ED74" s="10">
        <v>0</v>
      </c>
      <c r="EE74" s="10">
        <v>0</v>
      </c>
      <c r="EF74" s="10">
        <v>0</v>
      </c>
      <c r="EG74" s="10">
        <v>0</v>
      </c>
      <c r="EH74" s="10">
        <v>0</v>
      </c>
      <c r="EI74" s="10">
        <v>0</v>
      </c>
      <c r="EJ74" s="10">
        <v>0</v>
      </c>
      <c r="EK74" s="10">
        <v>0</v>
      </c>
      <c r="EL74" s="10">
        <v>0</v>
      </c>
      <c r="EM74" s="10">
        <v>0</v>
      </c>
      <c r="EN74" s="10">
        <v>0</v>
      </c>
      <c r="EO74" s="10">
        <v>0</v>
      </c>
      <c r="EP74" s="10">
        <v>0</v>
      </c>
      <c r="EQ74" s="10">
        <v>0</v>
      </c>
      <c r="ER74" s="10">
        <v>0</v>
      </c>
      <c r="ES74" s="10">
        <v>0</v>
      </c>
      <c r="ET74" s="10">
        <v>0</v>
      </c>
      <c r="EU74" s="10">
        <v>0</v>
      </c>
      <c r="EV74" s="10">
        <v>0</v>
      </c>
      <c r="EW74" s="10">
        <v>0</v>
      </c>
      <c r="EX74" s="10">
        <v>0</v>
      </c>
      <c r="EY74" s="10">
        <v>0</v>
      </c>
      <c r="EZ74" s="10">
        <v>0</v>
      </c>
      <c r="FA74" s="10">
        <v>0</v>
      </c>
      <c r="FB74" s="10">
        <v>0</v>
      </c>
      <c r="FC74" s="10">
        <v>0</v>
      </c>
      <c r="FD74" s="10">
        <v>0</v>
      </c>
      <c r="FE74" s="10">
        <v>0</v>
      </c>
      <c r="FF74" s="10">
        <v>0</v>
      </c>
      <c r="FG74" s="10">
        <v>0</v>
      </c>
      <c r="FH74" s="10">
        <v>0</v>
      </c>
      <c r="FI74" s="10">
        <v>0</v>
      </c>
      <c r="FJ74" s="10">
        <v>0</v>
      </c>
      <c r="FK74" s="10">
        <v>0</v>
      </c>
      <c r="FL74" s="10">
        <v>0</v>
      </c>
      <c r="FM74" s="10">
        <v>0</v>
      </c>
      <c r="FN74" s="10">
        <v>0</v>
      </c>
      <c r="FO74" s="10">
        <v>0</v>
      </c>
      <c r="FP74" s="10">
        <v>0</v>
      </c>
      <c r="FQ74" s="10">
        <v>0</v>
      </c>
      <c r="FR74" s="10">
        <v>0</v>
      </c>
      <c r="FS74" s="10">
        <v>0</v>
      </c>
      <c r="FT74" s="10">
        <v>0</v>
      </c>
      <c r="FU74" s="10">
        <v>0</v>
      </c>
      <c r="FV74" s="10">
        <v>0</v>
      </c>
      <c r="FW74" s="10">
        <v>0</v>
      </c>
      <c r="FX74" s="10">
        <v>0</v>
      </c>
      <c r="FY74" s="10">
        <v>0</v>
      </c>
      <c r="FZ74" s="10">
        <v>0</v>
      </c>
      <c r="GA74" s="10">
        <v>0</v>
      </c>
      <c r="GB74" s="10">
        <v>0</v>
      </c>
      <c r="GC74" s="10">
        <v>0</v>
      </c>
      <c r="GD74" s="10">
        <v>0</v>
      </c>
      <c r="GE74" s="10">
        <v>0</v>
      </c>
      <c r="GF74" s="10">
        <v>0</v>
      </c>
      <c r="GG74" s="10">
        <v>0</v>
      </c>
      <c r="GH74" s="10">
        <v>0</v>
      </c>
      <c r="GI74" s="10">
        <v>0</v>
      </c>
      <c r="GJ74" s="10">
        <v>0</v>
      </c>
      <c r="GK74" s="10">
        <v>0</v>
      </c>
      <c r="GL74" s="10">
        <v>0</v>
      </c>
      <c r="GM74" s="10">
        <v>0</v>
      </c>
      <c r="GN74" s="10">
        <v>0</v>
      </c>
      <c r="GO74" s="10">
        <v>0</v>
      </c>
      <c r="GP74" s="10">
        <v>0</v>
      </c>
      <c r="GQ74" s="10">
        <v>0</v>
      </c>
      <c r="GR74" s="10">
        <v>0</v>
      </c>
      <c r="GS74" s="10">
        <v>0</v>
      </c>
      <c r="GT74" s="10">
        <v>0</v>
      </c>
      <c r="GU74" s="10">
        <v>0</v>
      </c>
      <c r="GV74" s="10">
        <v>0</v>
      </c>
      <c r="GW74" s="10">
        <v>0</v>
      </c>
      <c r="GX74" s="10">
        <v>0</v>
      </c>
      <c r="GY74" s="10">
        <v>0</v>
      </c>
      <c r="GZ74" s="10">
        <v>0</v>
      </c>
      <c r="HA74" s="10">
        <v>0</v>
      </c>
      <c r="HB74" s="10">
        <v>0</v>
      </c>
      <c r="HC74" s="10">
        <v>0</v>
      </c>
      <c r="HD74" s="10">
        <v>0</v>
      </c>
      <c r="HE74" s="10">
        <v>0</v>
      </c>
      <c r="HF74" s="10">
        <v>0</v>
      </c>
      <c r="HG74" s="10">
        <v>0</v>
      </c>
      <c r="HH74" s="10">
        <v>0</v>
      </c>
      <c r="HI74" s="10">
        <v>0</v>
      </c>
      <c r="HJ74" s="10">
        <v>0</v>
      </c>
      <c r="HK74" s="10">
        <v>0</v>
      </c>
      <c r="HL74" s="10">
        <v>0</v>
      </c>
      <c r="HM74" s="10">
        <v>0</v>
      </c>
      <c r="HN74" s="10">
        <v>0</v>
      </c>
      <c r="HO74" s="10">
        <v>0</v>
      </c>
      <c r="HP74" s="10">
        <v>0</v>
      </c>
      <c r="HQ74" s="10">
        <v>0</v>
      </c>
      <c r="HR74" s="10">
        <v>0</v>
      </c>
      <c r="HS74" s="10">
        <v>0</v>
      </c>
      <c r="HT74" s="10">
        <v>0</v>
      </c>
      <c r="HU74" s="10">
        <v>0</v>
      </c>
    </row>
    <row r="75" spans="1:229" x14ac:dyDescent="0.25">
      <c r="A75" s="10">
        <v>0</v>
      </c>
      <c r="B75" s="2" t="s">
        <v>138</v>
      </c>
      <c r="C75" s="2" t="s">
        <v>139</v>
      </c>
      <c r="D75" s="17">
        <v>0.54800000000000004</v>
      </c>
      <c r="E75" s="3">
        <v>3.31</v>
      </c>
      <c r="F75" s="3">
        <v>4.79</v>
      </c>
      <c r="G75" s="3">
        <v>0</v>
      </c>
      <c r="H75" s="3">
        <v>4.79</v>
      </c>
      <c r="I75" s="3">
        <v>190</v>
      </c>
      <c r="J75" s="3">
        <v>0.254</v>
      </c>
      <c r="K75" s="3">
        <v>3.3000000000000002E-2</v>
      </c>
      <c r="L75" s="3"/>
      <c r="M75" s="2" t="str">
        <f t="shared" si="7"/>
        <v>01088</v>
      </c>
      <c r="N75" s="3">
        <v>0.29974617578679291</v>
      </c>
      <c r="O75" s="3">
        <v>1.700253824213207</v>
      </c>
      <c r="P75" s="17">
        <v>0.29974617578658203</v>
      </c>
      <c r="Q75" s="3">
        <v>1.8078077259732703</v>
      </c>
      <c r="R75" s="3">
        <v>1.2386289366040477</v>
      </c>
      <c r="S75" s="3" t="e">
        <v>#DIV/0!</v>
      </c>
      <c r="T75" s="3">
        <v>0.29974617578678853</v>
      </c>
      <c r="U75" s="3">
        <v>0.29974617578679252</v>
      </c>
      <c r="V75" s="3">
        <v>1.7002538242131329</v>
      </c>
      <c r="W75" s="3">
        <v>2.3456708768023438</v>
      </c>
      <c r="X75" s="3">
        <v>0.16426090433104695</v>
      </c>
      <c r="Y75" s="3">
        <v>5.9838435729715247</v>
      </c>
      <c r="Z75" s="3">
        <v>5.9330326063333887</v>
      </c>
      <c r="AA75" s="3">
        <v>0.34703767661751306</v>
      </c>
      <c r="AB75" s="3">
        <v>1.4357841820187169</v>
      </c>
      <c r="AC75" s="3">
        <v>56.951773399490577</v>
      </c>
      <c r="AD75" s="3">
        <v>0.43186447135013578</v>
      </c>
      <c r="AE75" s="3">
        <v>7.7407138934477343E-2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3">
        <v>0</v>
      </c>
      <c r="AM75" s="3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3">
        <v>0</v>
      </c>
      <c r="AU75" s="3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10">
        <v>0</v>
      </c>
      <c r="BB75" s="10">
        <v>0</v>
      </c>
      <c r="BC75" s="10">
        <v>0</v>
      </c>
      <c r="BD75" s="10">
        <v>0</v>
      </c>
      <c r="BE75" s="10">
        <v>0</v>
      </c>
      <c r="BF75" s="10">
        <v>0</v>
      </c>
      <c r="BG75" s="10">
        <v>0</v>
      </c>
      <c r="BH75" s="10">
        <v>0</v>
      </c>
      <c r="BI75" s="10">
        <v>0</v>
      </c>
      <c r="BJ75" s="10">
        <v>0</v>
      </c>
      <c r="BK75" s="10">
        <v>0</v>
      </c>
      <c r="BL75" s="10">
        <v>0</v>
      </c>
      <c r="BM75" s="10">
        <v>0</v>
      </c>
      <c r="BN75" s="10">
        <v>0</v>
      </c>
      <c r="BO75" s="10">
        <v>0</v>
      </c>
      <c r="BP75" s="10">
        <v>0</v>
      </c>
      <c r="BQ75" s="10">
        <v>0</v>
      </c>
      <c r="BR75" s="10">
        <v>0</v>
      </c>
      <c r="BS75" s="10">
        <v>0</v>
      </c>
      <c r="BT75" s="10">
        <v>0</v>
      </c>
      <c r="BU75" s="10">
        <v>0</v>
      </c>
      <c r="BV75" s="10">
        <v>0</v>
      </c>
      <c r="BW75" s="10">
        <v>0</v>
      </c>
      <c r="BX75" s="10">
        <v>0</v>
      </c>
      <c r="BY75" s="10">
        <v>0</v>
      </c>
      <c r="BZ75" s="10">
        <v>0</v>
      </c>
      <c r="CA75" s="10">
        <v>8.871752696691609E-3</v>
      </c>
      <c r="CB75" s="10">
        <v>0</v>
      </c>
      <c r="CC75" s="10">
        <v>0</v>
      </c>
      <c r="CD75" s="10">
        <v>0</v>
      </c>
      <c r="CE75" s="10">
        <v>0</v>
      </c>
      <c r="CF75" s="10">
        <v>0</v>
      </c>
      <c r="CG75" s="10">
        <v>0</v>
      </c>
      <c r="CH75" s="10">
        <v>0</v>
      </c>
      <c r="CI75" s="10">
        <v>0</v>
      </c>
      <c r="CJ75" s="10">
        <v>0</v>
      </c>
      <c r="CK75" s="10">
        <v>0</v>
      </c>
      <c r="CL75" s="10">
        <v>0</v>
      </c>
      <c r="CM75" s="10">
        <v>0</v>
      </c>
      <c r="CN75" s="10">
        <v>0</v>
      </c>
      <c r="CO75" s="10">
        <v>0</v>
      </c>
      <c r="CP75" s="10">
        <v>0</v>
      </c>
      <c r="CQ75" s="10">
        <v>0.5187730556069442</v>
      </c>
      <c r="CR75" s="10">
        <v>0</v>
      </c>
      <c r="CS75" s="10">
        <v>0</v>
      </c>
      <c r="CT75" s="10">
        <v>0</v>
      </c>
      <c r="CU75" s="10">
        <v>0</v>
      </c>
      <c r="CV75" s="10">
        <v>0</v>
      </c>
      <c r="CW75" s="10">
        <v>0</v>
      </c>
      <c r="CX75" s="10">
        <v>0</v>
      </c>
      <c r="CY75" s="10">
        <v>0</v>
      </c>
      <c r="CZ75" s="10">
        <v>0</v>
      </c>
      <c r="DA75" s="10">
        <v>0</v>
      </c>
      <c r="DB75" s="10">
        <v>0</v>
      </c>
      <c r="DC75" s="10">
        <v>0</v>
      </c>
      <c r="DD75" s="10">
        <v>0</v>
      </c>
      <c r="DE75" s="10">
        <v>0</v>
      </c>
      <c r="DF75" s="10">
        <v>0</v>
      </c>
      <c r="DG75" s="10">
        <v>0</v>
      </c>
      <c r="DH75" s="10">
        <v>0</v>
      </c>
      <c r="DI75" s="10">
        <v>0</v>
      </c>
      <c r="DJ75" s="10">
        <v>0</v>
      </c>
      <c r="DK75" s="10">
        <v>0</v>
      </c>
      <c r="DL75" s="10">
        <v>0</v>
      </c>
      <c r="DM75" s="10">
        <v>0</v>
      </c>
      <c r="DN75" s="10">
        <v>0</v>
      </c>
      <c r="DO75" s="10">
        <v>0</v>
      </c>
      <c r="DP75" s="10">
        <v>0</v>
      </c>
      <c r="DQ75" s="10">
        <v>0</v>
      </c>
      <c r="DR75" s="10">
        <v>0</v>
      </c>
      <c r="DS75" s="10">
        <v>0</v>
      </c>
      <c r="DT75" s="10">
        <v>0</v>
      </c>
      <c r="DU75" s="10">
        <v>0</v>
      </c>
      <c r="DV75" s="10">
        <v>0</v>
      </c>
      <c r="DW75" s="10">
        <v>0</v>
      </c>
      <c r="DX75" s="10">
        <v>0</v>
      </c>
      <c r="DY75" s="10">
        <v>0</v>
      </c>
      <c r="DZ75" s="10">
        <v>0</v>
      </c>
      <c r="EA75" s="10">
        <v>0</v>
      </c>
      <c r="EB75" s="10">
        <v>0</v>
      </c>
      <c r="EC75" s="10">
        <v>0</v>
      </c>
      <c r="ED75" s="10">
        <v>0</v>
      </c>
      <c r="EE75" s="10">
        <v>0</v>
      </c>
      <c r="EF75" s="10">
        <v>0</v>
      </c>
      <c r="EG75" s="10">
        <v>0</v>
      </c>
      <c r="EH75" s="10">
        <v>0</v>
      </c>
      <c r="EI75" s="10">
        <v>0</v>
      </c>
      <c r="EJ75" s="10">
        <v>0</v>
      </c>
      <c r="EK75" s="10">
        <v>0</v>
      </c>
      <c r="EL75" s="10">
        <v>0</v>
      </c>
      <c r="EM75" s="10">
        <v>0</v>
      </c>
      <c r="EN75" s="10">
        <v>0</v>
      </c>
      <c r="EO75" s="10">
        <v>0</v>
      </c>
      <c r="EP75" s="10">
        <v>0</v>
      </c>
      <c r="EQ75" s="10">
        <v>0</v>
      </c>
      <c r="ER75" s="10">
        <v>0</v>
      </c>
      <c r="ES75" s="10">
        <v>0</v>
      </c>
      <c r="ET75" s="10">
        <v>0</v>
      </c>
      <c r="EU75" s="10">
        <v>0</v>
      </c>
      <c r="EV75" s="10">
        <v>0</v>
      </c>
      <c r="EW75" s="10">
        <v>0</v>
      </c>
      <c r="EX75" s="10">
        <v>0</v>
      </c>
      <c r="EY75" s="10">
        <v>0</v>
      </c>
      <c r="EZ75" s="10">
        <v>0</v>
      </c>
      <c r="FA75" s="10">
        <v>0</v>
      </c>
      <c r="FB75" s="10">
        <v>0</v>
      </c>
      <c r="FC75" s="10">
        <v>0</v>
      </c>
      <c r="FD75" s="10">
        <v>0</v>
      </c>
      <c r="FE75" s="10">
        <v>0</v>
      </c>
      <c r="FF75" s="10">
        <v>0</v>
      </c>
      <c r="FG75" s="10">
        <v>0</v>
      </c>
      <c r="FH75" s="10">
        <v>0</v>
      </c>
      <c r="FI75" s="10">
        <v>0</v>
      </c>
      <c r="FJ75" s="10">
        <v>0</v>
      </c>
      <c r="FK75" s="10">
        <v>0</v>
      </c>
      <c r="FL75" s="10">
        <v>0</v>
      </c>
      <c r="FM75" s="10">
        <v>0</v>
      </c>
      <c r="FN75" s="10">
        <v>0</v>
      </c>
      <c r="FO75" s="10">
        <v>0</v>
      </c>
      <c r="FP75" s="10">
        <v>0</v>
      </c>
      <c r="FQ75" s="10">
        <v>0</v>
      </c>
      <c r="FR75" s="10">
        <v>0</v>
      </c>
      <c r="FS75" s="10">
        <v>0</v>
      </c>
      <c r="FT75" s="10">
        <v>0</v>
      </c>
      <c r="FU75" s="10">
        <v>0</v>
      </c>
      <c r="FV75" s="10">
        <v>0</v>
      </c>
      <c r="FW75" s="10">
        <v>0</v>
      </c>
      <c r="FX75" s="10">
        <v>0</v>
      </c>
      <c r="FY75" s="10">
        <v>0</v>
      </c>
      <c r="FZ75" s="10">
        <v>0</v>
      </c>
      <c r="GA75" s="10">
        <v>0</v>
      </c>
      <c r="GB75" s="10">
        <v>0</v>
      </c>
      <c r="GC75" s="10">
        <v>0</v>
      </c>
      <c r="GD75" s="10">
        <v>0</v>
      </c>
      <c r="GE75" s="10">
        <v>0</v>
      </c>
      <c r="GF75" s="10">
        <v>0</v>
      </c>
      <c r="GG75" s="10">
        <v>0</v>
      </c>
      <c r="GH75" s="10">
        <v>0</v>
      </c>
      <c r="GI75" s="10">
        <v>0</v>
      </c>
      <c r="GJ75" s="10">
        <v>0</v>
      </c>
      <c r="GK75" s="10">
        <v>0</v>
      </c>
      <c r="GL75" s="10">
        <v>0</v>
      </c>
      <c r="GM75" s="10">
        <v>0</v>
      </c>
      <c r="GN75" s="10">
        <v>0</v>
      </c>
      <c r="GO75" s="10">
        <v>0</v>
      </c>
      <c r="GP75" s="10">
        <v>0</v>
      </c>
      <c r="GQ75" s="10">
        <v>0.15774439846250593</v>
      </c>
      <c r="GR75" s="10">
        <v>0</v>
      </c>
      <c r="GS75" s="10">
        <v>0</v>
      </c>
      <c r="GT75" s="10">
        <v>0</v>
      </c>
      <c r="GU75" s="10">
        <v>0</v>
      </c>
      <c r="GV75" s="10">
        <v>0.31461079323385843</v>
      </c>
      <c r="GW75" s="10">
        <v>0</v>
      </c>
      <c r="GX75" s="10">
        <v>0</v>
      </c>
      <c r="GY75" s="10">
        <v>0</v>
      </c>
      <c r="GZ75" s="10">
        <v>0</v>
      </c>
      <c r="HA75" s="10">
        <v>0</v>
      </c>
      <c r="HB75" s="10">
        <v>0</v>
      </c>
      <c r="HC75" s="10">
        <v>0</v>
      </c>
      <c r="HD75" s="10">
        <v>0</v>
      </c>
      <c r="HE75" s="10">
        <v>0</v>
      </c>
      <c r="HF75" s="10">
        <v>0</v>
      </c>
      <c r="HG75" s="10">
        <v>0</v>
      </c>
      <c r="HH75" s="10">
        <v>0</v>
      </c>
      <c r="HI75" s="10">
        <v>0</v>
      </c>
      <c r="HJ75" s="10">
        <v>0</v>
      </c>
      <c r="HK75" s="10">
        <v>0</v>
      </c>
      <c r="HL75" s="10">
        <v>0</v>
      </c>
      <c r="HM75" s="10">
        <v>0</v>
      </c>
      <c r="HN75" s="10">
        <v>0</v>
      </c>
      <c r="HO75" s="10">
        <v>0</v>
      </c>
      <c r="HP75" s="10">
        <v>0</v>
      </c>
      <c r="HQ75" s="10">
        <v>0</v>
      </c>
      <c r="HR75" s="10">
        <v>0</v>
      </c>
      <c r="HS75" s="10">
        <v>0</v>
      </c>
      <c r="HT75" s="10">
        <v>0</v>
      </c>
      <c r="HU75" s="10">
        <v>0</v>
      </c>
    </row>
    <row r="76" spans="1:229" x14ac:dyDescent="0.25">
      <c r="A76" s="10">
        <v>0.43390607263790393</v>
      </c>
      <c r="B76" s="2" t="s">
        <v>140</v>
      </c>
      <c r="C76" s="2" t="s">
        <v>141</v>
      </c>
      <c r="D76" s="17">
        <v>2.1539999999999999</v>
      </c>
      <c r="E76" s="3">
        <v>3.1</v>
      </c>
      <c r="F76" s="3">
        <v>4.46</v>
      </c>
      <c r="G76" s="3">
        <v>0</v>
      </c>
      <c r="H76" s="21">
        <v>4.46</v>
      </c>
      <c r="I76" s="3">
        <v>3</v>
      </c>
      <c r="J76" s="3">
        <v>0.999</v>
      </c>
      <c r="K76" s="3">
        <v>0.128</v>
      </c>
      <c r="L76" s="3"/>
      <c r="M76" s="2" t="str">
        <f t="shared" ref="M76:M139" si="8">B76</f>
        <v>01089</v>
      </c>
      <c r="N76" s="3">
        <v>1.0000000000000213</v>
      </c>
      <c r="O76" s="3">
        <v>0.99999999999997891</v>
      </c>
      <c r="P76" s="17">
        <v>1.0000000000000202</v>
      </c>
      <c r="Q76" s="3">
        <v>1.0000000000000051</v>
      </c>
      <c r="R76" s="3">
        <v>0.99999999999999944</v>
      </c>
      <c r="S76" s="3" t="e">
        <v>#DIV/0!</v>
      </c>
      <c r="T76" s="3">
        <v>0.99999999999999845</v>
      </c>
      <c r="U76" s="3">
        <v>1.0000000000000204</v>
      </c>
      <c r="V76" s="3">
        <v>1.0000000000000302</v>
      </c>
      <c r="W76" s="3">
        <v>1.0000000000000595</v>
      </c>
      <c r="X76" s="3">
        <v>2.1540000000000434</v>
      </c>
      <c r="Y76" s="3">
        <v>3.1000000000000161</v>
      </c>
      <c r="Z76" s="3">
        <v>4.4599999999999973</v>
      </c>
      <c r="AA76" s="3">
        <v>0</v>
      </c>
      <c r="AB76" s="3">
        <v>4.4599999999999929</v>
      </c>
      <c r="AC76" s="3">
        <v>3.0000000000000613</v>
      </c>
      <c r="AD76" s="3">
        <v>0.9990000000000302</v>
      </c>
      <c r="AE76" s="3">
        <v>0.12800000000000761</v>
      </c>
      <c r="AF76" s="3">
        <v>0</v>
      </c>
      <c r="AG76" s="3">
        <v>0</v>
      </c>
      <c r="AH76" s="3">
        <v>5.5252594127047525E-16</v>
      </c>
      <c r="AI76" s="3">
        <v>0</v>
      </c>
      <c r="AJ76" s="3">
        <v>0</v>
      </c>
      <c r="AK76" s="3">
        <v>0</v>
      </c>
      <c r="AL76" s="3">
        <v>0</v>
      </c>
      <c r="AM76" s="3">
        <v>0</v>
      </c>
      <c r="AN76" s="3">
        <v>0</v>
      </c>
      <c r="AO76" s="3">
        <v>0</v>
      </c>
      <c r="AP76" s="3">
        <v>0</v>
      </c>
      <c r="AQ76" s="3">
        <v>0</v>
      </c>
      <c r="AR76" s="3">
        <v>0</v>
      </c>
      <c r="AS76" s="3">
        <v>0</v>
      </c>
      <c r="AT76" s="3">
        <v>0</v>
      </c>
      <c r="AU76" s="3">
        <v>0</v>
      </c>
      <c r="AV76" s="3">
        <v>0</v>
      </c>
      <c r="AW76" s="3">
        <v>0</v>
      </c>
      <c r="AX76" s="3">
        <v>0</v>
      </c>
      <c r="AY76" s="3">
        <v>0</v>
      </c>
      <c r="AZ76" s="3">
        <v>0</v>
      </c>
      <c r="BA76" s="10">
        <v>0</v>
      </c>
      <c r="BB76" s="10">
        <v>0</v>
      </c>
      <c r="BC76" s="10">
        <v>0</v>
      </c>
      <c r="BD76" s="10">
        <v>0</v>
      </c>
      <c r="BE76" s="10">
        <v>0</v>
      </c>
      <c r="BF76" s="10">
        <v>0</v>
      </c>
      <c r="BG76" s="10">
        <v>0</v>
      </c>
      <c r="BH76" s="10">
        <v>0</v>
      </c>
      <c r="BI76" s="10">
        <v>0</v>
      </c>
      <c r="BJ76" s="10">
        <v>0</v>
      </c>
      <c r="BK76" s="10">
        <v>0</v>
      </c>
      <c r="BL76" s="10">
        <v>0</v>
      </c>
      <c r="BM76" s="10">
        <v>0</v>
      </c>
      <c r="BN76" s="10">
        <v>0</v>
      </c>
      <c r="BO76" s="10">
        <v>0</v>
      </c>
      <c r="BP76" s="10">
        <v>0</v>
      </c>
      <c r="BQ76" s="10">
        <v>0</v>
      </c>
      <c r="BR76" s="10">
        <v>0</v>
      </c>
      <c r="BS76" s="10">
        <v>0</v>
      </c>
      <c r="BT76" s="10">
        <v>0</v>
      </c>
      <c r="BU76" s="10">
        <v>0</v>
      </c>
      <c r="BV76" s="10">
        <v>0</v>
      </c>
      <c r="BW76" s="10">
        <v>0</v>
      </c>
      <c r="BX76" s="10">
        <v>0</v>
      </c>
      <c r="BY76" s="10">
        <v>0</v>
      </c>
      <c r="BZ76" s="10">
        <v>0</v>
      </c>
      <c r="CA76" s="10">
        <v>0</v>
      </c>
      <c r="CB76" s="10">
        <v>0</v>
      </c>
      <c r="CC76" s="10">
        <v>0</v>
      </c>
      <c r="CD76" s="10">
        <v>0</v>
      </c>
      <c r="CE76" s="10">
        <v>0</v>
      </c>
      <c r="CF76" s="10">
        <v>0</v>
      </c>
      <c r="CG76" s="10">
        <v>0</v>
      </c>
      <c r="CH76" s="10">
        <v>0</v>
      </c>
      <c r="CI76" s="10">
        <v>0</v>
      </c>
      <c r="CJ76" s="10">
        <v>0</v>
      </c>
      <c r="CK76" s="10">
        <v>0</v>
      </c>
      <c r="CL76" s="10">
        <v>0</v>
      </c>
      <c r="CM76" s="10">
        <v>0</v>
      </c>
      <c r="CN76" s="10">
        <v>0</v>
      </c>
      <c r="CO76" s="10">
        <v>0</v>
      </c>
      <c r="CP76" s="10">
        <v>0</v>
      </c>
      <c r="CQ76" s="10">
        <v>0</v>
      </c>
      <c r="CR76" s="10">
        <v>0</v>
      </c>
      <c r="CS76" s="10">
        <v>0.99999999999999811</v>
      </c>
      <c r="CT76" s="10">
        <v>0</v>
      </c>
      <c r="CU76" s="10">
        <v>0</v>
      </c>
      <c r="CV76" s="10">
        <v>0</v>
      </c>
      <c r="CW76" s="10">
        <v>0</v>
      </c>
      <c r="CX76" s="10">
        <v>0</v>
      </c>
      <c r="CY76" s="10">
        <v>0</v>
      </c>
      <c r="CZ76" s="10">
        <v>0</v>
      </c>
      <c r="DA76" s="10">
        <v>0</v>
      </c>
      <c r="DB76" s="10">
        <v>0</v>
      </c>
      <c r="DC76" s="10">
        <v>0</v>
      </c>
      <c r="DD76" s="10">
        <v>0</v>
      </c>
      <c r="DE76" s="10">
        <v>0</v>
      </c>
      <c r="DF76" s="10">
        <v>0</v>
      </c>
      <c r="DG76" s="10">
        <v>0</v>
      </c>
      <c r="DH76" s="10">
        <v>0</v>
      </c>
      <c r="DI76" s="10">
        <v>0</v>
      </c>
      <c r="DJ76" s="10">
        <v>0</v>
      </c>
      <c r="DK76" s="10">
        <v>0</v>
      </c>
      <c r="DL76" s="10">
        <v>0</v>
      </c>
      <c r="DM76" s="10">
        <v>0</v>
      </c>
      <c r="DN76" s="10">
        <v>0</v>
      </c>
      <c r="DO76" s="10">
        <v>0</v>
      </c>
      <c r="DP76" s="10">
        <v>0</v>
      </c>
      <c r="DQ76" s="10">
        <v>0</v>
      </c>
      <c r="DR76" s="10">
        <v>0</v>
      </c>
      <c r="DS76" s="10">
        <v>1.3813518041697303E-15</v>
      </c>
      <c r="DT76" s="10">
        <v>0</v>
      </c>
      <c r="DU76" s="10">
        <v>0</v>
      </c>
      <c r="DV76" s="10">
        <v>0</v>
      </c>
      <c r="DW76" s="10">
        <v>0</v>
      </c>
      <c r="DX76" s="10">
        <v>0</v>
      </c>
      <c r="DY76" s="10">
        <v>0</v>
      </c>
      <c r="DZ76" s="10">
        <v>0</v>
      </c>
      <c r="EA76" s="10">
        <v>0</v>
      </c>
      <c r="EB76" s="10">
        <v>0</v>
      </c>
      <c r="EC76" s="10">
        <v>0</v>
      </c>
      <c r="ED76" s="10">
        <v>0</v>
      </c>
      <c r="EE76" s="10">
        <v>0</v>
      </c>
      <c r="EF76" s="10">
        <v>0</v>
      </c>
      <c r="EG76" s="10">
        <v>0</v>
      </c>
      <c r="EH76" s="10">
        <v>0</v>
      </c>
      <c r="EI76" s="10">
        <v>0</v>
      </c>
      <c r="EJ76" s="10">
        <v>0</v>
      </c>
      <c r="EK76" s="10">
        <v>0</v>
      </c>
      <c r="EL76" s="10">
        <v>0</v>
      </c>
      <c r="EM76" s="10">
        <v>0</v>
      </c>
      <c r="EN76" s="10">
        <v>0</v>
      </c>
      <c r="EO76" s="10">
        <v>0</v>
      </c>
      <c r="EP76" s="10">
        <v>0</v>
      </c>
      <c r="EQ76" s="10">
        <v>0</v>
      </c>
      <c r="ER76" s="10">
        <v>0</v>
      </c>
      <c r="ES76" s="10">
        <v>0</v>
      </c>
      <c r="ET76" s="10">
        <v>0</v>
      </c>
      <c r="EU76" s="10">
        <v>0</v>
      </c>
      <c r="EV76" s="10">
        <v>0</v>
      </c>
      <c r="EW76" s="10">
        <v>0</v>
      </c>
      <c r="EX76" s="10">
        <v>0</v>
      </c>
      <c r="EY76" s="10">
        <v>0</v>
      </c>
      <c r="EZ76" s="10">
        <v>0</v>
      </c>
      <c r="FA76" s="10">
        <v>0</v>
      </c>
      <c r="FB76" s="10">
        <v>0</v>
      </c>
      <c r="FC76" s="10">
        <v>0</v>
      </c>
      <c r="FD76" s="10">
        <v>0</v>
      </c>
      <c r="FE76" s="10">
        <v>0</v>
      </c>
      <c r="FF76" s="10">
        <v>0</v>
      </c>
      <c r="FG76" s="10">
        <v>0</v>
      </c>
      <c r="FH76" s="10">
        <v>0</v>
      </c>
      <c r="FI76" s="10">
        <v>0</v>
      </c>
      <c r="FJ76" s="10">
        <v>0</v>
      </c>
      <c r="FK76" s="10">
        <v>0</v>
      </c>
      <c r="FL76" s="10">
        <v>0</v>
      </c>
      <c r="FM76" s="10">
        <v>0</v>
      </c>
      <c r="FN76" s="10">
        <v>0</v>
      </c>
      <c r="FO76" s="10">
        <v>0</v>
      </c>
      <c r="FP76" s="10">
        <v>0</v>
      </c>
      <c r="FQ76" s="10">
        <v>0</v>
      </c>
      <c r="FR76" s="10">
        <v>0</v>
      </c>
      <c r="FS76" s="10">
        <v>0</v>
      </c>
      <c r="FT76" s="10">
        <v>0</v>
      </c>
      <c r="FU76" s="10">
        <v>0</v>
      </c>
      <c r="FV76" s="10">
        <v>0</v>
      </c>
      <c r="FW76" s="10">
        <v>0</v>
      </c>
      <c r="FX76" s="10">
        <v>0</v>
      </c>
      <c r="FY76" s="10">
        <v>0</v>
      </c>
      <c r="FZ76" s="10">
        <v>0</v>
      </c>
      <c r="GA76" s="10">
        <v>0</v>
      </c>
      <c r="GB76" s="10">
        <v>0</v>
      </c>
      <c r="GC76" s="10">
        <v>0</v>
      </c>
      <c r="GD76" s="10">
        <v>0</v>
      </c>
      <c r="GE76" s="10">
        <v>0</v>
      </c>
      <c r="GF76" s="10">
        <v>0</v>
      </c>
      <c r="GG76" s="10">
        <v>0</v>
      </c>
      <c r="GH76" s="10">
        <v>0</v>
      </c>
      <c r="GI76" s="10">
        <v>0</v>
      </c>
      <c r="GJ76" s="10">
        <v>0</v>
      </c>
      <c r="GK76" s="10">
        <v>0</v>
      </c>
      <c r="GL76" s="10">
        <v>0</v>
      </c>
      <c r="GM76" s="10">
        <v>0</v>
      </c>
      <c r="GN76" s="10">
        <v>0</v>
      </c>
      <c r="GO76" s="10">
        <v>0</v>
      </c>
      <c r="GP76" s="10">
        <v>0</v>
      </c>
      <c r="GQ76" s="10">
        <v>0</v>
      </c>
      <c r="GR76" s="10">
        <v>0</v>
      </c>
      <c r="GS76" s="10">
        <v>0</v>
      </c>
      <c r="GT76" s="10">
        <v>0</v>
      </c>
      <c r="GU76" s="10">
        <v>0</v>
      </c>
      <c r="GV76" s="10">
        <v>0</v>
      </c>
      <c r="GW76" s="10">
        <v>0</v>
      </c>
      <c r="GX76" s="10">
        <v>0</v>
      </c>
      <c r="GY76" s="10">
        <v>0</v>
      </c>
      <c r="GZ76" s="10">
        <v>0</v>
      </c>
      <c r="HA76" s="10">
        <v>0</v>
      </c>
      <c r="HB76" s="10">
        <v>0</v>
      </c>
      <c r="HC76" s="10">
        <v>0</v>
      </c>
      <c r="HD76" s="10">
        <v>0</v>
      </c>
      <c r="HE76" s="10">
        <v>0</v>
      </c>
      <c r="HF76" s="10">
        <v>0</v>
      </c>
      <c r="HG76" s="10">
        <v>0</v>
      </c>
      <c r="HH76" s="10">
        <v>0</v>
      </c>
      <c r="HI76" s="10">
        <v>0</v>
      </c>
      <c r="HJ76" s="10">
        <v>0</v>
      </c>
      <c r="HK76" s="10">
        <v>0</v>
      </c>
      <c r="HL76" s="10">
        <v>0</v>
      </c>
      <c r="HM76" s="10">
        <v>0</v>
      </c>
      <c r="HN76" s="10">
        <v>0</v>
      </c>
      <c r="HO76" s="10">
        <v>0</v>
      </c>
      <c r="HP76" s="10">
        <v>0</v>
      </c>
      <c r="HQ76" s="10">
        <v>0</v>
      </c>
      <c r="HR76" s="10">
        <v>0</v>
      </c>
      <c r="HS76" s="10">
        <v>0</v>
      </c>
      <c r="HT76" s="10">
        <v>0</v>
      </c>
      <c r="HU76" s="10">
        <v>0</v>
      </c>
    </row>
    <row r="77" spans="1:229" x14ac:dyDescent="0.25">
      <c r="A77" s="10">
        <v>0</v>
      </c>
      <c r="B77" s="2" t="s">
        <v>142</v>
      </c>
      <c r="C77" s="2" t="s">
        <v>143</v>
      </c>
      <c r="D77" s="17">
        <v>16.742000000000001</v>
      </c>
      <c r="E77" s="3">
        <v>26.32</v>
      </c>
      <c r="F77" s="3">
        <v>38.42</v>
      </c>
      <c r="G77" s="3">
        <v>0</v>
      </c>
      <c r="H77" s="3">
        <v>38.42</v>
      </c>
      <c r="I77" s="3">
        <v>371</v>
      </c>
      <c r="J77" s="3">
        <v>7.9240000000000004</v>
      </c>
      <c r="K77" s="3">
        <v>0.66500000000000004</v>
      </c>
      <c r="L77" s="3"/>
      <c r="M77" s="2" t="str">
        <f t="shared" si="8"/>
        <v>01090</v>
      </c>
      <c r="N77" s="3">
        <v>0.53702666368579055</v>
      </c>
      <c r="O77" s="3">
        <v>1.4629733363142094</v>
      </c>
      <c r="P77" s="17">
        <v>0.53702666368573049</v>
      </c>
      <c r="Q77" s="3">
        <v>1.4629733363142097</v>
      </c>
      <c r="R77" s="3">
        <v>0.42085586620596033</v>
      </c>
      <c r="S77" s="3" t="e">
        <v>#DIV/0!</v>
      </c>
      <c r="T77" s="3">
        <v>8.3350507748261582E-2</v>
      </c>
      <c r="U77" s="3">
        <v>0.53702666368579033</v>
      </c>
      <c r="V77" s="3">
        <v>1.4629733363140893</v>
      </c>
      <c r="W77" s="3">
        <v>3.0965751011442002</v>
      </c>
      <c r="X77" s="3">
        <v>8.990900403426501</v>
      </c>
      <c r="Y77" s="3">
        <v>38.50545821179</v>
      </c>
      <c r="Z77" s="3">
        <v>16.169282379632996</v>
      </c>
      <c r="AA77" s="3">
        <v>2.0571464654538905</v>
      </c>
      <c r="AB77" s="3">
        <v>3.2023265076882099</v>
      </c>
      <c r="AC77" s="3">
        <v>199.2368922274282</v>
      </c>
      <c r="AD77" s="3">
        <v>11.592600716952845</v>
      </c>
      <c r="AE77" s="3">
        <v>2.0592224422608933</v>
      </c>
      <c r="AF77" s="3">
        <v>0</v>
      </c>
      <c r="AG77" s="3">
        <v>0</v>
      </c>
      <c r="AH77" s="3">
        <v>0.10564701584979341</v>
      </c>
      <c r="AI77" s="3">
        <v>0</v>
      </c>
      <c r="AJ77" s="3">
        <v>0</v>
      </c>
      <c r="AK77" s="3">
        <v>0</v>
      </c>
      <c r="AL77" s="3">
        <v>0</v>
      </c>
      <c r="AM77" s="3">
        <v>0</v>
      </c>
      <c r="AN77" s="3">
        <v>0</v>
      </c>
      <c r="AO77" s="3">
        <v>0</v>
      </c>
      <c r="AP77" s="3">
        <v>0</v>
      </c>
      <c r="AQ77" s="3">
        <v>0</v>
      </c>
      <c r="AR77" s="3">
        <v>0</v>
      </c>
      <c r="AS77" s="3">
        <v>0</v>
      </c>
      <c r="AT77" s="3">
        <v>0</v>
      </c>
      <c r="AU77" s="3">
        <v>0</v>
      </c>
      <c r="AV77" s="3">
        <v>0</v>
      </c>
      <c r="AW77" s="3">
        <v>0</v>
      </c>
      <c r="AX77" s="3">
        <v>0</v>
      </c>
      <c r="AY77" s="3">
        <v>0</v>
      </c>
      <c r="AZ77" s="3">
        <v>0</v>
      </c>
      <c r="BA77" s="10">
        <v>0</v>
      </c>
      <c r="BB77" s="10">
        <v>0</v>
      </c>
      <c r="BC77" s="10">
        <v>0</v>
      </c>
      <c r="BD77" s="10">
        <v>0</v>
      </c>
      <c r="BE77" s="10">
        <v>0</v>
      </c>
      <c r="BF77" s="10">
        <v>0</v>
      </c>
      <c r="BG77" s="10">
        <v>0</v>
      </c>
      <c r="BH77" s="10">
        <v>0</v>
      </c>
      <c r="BI77" s="10">
        <v>0</v>
      </c>
      <c r="BJ77" s="10">
        <v>0</v>
      </c>
      <c r="BK77" s="10">
        <v>0</v>
      </c>
      <c r="BL77" s="10">
        <v>0</v>
      </c>
      <c r="BM77" s="10">
        <v>0</v>
      </c>
      <c r="BN77" s="10">
        <v>0</v>
      </c>
      <c r="BO77" s="10">
        <v>0</v>
      </c>
      <c r="BP77" s="10">
        <v>0</v>
      </c>
      <c r="BQ77" s="10">
        <v>0</v>
      </c>
      <c r="BR77" s="10">
        <v>0</v>
      </c>
      <c r="BS77" s="10">
        <v>0</v>
      </c>
      <c r="BT77" s="10">
        <v>0</v>
      </c>
      <c r="BU77" s="10">
        <v>0</v>
      </c>
      <c r="BV77" s="10">
        <v>0</v>
      </c>
      <c r="BW77" s="10">
        <v>0</v>
      </c>
      <c r="BX77" s="10">
        <v>0</v>
      </c>
      <c r="BY77" s="10">
        <v>0</v>
      </c>
      <c r="BZ77" s="10">
        <v>0</v>
      </c>
      <c r="CA77" s="10">
        <v>0</v>
      </c>
      <c r="CB77" s="10">
        <v>0</v>
      </c>
      <c r="CC77" s="10">
        <v>0</v>
      </c>
      <c r="CD77" s="10">
        <v>0</v>
      </c>
      <c r="CE77" s="10">
        <v>0</v>
      </c>
      <c r="CF77" s="10">
        <v>0</v>
      </c>
      <c r="CG77" s="10">
        <v>0</v>
      </c>
      <c r="CH77" s="10">
        <v>0</v>
      </c>
      <c r="CI77" s="10">
        <v>0</v>
      </c>
      <c r="CJ77" s="10">
        <v>0</v>
      </c>
      <c r="CK77" s="10">
        <v>0</v>
      </c>
      <c r="CL77" s="10">
        <v>0</v>
      </c>
      <c r="CM77" s="10">
        <v>0</v>
      </c>
      <c r="CN77" s="10">
        <v>0</v>
      </c>
      <c r="CO77" s="10">
        <v>0</v>
      </c>
      <c r="CP77" s="10">
        <v>0</v>
      </c>
      <c r="CQ77" s="10">
        <v>0</v>
      </c>
      <c r="CR77" s="10">
        <v>0</v>
      </c>
      <c r="CS77" s="10">
        <v>0</v>
      </c>
      <c r="CT77" s="10">
        <v>0</v>
      </c>
      <c r="CU77" s="10">
        <v>0</v>
      </c>
      <c r="CV77" s="10">
        <v>0</v>
      </c>
      <c r="CW77" s="10">
        <v>0</v>
      </c>
      <c r="CX77" s="10">
        <v>0</v>
      </c>
      <c r="CY77" s="10">
        <v>0</v>
      </c>
      <c r="CZ77" s="10">
        <v>0</v>
      </c>
      <c r="DA77" s="10">
        <v>0</v>
      </c>
      <c r="DB77" s="10">
        <v>0</v>
      </c>
      <c r="DC77" s="10">
        <v>0</v>
      </c>
      <c r="DD77" s="10">
        <v>0</v>
      </c>
      <c r="DE77" s="10">
        <v>0</v>
      </c>
      <c r="DF77" s="10">
        <v>0</v>
      </c>
      <c r="DG77" s="10">
        <v>0</v>
      </c>
      <c r="DH77" s="10">
        <v>0</v>
      </c>
      <c r="DI77" s="10">
        <v>0</v>
      </c>
      <c r="DJ77" s="10">
        <v>0</v>
      </c>
      <c r="DK77" s="10">
        <v>0</v>
      </c>
      <c r="DL77" s="10">
        <v>0</v>
      </c>
      <c r="DM77" s="10">
        <v>0</v>
      </c>
      <c r="DN77" s="10">
        <v>0</v>
      </c>
      <c r="DO77" s="10">
        <v>0</v>
      </c>
      <c r="DP77" s="10">
        <v>0</v>
      </c>
      <c r="DQ77" s="10">
        <v>0</v>
      </c>
      <c r="DR77" s="10">
        <v>0</v>
      </c>
      <c r="DS77" s="10">
        <v>0.16793889391013808</v>
      </c>
      <c r="DT77" s="10">
        <v>0</v>
      </c>
      <c r="DU77" s="10">
        <v>0</v>
      </c>
      <c r="DV77" s="10">
        <v>0</v>
      </c>
      <c r="DW77" s="10">
        <v>0</v>
      </c>
      <c r="DX77" s="10">
        <v>0</v>
      </c>
      <c r="DY77" s="10">
        <v>0</v>
      </c>
      <c r="DZ77" s="10">
        <v>0</v>
      </c>
      <c r="EA77" s="10">
        <v>0</v>
      </c>
      <c r="EB77" s="10">
        <v>0</v>
      </c>
      <c r="EC77" s="10">
        <v>0</v>
      </c>
      <c r="ED77" s="10">
        <v>0</v>
      </c>
      <c r="EE77" s="10">
        <v>0</v>
      </c>
      <c r="EF77" s="10">
        <v>0</v>
      </c>
      <c r="EG77" s="10">
        <v>0</v>
      </c>
      <c r="EH77" s="10">
        <v>0</v>
      </c>
      <c r="EI77" s="10">
        <v>0</v>
      </c>
      <c r="EJ77" s="10">
        <v>0</v>
      </c>
      <c r="EK77" s="10">
        <v>0</v>
      </c>
      <c r="EL77" s="10">
        <v>0</v>
      </c>
      <c r="EM77" s="10">
        <v>0</v>
      </c>
      <c r="EN77" s="10">
        <v>0</v>
      </c>
      <c r="EO77" s="10">
        <v>0</v>
      </c>
      <c r="EP77" s="10">
        <v>0</v>
      </c>
      <c r="EQ77" s="10">
        <v>0</v>
      </c>
      <c r="ER77" s="10">
        <v>0</v>
      </c>
      <c r="ES77" s="10">
        <v>0</v>
      </c>
      <c r="ET77" s="10">
        <v>0</v>
      </c>
      <c r="EU77" s="10">
        <v>0</v>
      </c>
      <c r="EV77" s="10">
        <v>0</v>
      </c>
      <c r="EW77" s="10">
        <v>0</v>
      </c>
      <c r="EX77" s="10">
        <v>0</v>
      </c>
      <c r="EY77" s="10">
        <v>0</v>
      </c>
      <c r="EZ77" s="10">
        <v>0</v>
      </c>
      <c r="FA77" s="10">
        <v>0</v>
      </c>
      <c r="FB77" s="10">
        <v>0</v>
      </c>
      <c r="FC77" s="10">
        <v>0</v>
      </c>
      <c r="FD77" s="10">
        <v>0</v>
      </c>
      <c r="FE77" s="10">
        <v>0</v>
      </c>
      <c r="FF77" s="10">
        <v>0</v>
      </c>
      <c r="FG77" s="10">
        <v>0</v>
      </c>
      <c r="FH77" s="10">
        <v>0</v>
      </c>
      <c r="FI77" s="10">
        <v>0</v>
      </c>
      <c r="FJ77" s="10">
        <v>0</v>
      </c>
      <c r="FK77" s="10">
        <v>0</v>
      </c>
      <c r="FL77" s="10">
        <v>0</v>
      </c>
      <c r="FM77" s="10">
        <v>0</v>
      </c>
      <c r="FN77" s="10">
        <v>0</v>
      </c>
      <c r="FO77" s="10">
        <v>0</v>
      </c>
      <c r="FP77" s="10">
        <v>0</v>
      </c>
      <c r="FQ77" s="10">
        <v>0</v>
      </c>
      <c r="FR77" s="10">
        <v>0</v>
      </c>
      <c r="FS77" s="10">
        <v>0</v>
      </c>
      <c r="FT77" s="10">
        <v>0</v>
      </c>
      <c r="FU77" s="10">
        <v>0</v>
      </c>
      <c r="FV77" s="10">
        <v>0</v>
      </c>
      <c r="FW77" s="10">
        <v>0</v>
      </c>
      <c r="FX77" s="10">
        <v>0</v>
      </c>
      <c r="FY77" s="10">
        <v>0</v>
      </c>
      <c r="FZ77" s="10">
        <v>0</v>
      </c>
      <c r="GA77" s="10">
        <v>0.11849378136740259</v>
      </c>
      <c r="GB77" s="10">
        <v>0.60792030887266602</v>
      </c>
      <c r="GC77" s="10">
        <v>0</v>
      </c>
      <c r="GD77" s="10">
        <v>0</v>
      </c>
      <c r="GE77" s="10">
        <v>0</v>
      </c>
      <c r="GF77" s="10">
        <v>0</v>
      </c>
      <c r="GG77" s="10">
        <v>0</v>
      </c>
      <c r="GH77" s="10">
        <v>0</v>
      </c>
      <c r="GI77" s="10">
        <v>0</v>
      </c>
      <c r="GJ77" s="10">
        <v>0</v>
      </c>
      <c r="GK77" s="10">
        <v>0</v>
      </c>
      <c r="GL77" s="10">
        <v>0</v>
      </c>
      <c r="GM77" s="10">
        <v>0</v>
      </c>
      <c r="GN77" s="10">
        <v>0</v>
      </c>
      <c r="GO77" s="10">
        <v>0</v>
      </c>
      <c r="GP77" s="10">
        <v>0</v>
      </c>
      <c r="GQ77" s="10">
        <v>0</v>
      </c>
      <c r="GR77" s="10">
        <v>0</v>
      </c>
      <c r="GS77" s="10">
        <v>0</v>
      </c>
      <c r="GT77" s="10">
        <v>0</v>
      </c>
      <c r="GU77" s="10">
        <v>0</v>
      </c>
      <c r="GV77" s="10">
        <v>0</v>
      </c>
      <c r="GW77" s="10">
        <v>0</v>
      </c>
      <c r="GX77" s="10">
        <v>0</v>
      </c>
      <c r="GY77" s="10">
        <v>0</v>
      </c>
      <c r="GZ77" s="10">
        <v>0</v>
      </c>
      <c r="HA77" s="10">
        <v>0</v>
      </c>
      <c r="HB77" s="10">
        <v>0</v>
      </c>
      <c r="HC77" s="10">
        <v>0</v>
      </c>
      <c r="HD77" s="10">
        <v>0</v>
      </c>
      <c r="HE77" s="10">
        <v>0</v>
      </c>
      <c r="HF77" s="10">
        <v>0</v>
      </c>
      <c r="HG77" s="10">
        <v>0</v>
      </c>
      <c r="HH77" s="10">
        <v>0</v>
      </c>
      <c r="HI77" s="10">
        <v>0</v>
      </c>
      <c r="HJ77" s="10">
        <v>0</v>
      </c>
      <c r="HK77" s="10">
        <v>0</v>
      </c>
      <c r="HL77" s="10">
        <v>0</v>
      </c>
      <c r="HM77" s="10">
        <v>0</v>
      </c>
      <c r="HN77" s="10">
        <v>0</v>
      </c>
      <c r="HO77" s="10">
        <v>0</v>
      </c>
      <c r="HP77" s="10">
        <v>0</v>
      </c>
      <c r="HQ77" s="10">
        <v>0</v>
      </c>
      <c r="HR77" s="10">
        <v>0</v>
      </c>
      <c r="HS77" s="10">
        <v>0</v>
      </c>
      <c r="HT77" s="10">
        <v>0</v>
      </c>
      <c r="HU77" s="10">
        <v>0</v>
      </c>
    </row>
    <row r="78" spans="1:229" x14ac:dyDescent="0.25">
      <c r="A78" s="10">
        <v>0</v>
      </c>
      <c r="B78" s="2" t="s">
        <v>144</v>
      </c>
      <c r="C78" s="2" t="s">
        <v>145</v>
      </c>
      <c r="D78" s="17">
        <v>0.499</v>
      </c>
      <c r="E78" s="3">
        <v>36.159999999999997</v>
      </c>
      <c r="F78" s="3">
        <v>51.98</v>
      </c>
      <c r="G78" s="3">
        <v>0</v>
      </c>
      <c r="H78" s="3">
        <v>51.98</v>
      </c>
      <c r="I78" s="3">
        <v>535</v>
      </c>
      <c r="J78" s="3">
        <v>0.20100000000000001</v>
      </c>
      <c r="K78" s="3">
        <v>0.03</v>
      </c>
      <c r="L78" s="3"/>
      <c r="M78" s="2" t="str">
        <f t="shared" si="8"/>
        <v>01091</v>
      </c>
      <c r="N78" s="3">
        <v>0.81244207676199043</v>
      </c>
      <c r="O78" s="3">
        <v>1.1875579232380096</v>
      </c>
      <c r="P78" s="17">
        <v>0.81244207676463598</v>
      </c>
      <c r="Q78" s="3">
        <v>1.1875579232380087</v>
      </c>
      <c r="R78" s="3">
        <v>0.19019701430916647</v>
      </c>
      <c r="S78" s="3" t="e">
        <v>#DIV/0!</v>
      </c>
      <c r="T78" s="3">
        <v>4.8969181568847601E-2</v>
      </c>
      <c r="U78" s="3">
        <v>0.81244207676199076</v>
      </c>
      <c r="V78" s="3">
        <v>14.120888808026365</v>
      </c>
      <c r="W78" s="3">
        <v>13.886241276190296</v>
      </c>
      <c r="X78" s="3">
        <v>0.40540859630555337</v>
      </c>
      <c r="Y78" s="3">
        <v>42.942094504286388</v>
      </c>
      <c r="Z78" s="3">
        <v>9.8864408037904727</v>
      </c>
      <c r="AA78" s="3">
        <v>0.66519309157530448</v>
      </c>
      <c r="AB78" s="3">
        <v>2.545418057948698</v>
      </c>
      <c r="AC78" s="3">
        <v>434.65651106766506</v>
      </c>
      <c r="AD78" s="3">
        <v>2.8382986504132997</v>
      </c>
      <c r="AE78" s="3">
        <v>0.41658723828570887</v>
      </c>
      <c r="AF78" s="3">
        <v>0</v>
      </c>
      <c r="AG78" s="3">
        <v>0</v>
      </c>
      <c r="AH78" s="3">
        <v>0</v>
      </c>
      <c r="AI78" s="3">
        <v>0</v>
      </c>
      <c r="AJ78" s="3">
        <v>0</v>
      </c>
      <c r="AK78" s="3">
        <v>0</v>
      </c>
      <c r="AL78" s="3">
        <v>0</v>
      </c>
      <c r="AM78" s="3">
        <v>0</v>
      </c>
      <c r="AN78" s="3">
        <v>0</v>
      </c>
      <c r="AO78" s="3">
        <v>0</v>
      </c>
      <c r="AP78" s="3">
        <v>0</v>
      </c>
      <c r="AQ78" s="3">
        <v>0</v>
      </c>
      <c r="AR78" s="3">
        <v>0</v>
      </c>
      <c r="AS78" s="3">
        <v>0</v>
      </c>
      <c r="AT78" s="3">
        <v>0</v>
      </c>
      <c r="AU78" s="3">
        <v>0</v>
      </c>
      <c r="AV78" s="3">
        <v>0</v>
      </c>
      <c r="AW78" s="3">
        <v>0</v>
      </c>
      <c r="AX78" s="3">
        <v>0</v>
      </c>
      <c r="AY78" s="3">
        <v>0</v>
      </c>
      <c r="AZ78" s="3">
        <v>0</v>
      </c>
      <c r="BA78" s="10">
        <v>0</v>
      </c>
      <c r="BB78" s="10">
        <v>0</v>
      </c>
      <c r="BC78" s="10">
        <v>0</v>
      </c>
      <c r="BD78" s="10">
        <v>0</v>
      </c>
      <c r="BE78" s="10">
        <v>0</v>
      </c>
      <c r="BF78" s="10">
        <v>0</v>
      </c>
      <c r="BG78" s="10">
        <v>0</v>
      </c>
      <c r="BH78" s="10">
        <v>0</v>
      </c>
      <c r="BI78" s="10">
        <v>0</v>
      </c>
      <c r="BJ78" s="10">
        <v>0</v>
      </c>
      <c r="BK78" s="10">
        <v>0</v>
      </c>
      <c r="BL78" s="10">
        <v>0</v>
      </c>
      <c r="BM78" s="10">
        <v>0</v>
      </c>
      <c r="BN78" s="10">
        <v>0</v>
      </c>
      <c r="BO78" s="10">
        <v>0</v>
      </c>
      <c r="BP78" s="10">
        <v>0</v>
      </c>
      <c r="BQ78" s="10">
        <v>0</v>
      </c>
      <c r="BR78" s="10">
        <v>0</v>
      </c>
      <c r="BS78" s="10">
        <v>0</v>
      </c>
      <c r="BT78" s="10">
        <v>0</v>
      </c>
      <c r="BU78" s="10">
        <v>0</v>
      </c>
      <c r="BV78" s="10">
        <v>0</v>
      </c>
      <c r="BW78" s="10">
        <v>0</v>
      </c>
      <c r="BX78" s="10">
        <v>0</v>
      </c>
      <c r="BY78" s="10">
        <v>0</v>
      </c>
      <c r="BZ78" s="10">
        <v>0</v>
      </c>
      <c r="CA78" s="10">
        <v>0</v>
      </c>
      <c r="CB78" s="10">
        <v>0</v>
      </c>
      <c r="CC78" s="10">
        <v>0</v>
      </c>
      <c r="CD78" s="10">
        <v>0</v>
      </c>
      <c r="CE78" s="10">
        <v>0</v>
      </c>
      <c r="CF78" s="10">
        <v>0</v>
      </c>
      <c r="CG78" s="10">
        <v>0</v>
      </c>
      <c r="CH78" s="10">
        <v>0</v>
      </c>
      <c r="CI78" s="10">
        <v>0</v>
      </c>
      <c r="CJ78" s="10">
        <v>0</v>
      </c>
      <c r="CK78" s="10">
        <v>0</v>
      </c>
      <c r="CL78" s="10">
        <v>0</v>
      </c>
      <c r="CM78" s="10">
        <v>0</v>
      </c>
      <c r="CN78" s="10">
        <v>0</v>
      </c>
      <c r="CO78" s="10">
        <v>0</v>
      </c>
      <c r="CP78" s="10">
        <v>0</v>
      </c>
      <c r="CQ78" s="10">
        <v>0</v>
      </c>
      <c r="CR78" s="10">
        <v>0</v>
      </c>
      <c r="CS78" s="10">
        <v>0</v>
      </c>
      <c r="CT78" s="10">
        <v>0</v>
      </c>
      <c r="CU78" s="10">
        <v>0</v>
      </c>
      <c r="CV78" s="10">
        <v>0</v>
      </c>
      <c r="CW78" s="10">
        <v>0</v>
      </c>
      <c r="CX78" s="10">
        <v>0</v>
      </c>
      <c r="CY78" s="10">
        <v>0</v>
      </c>
      <c r="CZ78" s="10">
        <v>0</v>
      </c>
      <c r="DA78" s="10">
        <v>0</v>
      </c>
      <c r="DB78" s="10">
        <v>0</v>
      </c>
      <c r="DC78" s="10">
        <v>0</v>
      </c>
      <c r="DD78" s="10">
        <v>0</v>
      </c>
      <c r="DE78" s="10">
        <v>0</v>
      </c>
      <c r="DF78" s="10">
        <v>0</v>
      </c>
      <c r="DG78" s="10">
        <v>0</v>
      </c>
      <c r="DH78" s="10">
        <v>0</v>
      </c>
      <c r="DI78" s="10">
        <v>0</v>
      </c>
      <c r="DJ78" s="10">
        <v>0</v>
      </c>
      <c r="DK78" s="10">
        <v>0</v>
      </c>
      <c r="DL78" s="10">
        <v>0</v>
      </c>
      <c r="DM78" s="10">
        <v>0</v>
      </c>
      <c r="DN78" s="10">
        <v>0</v>
      </c>
      <c r="DO78" s="10">
        <v>0</v>
      </c>
      <c r="DP78" s="10">
        <v>0</v>
      </c>
      <c r="DQ78" s="10">
        <v>0</v>
      </c>
      <c r="DR78" s="10">
        <v>0</v>
      </c>
      <c r="DS78" s="10">
        <v>0</v>
      </c>
      <c r="DT78" s="10">
        <v>0</v>
      </c>
      <c r="DU78" s="10">
        <v>0</v>
      </c>
      <c r="DV78" s="10">
        <v>0</v>
      </c>
      <c r="DW78" s="10">
        <v>0</v>
      </c>
      <c r="DX78" s="10">
        <v>0</v>
      </c>
      <c r="DY78" s="10">
        <v>0</v>
      </c>
      <c r="DZ78" s="10">
        <v>0.29239361631170313</v>
      </c>
      <c r="EA78" s="10">
        <v>0</v>
      </c>
      <c r="EB78" s="10">
        <v>0</v>
      </c>
      <c r="EC78" s="10">
        <v>0</v>
      </c>
      <c r="ED78" s="10">
        <v>0</v>
      </c>
      <c r="EE78" s="10">
        <v>0</v>
      </c>
      <c r="EF78" s="10">
        <v>0</v>
      </c>
      <c r="EG78" s="10">
        <v>0</v>
      </c>
      <c r="EH78" s="10">
        <v>0</v>
      </c>
      <c r="EI78" s="10">
        <v>0</v>
      </c>
      <c r="EJ78" s="10">
        <v>0</v>
      </c>
      <c r="EK78" s="10">
        <v>0</v>
      </c>
      <c r="EL78" s="10">
        <v>0</v>
      </c>
      <c r="EM78" s="10">
        <v>0</v>
      </c>
      <c r="EN78" s="10">
        <v>0</v>
      </c>
      <c r="EO78" s="10">
        <v>0</v>
      </c>
      <c r="EP78" s="10">
        <v>0</v>
      </c>
      <c r="EQ78" s="10">
        <v>0</v>
      </c>
      <c r="ER78" s="10">
        <v>0</v>
      </c>
      <c r="ES78" s="10">
        <v>0</v>
      </c>
      <c r="ET78" s="10">
        <v>0</v>
      </c>
      <c r="EU78" s="10">
        <v>0</v>
      </c>
      <c r="EV78" s="10">
        <v>0</v>
      </c>
      <c r="EW78" s="10">
        <v>0</v>
      </c>
      <c r="EX78" s="10">
        <v>0</v>
      </c>
      <c r="EY78" s="10">
        <v>0</v>
      </c>
      <c r="EZ78" s="10">
        <v>0</v>
      </c>
      <c r="FA78" s="10">
        <v>0</v>
      </c>
      <c r="FB78" s="10">
        <v>0</v>
      </c>
      <c r="FC78" s="10">
        <v>0</v>
      </c>
      <c r="FD78" s="10">
        <v>0</v>
      </c>
      <c r="FE78" s="10">
        <v>0</v>
      </c>
      <c r="FF78" s="10">
        <v>0</v>
      </c>
      <c r="FG78" s="10">
        <v>0</v>
      </c>
      <c r="FH78" s="10">
        <v>0</v>
      </c>
      <c r="FI78" s="10">
        <v>0</v>
      </c>
      <c r="FJ78" s="10">
        <v>0</v>
      </c>
      <c r="FK78" s="10">
        <v>0</v>
      </c>
      <c r="FL78" s="10">
        <v>0</v>
      </c>
      <c r="FM78" s="10">
        <v>0</v>
      </c>
      <c r="FN78" s="10">
        <v>0</v>
      </c>
      <c r="FO78" s="10">
        <v>0</v>
      </c>
      <c r="FP78" s="10">
        <v>0</v>
      </c>
      <c r="FQ78" s="10">
        <v>0</v>
      </c>
      <c r="FR78" s="10">
        <v>0</v>
      </c>
      <c r="FS78" s="10">
        <v>0</v>
      </c>
      <c r="FT78" s="10">
        <v>0</v>
      </c>
      <c r="FU78" s="10">
        <v>0</v>
      </c>
      <c r="FV78" s="10">
        <v>0</v>
      </c>
      <c r="FW78" s="10">
        <v>0</v>
      </c>
      <c r="FX78" s="10">
        <v>0</v>
      </c>
      <c r="FY78" s="10">
        <v>0</v>
      </c>
      <c r="FZ78" s="10">
        <v>0</v>
      </c>
      <c r="GA78" s="10">
        <v>0</v>
      </c>
      <c r="GB78" s="10">
        <v>0.33259654578765224</v>
      </c>
      <c r="GC78" s="10">
        <v>0</v>
      </c>
      <c r="GD78" s="10">
        <v>0</v>
      </c>
      <c r="GE78" s="10">
        <v>0</v>
      </c>
      <c r="GF78" s="10">
        <v>0</v>
      </c>
      <c r="GG78" s="10">
        <v>0</v>
      </c>
      <c r="GH78" s="10">
        <v>0</v>
      </c>
      <c r="GI78" s="10">
        <v>0</v>
      </c>
      <c r="GJ78" s="10">
        <v>0</v>
      </c>
      <c r="GK78" s="10">
        <v>0</v>
      </c>
      <c r="GL78" s="10">
        <v>0</v>
      </c>
      <c r="GM78" s="10">
        <v>0</v>
      </c>
      <c r="GN78" s="10">
        <v>0</v>
      </c>
      <c r="GO78" s="10">
        <v>0</v>
      </c>
      <c r="GP78" s="10">
        <v>0</v>
      </c>
      <c r="GQ78" s="10">
        <v>0</v>
      </c>
      <c r="GR78" s="10">
        <v>0</v>
      </c>
      <c r="GS78" s="10">
        <v>0</v>
      </c>
      <c r="GT78" s="10">
        <v>0</v>
      </c>
      <c r="GU78" s="10">
        <v>0</v>
      </c>
      <c r="GV78" s="10">
        <v>0.37500983790064479</v>
      </c>
      <c r="GW78" s="10">
        <v>0</v>
      </c>
      <c r="GX78" s="10">
        <v>0</v>
      </c>
      <c r="GY78" s="10">
        <v>0</v>
      </c>
      <c r="GZ78" s="10">
        <v>0</v>
      </c>
      <c r="HA78" s="10">
        <v>0</v>
      </c>
      <c r="HB78" s="10">
        <v>0</v>
      </c>
      <c r="HC78" s="10">
        <v>0</v>
      </c>
      <c r="HD78" s="10">
        <v>0</v>
      </c>
      <c r="HE78" s="10">
        <v>0</v>
      </c>
      <c r="HF78" s="10">
        <v>0</v>
      </c>
      <c r="HG78" s="10">
        <v>0</v>
      </c>
      <c r="HH78" s="10">
        <v>0</v>
      </c>
      <c r="HI78" s="10">
        <v>0</v>
      </c>
      <c r="HJ78" s="10">
        <v>0</v>
      </c>
      <c r="HK78" s="10">
        <v>0</v>
      </c>
      <c r="HL78" s="10">
        <v>0</v>
      </c>
      <c r="HM78" s="10">
        <v>0</v>
      </c>
      <c r="HN78" s="10">
        <v>0</v>
      </c>
      <c r="HO78" s="10">
        <v>0</v>
      </c>
      <c r="HP78" s="10">
        <v>0</v>
      </c>
      <c r="HQ78" s="10">
        <v>0</v>
      </c>
      <c r="HR78" s="10">
        <v>0</v>
      </c>
      <c r="HS78" s="10">
        <v>0</v>
      </c>
      <c r="HT78" s="10">
        <v>0</v>
      </c>
      <c r="HU78" s="10">
        <v>0</v>
      </c>
    </row>
    <row r="79" spans="1:229" x14ac:dyDescent="0.25">
      <c r="A79" s="10">
        <v>0</v>
      </c>
      <c r="B79" s="2" t="s">
        <v>146</v>
      </c>
      <c r="C79" s="2" t="s">
        <v>147</v>
      </c>
      <c r="D79" s="17">
        <v>0.46700000000000003</v>
      </c>
      <c r="E79" s="3">
        <v>35.1</v>
      </c>
      <c r="F79" s="3">
        <v>52.19</v>
      </c>
      <c r="G79" s="3">
        <v>0</v>
      </c>
      <c r="H79" s="3">
        <v>52.19</v>
      </c>
      <c r="I79" s="3">
        <v>549</v>
      </c>
      <c r="J79" s="3">
        <v>0.187</v>
      </c>
      <c r="K79" s="3">
        <v>2.8000000000000001E-2</v>
      </c>
      <c r="L79" s="3"/>
      <c r="M79" s="2" t="str">
        <f t="shared" si="8"/>
        <v>01092</v>
      </c>
      <c r="N79" s="3">
        <v>0.79709680847400011</v>
      </c>
      <c r="O79" s="3">
        <v>1.2029031915259998</v>
      </c>
      <c r="P79" s="17">
        <v>0.79709680846742237</v>
      </c>
      <c r="Q79" s="3">
        <v>1.2029031915259991</v>
      </c>
      <c r="R79" s="3">
        <v>0.17785659358712705</v>
      </c>
      <c r="S79" s="3" t="e">
        <v>#DIV/0!</v>
      </c>
      <c r="T79" s="3">
        <v>4.7733761290670133E-2</v>
      </c>
      <c r="U79" s="3">
        <v>0.79709680847399988</v>
      </c>
      <c r="V79" s="3">
        <v>13.684544497523309</v>
      </c>
      <c r="W79" s="3">
        <v>13.423376070541547</v>
      </c>
      <c r="X79" s="3">
        <v>0.37224420955428628</v>
      </c>
      <c r="Y79" s="3">
        <v>42.221902022562567</v>
      </c>
      <c r="Z79" s="3">
        <v>9.2823356193121604</v>
      </c>
      <c r="AA79" s="3">
        <v>0.59897436294154249</v>
      </c>
      <c r="AB79" s="3">
        <v>2.4912250017600743</v>
      </c>
      <c r="AC79" s="3">
        <v>437.60614785222594</v>
      </c>
      <c r="AD79" s="3">
        <v>2.5590098210368586</v>
      </c>
      <c r="AE79" s="3">
        <v>0.37585452997516333</v>
      </c>
      <c r="AF79" s="3">
        <v>0</v>
      </c>
      <c r="AG79" s="3">
        <v>0</v>
      </c>
      <c r="AH79" s="3">
        <v>0</v>
      </c>
      <c r="AI79" s="10">
        <v>0</v>
      </c>
      <c r="AJ79" s="3">
        <v>0</v>
      </c>
      <c r="AK79" s="3">
        <v>0</v>
      </c>
      <c r="AL79" s="3">
        <v>0</v>
      </c>
      <c r="AM79" s="3">
        <v>0</v>
      </c>
      <c r="AN79" s="10">
        <v>0</v>
      </c>
      <c r="AO79" s="10">
        <v>0</v>
      </c>
      <c r="AP79" s="10">
        <v>0</v>
      </c>
      <c r="AQ79" s="10">
        <v>0</v>
      </c>
      <c r="AR79" s="10">
        <v>0</v>
      </c>
      <c r="AS79" s="10">
        <v>0</v>
      </c>
      <c r="AT79" s="10">
        <v>0</v>
      </c>
      <c r="AU79" s="10">
        <v>0</v>
      </c>
      <c r="AV79" s="10">
        <v>0</v>
      </c>
      <c r="AW79" s="3">
        <v>0</v>
      </c>
      <c r="AX79" s="3">
        <v>0</v>
      </c>
      <c r="AY79" s="3">
        <v>0</v>
      </c>
      <c r="AZ79" s="3">
        <v>0</v>
      </c>
      <c r="BA79" s="10">
        <v>0</v>
      </c>
      <c r="BB79" s="10">
        <v>0</v>
      </c>
      <c r="BC79" s="10">
        <v>0</v>
      </c>
      <c r="BD79" s="10">
        <v>0</v>
      </c>
      <c r="BE79" s="10">
        <v>0</v>
      </c>
      <c r="BF79" s="10">
        <v>0</v>
      </c>
      <c r="BG79" s="10">
        <v>0</v>
      </c>
      <c r="BH79" s="10">
        <v>0</v>
      </c>
      <c r="BI79" s="10">
        <v>0</v>
      </c>
      <c r="BJ79" s="10">
        <v>0</v>
      </c>
      <c r="BK79" s="10">
        <v>0</v>
      </c>
      <c r="BL79" s="10">
        <v>0</v>
      </c>
      <c r="BM79" s="10">
        <v>0</v>
      </c>
      <c r="BN79" s="10">
        <v>0</v>
      </c>
      <c r="BO79" s="10">
        <v>0</v>
      </c>
      <c r="BP79" s="10">
        <v>0</v>
      </c>
      <c r="BQ79" s="10">
        <v>0</v>
      </c>
      <c r="BR79" s="10">
        <v>0</v>
      </c>
      <c r="BS79" s="10">
        <v>0</v>
      </c>
      <c r="BT79" s="10">
        <v>0</v>
      </c>
      <c r="BU79" s="10">
        <v>0</v>
      </c>
      <c r="BV79" s="10">
        <v>0</v>
      </c>
      <c r="BW79" s="10">
        <v>0</v>
      </c>
      <c r="BX79" s="10">
        <v>0</v>
      </c>
      <c r="BY79" s="10">
        <v>0</v>
      </c>
      <c r="BZ79" s="10">
        <v>0</v>
      </c>
      <c r="CA79" s="10">
        <v>0</v>
      </c>
      <c r="CB79" s="10">
        <v>0</v>
      </c>
      <c r="CC79" s="10">
        <v>0</v>
      </c>
      <c r="CD79" s="10">
        <v>0</v>
      </c>
      <c r="CE79" s="10">
        <v>0</v>
      </c>
      <c r="CF79" s="10">
        <v>0</v>
      </c>
      <c r="CG79" s="10">
        <v>0</v>
      </c>
      <c r="CH79" s="10">
        <v>0</v>
      </c>
      <c r="CI79" s="10">
        <v>0</v>
      </c>
      <c r="CJ79" s="10">
        <v>0</v>
      </c>
      <c r="CK79" s="10">
        <v>0</v>
      </c>
      <c r="CL79" s="10">
        <v>0</v>
      </c>
      <c r="CM79" s="10">
        <v>0</v>
      </c>
      <c r="CN79" s="10">
        <v>0</v>
      </c>
      <c r="CO79" s="10">
        <v>0</v>
      </c>
      <c r="CP79" s="10">
        <v>0</v>
      </c>
      <c r="CQ79" s="10">
        <v>0</v>
      </c>
      <c r="CR79" s="10">
        <v>0</v>
      </c>
      <c r="CS79" s="10">
        <v>0</v>
      </c>
      <c r="CT79" s="10">
        <v>0</v>
      </c>
      <c r="CU79" s="10">
        <v>0</v>
      </c>
      <c r="CV79" s="10">
        <v>0</v>
      </c>
      <c r="CW79" s="10">
        <v>0</v>
      </c>
      <c r="CX79" s="10">
        <v>0</v>
      </c>
      <c r="CY79" s="10">
        <v>0</v>
      </c>
      <c r="CZ79" s="10">
        <v>0</v>
      </c>
      <c r="DA79" s="10">
        <v>0</v>
      </c>
      <c r="DB79" s="10">
        <v>0</v>
      </c>
      <c r="DC79" s="10">
        <v>0</v>
      </c>
      <c r="DD79" s="10">
        <v>0</v>
      </c>
      <c r="DE79" s="10">
        <v>0</v>
      </c>
      <c r="DF79" s="10">
        <v>0</v>
      </c>
      <c r="DG79" s="10">
        <v>0</v>
      </c>
      <c r="DH79" s="10">
        <v>0</v>
      </c>
      <c r="DI79" s="10">
        <v>0</v>
      </c>
      <c r="DJ79" s="10">
        <v>0</v>
      </c>
      <c r="DK79" s="10">
        <v>0</v>
      </c>
      <c r="DL79" s="10">
        <v>0</v>
      </c>
      <c r="DM79" s="10">
        <v>0</v>
      </c>
      <c r="DN79" s="10">
        <v>0</v>
      </c>
      <c r="DO79" s="10">
        <v>0</v>
      </c>
      <c r="DP79" s="10">
        <v>0</v>
      </c>
      <c r="DQ79" s="10">
        <v>0</v>
      </c>
      <c r="DR79" s="10">
        <v>0</v>
      </c>
      <c r="DS79" s="10">
        <v>0</v>
      </c>
      <c r="DT79" s="10">
        <v>0</v>
      </c>
      <c r="DU79" s="10">
        <v>0</v>
      </c>
      <c r="DV79" s="10">
        <v>0</v>
      </c>
      <c r="DW79" s="10">
        <v>0</v>
      </c>
      <c r="DX79" s="10">
        <v>0</v>
      </c>
      <c r="DY79" s="10">
        <v>0</v>
      </c>
      <c r="DZ79" s="10">
        <v>0.30135347412275076</v>
      </c>
      <c r="EA79" s="10">
        <v>0</v>
      </c>
      <c r="EB79" s="10">
        <v>0</v>
      </c>
      <c r="EC79" s="10">
        <v>0</v>
      </c>
      <c r="ED79" s="10">
        <v>0</v>
      </c>
      <c r="EE79" s="10">
        <v>0</v>
      </c>
      <c r="EF79" s="10">
        <v>0</v>
      </c>
      <c r="EG79" s="10">
        <v>0</v>
      </c>
      <c r="EH79" s="10">
        <v>0</v>
      </c>
      <c r="EI79" s="10">
        <v>0</v>
      </c>
      <c r="EJ79" s="10">
        <v>0</v>
      </c>
      <c r="EK79" s="10">
        <v>0</v>
      </c>
      <c r="EL79" s="10">
        <v>0</v>
      </c>
      <c r="EM79" s="10">
        <v>0</v>
      </c>
      <c r="EN79" s="10">
        <v>0</v>
      </c>
      <c r="EO79" s="10">
        <v>0</v>
      </c>
      <c r="EP79" s="10">
        <v>0</v>
      </c>
      <c r="EQ79" s="10">
        <v>0</v>
      </c>
      <c r="ER79" s="10">
        <v>0</v>
      </c>
      <c r="ES79" s="10">
        <v>0</v>
      </c>
      <c r="ET79" s="10">
        <v>0</v>
      </c>
      <c r="EU79" s="10">
        <v>0</v>
      </c>
      <c r="EV79" s="10">
        <v>0</v>
      </c>
      <c r="EW79" s="10">
        <v>0</v>
      </c>
      <c r="EX79" s="10">
        <v>0</v>
      </c>
      <c r="EY79" s="10">
        <v>0</v>
      </c>
      <c r="EZ79" s="10">
        <v>0</v>
      </c>
      <c r="FA79" s="10">
        <v>0</v>
      </c>
      <c r="FB79" s="10">
        <v>0</v>
      </c>
      <c r="FC79" s="10">
        <v>0</v>
      </c>
      <c r="FD79" s="10">
        <v>0</v>
      </c>
      <c r="FE79" s="10">
        <v>0</v>
      </c>
      <c r="FF79" s="10">
        <v>0</v>
      </c>
      <c r="FG79" s="10">
        <v>0</v>
      </c>
      <c r="FH79" s="10">
        <v>0</v>
      </c>
      <c r="FI79" s="10">
        <v>0</v>
      </c>
      <c r="FJ79" s="10">
        <v>0</v>
      </c>
      <c r="FK79" s="10">
        <v>0</v>
      </c>
      <c r="FL79" s="10">
        <v>0</v>
      </c>
      <c r="FM79" s="10">
        <v>0</v>
      </c>
      <c r="FN79" s="10">
        <v>0</v>
      </c>
      <c r="FO79" s="10">
        <v>0</v>
      </c>
      <c r="FP79" s="10">
        <v>0</v>
      </c>
      <c r="FQ79" s="10">
        <v>0</v>
      </c>
      <c r="FR79" s="10">
        <v>0</v>
      </c>
      <c r="FS79" s="10">
        <v>0</v>
      </c>
      <c r="FT79" s="10">
        <v>0</v>
      </c>
      <c r="FU79" s="10">
        <v>0</v>
      </c>
      <c r="FV79" s="10">
        <v>0</v>
      </c>
      <c r="FW79" s="10">
        <v>0</v>
      </c>
      <c r="FX79" s="10">
        <v>0</v>
      </c>
      <c r="FY79" s="10">
        <v>0</v>
      </c>
      <c r="FZ79" s="10">
        <v>0</v>
      </c>
      <c r="GA79" s="10">
        <v>0</v>
      </c>
      <c r="GB79" s="10">
        <v>0.29948718147077125</v>
      </c>
      <c r="GC79" s="10">
        <v>0</v>
      </c>
      <c r="GD79" s="10">
        <v>0</v>
      </c>
      <c r="GE79" s="10">
        <v>0</v>
      </c>
      <c r="GF79" s="10">
        <v>0</v>
      </c>
      <c r="GG79" s="10">
        <v>0</v>
      </c>
      <c r="GH79" s="10">
        <v>0</v>
      </c>
      <c r="GI79" s="10">
        <v>0</v>
      </c>
      <c r="GJ79" s="10">
        <v>0</v>
      </c>
      <c r="GK79" s="10">
        <v>0</v>
      </c>
      <c r="GL79" s="10">
        <v>0</v>
      </c>
      <c r="GM79" s="10">
        <v>0</v>
      </c>
      <c r="GN79" s="10">
        <v>0</v>
      </c>
      <c r="GO79" s="10">
        <v>0</v>
      </c>
      <c r="GP79" s="10">
        <v>0</v>
      </c>
      <c r="GQ79" s="10">
        <v>0</v>
      </c>
      <c r="GR79" s="10">
        <v>0</v>
      </c>
      <c r="GS79" s="10">
        <v>0</v>
      </c>
      <c r="GT79" s="10">
        <v>0</v>
      </c>
      <c r="GU79" s="10">
        <v>0</v>
      </c>
      <c r="GV79" s="10">
        <v>0.39915934440647816</v>
      </c>
      <c r="GW79" s="10">
        <v>0</v>
      </c>
      <c r="GX79" s="10">
        <v>0</v>
      </c>
      <c r="GY79" s="10">
        <v>0</v>
      </c>
      <c r="GZ79" s="10">
        <v>0</v>
      </c>
      <c r="HA79" s="10">
        <v>0</v>
      </c>
      <c r="HB79" s="10">
        <v>0</v>
      </c>
      <c r="HC79" s="10">
        <v>0</v>
      </c>
      <c r="HD79" s="10">
        <v>0</v>
      </c>
      <c r="HE79" s="10">
        <v>0</v>
      </c>
      <c r="HF79" s="10">
        <v>0</v>
      </c>
      <c r="HG79" s="10">
        <v>0</v>
      </c>
      <c r="HH79" s="10">
        <v>0</v>
      </c>
      <c r="HI79" s="10">
        <v>0</v>
      </c>
      <c r="HJ79" s="10">
        <v>0</v>
      </c>
      <c r="HK79" s="10">
        <v>0</v>
      </c>
      <c r="HL79" s="10">
        <v>0</v>
      </c>
      <c r="HM79" s="10">
        <v>0</v>
      </c>
      <c r="HN79" s="10">
        <v>0</v>
      </c>
      <c r="HO79" s="10">
        <v>0</v>
      </c>
      <c r="HP79" s="10">
        <v>0</v>
      </c>
      <c r="HQ79" s="10">
        <v>0</v>
      </c>
      <c r="HR79" s="10">
        <v>0</v>
      </c>
      <c r="HS79" s="10">
        <v>0</v>
      </c>
      <c r="HT79" s="10">
        <v>0</v>
      </c>
      <c r="HU79" s="10">
        <v>0</v>
      </c>
    </row>
    <row r="80" spans="1:229" x14ac:dyDescent="0.25">
      <c r="A80" s="10">
        <v>0</v>
      </c>
      <c r="B80" s="2" t="s">
        <v>148</v>
      </c>
      <c r="C80" s="2" t="s">
        <v>149</v>
      </c>
      <c r="D80" s="17">
        <v>0.124</v>
      </c>
      <c r="E80" s="3">
        <v>35.5</v>
      </c>
      <c r="F80" s="3">
        <v>51.8</v>
      </c>
      <c r="G80" s="3">
        <v>0</v>
      </c>
      <c r="H80" s="3"/>
      <c r="I80" s="3">
        <v>2280</v>
      </c>
      <c r="J80" s="3">
        <v>5.8000000000000003E-2</v>
      </c>
      <c r="K80" s="3">
        <v>7.0000000000000001E-3</v>
      </c>
      <c r="L80" s="3"/>
      <c r="M80" s="2" t="str">
        <f t="shared" si="8"/>
        <v>01093</v>
      </c>
      <c r="N80" s="3">
        <v>0.42186615665473759</v>
      </c>
      <c r="O80" s="3">
        <v>1.578133843345263</v>
      </c>
      <c r="P80" s="17">
        <v>0.42186615667356292</v>
      </c>
      <c r="Q80" s="3">
        <v>1.5781338433452619</v>
      </c>
      <c r="R80" s="3">
        <v>9.6874279671898364E-2</v>
      </c>
      <c r="S80" s="3" t="e">
        <v>#DIV/0!</v>
      </c>
      <c r="T80" s="3" t="e">
        <v>#DIV/0!</v>
      </c>
      <c r="U80" s="3">
        <v>0.42186615665473742</v>
      </c>
      <c r="V80" s="3">
        <v>1.5781338433248608</v>
      </c>
      <c r="W80" s="3">
        <v>5.248308694722267</v>
      </c>
      <c r="X80" s="3">
        <v>5.2311403427521802E-2</v>
      </c>
      <c r="Y80" s="3">
        <v>56.023751438756797</v>
      </c>
      <c r="Z80" s="3">
        <v>5.0180876870043347</v>
      </c>
      <c r="AA80" s="3">
        <v>0</v>
      </c>
      <c r="AB80" s="3">
        <v>0</v>
      </c>
      <c r="AC80" s="3">
        <v>961.85483717280135</v>
      </c>
      <c r="AD80" s="3">
        <v>9.153176291284193E-2</v>
      </c>
      <c r="AE80" s="3">
        <v>3.6738160863055869E-2</v>
      </c>
      <c r="AF80" s="3">
        <v>0</v>
      </c>
      <c r="AG80" s="3">
        <v>0</v>
      </c>
      <c r="AH80" s="3">
        <v>0</v>
      </c>
      <c r="AI80" s="3">
        <v>0</v>
      </c>
      <c r="AJ80" s="3">
        <v>0</v>
      </c>
      <c r="AK80" s="3">
        <v>0</v>
      </c>
      <c r="AL80" s="3">
        <v>0</v>
      </c>
      <c r="AM80" s="3">
        <v>0</v>
      </c>
      <c r="AN80" s="3">
        <v>0</v>
      </c>
      <c r="AO80" s="3">
        <v>0</v>
      </c>
      <c r="AP80" s="3">
        <v>0</v>
      </c>
      <c r="AQ80" s="3">
        <v>0</v>
      </c>
      <c r="AR80" s="3">
        <v>0</v>
      </c>
      <c r="AS80" s="3">
        <v>0</v>
      </c>
      <c r="AT80" s="3">
        <v>0</v>
      </c>
      <c r="AU80" s="3">
        <v>0</v>
      </c>
      <c r="AV80" s="3">
        <v>0</v>
      </c>
      <c r="AW80" s="3">
        <v>0</v>
      </c>
      <c r="AX80" s="3">
        <v>0</v>
      </c>
      <c r="AY80" s="3">
        <v>0</v>
      </c>
      <c r="AZ80" s="3">
        <v>0</v>
      </c>
      <c r="BA80" s="10">
        <v>0</v>
      </c>
      <c r="BB80" s="10">
        <v>0</v>
      </c>
      <c r="BC80" s="10">
        <v>0</v>
      </c>
      <c r="BD80" s="10">
        <v>0</v>
      </c>
      <c r="BE80" s="10">
        <v>0</v>
      </c>
      <c r="BF80" s="10">
        <v>0</v>
      </c>
      <c r="BG80" s="10">
        <v>0</v>
      </c>
      <c r="BH80" s="10">
        <v>0</v>
      </c>
      <c r="BI80" s="10">
        <v>0</v>
      </c>
      <c r="BJ80" s="10">
        <v>0</v>
      </c>
      <c r="BK80" s="10">
        <v>0</v>
      </c>
      <c r="BL80" s="10">
        <v>0</v>
      </c>
      <c r="BM80" s="10">
        <v>0</v>
      </c>
      <c r="BN80" s="10">
        <v>0</v>
      </c>
      <c r="BO80" s="10">
        <v>0</v>
      </c>
      <c r="BP80" s="10">
        <v>0</v>
      </c>
      <c r="BQ80" s="10">
        <v>0</v>
      </c>
      <c r="BR80" s="10">
        <v>0</v>
      </c>
      <c r="BS80" s="10">
        <v>0</v>
      </c>
      <c r="BT80" s="10">
        <v>0</v>
      </c>
      <c r="BU80" s="10">
        <v>0</v>
      </c>
      <c r="BV80" s="10">
        <v>0</v>
      </c>
      <c r="BW80" s="10">
        <v>0</v>
      </c>
      <c r="BX80" s="10">
        <v>0</v>
      </c>
      <c r="BY80" s="10">
        <v>0</v>
      </c>
      <c r="BZ80" s="10">
        <v>0</v>
      </c>
      <c r="CA80" s="10">
        <v>4.7830308836591569E-2</v>
      </c>
      <c r="CB80" s="10">
        <v>0</v>
      </c>
      <c r="CC80" s="10">
        <v>0</v>
      </c>
      <c r="CD80" s="10">
        <v>0</v>
      </c>
      <c r="CE80" s="10">
        <v>0</v>
      </c>
      <c r="CF80" s="10">
        <v>0</v>
      </c>
      <c r="CG80" s="10">
        <v>0</v>
      </c>
      <c r="CH80" s="10">
        <v>0</v>
      </c>
      <c r="CI80" s="10">
        <v>0</v>
      </c>
      <c r="CJ80" s="10">
        <v>0</v>
      </c>
      <c r="CK80" s="10">
        <v>0</v>
      </c>
      <c r="CL80" s="10">
        <v>0</v>
      </c>
      <c r="CM80" s="10">
        <v>0</v>
      </c>
      <c r="CN80" s="10">
        <v>0</v>
      </c>
      <c r="CO80" s="10">
        <v>0</v>
      </c>
      <c r="CP80" s="10">
        <v>0</v>
      </c>
      <c r="CQ80" s="10">
        <v>9.6158803956910358E-2</v>
      </c>
      <c r="CR80" s="10">
        <v>0</v>
      </c>
      <c r="CS80" s="10">
        <v>0</v>
      </c>
      <c r="CT80" s="10">
        <v>0</v>
      </c>
      <c r="CU80" s="10">
        <v>0</v>
      </c>
      <c r="CV80" s="10">
        <v>0</v>
      </c>
      <c r="CW80" s="10">
        <v>0</v>
      </c>
      <c r="CX80" s="10">
        <v>0</v>
      </c>
      <c r="CY80" s="10">
        <v>0</v>
      </c>
      <c r="CZ80" s="10">
        <v>0</v>
      </c>
      <c r="DA80" s="10">
        <v>0</v>
      </c>
      <c r="DB80" s="10">
        <v>0</v>
      </c>
      <c r="DC80" s="10">
        <v>0</v>
      </c>
      <c r="DD80" s="10">
        <v>0</v>
      </c>
      <c r="DE80" s="10">
        <v>0</v>
      </c>
      <c r="DF80" s="10">
        <v>0</v>
      </c>
      <c r="DG80" s="10">
        <v>0</v>
      </c>
      <c r="DH80" s="10">
        <v>0</v>
      </c>
      <c r="DI80" s="10">
        <v>0</v>
      </c>
      <c r="DJ80" s="10">
        <v>0</v>
      </c>
      <c r="DK80" s="10">
        <v>0</v>
      </c>
      <c r="DL80" s="10">
        <v>0</v>
      </c>
      <c r="DM80" s="10">
        <v>0</v>
      </c>
      <c r="DN80" s="10">
        <v>0</v>
      </c>
      <c r="DO80" s="10">
        <v>0</v>
      </c>
      <c r="DP80" s="10">
        <v>0</v>
      </c>
      <c r="DQ80" s="10">
        <v>0</v>
      </c>
      <c r="DR80" s="10">
        <v>0</v>
      </c>
      <c r="DS80" s="10">
        <v>0</v>
      </c>
      <c r="DT80" s="10">
        <v>0</v>
      </c>
      <c r="DU80" s="10">
        <v>0</v>
      </c>
      <c r="DV80" s="10">
        <v>0</v>
      </c>
      <c r="DW80" s="10">
        <v>0</v>
      </c>
      <c r="DX80" s="10">
        <v>0</v>
      </c>
      <c r="DY80" s="10">
        <v>0</v>
      </c>
      <c r="DZ80" s="10">
        <v>0.62464264698179384</v>
      </c>
      <c r="EA80" s="10">
        <v>0</v>
      </c>
      <c r="EB80" s="10">
        <v>0</v>
      </c>
      <c r="EC80" s="10">
        <v>0</v>
      </c>
      <c r="ED80" s="10">
        <v>0</v>
      </c>
      <c r="EE80" s="10">
        <v>0</v>
      </c>
      <c r="EF80" s="10">
        <v>0</v>
      </c>
      <c r="EG80" s="10">
        <v>0</v>
      </c>
      <c r="EH80" s="10">
        <v>0</v>
      </c>
      <c r="EI80" s="10">
        <v>0</v>
      </c>
      <c r="EJ80" s="10">
        <v>0</v>
      </c>
      <c r="EK80" s="10">
        <v>0</v>
      </c>
      <c r="EL80" s="10">
        <v>0</v>
      </c>
      <c r="EM80" s="10">
        <v>0</v>
      </c>
      <c r="EN80" s="10">
        <v>0</v>
      </c>
      <c r="EO80" s="10">
        <v>0</v>
      </c>
      <c r="EP80" s="10">
        <v>0</v>
      </c>
      <c r="EQ80" s="10">
        <v>0</v>
      </c>
      <c r="ER80" s="10">
        <v>0</v>
      </c>
      <c r="ES80" s="10">
        <v>0</v>
      </c>
      <c r="ET80" s="10">
        <v>0</v>
      </c>
      <c r="EU80" s="10">
        <v>0</v>
      </c>
      <c r="EV80" s="10">
        <v>0</v>
      </c>
      <c r="EW80" s="10">
        <v>0</v>
      </c>
      <c r="EX80" s="10">
        <v>0</v>
      </c>
      <c r="EY80" s="10">
        <v>0</v>
      </c>
      <c r="EZ80" s="10">
        <v>0</v>
      </c>
      <c r="FA80" s="10">
        <v>0</v>
      </c>
      <c r="FB80" s="10">
        <v>0</v>
      </c>
      <c r="FC80" s="10">
        <v>0</v>
      </c>
      <c r="FD80" s="10">
        <v>0</v>
      </c>
      <c r="FE80" s="10">
        <v>0</v>
      </c>
      <c r="FF80" s="10">
        <v>0</v>
      </c>
      <c r="FG80" s="10">
        <v>0</v>
      </c>
      <c r="FH80" s="10">
        <v>0</v>
      </c>
      <c r="FI80" s="10">
        <v>0</v>
      </c>
      <c r="FJ80" s="10">
        <v>0</v>
      </c>
      <c r="FK80" s="10">
        <v>0</v>
      </c>
      <c r="FL80" s="10">
        <v>0</v>
      </c>
      <c r="FM80" s="10">
        <v>0</v>
      </c>
      <c r="FN80" s="10">
        <v>0</v>
      </c>
      <c r="FO80" s="10">
        <v>0</v>
      </c>
      <c r="FP80" s="10">
        <v>0</v>
      </c>
      <c r="FQ80" s="10">
        <v>0</v>
      </c>
      <c r="FR80" s="10">
        <v>0</v>
      </c>
      <c r="FS80" s="10">
        <v>0</v>
      </c>
      <c r="FT80" s="10">
        <v>0</v>
      </c>
      <c r="FU80" s="10">
        <v>0</v>
      </c>
      <c r="FV80" s="10">
        <v>0</v>
      </c>
      <c r="FW80" s="10">
        <v>0</v>
      </c>
      <c r="FX80" s="10">
        <v>0</v>
      </c>
      <c r="FY80" s="10">
        <v>0</v>
      </c>
      <c r="FZ80" s="10">
        <v>0</v>
      </c>
      <c r="GA80" s="10">
        <v>0</v>
      </c>
      <c r="GB80" s="10">
        <v>0</v>
      </c>
      <c r="GC80" s="10">
        <v>0</v>
      </c>
      <c r="GD80" s="10">
        <v>0</v>
      </c>
      <c r="GE80" s="10">
        <v>0</v>
      </c>
      <c r="GF80" s="10">
        <v>0</v>
      </c>
      <c r="GG80" s="10">
        <v>0</v>
      </c>
      <c r="GH80" s="10">
        <v>0</v>
      </c>
      <c r="GI80" s="10">
        <v>0</v>
      </c>
      <c r="GJ80" s="10">
        <v>0</v>
      </c>
      <c r="GK80" s="10">
        <v>0</v>
      </c>
      <c r="GL80" s="10">
        <v>0</v>
      </c>
      <c r="GM80" s="10">
        <v>0</v>
      </c>
      <c r="GN80" s="10">
        <v>0</v>
      </c>
      <c r="GO80" s="10">
        <v>0</v>
      </c>
      <c r="GP80" s="10">
        <v>0</v>
      </c>
      <c r="GQ80" s="10">
        <v>0</v>
      </c>
      <c r="GR80" s="10">
        <v>0</v>
      </c>
      <c r="GS80" s="10">
        <v>0</v>
      </c>
      <c r="GT80" s="10">
        <v>0</v>
      </c>
      <c r="GU80" s="10">
        <v>0</v>
      </c>
      <c r="GV80" s="10">
        <v>0</v>
      </c>
      <c r="GW80" s="10">
        <v>0</v>
      </c>
      <c r="GX80" s="10">
        <v>0</v>
      </c>
      <c r="GY80" s="10">
        <v>0</v>
      </c>
      <c r="GZ80" s="10">
        <v>0</v>
      </c>
      <c r="HA80" s="10">
        <v>0</v>
      </c>
      <c r="HB80" s="10">
        <v>0.23136824022470426</v>
      </c>
      <c r="HC80" s="10">
        <v>0</v>
      </c>
      <c r="HD80" s="10">
        <v>0</v>
      </c>
      <c r="HE80" s="10">
        <v>0</v>
      </c>
      <c r="HF80" s="10">
        <v>0</v>
      </c>
      <c r="HG80" s="10">
        <v>0</v>
      </c>
      <c r="HH80" s="10">
        <v>0</v>
      </c>
      <c r="HI80" s="10">
        <v>0</v>
      </c>
      <c r="HJ80" s="10">
        <v>0</v>
      </c>
      <c r="HK80" s="10">
        <v>0</v>
      </c>
      <c r="HL80" s="10">
        <v>0</v>
      </c>
      <c r="HM80" s="10">
        <v>0</v>
      </c>
      <c r="HN80" s="10">
        <v>0</v>
      </c>
      <c r="HO80" s="10">
        <v>0</v>
      </c>
      <c r="HP80" s="10">
        <v>0</v>
      </c>
      <c r="HQ80" s="10">
        <v>0</v>
      </c>
      <c r="HR80" s="10">
        <v>0</v>
      </c>
      <c r="HS80" s="10">
        <v>0</v>
      </c>
      <c r="HT80" s="10">
        <v>0</v>
      </c>
      <c r="HU80" s="10">
        <v>0</v>
      </c>
    </row>
    <row r="81" spans="1:229" x14ac:dyDescent="0.25">
      <c r="A81" s="10">
        <v>0</v>
      </c>
      <c r="B81" s="2" t="s">
        <v>150</v>
      </c>
      <c r="C81" s="2" t="s">
        <v>151</v>
      </c>
      <c r="D81" s="17">
        <v>3.5979999999999999</v>
      </c>
      <c r="E81" s="3">
        <v>34.299999999999997</v>
      </c>
      <c r="F81" s="3">
        <v>49</v>
      </c>
      <c r="G81" s="3">
        <v>0</v>
      </c>
      <c r="H81" s="8">
        <v>49</v>
      </c>
      <c r="I81" s="3">
        <v>517</v>
      </c>
      <c r="J81" s="3">
        <v>1.669</v>
      </c>
      <c r="K81" s="3">
        <v>0.215</v>
      </c>
      <c r="L81" s="3"/>
      <c r="M81" s="2" t="str">
        <f t="shared" si="8"/>
        <v>01094</v>
      </c>
      <c r="N81" s="3">
        <v>0.5229732951791457</v>
      </c>
      <c r="O81" s="3">
        <v>1.4770267048208543</v>
      </c>
      <c r="P81" s="17">
        <v>0.29688072109603825</v>
      </c>
      <c r="Q81" s="3">
        <v>1.4770267048208547</v>
      </c>
      <c r="R81" s="3">
        <v>0.44204593069790055</v>
      </c>
      <c r="S81" s="3" t="e">
        <v>#DIV/0!</v>
      </c>
      <c r="T81" s="3">
        <v>8.0046910090650611E-2</v>
      </c>
      <c r="U81" s="3">
        <v>0.52297329517914704</v>
      </c>
      <c r="V81" s="3">
        <v>4.9801184788788584</v>
      </c>
      <c r="W81" s="3">
        <v>5.6549122346088447</v>
      </c>
      <c r="X81" s="3">
        <v>1.0681768345035456</v>
      </c>
      <c r="Y81" s="3">
        <v>50.662015975355317</v>
      </c>
      <c r="Z81" s="3">
        <v>21.660250604197127</v>
      </c>
      <c r="AA81" s="3">
        <v>1.9611492972209401</v>
      </c>
      <c r="AB81" s="3">
        <v>3.9222985944418802</v>
      </c>
      <c r="AC81" s="3">
        <v>270.37719360761901</v>
      </c>
      <c r="AD81" s="3">
        <v>8.3118177412488148</v>
      </c>
      <c r="AE81" s="3">
        <v>1.2158061304409016</v>
      </c>
      <c r="AF81" s="3">
        <v>0</v>
      </c>
      <c r="AG81" s="3">
        <v>0</v>
      </c>
      <c r="AH81" s="3">
        <v>0</v>
      </c>
      <c r="AI81" s="10">
        <v>0</v>
      </c>
      <c r="AJ81" s="3">
        <v>0</v>
      </c>
      <c r="AK81" s="3">
        <v>0</v>
      </c>
      <c r="AL81" s="3">
        <v>0</v>
      </c>
      <c r="AM81" s="3">
        <v>0</v>
      </c>
      <c r="AN81" s="10">
        <v>0</v>
      </c>
      <c r="AO81" s="10">
        <v>0</v>
      </c>
      <c r="AP81" s="10">
        <v>0</v>
      </c>
      <c r="AQ81" s="10">
        <v>0</v>
      </c>
      <c r="AR81" s="10">
        <v>0</v>
      </c>
      <c r="AS81" s="10">
        <v>0</v>
      </c>
      <c r="AT81" s="10">
        <v>0</v>
      </c>
      <c r="AU81" s="10">
        <v>0</v>
      </c>
      <c r="AV81" s="10">
        <v>0</v>
      </c>
      <c r="AW81" s="3">
        <v>0</v>
      </c>
      <c r="AX81" s="3">
        <v>0</v>
      </c>
      <c r="AY81" s="3">
        <v>0</v>
      </c>
      <c r="AZ81" s="3">
        <v>0</v>
      </c>
      <c r="BA81" s="10">
        <v>0</v>
      </c>
      <c r="BB81" s="10">
        <v>0</v>
      </c>
      <c r="BC81" s="10">
        <v>0</v>
      </c>
      <c r="BD81" s="10">
        <v>0</v>
      </c>
      <c r="BE81" s="10">
        <v>0</v>
      </c>
      <c r="BF81" s="10">
        <v>0</v>
      </c>
      <c r="BG81" s="10">
        <v>0</v>
      </c>
      <c r="BH81" s="10">
        <v>0</v>
      </c>
      <c r="BI81" s="10">
        <v>0</v>
      </c>
      <c r="BJ81" s="10">
        <v>0</v>
      </c>
      <c r="BK81" s="10">
        <v>0</v>
      </c>
      <c r="BL81" s="10">
        <v>0</v>
      </c>
      <c r="BM81" s="10">
        <v>0</v>
      </c>
      <c r="BN81" s="10">
        <v>0</v>
      </c>
      <c r="BO81" s="10">
        <v>0</v>
      </c>
      <c r="BP81" s="10">
        <v>0</v>
      </c>
      <c r="BQ81" s="10">
        <v>0</v>
      </c>
      <c r="BR81" s="10">
        <v>0</v>
      </c>
      <c r="BS81" s="10">
        <v>0</v>
      </c>
      <c r="BT81" s="10">
        <v>0</v>
      </c>
      <c r="BU81" s="10">
        <v>0</v>
      </c>
      <c r="BV81" s="10">
        <v>0</v>
      </c>
      <c r="BW81" s="10">
        <v>0</v>
      </c>
      <c r="BX81" s="10">
        <v>0</v>
      </c>
      <c r="BY81" s="10">
        <v>0</v>
      </c>
      <c r="BZ81" s="10">
        <v>0</v>
      </c>
      <c r="CA81" s="10">
        <v>0</v>
      </c>
      <c r="CB81" s="10">
        <v>0</v>
      </c>
      <c r="CC81" s="10">
        <v>0</v>
      </c>
      <c r="CD81" s="10">
        <v>0</v>
      </c>
      <c r="CE81" s="10">
        <v>0</v>
      </c>
      <c r="CF81" s="10">
        <v>0</v>
      </c>
      <c r="CG81" s="10">
        <v>0</v>
      </c>
      <c r="CH81" s="10">
        <v>0</v>
      </c>
      <c r="CI81" s="10">
        <v>0</v>
      </c>
      <c r="CJ81" s="10">
        <v>0</v>
      </c>
      <c r="CK81" s="10">
        <v>0</v>
      </c>
      <c r="CL81" s="10">
        <v>0</v>
      </c>
      <c r="CM81" s="10">
        <v>0</v>
      </c>
      <c r="CN81" s="10">
        <v>0</v>
      </c>
      <c r="CO81" s="10">
        <v>0</v>
      </c>
      <c r="CP81" s="10">
        <v>0</v>
      </c>
      <c r="CQ81" s="10">
        <v>0</v>
      </c>
      <c r="CR81" s="10">
        <v>0</v>
      </c>
      <c r="CS81" s="10">
        <v>0</v>
      </c>
      <c r="CT81" s="10">
        <v>0</v>
      </c>
      <c r="CU81" s="10">
        <v>0</v>
      </c>
      <c r="CV81" s="10">
        <v>0</v>
      </c>
      <c r="CW81" s="10">
        <v>0</v>
      </c>
      <c r="CX81" s="10">
        <v>0</v>
      </c>
      <c r="CY81" s="10">
        <v>0</v>
      </c>
      <c r="CZ81" s="10">
        <v>0</v>
      </c>
      <c r="DA81" s="10">
        <v>0</v>
      </c>
      <c r="DB81" s="10">
        <v>0</v>
      </c>
      <c r="DC81" s="10">
        <v>0</v>
      </c>
      <c r="DD81" s="10">
        <v>0</v>
      </c>
      <c r="DE81" s="10">
        <v>0</v>
      </c>
      <c r="DF81" s="10">
        <v>0</v>
      </c>
      <c r="DG81" s="10">
        <v>0</v>
      </c>
      <c r="DH81" s="10">
        <v>0</v>
      </c>
      <c r="DI81" s="10">
        <v>0</v>
      </c>
      <c r="DJ81" s="10">
        <v>0</v>
      </c>
      <c r="DK81" s="10">
        <v>0</v>
      </c>
      <c r="DL81" s="10">
        <v>0</v>
      </c>
      <c r="DM81" s="10">
        <v>0</v>
      </c>
      <c r="DN81" s="10">
        <v>0</v>
      </c>
      <c r="DO81" s="10">
        <v>0</v>
      </c>
      <c r="DP81" s="10">
        <v>0</v>
      </c>
      <c r="DQ81" s="10">
        <v>0</v>
      </c>
      <c r="DR81" s="10">
        <v>0</v>
      </c>
      <c r="DS81" s="10">
        <v>0</v>
      </c>
      <c r="DT81" s="10">
        <v>0</v>
      </c>
      <c r="DU81" s="10">
        <v>0</v>
      </c>
      <c r="DV81" s="10">
        <v>0</v>
      </c>
      <c r="DW81" s="10">
        <v>0</v>
      </c>
      <c r="DX81" s="10">
        <v>0</v>
      </c>
      <c r="DY81" s="10">
        <v>0</v>
      </c>
      <c r="DZ81" s="10">
        <v>0</v>
      </c>
      <c r="EA81" s="10">
        <v>0</v>
      </c>
      <c r="EB81" s="10">
        <v>0</v>
      </c>
      <c r="EC81" s="10">
        <v>0</v>
      </c>
      <c r="ED81" s="10">
        <v>0</v>
      </c>
      <c r="EE81" s="10">
        <v>0</v>
      </c>
      <c r="EF81" s="10">
        <v>0</v>
      </c>
      <c r="EG81" s="10">
        <v>0</v>
      </c>
      <c r="EH81" s="10">
        <v>0</v>
      </c>
      <c r="EI81" s="10">
        <v>0</v>
      </c>
      <c r="EJ81" s="10">
        <v>0</v>
      </c>
      <c r="EK81" s="10">
        <v>0</v>
      </c>
      <c r="EL81" s="10">
        <v>0</v>
      </c>
      <c r="EM81" s="10">
        <v>0</v>
      </c>
      <c r="EN81" s="10">
        <v>0</v>
      </c>
      <c r="EO81" s="10">
        <v>0</v>
      </c>
      <c r="EP81" s="10">
        <v>0</v>
      </c>
      <c r="EQ81" s="10">
        <v>0</v>
      </c>
      <c r="ER81" s="10">
        <v>0</v>
      </c>
      <c r="ES81" s="10">
        <v>0</v>
      </c>
      <c r="ET81" s="10">
        <v>0</v>
      </c>
      <c r="EU81" s="10">
        <v>0</v>
      </c>
      <c r="EV81" s="10">
        <v>0</v>
      </c>
      <c r="EW81" s="10">
        <v>0</v>
      </c>
      <c r="EX81" s="10">
        <v>0</v>
      </c>
      <c r="EY81" s="10">
        <v>0</v>
      </c>
      <c r="EZ81" s="10">
        <v>0</v>
      </c>
      <c r="FA81" s="10">
        <v>0</v>
      </c>
      <c r="FB81" s="10">
        <v>0</v>
      </c>
      <c r="FC81" s="10">
        <v>0</v>
      </c>
      <c r="FD81" s="10">
        <v>0</v>
      </c>
      <c r="FE81" s="10">
        <v>0</v>
      </c>
      <c r="FF81" s="10">
        <v>0</v>
      </c>
      <c r="FG81" s="10">
        <v>0</v>
      </c>
      <c r="FH81" s="10">
        <v>0</v>
      </c>
      <c r="FI81" s="10">
        <v>0</v>
      </c>
      <c r="FJ81" s="10">
        <v>0</v>
      </c>
      <c r="FK81" s="10">
        <v>0</v>
      </c>
      <c r="FL81" s="10">
        <v>0</v>
      </c>
      <c r="FM81" s="10">
        <v>0</v>
      </c>
      <c r="FN81" s="10">
        <v>0</v>
      </c>
      <c r="FO81" s="10">
        <v>0</v>
      </c>
      <c r="FP81" s="10">
        <v>0</v>
      </c>
      <c r="FQ81" s="10">
        <v>0</v>
      </c>
      <c r="FR81" s="10">
        <v>0</v>
      </c>
      <c r="FS81" s="10">
        <v>0</v>
      </c>
      <c r="FT81" s="10">
        <v>0</v>
      </c>
      <c r="FU81" s="10">
        <v>0</v>
      </c>
      <c r="FV81" s="10">
        <v>0</v>
      </c>
      <c r="FW81" s="10">
        <v>0</v>
      </c>
      <c r="FX81" s="10">
        <v>0</v>
      </c>
      <c r="FY81" s="10">
        <v>0</v>
      </c>
      <c r="FZ81" s="10">
        <v>0</v>
      </c>
      <c r="GA81" s="10">
        <v>0</v>
      </c>
      <c r="GB81" s="10">
        <v>0.98057464861047006</v>
      </c>
      <c r="GC81" s="10">
        <v>0</v>
      </c>
      <c r="GD81" s="10">
        <v>0</v>
      </c>
      <c r="GE81" s="10">
        <v>0</v>
      </c>
      <c r="GF81" s="10">
        <v>0</v>
      </c>
      <c r="GG81" s="10">
        <v>0</v>
      </c>
      <c r="GH81" s="10">
        <v>0</v>
      </c>
      <c r="GI81" s="10">
        <v>0</v>
      </c>
      <c r="GJ81" s="10">
        <v>0</v>
      </c>
      <c r="GK81" s="10">
        <v>0</v>
      </c>
      <c r="GL81" s="10">
        <v>0</v>
      </c>
      <c r="GM81" s="10">
        <v>0</v>
      </c>
      <c r="GN81" s="10">
        <v>0</v>
      </c>
      <c r="GO81" s="10">
        <v>0</v>
      </c>
      <c r="GP81" s="10">
        <v>0</v>
      </c>
      <c r="GQ81" s="10">
        <v>0</v>
      </c>
      <c r="GR81" s="10">
        <v>0</v>
      </c>
      <c r="GS81" s="10">
        <v>0</v>
      </c>
      <c r="GT81" s="10">
        <v>0</v>
      </c>
      <c r="GU81" s="10">
        <v>0</v>
      </c>
      <c r="GV81" s="10">
        <v>0</v>
      </c>
      <c r="GW81" s="10">
        <v>1.9425351389531553E-2</v>
      </c>
      <c r="GX81" s="10">
        <v>0</v>
      </c>
      <c r="GY81" s="10">
        <v>0</v>
      </c>
      <c r="GZ81" s="10">
        <v>0</v>
      </c>
      <c r="HA81" s="10">
        <v>0</v>
      </c>
      <c r="HB81" s="10">
        <v>0</v>
      </c>
      <c r="HC81" s="10">
        <v>0</v>
      </c>
      <c r="HD81" s="10">
        <v>0</v>
      </c>
      <c r="HE81" s="10">
        <v>0</v>
      </c>
      <c r="HF81" s="10">
        <v>0</v>
      </c>
      <c r="HG81" s="10">
        <v>0</v>
      </c>
      <c r="HH81" s="10">
        <v>0</v>
      </c>
      <c r="HI81" s="10">
        <v>0</v>
      </c>
      <c r="HJ81" s="10">
        <v>0</v>
      </c>
      <c r="HK81" s="10">
        <v>0</v>
      </c>
      <c r="HL81" s="10">
        <v>0</v>
      </c>
      <c r="HM81" s="10">
        <v>0</v>
      </c>
      <c r="HN81" s="10">
        <v>0</v>
      </c>
      <c r="HO81" s="10">
        <v>0</v>
      </c>
      <c r="HP81" s="10">
        <v>0</v>
      </c>
      <c r="HQ81" s="10">
        <v>0</v>
      </c>
      <c r="HR81" s="10">
        <v>0</v>
      </c>
      <c r="HS81" s="10">
        <v>0</v>
      </c>
      <c r="HT81" s="10">
        <v>0</v>
      </c>
      <c r="HU81" s="10">
        <v>0</v>
      </c>
    </row>
    <row r="82" spans="1:229" x14ac:dyDescent="0.25">
      <c r="A82" s="10">
        <v>0</v>
      </c>
      <c r="B82" s="2" t="s">
        <v>152</v>
      </c>
      <c r="C82" s="2" t="s">
        <v>153</v>
      </c>
      <c r="D82" s="17">
        <v>4.5910000000000002</v>
      </c>
      <c r="E82" s="3">
        <v>6.81</v>
      </c>
      <c r="F82" s="3">
        <v>10.039999999999999</v>
      </c>
      <c r="G82" s="3">
        <v>0</v>
      </c>
      <c r="H82" s="3">
        <v>10.039999999999999</v>
      </c>
      <c r="I82" s="3">
        <v>106</v>
      </c>
      <c r="J82" s="3">
        <v>2.335</v>
      </c>
      <c r="K82" s="3">
        <v>0.245</v>
      </c>
      <c r="L82" s="3"/>
      <c r="M82" s="2" t="str">
        <f t="shared" si="8"/>
        <v>01096</v>
      </c>
      <c r="N82" s="3">
        <v>0.51323603136790252</v>
      </c>
      <c r="O82" s="3">
        <v>1.4867639686320977</v>
      </c>
      <c r="P82" s="17">
        <v>0.51323603136775664</v>
      </c>
      <c r="Q82" s="3">
        <v>1.4867639686320848</v>
      </c>
      <c r="R82" s="3">
        <v>0.82490445853886507</v>
      </c>
      <c r="S82" s="3" t="e">
        <v>#DIV/0!</v>
      </c>
      <c r="T82" s="3">
        <v>0.51323603136790774</v>
      </c>
      <c r="U82" s="3">
        <v>0.51323603136790286</v>
      </c>
      <c r="V82" s="3">
        <v>1.4867639686320595</v>
      </c>
      <c r="W82" s="3">
        <v>4.8319990409631988</v>
      </c>
      <c r="X82" s="3">
        <v>2.3562666200093707</v>
      </c>
      <c r="Y82" s="3">
        <v>10.124862626384497</v>
      </c>
      <c r="Z82" s="3">
        <v>8.2820407637302047</v>
      </c>
      <c r="AA82" s="3">
        <v>0.48089116967326406</v>
      </c>
      <c r="AB82" s="3">
        <v>5.1528897549337938</v>
      </c>
      <c r="AC82" s="3">
        <v>54.4030193249977</v>
      </c>
      <c r="AD82" s="3">
        <v>3.471593866755859</v>
      </c>
      <c r="AE82" s="3">
        <v>1.1838397650359838</v>
      </c>
      <c r="AF82" s="3">
        <v>0</v>
      </c>
      <c r="AG82" s="3">
        <v>0</v>
      </c>
      <c r="AH82" s="3">
        <v>0</v>
      </c>
      <c r="AI82" s="3">
        <v>0</v>
      </c>
      <c r="AJ82" s="3">
        <v>0</v>
      </c>
      <c r="AK82" s="3">
        <v>0</v>
      </c>
      <c r="AL82" s="3">
        <v>0</v>
      </c>
      <c r="AM82" s="3">
        <v>0</v>
      </c>
      <c r="AN82" s="3">
        <v>0</v>
      </c>
      <c r="AO82" s="3">
        <v>0</v>
      </c>
      <c r="AP82" s="3">
        <v>0</v>
      </c>
      <c r="AQ82" s="3">
        <v>0</v>
      </c>
      <c r="AR82" s="3">
        <v>0</v>
      </c>
      <c r="AS82" s="3">
        <v>0</v>
      </c>
      <c r="AT82" s="3">
        <v>0</v>
      </c>
      <c r="AU82" s="3">
        <v>0</v>
      </c>
      <c r="AV82" s="3">
        <v>0</v>
      </c>
      <c r="AW82" s="3">
        <v>0</v>
      </c>
      <c r="AX82" s="3">
        <v>0</v>
      </c>
      <c r="AY82" s="3">
        <v>0</v>
      </c>
      <c r="AZ82" s="3">
        <v>0</v>
      </c>
      <c r="BA82" s="10">
        <v>0</v>
      </c>
      <c r="BB82" s="10">
        <v>0</v>
      </c>
      <c r="BC82" s="10">
        <v>0</v>
      </c>
      <c r="BD82" s="10">
        <v>0</v>
      </c>
      <c r="BE82" s="10">
        <v>0</v>
      </c>
      <c r="BF82" s="10">
        <v>0</v>
      </c>
      <c r="BG82" s="10">
        <v>0</v>
      </c>
      <c r="BH82" s="10">
        <v>0</v>
      </c>
      <c r="BI82" s="10">
        <v>0</v>
      </c>
      <c r="BJ82" s="10">
        <v>0</v>
      </c>
      <c r="BK82" s="10">
        <v>0</v>
      </c>
      <c r="BL82" s="10">
        <v>0</v>
      </c>
      <c r="BM82" s="10">
        <v>0</v>
      </c>
      <c r="BN82" s="10">
        <v>0</v>
      </c>
      <c r="BO82" s="10">
        <v>0</v>
      </c>
      <c r="BP82" s="10">
        <v>0</v>
      </c>
      <c r="BQ82" s="10">
        <v>0</v>
      </c>
      <c r="BR82" s="10">
        <v>0</v>
      </c>
      <c r="BS82" s="10">
        <v>0</v>
      </c>
      <c r="BT82" s="10">
        <v>0</v>
      </c>
      <c r="BU82" s="10">
        <v>0</v>
      </c>
      <c r="BV82" s="10">
        <v>0</v>
      </c>
      <c r="BW82" s="10">
        <v>0</v>
      </c>
      <c r="BX82" s="10">
        <v>0</v>
      </c>
      <c r="BY82" s="10">
        <v>0</v>
      </c>
      <c r="BZ82" s="10">
        <v>0</v>
      </c>
      <c r="CA82" s="10">
        <v>0.29823709193156916</v>
      </c>
      <c r="CB82" s="10">
        <v>0</v>
      </c>
      <c r="CC82" s="10">
        <v>0</v>
      </c>
      <c r="CD82" s="10">
        <v>0</v>
      </c>
      <c r="CE82" s="10">
        <v>0</v>
      </c>
      <c r="CF82" s="10">
        <v>0</v>
      </c>
      <c r="CG82" s="10">
        <v>0</v>
      </c>
      <c r="CH82" s="10">
        <v>0</v>
      </c>
      <c r="CI82" s="10">
        <v>0</v>
      </c>
      <c r="CJ82" s="10">
        <v>0</v>
      </c>
      <c r="CK82" s="10">
        <v>0</v>
      </c>
      <c r="CL82" s="10">
        <v>0</v>
      </c>
      <c r="CM82" s="10">
        <v>0</v>
      </c>
      <c r="CN82" s="10">
        <v>0</v>
      </c>
      <c r="CO82" s="10">
        <v>0</v>
      </c>
      <c r="CP82" s="10">
        <v>0</v>
      </c>
      <c r="CQ82" s="10">
        <v>0</v>
      </c>
      <c r="CR82" s="10">
        <v>0</v>
      </c>
      <c r="CS82" s="10">
        <v>0</v>
      </c>
      <c r="CT82" s="10">
        <v>0</v>
      </c>
      <c r="CU82" s="10">
        <v>0</v>
      </c>
      <c r="CV82" s="10">
        <v>0</v>
      </c>
      <c r="CW82" s="10">
        <v>0</v>
      </c>
      <c r="CX82" s="10">
        <v>0</v>
      </c>
      <c r="CY82" s="10">
        <v>0</v>
      </c>
      <c r="CZ82" s="10">
        <v>0</v>
      </c>
      <c r="DA82" s="10">
        <v>0</v>
      </c>
      <c r="DB82" s="10">
        <v>0</v>
      </c>
      <c r="DC82" s="10">
        <v>0</v>
      </c>
      <c r="DD82" s="10">
        <v>0</v>
      </c>
      <c r="DE82" s="10">
        <v>0</v>
      </c>
      <c r="DF82" s="10">
        <v>0</v>
      </c>
      <c r="DG82" s="10">
        <v>0</v>
      </c>
      <c r="DH82" s="10">
        <v>0</v>
      </c>
      <c r="DI82" s="10">
        <v>0</v>
      </c>
      <c r="DJ82" s="10">
        <v>0</v>
      </c>
      <c r="DK82" s="10">
        <v>0</v>
      </c>
      <c r="DL82" s="10">
        <v>0</v>
      </c>
      <c r="DM82" s="10">
        <v>0</v>
      </c>
      <c r="DN82" s="10">
        <v>0</v>
      </c>
      <c r="DO82" s="10">
        <v>0</v>
      </c>
      <c r="DP82" s="10">
        <v>0</v>
      </c>
      <c r="DQ82" s="10">
        <v>0</v>
      </c>
      <c r="DR82" s="10">
        <v>0</v>
      </c>
      <c r="DS82" s="10">
        <v>0.21201222240490769</v>
      </c>
      <c r="DT82" s="10">
        <v>0</v>
      </c>
      <c r="DU82" s="10">
        <v>0</v>
      </c>
      <c r="DV82" s="10">
        <v>0</v>
      </c>
      <c r="DW82" s="10">
        <v>0</v>
      </c>
      <c r="DX82" s="10">
        <v>0</v>
      </c>
      <c r="DY82" s="10">
        <v>0</v>
      </c>
      <c r="DZ82" s="10">
        <v>0</v>
      </c>
      <c r="EA82" s="10">
        <v>0</v>
      </c>
      <c r="EB82" s="10">
        <v>0</v>
      </c>
      <c r="EC82" s="10">
        <v>0</v>
      </c>
      <c r="ED82" s="10">
        <v>0</v>
      </c>
      <c r="EE82" s="10">
        <v>0</v>
      </c>
      <c r="EF82" s="10">
        <v>0</v>
      </c>
      <c r="EG82" s="10">
        <v>0</v>
      </c>
      <c r="EH82" s="10">
        <v>0</v>
      </c>
      <c r="EI82" s="10">
        <v>0</v>
      </c>
      <c r="EJ82" s="10">
        <v>0</v>
      </c>
      <c r="EK82" s="10">
        <v>0</v>
      </c>
      <c r="EL82" s="10">
        <v>0</v>
      </c>
      <c r="EM82" s="10">
        <v>0</v>
      </c>
      <c r="EN82" s="10">
        <v>0</v>
      </c>
      <c r="EO82" s="10">
        <v>0</v>
      </c>
      <c r="EP82" s="10">
        <v>0</v>
      </c>
      <c r="EQ82" s="10">
        <v>0</v>
      </c>
      <c r="ER82" s="10">
        <v>0</v>
      </c>
      <c r="ES82" s="10">
        <v>0</v>
      </c>
      <c r="ET82" s="10">
        <v>0</v>
      </c>
      <c r="EU82" s="10">
        <v>0</v>
      </c>
      <c r="EV82" s="10">
        <v>0</v>
      </c>
      <c r="EW82" s="10">
        <v>0</v>
      </c>
      <c r="EX82" s="10">
        <v>0</v>
      </c>
      <c r="EY82" s="10">
        <v>0</v>
      </c>
      <c r="EZ82" s="10">
        <v>0</v>
      </c>
      <c r="FA82" s="10">
        <v>0</v>
      </c>
      <c r="FB82" s="10">
        <v>0</v>
      </c>
      <c r="FC82" s="10">
        <v>0</v>
      </c>
      <c r="FD82" s="10">
        <v>0</v>
      </c>
      <c r="FE82" s="10">
        <v>0</v>
      </c>
      <c r="FF82" s="10">
        <v>0</v>
      </c>
      <c r="FG82" s="10">
        <v>0</v>
      </c>
      <c r="FH82" s="10">
        <v>0</v>
      </c>
      <c r="FI82" s="10">
        <v>0</v>
      </c>
      <c r="FJ82" s="10">
        <v>0</v>
      </c>
      <c r="FK82" s="10">
        <v>0</v>
      </c>
      <c r="FL82" s="10">
        <v>0</v>
      </c>
      <c r="FM82" s="10">
        <v>0</v>
      </c>
      <c r="FN82" s="10">
        <v>0</v>
      </c>
      <c r="FO82" s="10">
        <v>0</v>
      </c>
      <c r="FP82" s="10">
        <v>0</v>
      </c>
      <c r="FQ82" s="10">
        <v>0</v>
      </c>
      <c r="FR82" s="10">
        <v>0</v>
      </c>
      <c r="FS82" s="10">
        <v>0</v>
      </c>
      <c r="FT82" s="10">
        <v>0</v>
      </c>
      <c r="FU82" s="10">
        <v>0</v>
      </c>
      <c r="FV82" s="10">
        <v>0</v>
      </c>
      <c r="FW82" s="10">
        <v>0</v>
      </c>
      <c r="FX82" s="10">
        <v>0</v>
      </c>
      <c r="FY82" s="10">
        <v>0</v>
      </c>
      <c r="FZ82" s="10">
        <v>0</v>
      </c>
      <c r="GA82" s="10">
        <v>1.551351110505263E-2</v>
      </c>
      <c r="GB82" s="10">
        <v>2.983016818189339E-2</v>
      </c>
      <c r="GC82" s="10">
        <v>0</v>
      </c>
      <c r="GD82" s="10">
        <v>0</v>
      </c>
      <c r="GE82" s="10">
        <v>0</v>
      </c>
      <c r="GF82" s="10">
        <v>0</v>
      </c>
      <c r="GG82" s="10">
        <v>0</v>
      </c>
      <c r="GH82" s="10">
        <v>0</v>
      </c>
      <c r="GI82" s="10">
        <v>0</v>
      </c>
      <c r="GJ82" s="10">
        <v>0</v>
      </c>
      <c r="GK82" s="10">
        <v>0</v>
      </c>
      <c r="GL82" s="10">
        <v>0</v>
      </c>
      <c r="GM82" s="10">
        <v>0</v>
      </c>
      <c r="GN82" s="10">
        <v>0</v>
      </c>
      <c r="GO82" s="10">
        <v>0</v>
      </c>
      <c r="GP82" s="10">
        <v>0</v>
      </c>
      <c r="GQ82" s="10">
        <v>0</v>
      </c>
      <c r="GR82" s="10">
        <v>0</v>
      </c>
      <c r="GS82" s="10">
        <v>0</v>
      </c>
      <c r="GT82" s="10">
        <v>0</v>
      </c>
      <c r="GU82" s="10">
        <v>0</v>
      </c>
      <c r="GV82" s="10">
        <v>0</v>
      </c>
      <c r="GW82" s="10">
        <v>0</v>
      </c>
      <c r="GX82" s="10">
        <v>0</v>
      </c>
      <c r="GY82" s="10">
        <v>0</v>
      </c>
      <c r="GZ82" s="10">
        <v>0</v>
      </c>
      <c r="HA82" s="10">
        <v>0</v>
      </c>
      <c r="HB82" s="10">
        <v>0</v>
      </c>
      <c r="HC82" s="10">
        <v>0</v>
      </c>
      <c r="HD82" s="10">
        <v>0</v>
      </c>
      <c r="HE82" s="10">
        <v>0</v>
      </c>
      <c r="HF82" s="10">
        <v>0</v>
      </c>
      <c r="HG82" s="10">
        <v>0.4444070063765766</v>
      </c>
      <c r="HH82" s="10">
        <v>0</v>
      </c>
      <c r="HI82" s="10">
        <v>0</v>
      </c>
      <c r="HJ82" s="10">
        <v>0</v>
      </c>
      <c r="HK82" s="10">
        <v>0</v>
      </c>
      <c r="HL82" s="10">
        <v>0</v>
      </c>
      <c r="HM82" s="10">
        <v>0</v>
      </c>
      <c r="HN82" s="10">
        <v>0</v>
      </c>
      <c r="HO82" s="10">
        <v>0</v>
      </c>
      <c r="HP82" s="10">
        <v>0</v>
      </c>
      <c r="HQ82" s="10">
        <v>0</v>
      </c>
      <c r="HR82" s="10">
        <v>0</v>
      </c>
      <c r="HS82" s="10">
        <v>0</v>
      </c>
      <c r="HT82" s="10">
        <v>0</v>
      </c>
      <c r="HU82" s="10">
        <v>0</v>
      </c>
    </row>
    <row r="83" spans="1:229" x14ac:dyDescent="0.25">
      <c r="A83" s="10">
        <v>0</v>
      </c>
      <c r="B83" s="2" t="s">
        <v>154</v>
      </c>
      <c r="C83" s="2" t="s">
        <v>155</v>
      </c>
      <c r="D83" s="17">
        <v>2.1040000000000001</v>
      </c>
      <c r="E83" s="3">
        <v>3.17</v>
      </c>
      <c r="F83" s="3">
        <v>10.34</v>
      </c>
      <c r="G83" s="3">
        <v>0.8</v>
      </c>
      <c r="H83" s="3">
        <v>9.5399999999999991</v>
      </c>
      <c r="I83" s="3">
        <v>60</v>
      </c>
      <c r="J83" s="3">
        <v>0.99</v>
      </c>
      <c r="K83" s="3">
        <v>0.124</v>
      </c>
      <c r="L83" s="3"/>
      <c r="M83" s="2" t="str">
        <f t="shared" si="8"/>
        <v>01102</v>
      </c>
      <c r="N83" s="3">
        <v>0.57778163227593649</v>
      </c>
      <c r="O83" s="3">
        <v>1.4222183677240643</v>
      </c>
      <c r="P83" s="17">
        <v>0.57778163227598944</v>
      </c>
      <c r="Q83" s="3">
        <v>1.4222183677240472</v>
      </c>
      <c r="R83" s="3">
        <v>0.69261702070477305</v>
      </c>
      <c r="S83" s="3">
        <v>0.22338187206616678</v>
      </c>
      <c r="T83" s="3">
        <v>0.5777816322759397</v>
      </c>
      <c r="U83" s="3">
        <v>0.57778163227593615</v>
      </c>
      <c r="V83" s="3">
        <v>1.4222183677241251</v>
      </c>
      <c r="W83" s="3">
        <v>4.0402229987160823</v>
      </c>
      <c r="X83" s="3">
        <v>1.2156525543086818</v>
      </c>
      <c r="Y83" s="3">
        <v>4.5084322256852296</v>
      </c>
      <c r="Z83" s="3">
        <v>7.1616599940873531</v>
      </c>
      <c r="AA83" s="3">
        <v>0.17870549765293342</v>
      </c>
      <c r="AB83" s="3">
        <v>5.5120367719124648</v>
      </c>
      <c r="AC83" s="3">
        <v>34.666897936556168</v>
      </c>
      <c r="AD83" s="3">
        <v>1.4079961840468838</v>
      </c>
      <c r="AE83" s="3">
        <v>0.50098765184079419</v>
      </c>
      <c r="AF83" s="3">
        <v>0</v>
      </c>
      <c r="AG83" s="3">
        <v>0</v>
      </c>
      <c r="AH83" s="3">
        <v>0</v>
      </c>
      <c r="AI83" s="10">
        <v>0</v>
      </c>
      <c r="AJ83" s="3">
        <v>0</v>
      </c>
      <c r="AK83" s="3">
        <v>0</v>
      </c>
      <c r="AL83" s="3">
        <v>0</v>
      </c>
      <c r="AM83" s="3">
        <v>0</v>
      </c>
      <c r="AN83" s="10">
        <v>0</v>
      </c>
      <c r="AO83" s="10">
        <v>0</v>
      </c>
      <c r="AP83" s="10">
        <v>0</v>
      </c>
      <c r="AQ83" s="10">
        <v>0</v>
      </c>
      <c r="AR83" s="10">
        <v>0</v>
      </c>
      <c r="AS83" s="10">
        <v>0</v>
      </c>
      <c r="AT83" s="3">
        <v>0</v>
      </c>
      <c r="AU83" s="3">
        <v>0</v>
      </c>
      <c r="AV83" s="10">
        <v>0</v>
      </c>
      <c r="AW83" s="3">
        <v>0</v>
      </c>
      <c r="AX83" s="3">
        <v>0</v>
      </c>
      <c r="AY83" s="3">
        <v>0</v>
      </c>
      <c r="AZ83" s="3">
        <v>0</v>
      </c>
      <c r="BA83" s="10">
        <v>0</v>
      </c>
      <c r="BB83" s="10">
        <v>0</v>
      </c>
      <c r="BC83" s="10">
        <v>0</v>
      </c>
      <c r="BD83" s="10">
        <v>0</v>
      </c>
      <c r="BE83" s="10">
        <v>0</v>
      </c>
      <c r="BF83" s="10">
        <v>0</v>
      </c>
      <c r="BG83" s="10">
        <v>0</v>
      </c>
      <c r="BH83" s="10">
        <v>0</v>
      </c>
      <c r="BI83" s="10">
        <v>0</v>
      </c>
      <c r="BJ83" s="10">
        <v>0</v>
      </c>
      <c r="BK83" s="10">
        <v>0</v>
      </c>
      <c r="BL83" s="10">
        <v>0</v>
      </c>
      <c r="BM83" s="10">
        <v>0</v>
      </c>
      <c r="BN83" s="10">
        <v>0</v>
      </c>
      <c r="BO83" s="10">
        <v>0</v>
      </c>
      <c r="BP83" s="10">
        <v>0</v>
      </c>
      <c r="BQ83" s="10">
        <v>0</v>
      </c>
      <c r="BR83" s="10">
        <v>0</v>
      </c>
      <c r="BS83" s="10">
        <v>0</v>
      </c>
      <c r="BT83" s="10">
        <v>0</v>
      </c>
      <c r="BU83" s="10">
        <v>0</v>
      </c>
      <c r="BV83" s="10">
        <v>0</v>
      </c>
      <c r="BW83" s="10">
        <v>0</v>
      </c>
      <c r="BX83" s="10">
        <v>0</v>
      </c>
      <c r="BY83" s="10">
        <v>0</v>
      </c>
      <c r="BZ83" s="10">
        <v>0</v>
      </c>
      <c r="CA83" s="10">
        <v>0.28578491975143905</v>
      </c>
      <c r="CB83" s="10">
        <v>0</v>
      </c>
      <c r="CC83" s="10">
        <v>0</v>
      </c>
      <c r="CD83" s="10">
        <v>0</v>
      </c>
      <c r="CE83" s="10">
        <v>0</v>
      </c>
      <c r="CF83" s="10">
        <v>0</v>
      </c>
      <c r="CG83" s="10">
        <v>0</v>
      </c>
      <c r="CH83" s="10">
        <v>0</v>
      </c>
      <c r="CI83" s="10">
        <v>0</v>
      </c>
      <c r="CJ83" s="10">
        <v>0</v>
      </c>
      <c r="CK83" s="10">
        <v>0</v>
      </c>
      <c r="CL83" s="10">
        <v>0</v>
      </c>
      <c r="CM83" s="10">
        <v>0</v>
      </c>
      <c r="CN83" s="10">
        <v>0</v>
      </c>
      <c r="CO83" s="10">
        <v>0</v>
      </c>
      <c r="CP83" s="10">
        <v>0</v>
      </c>
      <c r="CQ83" s="10">
        <v>0</v>
      </c>
      <c r="CR83" s="10">
        <v>0</v>
      </c>
      <c r="CS83" s="10">
        <v>0</v>
      </c>
      <c r="CT83" s="10">
        <v>0</v>
      </c>
      <c r="CU83" s="10">
        <v>0</v>
      </c>
      <c r="CV83" s="10">
        <v>0</v>
      </c>
      <c r="CW83" s="10">
        <v>0</v>
      </c>
      <c r="CX83" s="10">
        <v>0</v>
      </c>
      <c r="CY83" s="10">
        <v>0</v>
      </c>
      <c r="CZ83" s="10">
        <v>0</v>
      </c>
      <c r="DA83" s="10">
        <v>0</v>
      </c>
      <c r="DB83" s="10">
        <v>0</v>
      </c>
      <c r="DC83" s="10">
        <v>0</v>
      </c>
      <c r="DD83" s="10">
        <v>0.36129402363224666</v>
      </c>
      <c r="DE83" s="10">
        <v>0</v>
      </c>
      <c r="DF83" s="10">
        <v>0</v>
      </c>
      <c r="DG83" s="10">
        <v>0</v>
      </c>
      <c r="DH83" s="10">
        <v>0</v>
      </c>
      <c r="DI83" s="10">
        <v>0</v>
      </c>
      <c r="DJ83" s="10">
        <v>0</v>
      </c>
      <c r="DK83" s="10">
        <v>0</v>
      </c>
      <c r="DL83" s="10">
        <v>0</v>
      </c>
      <c r="DM83" s="10">
        <v>0</v>
      </c>
      <c r="DN83" s="10">
        <v>0</v>
      </c>
      <c r="DO83" s="10">
        <v>0</v>
      </c>
      <c r="DP83" s="10">
        <v>0</v>
      </c>
      <c r="DQ83" s="10">
        <v>0</v>
      </c>
      <c r="DR83" s="10">
        <v>0</v>
      </c>
      <c r="DS83" s="10">
        <v>2.4656814584624001E-2</v>
      </c>
      <c r="DT83" s="10">
        <v>0</v>
      </c>
      <c r="DU83" s="10">
        <v>0</v>
      </c>
      <c r="DV83" s="10">
        <v>0</v>
      </c>
      <c r="DW83" s="10">
        <v>0</v>
      </c>
      <c r="DX83" s="10">
        <v>0</v>
      </c>
      <c r="DY83" s="10">
        <v>0</v>
      </c>
      <c r="DZ83" s="10">
        <v>0</v>
      </c>
      <c r="EA83" s="10">
        <v>0</v>
      </c>
      <c r="EB83" s="10">
        <v>0</v>
      </c>
      <c r="EC83" s="10">
        <v>0</v>
      </c>
      <c r="ED83" s="10">
        <v>0</v>
      </c>
      <c r="EE83" s="10">
        <v>0</v>
      </c>
      <c r="EF83" s="10">
        <v>0</v>
      </c>
      <c r="EG83" s="10">
        <v>0</v>
      </c>
      <c r="EH83" s="10">
        <v>0</v>
      </c>
      <c r="EI83" s="10">
        <v>0</v>
      </c>
      <c r="EJ83" s="10">
        <v>0</v>
      </c>
      <c r="EK83" s="10">
        <v>0</v>
      </c>
      <c r="EL83" s="10">
        <v>0</v>
      </c>
      <c r="EM83" s="10">
        <v>0</v>
      </c>
      <c r="EN83" s="10">
        <v>0</v>
      </c>
      <c r="EO83" s="10">
        <v>0</v>
      </c>
      <c r="EP83" s="10">
        <v>0</v>
      </c>
      <c r="EQ83" s="10">
        <v>0</v>
      </c>
      <c r="ER83" s="10">
        <v>0</v>
      </c>
      <c r="ES83" s="10">
        <v>0</v>
      </c>
      <c r="ET83" s="10">
        <v>0</v>
      </c>
      <c r="EU83" s="10">
        <v>0</v>
      </c>
      <c r="EV83" s="10">
        <v>0</v>
      </c>
      <c r="EW83" s="10">
        <v>0</v>
      </c>
      <c r="EX83" s="10">
        <v>0</v>
      </c>
      <c r="EY83" s="10">
        <v>0</v>
      </c>
      <c r="EZ83" s="10">
        <v>0</v>
      </c>
      <c r="FA83" s="10">
        <v>0</v>
      </c>
      <c r="FB83" s="10">
        <v>0</v>
      </c>
      <c r="FC83" s="10">
        <v>0</v>
      </c>
      <c r="FD83" s="10">
        <v>0</v>
      </c>
      <c r="FE83" s="10">
        <v>0</v>
      </c>
      <c r="FF83" s="10">
        <v>0</v>
      </c>
      <c r="FG83" s="10">
        <v>0</v>
      </c>
      <c r="FH83" s="10">
        <v>0</v>
      </c>
      <c r="FI83" s="10">
        <v>0</v>
      </c>
      <c r="FJ83" s="10">
        <v>0</v>
      </c>
      <c r="FK83" s="10">
        <v>0</v>
      </c>
      <c r="FL83" s="10">
        <v>0</v>
      </c>
      <c r="FM83" s="10">
        <v>0</v>
      </c>
      <c r="FN83" s="10">
        <v>0</v>
      </c>
      <c r="FO83" s="10">
        <v>0</v>
      </c>
      <c r="FP83" s="10">
        <v>0</v>
      </c>
      <c r="FQ83" s="10">
        <v>0</v>
      </c>
      <c r="FR83" s="10">
        <v>0</v>
      </c>
      <c r="FS83" s="10">
        <v>0</v>
      </c>
      <c r="FT83" s="10">
        <v>0</v>
      </c>
      <c r="FU83" s="10">
        <v>0</v>
      </c>
      <c r="FV83" s="10">
        <v>0</v>
      </c>
      <c r="FW83" s="10">
        <v>0</v>
      </c>
      <c r="FX83" s="10">
        <v>0</v>
      </c>
      <c r="FY83" s="10">
        <v>0</v>
      </c>
      <c r="FZ83" s="10">
        <v>0</v>
      </c>
      <c r="GA83" s="10">
        <v>0</v>
      </c>
      <c r="GB83" s="10">
        <v>0</v>
      </c>
      <c r="GC83" s="10">
        <v>0</v>
      </c>
      <c r="GD83" s="10">
        <v>0</v>
      </c>
      <c r="GE83" s="10">
        <v>0</v>
      </c>
      <c r="GF83" s="10">
        <v>0</v>
      </c>
      <c r="GG83" s="10">
        <v>0</v>
      </c>
      <c r="GH83" s="10">
        <v>0</v>
      </c>
      <c r="GI83" s="10">
        <v>0</v>
      </c>
      <c r="GJ83" s="10">
        <v>0</v>
      </c>
      <c r="GK83" s="10">
        <v>0</v>
      </c>
      <c r="GL83" s="10">
        <v>0</v>
      </c>
      <c r="GM83" s="10">
        <v>0</v>
      </c>
      <c r="GN83" s="10">
        <v>0</v>
      </c>
      <c r="GO83" s="10">
        <v>0</v>
      </c>
      <c r="GP83" s="10">
        <v>0</v>
      </c>
      <c r="GQ83" s="10">
        <v>0</v>
      </c>
      <c r="GR83" s="10">
        <v>0</v>
      </c>
      <c r="GS83" s="10">
        <v>0</v>
      </c>
      <c r="GT83" s="10">
        <v>0</v>
      </c>
      <c r="GU83" s="10">
        <v>0</v>
      </c>
      <c r="GV83" s="10">
        <v>7.2970673956071194E-2</v>
      </c>
      <c r="GW83" s="10">
        <v>0</v>
      </c>
      <c r="GX83" s="10">
        <v>0</v>
      </c>
      <c r="GY83" s="10">
        <v>0</v>
      </c>
      <c r="GZ83" s="10">
        <v>0</v>
      </c>
      <c r="HA83" s="10">
        <v>0</v>
      </c>
      <c r="HB83" s="10">
        <v>0</v>
      </c>
      <c r="HC83" s="10">
        <v>0</v>
      </c>
      <c r="HD83" s="10">
        <v>0</v>
      </c>
      <c r="HE83" s="10">
        <v>0</v>
      </c>
      <c r="HF83" s="10">
        <v>0</v>
      </c>
      <c r="HG83" s="10">
        <v>0.2552935680756192</v>
      </c>
      <c r="HH83" s="10">
        <v>0</v>
      </c>
      <c r="HI83" s="10">
        <v>0</v>
      </c>
      <c r="HJ83" s="10">
        <v>0</v>
      </c>
      <c r="HK83" s="10">
        <v>0</v>
      </c>
      <c r="HL83" s="10">
        <v>0</v>
      </c>
      <c r="HM83" s="10">
        <v>0</v>
      </c>
      <c r="HN83" s="10">
        <v>0</v>
      </c>
      <c r="HO83" s="10">
        <v>0</v>
      </c>
      <c r="HP83" s="10">
        <v>0</v>
      </c>
      <c r="HQ83" s="10">
        <v>0</v>
      </c>
      <c r="HR83" s="10">
        <v>0</v>
      </c>
      <c r="HS83" s="10">
        <v>0</v>
      </c>
      <c r="HT83" s="10">
        <v>0</v>
      </c>
      <c r="HU83" s="10">
        <v>0</v>
      </c>
    </row>
    <row r="84" spans="1:229" x14ac:dyDescent="0.25">
      <c r="A84" s="10">
        <v>0</v>
      </c>
      <c r="B84" s="2" t="s">
        <v>156</v>
      </c>
      <c r="C84" s="2" t="s">
        <v>157</v>
      </c>
      <c r="D84" s="2">
        <v>1.177</v>
      </c>
      <c r="E84" s="2">
        <v>2.99</v>
      </c>
      <c r="F84" s="2">
        <v>12.13</v>
      </c>
      <c r="G84" s="2">
        <v>0.7</v>
      </c>
      <c r="H84" s="2">
        <v>9.5500000000000007</v>
      </c>
      <c r="I84" s="2">
        <v>66</v>
      </c>
      <c r="J84" s="2">
        <v>0.45500000000000002</v>
      </c>
      <c r="K84" s="2">
        <v>8.8999999999999996E-2</v>
      </c>
      <c r="L84" s="3"/>
      <c r="M84" s="2" t="str">
        <f t="shared" si="8"/>
        <v>01103</v>
      </c>
      <c r="N84" s="3">
        <v>0.52747435683110433</v>
      </c>
      <c r="O84" s="3">
        <v>1.4725256431688958</v>
      </c>
      <c r="P84" s="17">
        <v>0.52747435683090305</v>
      </c>
      <c r="Q84" s="3">
        <v>2.2366422604155871</v>
      </c>
      <c r="R84" s="3">
        <v>0.50462430183218809</v>
      </c>
      <c r="S84" s="3">
        <v>0.20432518020147181</v>
      </c>
      <c r="T84" s="3">
        <v>0.52747435683110633</v>
      </c>
      <c r="U84" s="3">
        <v>0.52747435683110455</v>
      </c>
      <c r="V84" s="3">
        <v>1.4725256431686637</v>
      </c>
      <c r="W84" s="3">
        <v>2.6417186115093343</v>
      </c>
      <c r="X84" s="3">
        <v>0.62083731798997288</v>
      </c>
      <c r="Y84" s="3">
        <v>6.6875603586426058</v>
      </c>
      <c r="Z84" s="3">
        <v>6.1210927812244424</v>
      </c>
      <c r="AA84" s="3">
        <v>0.14302762614103026</v>
      </c>
      <c r="AB84" s="3">
        <v>5.0373801077370661</v>
      </c>
      <c r="AC84" s="3">
        <v>34.813307550852898</v>
      </c>
      <c r="AD84" s="3">
        <v>0.66999916764174205</v>
      </c>
      <c r="AE84" s="3">
        <v>0.23511295642433072</v>
      </c>
      <c r="AF84" s="3">
        <v>0</v>
      </c>
      <c r="AG84" s="3">
        <v>0</v>
      </c>
      <c r="AH84" s="3">
        <v>0</v>
      </c>
      <c r="AI84" s="10">
        <v>0</v>
      </c>
      <c r="AJ84" s="3">
        <v>0</v>
      </c>
      <c r="AK84" s="3">
        <v>0</v>
      </c>
      <c r="AL84" s="3">
        <v>0</v>
      </c>
      <c r="AM84" s="10">
        <v>0</v>
      </c>
      <c r="AN84" s="3">
        <v>0</v>
      </c>
      <c r="AO84" s="3">
        <v>0</v>
      </c>
      <c r="AP84" s="3">
        <v>0</v>
      </c>
      <c r="AQ84" s="3">
        <v>0</v>
      </c>
      <c r="AR84" s="3">
        <v>0</v>
      </c>
      <c r="AS84" s="3">
        <v>0</v>
      </c>
      <c r="AT84" s="3">
        <v>0</v>
      </c>
      <c r="AU84" s="3">
        <v>0</v>
      </c>
      <c r="AV84" s="3">
        <v>0</v>
      </c>
      <c r="AW84" s="3">
        <v>0</v>
      </c>
      <c r="AX84" s="3">
        <v>0</v>
      </c>
      <c r="AY84" s="3">
        <v>0</v>
      </c>
      <c r="AZ84" s="3">
        <v>0</v>
      </c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0">
        <v>0</v>
      </c>
      <c r="BM84" s="10">
        <v>0</v>
      </c>
      <c r="BN84" s="10">
        <v>0</v>
      </c>
      <c r="BO84" s="10">
        <v>0</v>
      </c>
      <c r="BP84" s="10">
        <v>0</v>
      </c>
      <c r="BQ84" s="10">
        <v>0</v>
      </c>
      <c r="BR84" s="10">
        <v>0</v>
      </c>
      <c r="BS84" s="10">
        <v>0</v>
      </c>
      <c r="BT84" s="10">
        <v>0</v>
      </c>
      <c r="BU84" s="10">
        <v>0</v>
      </c>
      <c r="BV84" s="10">
        <v>0</v>
      </c>
      <c r="BW84" s="10">
        <v>0</v>
      </c>
      <c r="BX84" s="10">
        <v>0</v>
      </c>
      <c r="BY84" s="10">
        <v>0</v>
      </c>
      <c r="BZ84" s="10">
        <v>0</v>
      </c>
      <c r="CA84" s="10">
        <v>0.16394670253508239</v>
      </c>
      <c r="CB84" s="10">
        <v>0</v>
      </c>
      <c r="CC84" s="10">
        <v>0</v>
      </c>
      <c r="CD84" s="10">
        <v>0</v>
      </c>
      <c r="CE84" s="10">
        <v>0</v>
      </c>
      <c r="CF84" s="10">
        <v>0</v>
      </c>
      <c r="CG84" s="10">
        <v>0</v>
      </c>
      <c r="CH84" s="10">
        <v>0</v>
      </c>
      <c r="CI84" s="10">
        <v>0</v>
      </c>
      <c r="CJ84" s="10">
        <v>0</v>
      </c>
      <c r="CK84" s="10">
        <v>0</v>
      </c>
      <c r="CL84" s="10">
        <v>0</v>
      </c>
      <c r="CM84" s="10">
        <v>0</v>
      </c>
      <c r="CN84" s="10">
        <v>0</v>
      </c>
      <c r="CO84" s="10">
        <v>0</v>
      </c>
      <c r="CP84" s="10">
        <v>0</v>
      </c>
      <c r="CQ84" s="10">
        <v>0</v>
      </c>
      <c r="CR84" s="10">
        <v>0</v>
      </c>
      <c r="CS84" s="10">
        <v>0</v>
      </c>
      <c r="CT84" s="10">
        <v>0</v>
      </c>
      <c r="CU84" s="10">
        <v>0</v>
      </c>
      <c r="CV84" s="10">
        <v>0</v>
      </c>
      <c r="CW84" s="10">
        <v>0</v>
      </c>
      <c r="CX84" s="10">
        <v>0</v>
      </c>
      <c r="CY84" s="10">
        <v>0</v>
      </c>
      <c r="CZ84" s="10">
        <v>0</v>
      </c>
      <c r="DA84" s="10">
        <v>0</v>
      </c>
      <c r="DB84" s="10">
        <v>0</v>
      </c>
      <c r="DC84" s="10">
        <v>0</v>
      </c>
      <c r="DD84" s="10">
        <v>0.21139987693575843</v>
      </c>
      <c r="DE84" s="10">
        <v>0</v>
      </c>
      <c r="DF84" s="10">
        <v>0</v>
      </c>
      <c r="DG84" s="10">
        <v>0</v>
      </c>
      <c r="DH84" s="10">
        <v>0</v>
      </c>
      <c r="DI84" s="10">
        <v>0</v>
      </c>
      <c r="DJ84" s="10">
        <v>0</v>
      </c>
      <c r="DK84" s="10">
        <v>0</v>
      </c>
      <c r="DL84" s="10">
        <v>0</v>
      </c>
      <c r="DM84" s="10">
        <v>0</v>
      </c>
      <c r="DN84" s="10">
        <v>0</v>
      </c>
      <c r="DO84" s="10">
        <v>0</v>
      </c>
      <c r="DP84" s="10">
        <v>0</v>
      </c>
      <c r="DQ84" s="10">
        <v>0</v>
      </c>
      <c r="DR84" s="10">
        <v>0</v>
      </c>
      <c r="DS84" s="10">
        <v>0</v>
      </c>
      <c r="DT84" s="10">
        <v>0</v>
      </c>
      <c r="DU84" s="10">
        <v>0</v>
      </c>
      <c r="DV84" s="10">
        <v>0</v>
      </c>
      <c r="DW84" s="10">
        <v>0</v>
      </c>
      <c r="DX84" s="10">
        <v>0</v>
      </c>
      <c r="DY84" s="10">
        <v>0</v>
      </c>
      <c r="DZ84" s="10">
        <v>0</v>
      </c>
      <c r="EA84" s="10">
        <v>0</v>
      </c>
      <c r="EB84" s="10">
        <v>0</v>
      </c>
      <c r="EC84" s="10">
        <v>0</v>
      </c>
      <c r="ED84" s="10">
        <v>0</v>
      </c>
      <c r="EE84" s="10">
        <v>0</v>
      </c>
      <c r="EF84" s="10">
        <v>0</v>
      </c>
      <c r="EG84" s="10">
        <v>0</v>
      </c>
      <c r="EH84" s="10">
        <v>0</v>
      </c>
      <c r="EI84" s="10">
        <v>0</v>
      </c>
      <c r="EJ84" s="10">
        <v>0</v>
      </c>
      <c r="EK84" s="10">
        <v>0</v>
      </c>
      <c r="EL84" s="10">
        <v>0</v>
      </c>
      <c r="EM84" s="10">
        <v>0</v>
      </c>
      <c r="EN84" s="10">
        <v>0</v>
      </c>
      <c r="EO84" s="10">
        <v>0</v>
      </c>
      <c r="EP84" s="10">
        <v>0</v>
      </c>
      <c r="EQ84" s="10">
        <v>0</v>
      </c>
      <c r="ER84" s="10">
        <v>0</v>
      </c>
      <c r="ES84" s="10">
        <v>0</v>
      </c>
      <c r="ET84" s="10">
        <v>0</v>
      </c>
      <c r="EU84" s="10">
        <v>0</v>
      </c>
      <c r="EV84" s="10">
        <v>0</v>
      </c>
      <c r="EW84" s="10">
        <v>0</v>
      </c>
      <c r="EX84" s="10">
        <v>0</v>
      </c>
      <c r="EY84" s="10">
        <v>0</v>
      </c>
      <c r="EZ84" s="10">
        <v>0</v>
      </c>
      <c r="FA84" s="10">
        <v>0</v>
      </c>
      <c r="FB84" s="10">
        <v>0</v>
      </c>
      <c r="FC84" s="10">
        <v>0</v>
      </c>
      <c r="FD84" s="10">
        <v>0</v>
      </c>
      <c r="FE84" s="10">
        <v>0</v>
      </c>
      <c r="FF84" s="10">
        <v>0</v>
      </c>
      <c r="FG84" s="10">
        <v>0</v>
      </c>
      <c r="FH84" s="10">
        <v>0</v>
      </c>
      <c r="FI84" s="10">
        <v>0</v>
      </c>
      <c r="FJ84" s="10">
        <v>0</v>
      </c>
      <c r="FK84" s="10">
        <v>0</v>
      </c>
      <c r="FL84" s="10">
        <v>0</v>
      </c>
      <c r="FM84" s="10">
        <v>0</v>
      </c>
      <c r="FN84" s="10">
        <v>0</v>
      </c>
      <c r="FO84" s="10">
        <v>0</v>
      </c>
      <c r="FP84" s="10">
        <v>0</v>
      </c>
      <c r="FQ84" s="10">
        <v>0</v>
      </c>
      <c r="FR84" s="10">
        <v>0</v>
      </c>
      <c r="FS84" s="10">
        <v>0</v>
      </c>
      <c r="FT84" s="10">
        <v>0</v>
      </c>
      <c r="FU84" s="10">
        <v>0</v>
      </c>
      <c r="FV84" s="10">
        <v>0</v>
      </c>
      <c r="FW84" s="10">
        <v>0</v>
      </c>
      <c r="FX84" s="10">
        <v>0</v>
      </c>
      <c r="FY84" s="10">
        <v>0</v>
      </c>
      <c r="FZ84" s="10">
        <v>0</v>
      </c>
      <c r="GA84" s="10">
        <v>0</v>
      </c>
      <c r="GB84" s="10">
        <v>0</v>
      </c>
      <c r="GC84" s="10">
        <v>0</v>
      </c>
      <c r="GD84" s="10">
        <v>0</v>
      </c>
      <c r="GE84" s="10">
        <v>0</v>
      </c>
      <c r="GF84" s="10">
        <v>0</v>
      </c>
      <c r="GG84" s="10">
        <v>0</v>
      </c>
      <c r="GH84" s="10">
        <v>0</v>
      </c>
      <c r="GI84" s="10">
        <v>0</v>
      </c>
      <c r="GJ84" s="10">
        <v>0</v>
      </c>
      <c r="GK84" s="10">
        <v>0</v>
      </c>
      <c r="GL84" s="10">
        <v>0</v>
      </c>
      <c r="GM84" s="10">
        <v>0</v>
      </c>
      <c r="GN84" s="10">
        <v>0</v>
      </c>
      <c r="GO84" s="10">
        <v>0</v>
      </c>
      <c r="GP84" s="10">
        <v>0</v>
      </c>
      <c r="GQ84" s="10">
        <v>0</v>
      </c>
      <c r="GR84" s="10">
        <v>0</v>
      </c>
      <c r="GS84" s="10">
        <v>0</v>
      </c>
      <c r="GT84" s="10">
        <v>0</v>
      </c>
      <c r="GU84" s="10">
        <v>0</v>
      </c>
      <c r="GV84" s="10">
        <v>0.42032824032768717</v>
      </c>
      <c r="GW84" s="10">
        <v>0</v>
      </c>
      <c r="GX84" s="10">
        <v>0</v>
      </c>
      <c r="GY84" s="10">
        <v>0</v>
      </c>
      <c r="GZ84" s="10">
        <v>0</v>
      </c>
      <c r="HA84" s="10">
        <v>0</v>
      </c>
      <c r="HB84" s="10">
        <v>0</v>
      </c>
      <c r="HC84" s="10">
        <v>0</v>
      </c>
      <c r="HD84" s="10">
        <v>0</v>
      </c>
      <c r="HE84" s="10">
        <v>0</v>
      </c>
      <c r="HF84" s="10">
        <v>0</v>
      </c>
      <c r="HG84" s="10">
        <v>0.20432518020147183</v>
      </c>
      <c r="HH84" s="10">
        <v>0</v>
      </c>
      <c r="HI84" s="10">
        <v>0</v>
      </c>
      <c r="HJ84" s="10">
        <v>0</v>
      </c>
      <c r="HK84" s="10">
        <v>0</v>
      </c>
      <c r="HL84" s="10">
        <v>0</v>
      </c>
      <c r="HM84" s="10">
        <v>0</v>
      </c>
      <c r="HN84" s="10">
        <v>0</v>
      </c>
      <c r="HO84" s="10">
        <v>0</v>
      </c>
      <c r="HP84" s="10">
        <v>0</v>
      </c>
      <c r="HQ84" s="10">
        <v>0</v>
      </c>
      <c r="HR84" s="10">
        <v>0</v>
      </c>
      <c r="HS84" s="10">
        <v>0</v>
      </c>
      <c r="HT84" s="10">
        <v>0</v>
      </c>
      <c r="HU84" s="10">
        <v>0</v>
      </c>
    </row>
    <row r="85" spans="1:229" x14ac:dyDescent="0.25">
      <c r="A85" s="10">
        <v>0</v>
      </c>
      <c r="B85" s="2" t="s">
        <v>158</v>
      </c>
      <c r="C85" s="2" t="s">
        <v>159</v>
      </c>
      <c r="D85" s="2">
        <v>1.431</v>
      </c>
      <c r="E85" s="2">
        <v>3.52</v>
      </c>
      <c r="F85" s="2">
        <v>10.74</v>
      </c>
      <c r="G85" s="2">
        <v>1</v>
      </c>
      <c r="H85" s="2">
        <v>9.66</v>
      </c>
      <c r="I85" s="2">
        <v>44</v>
      </c>
      <c r="J85" s="2">
        <v>0.67700000000000005</v>
      </c>
      <c r="K85" s="2">
        <v>8.4000000000000005E-2</v>
      </c>
      <c r="L85" s="3"/>
      <c r="M85" s="2" t="str">
        <f t="shared" si="8"/>
        <v>01105</v>
      </c>
      <c r="N85" s="3">
        <v>0.67408817909229046</v>
      </c>
      <c r="O85" s="3">
        <v>1.3259118209077094</v>
      </c>
      <c r="P85" s="17">
        <v>0.67408817909232144</v>
      </c>
      <c r="Q85" s="3">
        <v>1.4358103076278863</v>
      </c>
      <c r="R85" s="3">
        <v>0.68155339239654233</v>
      </c>
      <c r="S85" s="3">
        <v>0.19536100799426323</v>
      </c>
      <c r="T85" s="3">
        <v>0.6740881790922939</v>
      </c>
      <c r="U85" s="3">
        <v>0.67408817909229046</v>
      </c>
      <c r="V85" s="3">
        <v>1.3259118209076168</v>
      </c>
      <c r="W85" s="3">
        <v>3.4874753309440543</v>
      </c>
      <c r="X85" s="3">
        <v>0.96462018428111207</v>
      </c>
      <c r="Y85" s="3">
        <v>5.0540522828501597</v>
      </c>
      <c r="Z85" s="3">
        <v>7.3198834343388643</v>
      </c>
      <c r="AA85" s="3">
        <v>0.19536100799426323</v>
      </c>
      <c r="AB85" s="3">
        <v>6.5116918100315591</v>
      </c>
      <c r="AC85" s="3">
        <v>29.659879880060778</v>
      </c>
      <c r="AD85" s="3">
        <v>0.89764230275445667</v>
      </c>
      <c r="AE85" s="3">
        <v>0.29294792779930057</v>
      </c>
      <c r="AF85" s="3">
        <v>0</v>
      </c>
      <c r="AG85" s="3">
        <v>0</v>
      </c>
      <c r="AH85" s="3">
        <v>0</v>
      </c>
      <c r="AI85" s="3">
        <v>0</v>
      </c>
      <c r="AJ85" s="3">
        <v>0</v>
      </c>
      <c r="AK85" s="3">
        <v>0</v>
      </c>
      <c r="AL85" s="3">
        <v>0</v>
      </c>
      <c r="AM85" s="3">
        <v>0</v>
      </c>
      <c r="AN85" s="3">
        <v>0</v>
      </c>
      <c r="AO85" s="3">
        <v>0</v>
      </c>
      <c r="AP85" s="3">
        <v>0</v>
      </c>
      <c r="AQ85" s="3">
        <v>0</v>
      </c>
      <c r="AR85" s="3">
        <v>0</v>
      </c>
      <c r="AS85" s="3">
        <v>0</v>
      </c>
      <c r="AT85" s="3">
        <v>0</v>
      </c>
      <c r="AU85" s="3">
        <v>0</v>
      </c>
      <c r="AV85" s="3">
        <v>0</v>
      </c>
      <c r="AW85" s="3">
        <v>0</v>
      </c>
      <c r="AX85" s="3">
        <v>0</v>
      </c>
      <c r="AY85" s="3">
        <v>0</v>
      </c>
      <c r="AZ85" s="3">
        <v>0</v>
      </c>
      <c r="BA85" s="10">
        <v>0</v>
      </c>
      <c r="BB85" s="10">
        <v>0</v>
      </c>
      <c r="BC85" s="10">
        <v>0</v>
      </c>
      <c r="BD85" s="10">
        <v>0</v>
      </c>
      <c r="BE85" s="10">
        <v>0</v>
      </c>
      <c r="BF85" s="10">
        <v>0</v>
      </c>
      <c r="BG85" s="10">
        <v>0</v>
      </c>
      <c r="BH85" s="10">
        <v>0</v>
      </c>
      <c r="BI85" s="10">
        <v>0</v>
      </c>
      <c r="BJ85" s="10">
        <v>0</v>
      </c>
      <c r="BK85" s="10">
        <v>0</v>
      </c>
      <c r="BL85" s="10">
        <v>0</v>
      </c>
      <c r="BM85" s="10">
        <v>0</v>
      </c>
      <c r="BN85" s="10">
        <v>0</v>
      </c>
      <c r="BO85" s="10">
        <v>0</v>
      </c>
      <c r="BP85" s="10">
        <v>0</v>
      </c>
      <c r="BQ85" s="10">
        <v>0</v>
      </c>
      <c r="BR85" s="10">
        <v>0</v>
      </c>
      <c r="BS85" s="10">
        <v>0</v>
      </c>
      <c r="BT85" s="10">
        <v>0</v>
      </c>
      <c r="BU85" s="10">
        <v>0</v>
      </c>
      <c r="BV85" s="10">
        <v>0</v>
      </c>
      <c r="BW85" s="10">
        <v>0</v>
      </c>
      <c r="BX85" s="10">
        <v>0</v>
      </c>
      <c r="BY85" s="10">
        <v>0</v>
      </c>
      <c r="BZ85" s="10">
        <v>0</v>
      </c>
      <c r="CA85" s="10">
        <v>0.11070060277409523</v>
      </c>
      <c r="CB85" s="10">
        <v>0</v>
      </c>
      <c r="CC85" s="10">
        <v>0</v>
      </c>
      <c r="CD85" s="10">
        <v>0</v>
      </c>
      <c r="CE85" s="10">
        <v>0</v>
      </c>
      <c r="CF85" s="10">
        <v>0</v>
      </c>
      <c r="CG85" s="10">
        <v>0</v>
      </c>
      <c r="CH85" s="10">
        <v>0</v>
      </c>
      <c r="CI85" s="10">
        <v>0</v>
      </c>
      <c r="CJ85" s="10">
        <v>0</v>
      </c>
      <c r="CK85" s="10">
        <v>0</v>
      </c>
      <c r="CL85" s="10">
        <v>0</v>
      </c>
      <c r="CM85" s="10">
        <v>0</v>
      </c>
      <c r="CN85" s="10">
        <v>0</v>
      </c>
      <c r="CO85" s="10">
        <v>0</v>
      </c>
      <c r="CP85" s="10">
        <v>0</v>
      </c>
      <c r="CQ85" s="10">
        <v>0</v>
      </c>
      <c r="CR85" s="10">
        <v>0</v>
      </c>
      <c r="CS85" s="10">
        <v>0</v>
      </c>
      <c r="CT85" s="10">
        <v>0</v>
      </c>
      <c r="CU85" s="10">
        <v>0</v>
      </c>
      <c r="CV85" s="10">
        <v>0</v>
      </c>
      <c r="CW85" s="10">
        <v>0</v>
      </c>
      <c r="CX85" s="10">
        <v>0</v>
      </c>
      <c r="CY85" s="10">
        <v>0</v>
      </c>
      <c r="CZ85" s="10">
        <v>0</v>
      </c>
      <c r="DA85" s="10">
        <v>0</v>
      </c>
      <c r="DB85" s="10">
        <v>0</v>
      </c>
      <c r="DC85" s="10">
        <v>0</v>
      </c>
      <c r="DD85" s="10">
        <v>0.41197743765066669</v>
      </c>
      <c r="DE85" s="10">
        <v>0</v>
      </c>
      <c r="DF85" s="10">
        <v>0</v>
      </c>
      <c r="DG85" s="10">
        <v>0</v>
      </c>
      <c r="DH85" s="10">
        <v>0</v>
      </c>
      <c r="DI85" s="10">
        <v>0</v>
      </c>
      <c r="DJ85" s="10">
        <v>0</v>
      </c>
      <c r="DK85" s="10">
        <v>0</v>
      </c>
      <c r="DL85" s="10">
        <v>0</v>
      </c>
      <c r="DM85" s="10">
        <v>0</v>
      </c>
      <c r="DN85" s="10">
        <v>0</v>
      </c>
      <c r="DO85" s="10">
        <v>0</v>
      </c>
      <c r="DP85" s="10">
        <v>0</v>
      </c>
      <c r="DQ85" s="10">
        <v>0</v>
      </c>
      <c r="DR85" s="10">
        <v>0</v>
      </c>
      <c r="DS85" s="10">
        <v>0</v>
      </c>
      <c r="DT85" s="10">
        <v>0</v>
      </c>
      <c r="DU85" s="10">
        <v>0</v>
      </c>
      <c r="DV85" s="10">
        <v>0</v>
      </c>
      <c r="DW85" s="10">
        <v>0</v>
      </c>
      <c r="DX85" s="10">
        <v>0</v>
      </c>
      <c r="DY85" s="10">
        <v>0</v>
      </c>
      <c r="DZ85" s="10">
        <v>0</v>
      </c>
      <c r="EA85" s="10">
        <v>0</v>
      </c>
      <c r="EB85" s="10">
        <v>0</v>
      </c>
      <c r="EC85" s="10">
        <v>0</v>
      </c>
      <c r="ED85" s="10">
        <v>0</v>
      </c>
      <c r="EE85" s="10">
        <v>0</v>
      </c>
      <c r="EF85" s="10">
        <v>0</v>
      </c>
      <c r="EG85" s="10">
        <v>0</v>
      </c>
      <c r="EH85" s="10">
        <v>0</v>
      </c>
      <c r="EI85" s="10">
        <v>0</v>
      </c>
      <c r="EJ85" s="10">
        <v>0</v>
      </c>
      <c r="EK85" s="10">
        <v>0</v>
      </c>
      <c r="EL85" s="10">
        <v>0</v>
      </c>
      <c r="EM85" s="10">
        <v>0</v>
      </c>
      <c r="EN85" s="10">
        <v>0</v>
      </c>
      <c r="EO85" s="10">
        <v>0</v>
      </c>
      <c r="EP85" s="10">
        <v>0</v>
      </c>
      <c r="EQ85" s="10">
        <v>0</v>
      </c>
      <c r="ER85" s="10">
        <v>0</v>
      </c>
      <c r="ES85" s="10">
        <v>0</v>
      </c>
      <c r="ET85" s="10">
        <v>0</v>
      </c>
      <c r="EU85" s="10">
        <v>0</v>
      </c>
      <c r="EV85" s="10">
        <v>0</v>
      </c>
      <c r="EW85" s="10">
        <v>0</v>
      </c>
      <c r="EX85" s="10">
        <v>0</v>
      </c>
      <c r="EY85" s="10">
        <v>0</v>
      </c>
      <c r="EZ85" s="10">
        <v>0</v>
      </c>
      <c r="FA85" s="10">
        <v>0</v>
      </c>
      <c r="FB85" s="10">
        <v>0</v>
      </c>
      <c r="FC85" s="10">
        <v>0</v>
      </c>
      <c r="FD85" s="10">
        <v>0</v>
      </c>
      <c r="FE85" s="10">
        <v>0</v>
      </c>
      <c r="FF85" s="10">
        <v>0</v>
      </c>
      <c r="FG85" s="10">
        <v>0</v>
      </c>
      <c r="FH85" s="10">
        <v>0</v>
      </c>
      <c r="FI85" s="10">
        <v>0</v>
      </c>
      <c r="FJ85" s="10">
        <v>0</v>
      </c>
      <c r="FK85" s="10">
        <v>0</v>
      </c>
      <c r="FL85" s="10">
        <v>0</v>
      </c>
      <c r="FM85" s="10">
        <v>0</v>
      </c>
      <c r="FN85" s="10">
        <v>0</v>
      </c>
      <c r="FO85" s="10">
        <v>0</v>
      </c>
      <c r="FP85" s="10">
        <v>0</v>
      </c>
      <c r="FQ85" s="10">
        <v>0</v>
      </c>
      <c r="FR85" s="10">
        <v>0</v>
      </c>
      <c r="FS85" s="10">
        <v>0</v>
      </c>
      <c r="FT85" s="10">
        <v>0</v>
      </c>
      <c r="FU85" s="10">
        <v>0</v>
      </c>
      <c r="FV85" s="10">
        <v>0</v>
      </c>
      <c r="FW85" s="10">
        <v>0</v>
      </c>
      <c r="FX85" s="10">
        <v>0</v>
      </c>
      <c r="FY85" s="10">
        <v>0</v>
      </c>
      <c r="FZ85" s="10">
        <v>0</v>
      </c>
      <c r="GA85" s="10">
        <v>0</v>
      </c>
      <c r="GB85" s="10">
        <v>0</v>
      </c>
      <c r="GC85" s="10">
        <v>0</v>
      </c>
      <c r="GD85" s="10">
        <v>0</v>
      </c>
      <c r="GE85" s="10">
        <v>0</v>
      </c>
      <c r="GF85" s="10">
        <v>0</v>
      </c>
      <c r="GG85" s="10">
        <v>0</v>
      </c>
      <c r="GH85" s="10">
        <v>0</v>
      </c>
      <c r="GI85" s="10">
        <v>0</v>
      </c>
      <c r="GJ85" s="10">
        <v>0</v>
      </c>
      <c r="GK85" s="10">
        <v>0</v>
      </c>
      <c r="GL85" s="10">
        <v>0</v>
      </c>
      <c r="GM85" s="10">
        <v>0</v>
      </c>
      <c r="GN85" s="10">
        <v>0</v>
      </c>
      <c r="GO85" s="10">
        <v>0</v>
      </c>
      <c r="GP85" s="10">
        <v>0</v>
      </c>
      <c r="GQ85" s="10">
        <v>0</v>
      </c>
      <c r="GR85" s="10">
        <v>0</v>
      </c>
      <c r="GS85" s="10">
        <v>0</v>
      </c>
      <c r="GT85" s="10">
        <v>0</v>
      </c>
      <c r="GU85" s="10">
        <v>0</v>
      </c>
      <c r="GV85" s="10">
        <v>0.19823480529771925</v>
      </c>
      <c r="GW85" s="10">
        <v>0</v>
      </c>
      <c r="GX85" s="10">
        <v>0</v>
      </c>
      <c r="GY85" s="10">
        <v>0</v>
      </c>
      <c r="GZ85" s="10">
        <v>0</v>
      </c>
      <c r="HA85" s="10">
        <v>0</v>
      </c>
      <c r="HB85" s="10">
        <v>0</v>
      </c>
      <c r="HC85" s="10">
        <v>0</v>
      </c>
      <c r="HD85" s="10">
        <v>0</v>
      </c>
      <c r="HE85" s="10">
        <v>0</v>
      </c>
      <c r="HF85" s="10">
        <v>0</v>
      </c>
      <c r="HG85" s="10">
        <v>0.2790871542775189</v>
      </c>
      <c r="HH85" s="10">
        <v>0</v>
      </c>
      <c r="HI85" s="10">
        <v>0</v>
      </c>
      <c r="HJ85" s="10">
        <v>0</v>
      </c>
      <c r="HK85" s="10">
        <v>0</v>
      </c>
      <c r="HL85" s="10">
        <v>0</v>
      </c>
      <c r="HM85" s="10">
        <v>0</v>
      </c>
      <c r="HN85" s="10">
        <v>0</v>
      </c>
      <c r="HO85" s="10">
        <v>0</v>
      </c>
      <c r="HP85" s="10">
        <v>0</v>
      </c>
      <c r="HQ85" s="10">
        <v>0</v>
      </c>
      <c r="HR85" s="10">
        <v>0</v>
      </c>
      <c r="HS85" s="10">
        <v>0</v>
      </c>
      <c r="HT85" s="10">
        <v>0</v>
      </c>
      <c r="HU85" s="10">
        <v>0</v>
      </c>
    </row>
    <row r="86" spans="1:229" x14ac:dyDescent="0.25">
      <c r="A86" s="10">
        <v>0</v>
      </c>
      <c r="B86" s="2" t="s">
        <v>160</v>
      </c>
      <c r="C86" s="2" t="s">
        <v>161</v>
      </c>
      <c r="D86" s="2">
        <v>2.6669999999999998</v>
      </c>
      <c r="E86" s="2">
        <v>3.56</v>
      </c>
      <c r="F86" s="2">
        <v>4.45</v>
      </c>
      <c r="G86" s="2">
        <v>0</v>
      </c>
      <c r="H86" s="2">
        <v>4.45</v>
      </c>
      <c r="I86" s="2">
        <v>50</v>
      </c>
      <c r="J86" s="2">
        <v>1.109</v>
      </c>
      <c r="K86" s="2">
        <v>0.14899999999999999</v>
      </c>
      <c r="L86" s="3"/>
      <c r="M86" s="2" t="str">
        <f t="shared" si="8"/>
        <v>01106</v>
      </c>
      <c r="N86" s="3">
        <v>0.59895402092600258</v>
      </c>
      <c r="O86" s="3">
        <v>1.4010459790739973</v>
      </c>
      <c r="P86" s="17">
        <v>0.59895402092588701</v>
      </c>
      <c r="Q86" s="3">
        <v>1.4010459790739889</v>
      </c>
      <c r="R86" s="3">
        <v>1.0006531664944176</v>
      </c>
      <c r="S86" s="3" t="e">
        <v>#DIV/0!</v>
      </c>
      <c r="T86" s="3">
        <v>0.59895402092600214</v>
      </c>
      <c r="U86" s="3">
        <v>0.59895402092600181</v>
      </c>
      <c r="V86" s="3">
        <v>1.4010459790739331</v>
      </c>
      <c r="W86" s="3">
        <v>3.3509683862843613</v>
      </c>
      <c r="X86" s="3">
        <v>1.5974103738093406</v>
      </c>
      <c r="Y86" s="3">
        <v>4.9877236855034006</v>
      </c>
      <c r="Z86" s="3">
        <v>4.4529065909001586</v>
      </c>
      <c r="AA86" s="3">
        <v>0</v>
      </c>
      <c r="AB86" s="3">
        <v>2.6653453931207096</v>
      </c>
      <c r="AC86" s="3">
        <v>29.947701046300093</v>
      </c>
      <c r="AD86" s="3">
        <v>1.5537599907929918</v>
      </c>
      <c r="AE86" s="3">
        <v>0.49929428955636979</v>
      </c>
      <c r="AF86" s="3">
        <v>0</v>
      </c>
      <c r="AG86" s="3">
        <v>0</v>
      </c>
      <c r="AH86" s="3">
        <v>0</v>
      </c>
      <c r="AI86" s="10">
        <v>0</v>
      </c>
      <c r="AJ86" s="3">
        <v>0</v>
      </c>
      <c r="AK86" s="3">
        <v>0</v>
      </c>
      <c r="AL86" s="3">
        <v>0</v>
      </c>
      <c r="AM86" s="3">
        <v>0</v>
      </c>
      <c r="AN86" s="10">
        <v>0</v>
      </c>
      <c r="AO86" s="10">
        <v>0</v>
      </c>
      <c r="AP86" s="10">
        <v>0</v>
      </c>
      <c r="AQ86" s="10">
        <v>0</v>
      </c>
      <c r="AR86" s="10">
        <v>0</v>
      </c>
      <c r="AS86" s="10">
        <v>0</v>
      </c>
      <c r="AT86" s="3">
        <v>0</v>
      </c>
      <c r="AU86" s="3">
        <v>0</v>
      </c>
      <c r="AV86" s="10">
        <v>0</v>
      </c>
      <c r="AW86" s="3">
        <v>0</v>
      </c>
      <c r="AX86" s="3">
        <v>0</v>
      </c>
      <c r="AY86" s="3">
        <v>0</v>
      </c>
      <c r="AZ86" s="3">
        <v>0</v>
      </c>
      <c r="BA86" s="10">
        <v>0</v>
      </c>
      <c r="BB86" s="10">
        <v>0</v>
      </c>
      <c r="BC86" s="10">
        <v>0</v>
      </c>
      <c r="BD86" s="10">
        <v>0</v>
      </c>
      <c r="BE86" s="10">
        <v>0</v>
      </c>
      <c r="BF86" s="10">
        <v>0</v>
      </c>
      <c r="BG86" s="10">
        <v>0</v>
      </c>
      <c r="BH86" s="10">
        <v>0</v>
      </c>
      <c r="BI86" s="10">
        <v>0</v>
      </c>
      <c r="BJ86" s="10">
        <v>0</v>
      </c>
      <c r="BK86" s="10">
        <v>0</v>
      </c>
      <c r="BL86" s="10">
        <v>0</v>
      </c>
      <c r="BM86" s="10">
        <v>0</v>
      </c>
      <c r="BN86" s="10">
        <v>0</v>
      </c>
      <c r="BO86" s="10">
        <v>0</v>
      </c>
      <c r="BP86" s="10">
        <v>0</v>
      </c>
      <c r="BQ86" s="10">
        <v>0</v>
      </c>
      <c r="BR86" s="10">
        <v>0</v>
      </c>
      <c r="BS86" s="10">
        <v>0</v>
      </c>
      <c r="BT86" s="10">
        <v>0</v>
      </c>
      <c r="BU86" s="10">
        <v>0</v>
      </c>
      <c r="BV86" s="10">
        <v>0</v>
      </c>
      <c r="BW86" s="10">
        <v>0</v>
      </c>
      <c r="BX86" s="10">
        <v>0</v>
      </c>
      <c r="BY86" s="10">
        <v>0</v>
      </c>
      <c r="BZ86" s="10">
        <v>0</v>
      </c>
      <c r="CA86" s="10">
        <v>0.33592250830740084</v>
      </c>
      <c r="CB86" s="10">
        <v>0</v>
      </c>
      <c r="CC86" s="10">
        <v>0</v>
      </c>
      <c r="CD86" s="10">
        <v>0</v>
      </c>
      <c r="CE86" s="10">
        <v>0</v>
      </c>
      <c r="CF86" s="10">
        <v>0</v>
      </c>
      <c r="CG86" s="10">
        <v>0</v>
      </c>
      <c r="CH86" s="10">
        <v>0</v>
      </c>
      <c r="CI86" s="10">
        <v>0</v>
      </c>
      <c r="CJ86" s="10">
        <v>0</v>
      </c>
      <c r="CK86" s="10">
        <v>0</v>
      </c>
      <c r="CL86" s="10">
        <v>0</v>
      </c>
      <c r="CM86" s="10">
        <v>0</v>
      </c>
      <c r="CN86" s="10">
        <v>0</v>
      </c>
      <c r="CO86" s="10">
        <v>0</v>
      </c>
      <c r="CP86" s="10">
        <v>0</v>
      </c>
      <c r="CQ86" s="10">
        <v>0</v>
      </c>
      <c r="CR86" s="10">
        <v>0</v>
      </c>
      <c r="CS86" s="10">
        <v>0.38842885703561458</v>
      </c>
      <c r="CT86" s="10">
        <v>0</v>
      </c>
      <c r="CU86" s="10">
        <v>0</v>
      </c>
      <c r="CV86" s="10">
        <v>0</v>
      </c>
      <c r="CW86" s="10">
        <v>0</v>
      </c>
      <c r="CX86" s="10">
        <v>0</v>
      </c>
      <c r="CY86" s="10">
        <v>0</v>
      </c>
      <c r="CZ86" s="10">
        <v>0</v>
      </c>
      <c r="DA86" s="10">
        <v>0</v>
      </c>
      <c r="DB86" s="10">
        <v>0</v>
      </c>
      <c r="DC86" s="10">
        <v>0</v>
      </c>
      <c r="DD86" s="10">
        <v>4.143517890275699E-2</v>
      </c>
      <c r="DE86" s="10">
        <v>0</v>
      </c>
      <c r="DF86" s="10">
        <v>0</v>
      </c>
      <c r="DG86" s="10">
        <v>0</v>
      </c>
      <c r="DH86" s="10">
        <v>0</v>
      </c>
      <c r="DI86" s="10">
        <v>0</v>
      </c>
      <c r="DJ86" s="10">
        <v>0</v>
      </c>
      <c r="DK86" s="10">
        <v>0</v>
      </c>
      <c r="DL86" s="10">
        <v>0</v>
      </c>
      <c r="DM86" s="10">
        <v>0</v>
      </c>
      <c r="DN86" s="10">
        <v>0</v>
      </c>
      <c r="DO86" s="10">
        <v>0</v>
      </c>
      <c r="DP86" s="10">
        <v>0</v>
      </c>
      <c r="DQ86" s="10">
        <v>0</v>
      </c>
      <c r="DR86" s="10">
        <v>0</v>
      </c>
      <c r="DS86" s="10">
        <v>4.1562421097695507E-2</v>
      </c>
      <c r="DT86" s="10">
        <v>0</v>
      </c>
      <c r="DU86" s="10">
        <v>0</v>
      </c>
      <c r="DV86" s="10">
        <v>0</v>
      </c>
      <c r="DW86" s="10">
        <v>0</v>
      </c>
      <c r="DX86" s="10">
        <v>0</v>
      </c>
      <c r="DY86" s="10">
        <v>0</v>
      </c>
      <c r="DZ86" s="10">
        <v>0</v>
      </c>
      <c r="EA86" s="10">
        <v>0</v>
      </c>
      <c r="EB86" s="10">
        <v>0</v>
      </c>
      <c r="EC86" s="10">
        <v>0</v>
      </c>
      <c r="ED86" s="10">
        <v>0</v>
      </c>
      <c r="EE86" s="10">
        <v>0</v>
      </c>
      <c r="EF86" s="10">
        <v>0</v>
      </c>
      <c r="EG86" s="10">
        <v>0</v>
      </c>
      <c r="EH86" s="10">
        <v>0</v>
      </c>
      <c r="EI86" s="10">
        <v>0</v>
      </c>
      <c r="EJ86" s="10">
        <v>0</v>
      </c>
      <c r="EK86" s="10">
        <v>0</v>
      </c>
      <c r="EL86" s="10">
        <v>0</v>
      </c>
      <c r="EM86" s="10">
        <v>0</v>
      </c>
      <c r="EN86" s="10">
        <v>0</v>
      </c>
      <c r="EO86" s="10">
        <v>0</v>
      </c>
      <c r="EP86" s="10">
        <v>0</v>
      </c>
      <c r="EQ86" s="10">
        <v>0</v>
      </c>
      <c r="ER86" s="10">
        <v>0</v>
      </c>
      <c r="ES86" s="10">
        <v>0</v>
      </c>
      <c r="ET86" s="10">
        <v>0</v>
      </c>
      <c r="EU86" s="10">
        <v>0</v>
      </c>
      <c r="EV86" s="10">
        <v>0</v>
      </c>
      <c r="EW86" s="10">
        <v>0</v>
      </c>
      <c r="EX86" s="10">
        <v>0</v>
      </c>
      <c r="EY86" s="10">
        <v>0</v>
      </c>
      <c r="EZ86" s="10">
        <v>0</v>
      </c>
      <c r="FA86" s="10">
        <v>0</v>
      </c>
      <c r="FB86" s="10">
        <v>0</v>
      </c>
      <c r="FC86" s="10">
        <v>0</v>
      </c>
      <c r="FD86" s="10">
        <v>0</v>
      </c>
      <c r="FE86" s="10">
        <v>0</v>
      </c>
      <c r="FF86" s="10">
        <v>0</v>
      </c>
      <c r="FG86" s="10">
        <v>0</v>
      </c>
      <c r="FH86" s="10">
        <v>0</v>
      </c>
      <c r="FI86" s="10">
        <v>0</v>
      </c>
      <c r="FJ86" s="10">
        <v>0</v>
      </c>
      <c r="FK86" s="10">
        <v>0</v>
      </c>
      <c r="FL86" s="10">
        <v>0</v>
      </c>
      <c r="FM86" s="10">
        <v>0</v>
      </c>
      <c r="FN86" s="10">
        <v>0</v>
      </c>
      <c r="FO86" s="10">
        <v>0</v>
      </c>
      <c r="FP86" s="10">
        <v>0</v>
      </c>
      <c r="FQ86" s="10">
        <v>0</v>
      </c>
      <c r="FR86" s="10">
        <v>0</v>
      </c>
      <c r="FS86" s="10">
        <v>0</v>
      </c>
      <c r="FT86" s="10">
        <v>0</v>
      </c>
      <c r="FU86" s="10">
        <v>0</v>
      </c>
      <c r="FV86" s="10">
        <v>0</v>
      </c>
      <c r="FW86" s="10">
        <v>0</v>
      </c>
      <c r="FX86" s="10">
        <v>0</v>
      </c>
      <c r="FY86" s="10">
        <v>0</v>
      </c>
      <c r="FZ86" s="10">
        <v>0</v>
      </c>
      <c r="GA86" s="10">
        <v>0</v>
      </c>
      <c r="GB86" s="10">
        <v>0</v>
      </c>
      <c r="GC86" s="10">
        <v>0</v>
      </c>
      <c r="GD86" s="10">
        <v>0</v>
      </c>
      <c r="GE86" s="10">
        <v>0</v>
      </c>
      <c r="GF86" s="10">
        <v>0</v>
      </c>
      <c r="GG86" s="10">
        <v>0</v>
      </c>
      <c r="GH86" s="10">
        <v>0</v>
      </c>
      <c r="GI86" s="10">
        <v>0</v>
      </c>
      <c r="GJ86" s="10">
        <v>0</v>
      </c>
      <c r="GK86" s="10">
        <v>0</v>
      </c>
      <c r="GL86" s="10">
        <v>0</v>
      </c>
      <c r="GM86" s="10">
        <v>0</v>
      </c>
      <c r="GN86" s="10">
        <v>0</v>
      </c>
      <c r="GO86" s="10">
        <v>0</v>
      </c>
      <c r="GP86" s="10">
        <v>0</v>
      </c>
      <c r="GQ86" s="10">
        <v>0</v>
      </c>
      <c r="GR86" s="10">
        <v>0</v>
      </c>
      <c r="GS86" s="10">
        <v>0</v>
      </c>
      <c r="GT86" s="10">
        <v>0</v>
      </c>
      <c r="GU86" s="10">
        <v>0</v>
      </c>
      <c r="GV86" s="10">
        <v>0.19265103465653197</v>
      </c>
      <c r="GW86" s="10">
        <v>0</v>
      </c>
      <c r="GX86" s="10">
        <v>0</v>
      </c>
      <c r="GY86" s="10">
        <v>0</v>
      </c>
      <c r="GZ86" s="10">
        <v>0</v>
      </c>
      <c r="HA86" s="10">
        <v>0</v>
      </c>
      <c r="HB86" s="10">
        <v>0</v>
      </c>
      <c r="HC86" s="10">
        <v>0</v>
      </c>
      <c r="HD86" s="10">
        <v>0</v>
      </c>
      <c r="HE86" s="10">
        <v>0</v>
      </c>
      <c r="HF86" s="10">
        <v>0</v>
      </c>
      <c r="HG86" s="10">
        <v>0</v>
      </c>
      <c r="HH86" s="10">
        <v>0</v>
      </c>
      <c r="HI86" s="10">
        <v>0</v>
      </c>
      <c r="HJ86" s="10">
        <v>0</v>
      </c>
      <c r="HK86" s="10">
        <v>0</v>
      </c>
      <c r="HL86" s="10">
        <v>0</v>
      </c>
      <c r="HM86" s="10">
        <v>0</v>
      </c>
      <c r="HN86" s="10">
        <v>0</v>
      </c>
      <c r="HO86" s="10">
        <v>0</v>
      </c>
      <c r="HP86" s="10">
        <v>0</v>
      </c>
      <c r="HQ86" s="10">
        <v>0</v>
      </c>
      <c r="HR86" s="10">
        <v>0</v>
      </c>
      <c r="HS86" s="10">
        <v>0</v>
      </c>
      <c r="HT86" s="10">
        <v>0</v>
      </c>
      <c r="HU86" s="10">
        <v>0</v>
      </c>
    </row>
    <row r="87" spans="1:229" x14ac:dyDescent="0.25">
      <c r="A87" s="10">
        <v>0</v>
      </c>
      <c r="B87" s="2" t="s">
        <v>162</v>
      </c>
      <c r="C87" s="2" t="s">
        <v>163</v>
      </c>
      <c r="D87" s="2">
        <v>2.0089999999999999</v>
      </c>
      <c r="E87" s="2">
        <v>1.03</v>
      </c>
      <c r="F87" s="2">
        <v>6.89</v>
      </c>
      <c r="G87" s="2">
        <v>0</v>
      </c>
      <c r="H87" s="2">
        <v>6.89</v>
      </c>
      <c r="I87" s="2">
        <v>17</v>
      </c>
      <c r="J87" s="2">
        <v>1.6579999999999999</v>
      </c>
      <c r="K87" s="2">
        <v>0.497</v>
      </c>
      <c r="L87" s="3"/>
      <c r="M87" s="2" t="str">
        <f t="shared" si="8"/>
        <v>01107</v>
      </c>
      <c r="N87" s="3">
        <v>1.0000000000000109</v>
      </c>
      <c r="O87" s="3">
        <v>0.99999999999998879</v>
      </c>
      <c r="P87" s="17">
        <v>1.00000000000004</v>
      </c>
      <c r="Q87" s="3">
        <v>1.0000000000026357</v>
      </c>
      <c r="R87" s="3">
        <v>1.0000000000000053</v>
      </c>
      <c r="S87" s="3" t="e">
        <v>#DIV/0!</v>
      </c>
      <c r="T87" s="3">
        <v>0.99999999999996136</v>
      </c>
      <c r="U87" s="3">
        <v>1.0000000000000127</v>
      </c>
      <c r="V87" s="3">
        <v>1.0000000000000069</v>
      </c>
      <c r="W87" s="3">
        <v>0.9999999999999728</v>
      </c>
      <c r="X87" s="3">
        <v>2.0090000000000803</v>
      </c>
      <c r="Y87" s="3">
        <v>1.0300000000027147</v>
      </c>
      <c r="Z87" s="3">
        <v>6.890000000000037</v>
      </c>
      <c r="AA87" s="3">
        <v>1.1154364193684223E-13</v>
      </c>
      <c r="AB87" s="3">
        <v>6.8899999999997332</v>
      </c>
      <c r="AC87" s="3">
        <v>17.000000000000217</v>
      </c>
      <c r="AD87" s="3">
        <v>1.6580000000000112</v>
      </c>
      <c r="AE87" s="3">
        <v>0.49699999999998645</v>
      </c>
      <c r="AF87" s="3">
        <v>0</v>
      </c>
      <c r="AG87" s="3">
        <v>0</v>
      </c>
      <c r="AH87" s="3">
        <v>0</v>
      </c>
      <c r="AI87" s="10">
        <v>0</v>
      </c>
      <c r="AJ87" s="3">
        <v>0</v>
      </c>
      <c r="AK87" s="3">
        <v>0</v>
      </c>
      <c r="AL87" s="3">
        <v>0</v>
      </c>
      <c r="AM87" s="3">
        <v>0</v>
      </c>
      <c r="AN87" s="10">
        <v>0</v>
      </c>
      <c r="AO87" s="10">
        <v>0</v>
      </c>
      <c r="AP87" s="10">
        <v>0</v>
      </c>
      <c r="AQ87" s="10">
        <v>0</v>
      </c>
      <c r="AR87" s="10">
        <v>0</v>
      </c>
      <c r="AS87" s="10">
        <v>0</v>
      </c>
      <c r="AT87" s="3">
        <v>0</v>
      </c>
      <c r="AU87" s="3">
        <v>0</v>
      </c>
      <c r="AV87" s="10">
        <v>0</v>
      </c>
      <c r="AW87" s="3">
        <v>0</v>
      </c>
      <c r="AX87" s="3">
        <v>0</v>
      </c>
      <c r="AY87" s="3">
        <v>0</v>
      </c>
      <c r="AZ87" s="3">
        <v>0</v>
      </c>
      <c r="BA87" s="10">
        <v>0</v>
      </c>
      <c r="BB87" s="10">
        <v>0</v>
      </c>
      <c r="BC87" s="10">
        <v>0</v>
      </c>
      <c r="BD87" s="10">
        <v>0</v>
      </c>
      <c r="BE87" s="10">
        <v>0</v>
      </c>
      <c r="BF87" s="10">
        <v>0</v>
      </c>
      <c r="BG87" s="10">
        <v>0</v>
      </c>
      <c r="BH87" s="10">
        <v>0</v>
      </c>
      <c r="BI87" s="10">
        <v>0</v>
      </c>
      <c r="BJ87" s="10">
        <v>0</v>
      </c>
      <c r="BK87" s="10">
        <v>0</v>
      </c>
      <c r="BL87" s="10">
        <v>0</v>
      </c>
      <c r="BM87" s="10">
        <v>0</v>
      </c>
      <c r="BN87" s="10">
        <v>0</v>
      </c>
      <c r="BO87" s="10">
        <v>0</v>
      </c>
      <c r="BP87" s="10">
        <v>0</v>
      </c>
      <c r="BQ87" s="10">
        <v>0</v>
      </c>
      <c r="BR87" s="10">
        <v>0</v>
      </c>
      <c r="BS87" s="10">
        <v>0</v>
      </c>
      <c r="BT87" s="10">
        <v>0</v>
      </c>
      <c r="BU87" s="10">
        <v>0</v>
      </c>
      <c r="BV87" s="10">
        <v>0</v>
      </c>
      <c r="BW87" s="10">
        <v>0</v>
      </c>
      <c r="BX87" s="10">
        <v>0</v>
      </c>
      <c r="BY87" s="10">
        <v>0</v>
      </c>
      <c r="BZ87" s="10">
        <v>0</v>
      </c>
      <c r="CA87" s="10">
        <v>0</v>
      </c>
      <c r="CB87" s="10">
        <v>0</v>
      </c>
      <c r="CC87" s="10">
        <v>0</v>
      </c>
      <c r="CD87" s="10">
        <v>0</v>
      </c>
      <c r="CE87" s="10">
        <v>0</v>
      </c>
      <c r="CF87" s="10">
        <v>0</v>
      </c>
      <c r="CG87" s="10">
        <v>0</v>
      </c>
      <c r="CH87" s="10">
        <v>0</v>
      </c>
      <c r="CI87" s="10">
        <v>0</v>
      </c>
      <c r="CJ87" s="10">
        <v>0</v>
      </c>
      <c r="CK87" s="10">
        <v>0</v>
      </c>
      <c r="CL87" s="10">
        <v>0</v>
      </c>
      <c r="CM87" s="10">
        <v>0</v>
      </c>
      <c r="CN87" s="10">
        <v>0</v>
      </c>
      <c r="CO87" s="10">
        <v>0</v>
      </c>
      <c r="CP87" s="10">
        <v>0</v>
      </c>
      <c r="CQ87" s="10">
        <v>0</v>
      </c>
      <c r="CR87" s="10">
        <v>0</v>
      </c>
      <c r="CS87" s="10">
        <v>3.1159752485080693E-13</v>
      </c>
      <c r="CT87" s="10">
        <v>0</v>
      </c>
      <c r="CU87" s="10">
        <v>0</v>
      </c>
      <c r="CV87" s="10">
        <v>0</v>
      </c>
      <c r="CW87" s="10">
        <v>0</v>
      </c>
      <c r="CX87" s="10">
        <v>0</v>
      </c>
      <c r="CY87" s="10">
        <v>0</v>
      </c>
      <c r="CZ87" s="10">
        <v>0</v>
      </c>
      <c r="DA87" s="10">
        <v>0</v>
      </c>
      <c r="DB87" s="10">
        <v>0</v>
      </c>
      <c r="DC87" s="10">
        <v>0</v>
      </c>
      <c r="DD87" s="10">
        <v>0.99999999999945122</v>
      </c>
      <c r="DE87" s="10">
        <v>0</v>
      </c>
      <c r="DF87" s="10">
        <v>0</v>
      </c>
      <c r="DG87" s="10">
        <v>0</v>
      </c>
      <c r="DH87" s="10">
        <v>0</v>
      </c>
      <c r="DI87" s="10">
        <v>0</v>
      </c>
      <c r="DJ87" s="10">
        <v>0</v>
      </c>
      <c r="DK87" s="10">
        <v>0</v>
      </c>
      <c r="DL87" s="10">
        <v>0</v>
      </c>
      <c r="DM87" s="10">
        <v>0</v>
      </c>
      <c r="DN87" s="10">
        <v>0</v>
      </c>
      <c r="DO87" s="10">
        <v>0</v>
      </c>
      <c r="DP87" s="10">
        <v>0</v>
      </c>
      <c r="DQ87" s="10">
        <v>0</v>
      </c>
      <c r="DR87" s="10">
        <v>0</v>
      </c>
      <c r="DS87" s="10">
        <v>5.1552568188179522E-14</v>
      </c>
      <c r="DT87" s="10">
        <v>0</v>
      </c>
      <c r="DU87" s="10">
        <v>0</v>
      </c>
      <c r="DV87" s="10">
        <v>0</v>
      </c>
      <c r="DW87" s="10">
        <v>0</v>
      </c>
      <c r="DX87" s="10">
        <v>0</v>
      </c>
      <c r="DY87" s="10">
        <v>0</v>
      </c>
      <c r="DZ87" s="10">
        <v>0</v>
      </c>
      <c r="EA87" s="10">
        <v>0</v>
      </c>
      <c r="EB87" s="10">
        <v>0</v>
      </c>
      <c r="EC87" s="10">
        <v>0</v>
      </c>
      <c r="ED87" s="10">
        <v>0</v>
      </c>
      <c r="EE87" s="10">
        <v>0</v>
      </c>
      <c r="EF87" s="10">
        <v>0</v>
      </c>
      <c r="EG87" s="10">
        <v>0</v>
      </c>
      <c r="EH87" s="10">
        <v>0</v>
      </c>
      <c r="EI87" s="10">
        <v>0</v>
      </c>
      <c r="EJ87" s="10">
        <v>0</v>
      </c>
      <c r="EK87" s="10">
        <v>0</v>
      </c>
      <c r="EL87" s="10">
        <v>0</v>
      </c>
      <c r="EM87" s="10">
        <v>0</v>
      </c>
      <c r="EN87" s="10">
        <v>0</v>
      </c>
      <c r="EO87" s="10">
        <v>0</v>
      </c>
      <c r="EP87" s="10">
        <v>0</v>
      </c>
      <c r="EQ87" s="10">
        <v>0</v>
      </c>
      <c r="ER87" s="10">
        <v>0</v>
      </c>
      <c r="ES87" s="10">
        <v>0</v>
      </c>
      <c r="ET87" s="10">
        <v>0</v>
      </c>
      <c r="EU87" s="10">
        <v>0</v>
      </c>
      <c r="EV87" s="10">
        <v>0</v>
      </c>
      <c r="EW87" s="10">
        <v>0</v>
      </c>
      <c r="EX87" s="10">
        <v>0</v>
      </c>
      <c r="EY87" s="10">
        <v>0</v>
      </c>
      <c r="EZ87" s="10">
        <v>0</v>
      </c>
      <c r="FA87" s="10">
        <v>0</v>
      </c>
      <c r="FB87" s="10">
        <v>0</v>
      </c>
      <c r="FC87" s="10">
        <v>0</v>
      </c>
      <c r="FD87" s="10">
        <v>0</v>
      </c>
      <c r="FE87" s="10">
        <v>0</v>
      </c>
      <c r="FF87" s="10">
        <v>0</v>
      </c>
      <c r="FG87" s="10">
        <v>0</v>
      </c>
      <c r="FH87" s="10">
        <v>0</v>
      </c>
      <c r="FI87" s="10">
        <v>0</v>
      </c>
      <c r="FJ87" s="10">
        <v>0</v>
      </c>
      <c r="FK87" s="10">
        <v>0</v>
      </c>
      <c r="FL87" s="10">
        <v>0</v>
      </c>
      <c r="FM87" s="10">
        <v>0</v>
      </c>
      <c r="FN87" s="10">
        <v>0</v>
      </c>
      <c r="FO87" s="10">
        <v>0</v>
      </c>
      <c r="FP87" s="10">
        <v>0</v>
      </c>
      <c r="FQ87" s="10">
        <v>0</v>
      </c>
      <c r="FR87" s="10">
        <v>0</v>
      </c>
      <c r="FS87" s="10">
        <v>0</v>
      </c>
      <c r="FT87" s="10">
        <v>0</v>
      </c>
      <c r="FU87" s="10">
        <v>0</v>
      </c>
      <c r="FV87" s="10">
        <v>0</v>
      </c>
      <c r="FW87" s="10">
        <v>0</v>
      </c>
      <c r="FX87" s="10">
        <v>0</v>
      </c>
      <c r="FY87" s="10">
        <v>0</v>
      </c>
      <c r="FZ87" s="10">
        <v>0</v>
      </c>
      <c r="GA87" s="10">
        <v>0</v>
      </c>
      <c r="GB87" s="10">
        <v>0</v>
      </c>
      <c r="GC87" s="10">
        <v>0</v>
      </c>
      <c r="GD87" s="10">
        <v>0</v>
      </c>
      <c r="GE87" s="10">
        <v>0</v>
      </c>
      <c r="GF87" s="10">
        <v>0</v>
      </c>
      <c r="GG87" s="10">
        <v>0</v>
      </c>
      <c r="GH87" s="10">
        <v>0</v>
      </c>
      <c r="GI87" s="10">
        <v>0</v>
      </c>
      <c r="GJ87" s="10">
        <v>0</v>
      </c>
      <c r="GK87" s="10">
        <v>0</v>
      </c>
      <c r="GL87" s="10">
        <v>0</v>
      </c>
      <c r="GM87" s="10">
        <v>0</v>
      </c>
      <c r="GN87" s="10">
        <v>0</v>
      </c>
      <c r="GO87" s="10">
        <v>0</v>
      </c>
      <c r="GP87" s="10">
        <v>0</v>
      </c>
      <c r="GQ87" s="10">
        <v>0</v>
      </c>
      <c r="GR87" s="10">
        <v>0</v>
      </c>
      <c r="GS87" s="10">
        <v>0</v>
      </c>
      <c r="GT87" s="10">
        <v>0</v>
      </c>
      <c r="GU87" s="10">
        <v>0</v>
      </c>
      <c r="GV87" s="10">
        <v>0</v>
      </c>
      <c r="GW87" s="10">
        <v>0</v>
      </c>
      <c r="GX87" s="10">
        <v>0</v>
      </c>
      <c r="GY87" s="10">
        <v>0</v>
      </c>
      <c r="GZ87" s="10">
        <v>0</v>
      </c>
      <c r="HA87" s="10">
        <v>0</v>
      </c>
      <c r="HB87" s="10">
        <v>0</v>
      </c>
      <c r="HC87" s="10">
        <v>0</v>
      </c>
      <c r="HD87" s="10">
        <v>0</v>
      </c>
      <c r="HE87" s="10">
        <v>0</v>
      </c>
      <c r="HF87" s="10">
        <v>0</v>
      </c>
      <c r="HG87" s="10">
        <v>0</v>
      </c>
      <c r="HH87" s="10">
        <v>0</v>
      </c>
      <c r="HI87" s="10">
        <v>1.8590606989473705E-13</v>
      </c>
      <c r="HJ87" s="10">
        <v>0</v>
      </c>
      <c r="HK87" s="10">
        <v>0</v>
      </c>
      <c r="HL87" s="10">
        <v>0</v>
      </c>
      <c r="HM87" s="10">
        <v>0</v>
      </c>
      <c r="HN87" s="10">
        <v>0</v>
      </c>
      <c r="HO87" s="10">
        <v>0</v>
      </c>
      <c r="HP87" s="10">
        <v>0</v>
      </c>
      <c r="HQ87" s="10">
        <v>0</v>
      </c>
      <c r="HR87" s="10">
        <v>0</v>
      </c>
      <c r="HS87" s="10">
        <v>0</v>
      </c>
      <c r="HT87" s="10">
        <v>0</v>
      </c>
      <c r="HU87" s="10">
        <v>0</v>
      </c>
    </row>
    <row r="88" spans="1:229" x14ac:dyDescent="0.25">
      <c r="A88" s="10">
        <v>0</v>
      </c>
      <c r="B88" s="2" t="s">
        <v>164</v>
      </c>
      <c r="C88" s="2" t="s">
        <v>165</v>
      </c>
      <c r="D88" s="2">
        <v>4.5970000000000004</v>
      </c>
      <c r="E88" s="2">
        <v>3.75</v>
      </c>
      <c r="F88" s="2">
        <v>5.18</v>
      </c>
      <c r="G88" s="2">
        <v>0</v>
      </c>
      <c r="H88" s="2"/>
      <c r="I88" s="2">
        <v>52</v>
      </c>
      <c r="J88" s="2">
        <v>1.7869999999999999</v>
      </c>
      <c r="K88" s="2">
        <v>0.14599999999999999</v>
      </c>
      <c r="L88" s="3"/>
      <c r="M88" s="2" t="str">
        <f t="shared" si="8"/>
        <v>01108</v>
      </c>
      <c r="N88" s="3">
        <v>0.90077262734373809</v>
      </c>
      <c r="O88" s="3">
        <v>1.0992273726562622</v>
      </c>
      <c r="P88" s="17">
        <v>0.90077262734376162</v>
      </c>
      <c r="Q88" s="3">
        <v>1.4084770238071451</v>
      </c>
      <c r="R88" s="3">
        <v>0.99671368204297306</v>
      </c>
      <c r="S88" s="3" t="e">
        <v>#DIV/0!</v>
      </c>
      <c r="T88" s="3" t="e">
        <v>#DIV/0!</v>
      </c>
      <c r="U88" s="3">
        <v>0.90077262734373753</v>
      </c>
      <c r="V88" s="3">
        <v>1.099227372656272</v>
      </c>
      <c r="W88" s="3">
        <v>3.0467102241400861</v>
      </c>
      <c r="X88" s="3">
        <v>4.1408517678992727</v>
      </c>
      <c r="Y88" s="3">
        <v>5.2817888392767944</v>
      </c>
      <c r="Z88" s="3">
        <v>5.1629768729826004</v>
      </c>
      <c r="AA88" s="3">
        <v>0</v>
      </c>
      <c r="AB88" s="3">
        <v>0</v>
      </c>
      <c r="AC88" s="3">
        <v>46.840176621874349</v>
      </c>
      <c r="AD88" s="3">
        <v>1.9643193149367582</v>
      </c>
      <c r="AE88" s="3">
        <v>0.44481969272445254</v>
      </c>
      <c r="AF88" s="3">
        <v>0</v>
      </c>
      <c r="AG88" s="3">
        <v>0</v>
      </c>
      <c r="AH88" s="3">
        <v>8.3617963399926221E-3</v>
      </c>
      <c r="AI88" s="3">
        <v>0</v>
      </c>
      <c r="AJ88" s="3">
        <v>0</v>
      </c>
      <c r="AK88" s="3">
        <v>0</v>
      </c>
      <c r="AL88" s="3">
        <v>0</v>
      </c>
      <c r="AM88" s="3">
        <v>0</v>
      </c>
      <c r="AN88" s="3">
        <v>0</v>
      </c>
      <c r="AO88" s="3">
        <v>0</v>
      </c>
      <c r="AP88" s="3">
        <v>0</v>
      </c>
      <c r="AQ88" s="3">
        <v>0</v>
      </c>
      <c r="AR88" s="3">
        <v>0</v>
      </c>
      <c r="AS88" s="3">
        <v>0</v>
      </c>
      <c r="AT88" s="3">
        <v>0</v>
      </c>
      <c r="AU88" s="3">
        <v>0</v>
      </c>
      <c r="AV88" s="3">
        <v>0</v>
      </c>
      <c r="AW88" s="3">
        <v>0</v>
      </c>
      <c r="AX88" s="3">
        <v>0</v>
      </c>
      <c r="AY88" s="3">
        <v>0</v>
      </c>
      <c r="AZ88" s="3">
        <v>0</v>
      </c>
      <c r="BA88" s="10">
        <v>0</v>
      </c>
      <c r="BB88" s="10">
        <v>0</v>
      </c>
      <c r="BC88" s="10">
        <v>0</v>
      </c>
      <c r="BD88" s="10">
        <v>0</v>
      </c>
      <c r="BE88" s="10">
        <v>0</v>
      </c>
      <c r="BF88" s="10">
        <v>0</v>
      </c>
      <c r="BG88" s="10">
        <v>0</v>
      </c>
      <c r="BH88" s="10">
        <v>0</v>
      </c>
      <c r="BI88" s="10">
        <v>0</v>
      </c>
      <c r="BJ88" s="10">
        <v>0</v>
      </c>
      <c r="BK88" s="10">
        <v>0</v>
      </c>
      <c r="BL88" s="10">
        <v>0</v>
      </c>
      <c r="BM88" s="10">
        <v>0</v>
      </c>
      <c r="BN88" s="10">
        <v>0</v>
      </c>
      <c r="BO88" s="10">
        <v>0</v>
      </c>
      <c r="BP88" s="10">
        <v>0</v>
      </c>
      <c r="BQ88" s="10">
        <v>0</v>
      </c>
      <c r="BR88" s="10">
        <v>0</v>
      </c>
      <c r="BS88" s="10">
        <v>0</v>
      </c>
      <c r="BT88" s="10">
        <v>0</v>
      </c>
      <c r="BU88" s="10">
        <v>0</v>
      </c>
      <c r="BV88" s="10">
        <v>0</v>
      </c>
      <c r="BW88" s="10">
        <v>0</v>
      </c>
      <c r="BX88" s="10">
        <v>0</v>
      </c>
      <c r="BY88" s="10">
        <v>0</v>
      </c>
      <c r="BZ88" s="10">
        <v>0</v>
      </c>
      <c r="CA88" s="10">
        <v>0.24549015908877281</v>
      </c>
      <c r="CB88" s="10">
        <v>0</v>
      </c>
      <c r="CC88" s="10">
        <v>0</v>
      </c>
      <c r="CD88" s="10">
        <v>0</v>
      </c>
      <c r="CE88" s="10">
        <v>0</v>
      </c>
      <c r="CF88" s="10">
        <v>0</v>
      </c>
      <c r="CG88" s="10">
        <v>0</v>
      </c>
      <c r="CH88" s="10">
        <v>0</v>
      </c>
      <c r="CI88" s="10">
        <v>0</v>
      </c>
      <c r="CJ88" s="10">
        <v>0</v>
      </c>
      <c r="CK88" s="10">
        <v>0</v>
      </c>
      <c r="CL88" s="10">
        <v>0</v>
      </c>
      <c r="CM88" s="10">
        <v>0</v>
      </c>
      <c r="CN88" s="10">
        <v>0</v>
      </c>
      <c r="CO88" s="10">
        <v>0</v>
      </c>
      <c r="CP88" s="10">
        <v>0</v>
      </c>
      <c r="CQ88" s="10">
        <v>0</v>
      </c>
      <c r="CR88" s="10">
        <v>0</v>
      </c>
      <c r="CS88" s="10">
        <v>0</v>
      </c>
      <c r="CT88" s="10">
        <v>0</v>
      </c>
      <c r="CU88" s="10">
        <v>0</v>
      </c>
      <c r="CV88" s="10">
        <v>0</v>
      </c>
      <c r="CW88" s="10">
        <v>0</v>
      </c>
      <c r="CX88" s="10">
        <v>0</v>
      </c>
      <c r="CY88" s="10">
        <v>0</v>
      </c>
      <c r="CZ88" s="10">
        <v>0</v>
      </c>
      <c r="DA88" s="10">
        <v>0</v>
      </c>
      <c r="DB88" s="10">
        <v>0</v>
      </c>
      <c r="DC88" s="10">
        <v>0</v>
      </c>
      <c r="DD88" s="10">
        <v>0</v>
      </c>
      <c r="DE88" s="10">
        <v>0</v>
      </c>
      <c r="DF88" s="10">
        <v>0.74614804457123451</v>
      </c>
      <c r="DG88" s="10">
        <v>0</v>
      </c>
      <c r="DH88" s="10">
        <v>0</v>
      </c>
      <c r="DI88" s="10">
        <v>0</v>
      </c>
      <c r="DJ88" s="10">
        <v>0</v>
      </c>
      <c r="DK88" s="10">
        <v>0</v>
      </c>
      <c r="DL88" s="10">
        <v>0</v>
      </c>
      <c r="DM88" s="10">
        <v>0</v>
      </c>
      <c r="DN88" s="10">
        <v>0</v>
      </c>
      <c r="DO88" s="10">
        <v>0</v>
      </c>
      <c r="DP88" s="10">
        <v>0</v>
      </c>
      <c r="DQ88" s="10">
        <v>0</v>
      </c>
      <c r="DR88" s="10">
        <v>0</v>
      </c>
      <c r="DS88" s="10">
        <v>0</v>
      </c>
      <c r="DT88" s="10">
        <v>0</v>
      </c>
      <c r="DU88" s="10">
        <v>0</v>
      </c>
      <c r="DV88" s="10">
        <v>0</v>
      </c>
      <c r="DW88" s="10">
        <v>0</v>
      </c>
      <c r="DX88" s="10">
        <v>0</v>
      </c>
      <c r="DY88" s="10">
        <v>0</v>
      </c>
      <c r="DZ88" s="10">
        <v>0</v>
      </c>
      <c r="EA88" s="10">
        <v>0</v>
      </c>
      <c r="EB88" s="10">
        <v>0</v>
      </c>
      <c r="EC88" s="10">
        <v>0</v>
      </c>
      <c r="ED88" s="10">
        <v>0</v>
      </c>
      <c r="EE88" s="10">
        <v>0</v>
      </c>
      <c r="EF88" s="10">
        <v>0</v>
      </c>
      <c r="EG88" s="10">
        <v>0</v>
      </c>
      <c r="EH88" s="10">
        <v>0</v>
      </c>
      <c r="EI88" s="10">
        <v>0</v>
      </c>
      <c r="EJ88" s="10">
        <v>0</v>
      </c>
      <c r="EK88" s="10">
        <v>0</v>
      </c>
      <c r="EL88" s="10">
        <v>0</v>
      </c>
      <c r="EM88" s="10">
        <v>0</v>
      </c>
      <c r="EN88" s="10">
        <v>0</v>
      </c>
      <c r="EO88" s="10">
        <v>0</v>
      </c>
      <c r="EP88" s="10">
        <v>0</v>
      </c>
      <c r="EQ88" s="10">
        <v>0</v>
      </c>
      <c r="ER88" s="10">
        <v>0</v>
      </c>
      <c r="ES88" s="10">
        <v>0</v>
      </c>
      <c r="ET88" s="10">
        <v>0</v>
      </c>
      <c r="EU88" s="10">
        <v>0</v>
      </c>
      <c r="EV88" s="10">
        <v>0</v>
      </c>
      <c r="EW88" s="10">
        <v>0</v>
      </c>
      <c r="EX88" s="10">
        <v>0</v>
      </c>
      <c r="EY88" s="10">
        <v>0</v>
      </c>
      <c r="EZ88" s="10">
        <v>0</v>
      </c>
      <c r="FA88" s="10">
        <v>0</v>
      </c>
      <c r="FB88" s="10">
        <v>0</v>
      </c>
      <c r="FC88" s="10">
        <v>0</v>
      </c>
      <c r="FD88" s="10">
        <v>0</v>
      </c>
      <c r="FE88" s="10">
        <v>0</v>
      </c>
      <c r="FF88" s="10">
        <v>0</v>
      </c>
      <c r="FG88" s="10">
        <v>0</v>
      </c>
      <c r="FH88" s="10">
        <v>0</v>
      </c>
      <c r="FI88" s="10">
        <v>0</v>
      </c>
      <c r="FJ88" s="10">
        <v>0</v>
      </c>
      <c r="FK88" s="10">
        <v>0</v>
      </c>
      <c r="FL88" s="10">
        <v>0</v>
      </c>
      <c r="FM88" s="10">
        <v>0</v>
      </c>
      <c r="FN88" s="10">
        <v>0</v>
      </c>
      <c r="FO88" s="10">
        <v>0</v>
      </c>
      <c r="FP88" s="10">
        <v>0</v>
      </c>
      <c r="FQ88" s="10">
        <v>0</v>
      </c>
      <c r="FR88" s="10">
        <v>0</v>
      </c>
      <c r="FS88" s="10">
        <v>0</v>
      </c>
      <c r="FT88" s="10">
        <v>0</v>
      </c>
      <c r="FU88" s="10">
        <v>0</v>
      </c>
      <c r="FV88" s="10">
        <v>0</v>
      </c>
      <c r="FW88" s="10">
        <v>0</v>
      </c>
      <c r="FX88" s="10">
        <v>0</v>
      </c>
      <c r="FY88" s="10">
        <v>0</v>
      </c>
      <c r="FZ88" s="10">
        <v>0</v>
      </c>
      <c r="GA88" s="10">
        <v>0</v>
      </c>
      <c r="GB88" s="10">
        <v>0</v>
      </c>
      <c r="GC88" s="10">
        <v>0</v>
      </c>
      <c r="GD88" s="10">
        <v>0</v>
      </c>
      <c r="GE88" s="10">
        <v>0</v>
      </c>
      <c r="GF88" s="10">
        <v>0</v>
      </c>
      <c r="GG88" s="10">
        <v>0</v>
      </c>
      <c r="GH88" s="10">
        <v>0</v>
      </c>
      <c r="GI88" s="10">
        <v>0</v>
      </c>
      <c r="GJ88" s="10">
        <v>0</v>
      </c>
      <c r="GK88" s="10">
        <v>0</v>
      </c>
      <c r="GL88" s="10">
        <v>0</v>
      </c>
      <c r="GM88" s="10">
        <v>0</v>
      </c>
      <c r="GN88" s="10">
        <v>0</v>
      </c>
      <c r="GO88" s="10">
        <v>0</v>
      </c>
      <c r="GP88" s="10">
        <v>0</v>
      </c>
      <c r="GQ88" s="10">
        <v>0</v>
      </c>
      <c r="GR88" s="10">
        <v>0</v>
      </c>
      <c r="GS88" s="10">
        <v>0</v>
      </c>
      <c r="GT88" s="10">
        <v>0</v>
      </c>
      <c r="GU88" s="10">
        <v>0</v>
      </c>
      <c r="GV88" s="10">
        <v>0</v>
      </c>
      <c r="GW88" s="10">
        <v>0</v>
      </c>
      <c r="GX88" s="10">
        <v>0</v>
      </c>
      <c r="GY88" s="10">
        <v>0</v>
      </c>
      <c r="GZ88" s="10">
        <v>0</v>
      </c>
      <c r="HA88" s="10">
        <v>0</v>
      </c>
      <c r="HB88" s="10">
        <v>0</v>
      </c>
      <c r="HC88" s="10">
        <v>0</v>
      </c>
      <c r="HD88" s="10">
        <v>0</v>
      </c>
      <c r="HE88" s="10">
        <v>0</v>
      </c>
      <c r="HF88" s="10">
        <v>0</v>
      </c>
      <c r="HG88" s="10">
        <v>0</v>
      </c>
      <c r="HH88" s="10">
        <v>0</v>
      </c>
      <c r="HI88" s="10">
        <v>0</v>
      </c>
      <c r="HJ88" s="10">
        <v>0</v>
      </c>
      <c r="HK88" s="10">
        <v>0</v>
      </c>
      <c r="HL88" s="10">
        <v>0</v>
      </c>
      <c r="HM88" s="10">
        <v>0</v>
      </c>
      <c r="HN88" s="10">
        <v>0</v>
      </c>
      <c r="HO88" s="10">
        <v>0</v>
      </c>
      <c r="HP88" s="10">
        <v>0</v>
      </c>
      <c r="HQ88" s="10">
        <v>0</v>
      </c>
      <c r="HR88" s="10">
        <v>0</v>
      </c>
      <c r="HS88" s="10">
        <v>0</v>
      </c>
      <c r="HT88" s="10">
        <v>0</v>
      </c>
      <c r="HU88" s="10">
        <v>0</v>
      </c>
    </row>
    <row r="89" spans="1:229" x14ac:dyDescent="0.25">
      <c r="A89" s="10">
        <v>0</v>
      </c>
      <c r="B89" s="2" t="s">
        <v>166</v>
      </c>
      <c r="C89" s="2" t="s">
        <v>167</v>
      </c>
      <c r="D89" s="2">
        <v>4.6029999999999998</v>
      </c>
      <c r="E89" s="2">
        <v>5.98</v>
      </c>
      <c r="F89" s="2">
        <v>5.36</v>
      </c>
      <c r="G89" s="2">
        <v>0</v>
      </c>
      <c r="H89" s="2"/>
      <c r="I89" s="2">
        <v>44</v>
      </c>
      <c r="J89" s="2">
        <v>1.724</v>
      </c>
      <c r="K89" s="2">
        <v>0.308</v>
      </c>
      <c r="L89" s="3"/>
      <c r="M89" s="2" t="str">
        <f t="shared" si="8"/>
        <v>01109</v>
      </c>
      <c r="N89" s="3">
        <v>1.0000000000000107</v>
      </c>
      <c r="O89" s="3">
        <v>0.99999999999998901</v>
      </c>
      <c r="P89" s="17">
        <v>1.0000000000000095</v>
      </c>
      <c r="Q89" s="3">
        <v>0.99999999999998601</v>
      </c>
      <c r="R89" s="3">
        <v>0.99999999999999256</v>
      </c>
      <c r="S89" s="3" t="e">
        <v>#DIV/0!</v>
      </c>
      <c r="T89" s="3" t="e">
        <v>#DIV/0!</v>
      </c>
      <c r="U89" s="3">
        <v>1.0000000000000104</v>
      </c>
      <c r="V89" s="3">
        <v>1.000000000000048</v>
      </c>
      <c r="W89" s="3">
        <v>1.0000000000000808</v>
      </c>
      <c r="X89" s="3">
        <v>4.6030000000000442</v>
      </c>
      <c r="Y89" s="3">
        <v>5.9799999999999169</v>
      </c>
      <c r="Z89" s="3">
        <v>5.3599999999999604</v>
      </c>
      <c r="AA89" s="3">
        <v>0</v>
      </c>
      <c r="AB89" s="3">
        <v>-4.4621586855825974E-18</v>
      </c>
      <c r="AC89" s="3">
        <v>44.000000000000455</v>
      </c>
      <c r="AD89" s="3">
        <v>1.7240000000000826</v>
      </c>
      <c r="AE89" s="3">
        <v>0.30800000000002492</v>
      </c>
      <c r="AF89" s="3">
        <v>0</v>
      </c>
      <c r="AG89" s="3">
        <v>0</v>
      </c>
      <c r="AH89" s="3">
        <v>2.7676248381982655E-15</v>
      </c>
      <c r="AI89" s="3">
        <v>0</v>
      </c>
      <c r="AJ89" s="3">
        <v>0</v>
      </c>
      <c r="AK89" s="3">
        <v>0</v>
      </c>
      <c r="AL89" s="3">
        <v>0</v>
      </c>
      <c r="AM89" s="3">
        <v>0</v>
      </c>
      <c r="AN89" s="3">
        <v>0</v>
      </c>
      <c r="AO89" s="3">
        <v>0</v>
      </c>
      <c r="AP89" s="3">
        <v>0</v>
      </c>
      <c r="AQ89" s="3">
        <v>0</v>
      </c>
      <c r="AR89" s="3">
        <v>0</v>
      </c>
      <c r="AS89" s="3">
        <v>0</v>
      </c>
      <c r="AT89" s="3">
        <v>0</v>
      </c>
      <c r="AU89" s="3">
        <v>0</v>
      </c>
      <c r="AV89" s="3">
        <v>0</v>
      </c>
      <c r="AW89" s="3">
        <v>0</v>
      </c>
      <c r="AX89" s="3">
        <v>0</v>
      </c>
      <c r="AY89" s="3">
        <v>0</v>
      </c>
      <c r="AZ89" s="3">
        <v>0</v>
      </c>
      <c r="BA89" s="10">
        <v>0</v>
      </c>
      <c r="BB89" s="10">
        <v>0</v>
      </c>
      <c r="BC89" s="10">
        <v>0</v>
      </c>
      <c r="BD89" s="10">
        <v>0</v>
      </c>
      <c r="BE89" s="10">
        <v>0</v>
      </c>
      <c r="BF89" s="10">
        <v>0</v>
      </c>
      <c r="BG89" s="10">
        <v>0</v>
      </c>
      <c r="BH89" s="10">
        <v>0</v>
      </c>
      <c r="BI89" s="10">
        <v>0</v>
      </c>
      <c r="BJ89" s="10">
        <v>0</v>
      </c>
      <c r="BK89" s="10">
        <v>0</v>
      </c>
      <c r="BL89" s="10">
        <v>1.025895362595335E-15</v>
      </c>
      <c r="BM89" s="10">
        <v>0</v>
      </c>
      <c r="BN89" s="10">
        <v>0</v>
      </c>
      <c r="BO89" s="10">
        <v>0</v>
      </c>
      <c r="BP89" s="10">
        <v>0</v>
      </c>
      <c r="BQ89" s="10">
        <v>0</v>
      </c>
      <c r="BR89" s="10">
        <v>0</v>
      </c>
      <c r="BS89" s="10">
        <v>0</v>
      </c>
      <c r="BT89" s="10">
        <v>0</v>
      </c>
      <c r="BU89" s="10">
        <v>0</v>
      </c>
      <c r="BV89" s="10">
        <v>0</v>
      </c>
      <c r="BW89" s="10">
        <v>0</v>
      </c>
      <c r="BX89" s="10">
        <v>0</v>
      </c>
      <c r="BY89" s="10">
        <v>0</v>
      </c>
      <c r="BZ89" s="10">
        <v>0</v>
      </c>
      <c r="CA89" s="10">
        <v>3.3163020866995066E-14</v>
      </c>
      <c r="CB89" s="10">
        <v>0</v>
      </c>
      <c r="CC89" s="10">
        <v>0</v>
      </c>
      <c r="CD89" s="10">
        <v>0</v>
      </c>
      <c r="CE89" s="10">
        <v>0</v>
      </c>
      <c r="CF89" s="10">
        <v>0</v>
      </c>
      <c r="CG89" s="10">
        <v>0</v>
      </c>
      <c r="CH89" s="10">
        <v>0</v>
      </c>
      <c r="CI89" s="10">
        <v>0</v>
      </c>
      <c r="CJ89" s="10">
        <v>0</v>
      </c>
      <c r="CK89" s="10">
        <v>0</v>
      </c>
      <c r="CL89" s="10">
        <v>0</v>
      </c>
      <c r="CM89" s="10">
        <v>0</v>
      </c>
      <c r="CN89" s="10">
        <v>0</v>
      </c>
      <c r="CO89" s="10">
        <v>0</v>
      </c>
      <c r="CP89" s="10">
        <v>0</v>
      </c>
      <c r="CQ89" s="10">
        <v>0</v>
      </c>
      <c r="CR89" s="10">
        <v>0</v>
      </c>
      <c r="CS89" s="10">
        <v>0</v>
      </c>
      <c r="CT89" s="10">
        <v>0</v>
      </c>
      <c r="CU89" s="10">
        <v>0</v>
      </c>
      <c r="CV89" s="10">
        <v>0</v>
      </c>
      <c r="CW89" s="10">
        <v>0</v>
      </c>
      <c r="CX89" s="10">
        <v>0</v>
      </c>
      <c r="CY89" s="10">
        <v>0</v>
      </c>
      <c r="CZ89" s="10">
        <v>0</v>
      </c>
      <c r="DA89" s="10">
        <v>0</v>
      </c>
      <c r="DB89" s="10">
        <v>0</v>
      </c>
      <c r="DC89" s="10">
        <v>0</v>
      </c>
      <c r="DD89" s="10">
        <v>0</v>
      </c>
      <c r="DE89" s="10">
        <v>0</v>
      </c>
      <c r="DF89" s="10">
        <v>0.99999999999996281</v>
      </c>
      <c r="DG89" s="10">
        <v>0</v>
      </c>
      <c r="DH89" s="10">
        <v>0</v>
      </c>
      <c r="DI89" s="10">
        <v>0</v>
      </c>
      <c r="DJ89" s="10">
        <v>0</v>
      </c>
      <c r="DK89" s="10">
        <v>0</v>
      </c>
      <c r="DL89" s="10">
        <v>0</v>
      </c>
      <c r="DM89" s="10">
        <v>0</v>
      </c>
      <c r="DN89" s="10">
        <v>0</v>
      </c>
      <c r="DO89" s="10">
        <v>0</v>
      </c>
      <c r="DP89" s="10">
        <v>0</v>
      </c>
      <c r="DQ89" s="10">
        <v>0</v>
      </c>
      <c r="DR89" s="10">
        <v>0</v>
      </c>
      <c r="DS89" s="10">
        <v>0</v>
      </c>
      <c r="DT89" s="10">
        <v>-2.7888491784891231E-17</v>
      </c>
      <c r="DU89" s="10">
        <v>0</v>
      </c>
      <c r="DV89" s="10">
        <v>0</v>
      </c>
      <c r="DW89" s="10">
        <v>0</v>
      </c>
      <c r="DX89" s="10">
        <v>0</v>
      </c>
      <c r="DY89" s="10">
        <v>0</v>
      </c>
      <c r="DZ89" s="10">
        <v>0</v>
      </c>
      <c r="EA89" s="10">
        <v>0</v>
      </c>
      <c r="EB89" s="10">
        <v>0</v>
      </c>
      <c r="EC89" s="10">
        <v>0</v>
      </c>
      <c r="ED89" s="10">
        <v>0</v>
      </c>
      <c r="EE89" s="10">
        <v>0</v>
      </c>
      <c r="EF89" s="10">
        <v>0</v>
      </c>
      <c r="EG89" s="10">
        <v>0</v>
      </c>
      <c r="EH89" s="10">
        <v>0</v>
      </c>
      <c r="EI89" s="10">
        <v>0</v>
      </c>
      <c r="EJ89" s="10">
        <v>0</v>
      </c>
      <c r="EK89" s="10">
        <v>0</v>
      </c>
      <c r="EL89" s="10">
        <v>0</v>
      </c>
      <c r="EM89" s="10">
        <v>0</v>
      </c>
      <c r="EN89" s="10">
        <v>0</v>
      </c>
      <c r="EO89" s="10">
        <v>0</v>
      </c>
      <c r="EP89" s="10">
        <v>0</v>
      </c>
      <c r="EQ89" s="10">
        <v>0</v>
      </c>
      <c r="ER89" s="10">
        <v>0</v>
      </c>
      <c r="ES89" s="10">
        <v>0</v>
      </c>
      <c r="ET89" s="10">
        <v>0</v>
      </c>
      <c r="EU89" s="10">
        <v>0</v>
      </c>
      <c r="EV89" s="10">
        <v>0</v>
      </c>
      <c r="EW89" s="10">
        <v>0</v>
      </c>
      <c r="EX89" s="10">
        <v>0</v>
      </c>
      <c r="EY89" s="10">
        <v>0</v>
      </c>
      <c r="EZ89" s="10">
        <v>0</v>
      </c>
      <c r="FA89" s="10">
        <v>0</v>
      </c>
      <c r="FB89" s="10">
        <v>0</v>
      </c>
      <c r="FC89" s="10">
        <v>0</v>
      </c>
      <c r="FD89" s="10">
        <v>0</v>
      </c>
      <c r="FE89" s="10">
        <v>0</v>
      </c>
      <c r="FF89" s="10">
        <v>0</v>
      </c>
      <c r="FG89" s="10">
        <v>0</v>
      </c>
      <c r="FH89" s="10">
        <v>0</v>
      </c>
      <c r="FI89" s="10">
        <v>0</v>
      </c>
      <c r="FJ89" s="10">
        <v>0</v>
      </c>
      <c r="FK89" s="10">
        <v>0</v>
      </c>
      <c r="FL89" s="10">
        <v>0</v>
      </c>
      <c r="FM89" s="10">
        <v>0</v>
      </c>
      <c r="FN89" s="10">
        <v>0</v>
      </c>
      <c r="FO89" s="10">
        <v>0</v>
      </c>
      <c r="FP89" s="10">
        <v>0</v>
      </c>
      <c r="FQ89" s="10">
        <v>0</v>
      </c>
      <c r="FR89" s="10">
        <v>0</v>
      </c>
      <c r="FS89" s="10">
        <v>0</v>
      </c>
      <c r="FT89" s="10">
        <v>0</v>
      </c>
      <c r="FU89" s="10">
        <v>0</v>
      </c>
      <c r="FV89" s="10">
        <v>0</v>
      </c>
      <c r="FW89" s="10">
        <v>0</v>
      </c>
      <c r="FX89" s="10">
        <v>0</v>
      </c>
      <c r="FY89" s="10">
        <v>0</v>
      </c>
      <c r="FZ89" s="10">
        <v>0</v>
      </c>
      <c r="GA89" s="10">
        <v>0</v>
      </c>
      <c r="GB89" s="10">
        <v>0</v>
      </c>
      <c r="GC89" s="10">
        <v>0</v>
      </c>
      <c r="GD89" s="10">
        <v>0</v>
      </c>
      <c r="GE89" s="10">
        <v>0</v>
      </c>
      <c r="GF89" s="10">
        <v>0</v>
      </c>
      <c r="GG89" s="10">
        <v>0</v>
      </c>
      <c r="GH89" s="10">
        <v>0</v>
      </c>
      <c r="GI89" s="10">
        <v>0</v>
      </c>
      <c r="GJ89" s="10">
        <v>0</v>
      </c>
      <c r="GK89" s="10">
        <v>0</v>
      </c>
      <c r="GL89" s="10">
        <v>0</v>
      </c>
      <c r="GM89" s="10">
        <v>0</v>
      </c>
      <c r="GN89" s="10">
        <v>0</v>
      </c>
      <c r="GO89" s="10">
        <v>0</v>
      </c>
      <c r="GP89" s="10">
        <v>0</v>
      </c>
      <c r="GQ89" s="10">
        <v>0</v>
      </c>
      <c r="GR89" s="10">
        <v>0</v>
      </c>
      <c r="GS89" s="10">
        <v>0</v>
      </c>
      <c r="GT89" s="10">
        <v>0</v>
      </c>
      <c r="GU89" s="10">
        <v>0</v>
      </c>
      <c r="GV89" s="10">
        <v>0</v>
      </c>
      <c r="GW89" s="10">
        <v>0</v>
      </c>
      <c r="GX89" s="10">
        <v>0</v>
      </c>
      <c r="GY89" s="10">
        <v>0</v>
      </c>
      <c r="GZ89" s="10">
        <v>0</v>
      </c>
      <c r="HA89" s="10">
        <v>0</v>
      </c>
      <c r="HB89" s="10">
        <v>0</v>
      </c>
      <c r="HC89" s="10">
        <v>0</v>
      </c>
      <c r="HD89" s="10">
        <v>0</v>
      </c>
      <c r="HE89" s="10">
        <v>0</v>
      </c>
      <c r="HF89" s="10">
        <v>0</v>
      </c>
      <c r="HG89" s="10">
        <v>0</v>
      </c>
      <c r="HH89" s="10">
        <v>0</v>
      </c>
      <c r="HI89" s="10">
        <v>0</v>
      </c>
      <c r="HJ89" s="10">
        <v>0</v>
      </c>
      <c r="HK89" s="10">
        <v>0</v>
      </c>
      <c r="HL89" s="10">
        <v>0</v>
      </c>
      <c r="HM89" s="10">
        <v>0</v>
      </c>
      <c r="HN89" s="10">
        <v>0</v>
      </c>
      <c r="HO89" s="10">
        <v>0</v>
      </c>
      <c r="HP89" s="10">
        <v>0</v>
      </c>
      <c r="HQ89" s="10">
        <v>0</v>
      </c>
      <c r="HR89" s="10">
        <v>0</v>
      </c>
      <c r="HS89" s="10">
        <v>0</v>
      </c>
      <c r="HT89" s="10">
        <v>0</v>
      </c>
      <c r="HU89" s="10">
        <v>0</v>
      </c>
    </row>
    <row r="90" spans="1:229" x14ac:dyDescent="0.25">
      <c r="A90" s="10">
        <v>0</v>
      </c>
      <c r="B90" s="2" t="s">
        <v>168</v>
      </c>
      <c r="C90" s="2" t="s">
        <v>169</v>
      </c>
      <c r="D90" s="2">
        <v>1.681</v>
      </c>
      <c r="E90" s="2">
        <v>3.05</v>
      </c>
      <c r="F90" s="2">
        <v>21.15</v>
      </c>
      <c r="G90" s="2">
        <v>0.3</v>
      </c>
      <c r="H90" s="2">
        <v>20.85</v>
      </c>
      <c r="I90" s="2">
        <v>111</v>
      </c>
      <c r="J90" s="2">
        <v>0.78</v>
      </c>
      <c r="K90" s="2">
        <v>0.1</v>
      </c>
      <c r="L90" s="3"/>
      <c r="M90" s="2" t="str">
        <f t="shared" si="8"/>
        <v>01110</v>
      </c>
      <c r="N90" s="3">
        <v>0.41196777164181497</v>
      </c>
      <c r="O90" s="3">
        <v>1.5880322283581854</v>
      </c>
      <c r="P90" s="17">
        <v>0.41196777164187603</v>
      </c>
      <c r="Q90" s="3">
        <v>1.5880322283581556</v>
      </c>
      <c r="R90" s="3">
        <v>0.3424793002784326</v>
      </c>
      <c r="S90" s="3">
        <v>0.79657067755978261</v>
      </c>
      <c r="T90" s="3">
        <v>0.20293408525895895</v>
      </c>
      <c r="U90" s="3">
        <v>0.41196777164181492</v>
      </c>
      <c r="V90" s="3">
        <v>1.5880322283581463</v>
      </c>
      <c r="W90" s="3">
        <v>5.010389362323167</v>
      </c>
      <c r="X90" s="3">
        <v>0.69251782412999363</v>
      </c>
      <c r="Y90" s="3">
        <v>4.8434982964923741</v>
      </c>
      <c r="Z90" s="3">
        <v>7.2434372008888488</v>
      </c>
      <c r="AA90" s="3">
        <v>0.23897120326793478</v>
      </c>
      <c r="AB90" s="3">
        <v>4.2311756776492944</v>
      </c>
      <c r="AC90" s="3">
        <v>45.728422652241456</v>
      </c>
      <c r="AD90" s="3">
        <v>1.2386651381193541</v>
      </c>
      <c r="AE90" s="3">
        <v>0.50103893623231677</v>
      </c>
      <c r="AF90" s="3">
        <v>0</v>
      </c>
      <c r="AG90" s="3">
        <v>0</v>
      </c>
      <c r="AH90" s="3">
        <v>0</v>
      </c>
      <c r="AI90" s="10">
        <v>0</v>
      </c>
      <c r="AJ90" s="3">
        <v>0</v>
      </c>
      <c r="AK90" s="3">
        <v>0</v>
      </c>
      <c r="AL90" s="3">
        <v>0</v>
      </c>
      <c r="AM90" s="3">
        <v>0</v>
      </c>
      <c r="AN90" s="10">
        <v>0</v>
      </c>
      <c r="AO90" s="10">
        <v>0</v>
      </c>
      <c r="AP90" s="10">
        <v>0</v>
      </c>
      <c r="AQ90" s="10">
        <v>0</v>
      </c>
      <c r="AR90" s="10">
        <v>0</v>
      </c>
      <c r="AS90" s="10">
        <v>0</v>
      </c>
      <c r="AT90" s="3">
        <v>0</v>
      </c>
      <c r="AU90" s="3">
        <v>0</v>
      </c>
      <c r="AV90" s="10">
        <v>0</v>
      </c>
      <c r="AW90" s="3">
        <v>0</v>
      </c>
      <c r="AX90" s="3">
        <v>0</v>
      </c>
      <c r="AY90" s="3">
        <v>0</v>
      </c>
      <c r="AZ90" s="3">
        <v>0</v>
      </c>
      <c r="BA90" s="10">
        <v>0</v>
      </c>
      <c r="BB90" s="10">
        <v>0</v>
      </c>
      <c r="BC90" s="10">
        <v>0</v>
      </c>
      <c r="BD90" s="10">
        <v>0</v>
      </c>
      <c r="BE90" s="10">
        <v>0</v>
      </c>
      <c r="BF90" s="10">
        <v>0</v>
      </c>
      <c r="BG90" s="10">
        <v>0</v>
      </c>
      <c r="BH90" s="10">
        <v>0</v>
      </c>
      <c r="BI90" s="10">
        <v>0</v>
      </c>
      <c r="BJ90" s="10">
        <v>0</v>
      </c>
      <c r="BK90" s="10">
        <v>0</v>
      </c>
      <c r="BL90" s="10">
        <v>0</v>
      </c>
      <c r="BM90" s="10">
        <v>0</v>
      </c>
      <c r="BN90" s="10">
        <v>0</v>
      </c>
      <c r="BO90" s="10">
        <v>0</v>
      </c>
      <c r="BP90" s="10">
        <v>0</v>
      </c>
      <c r="BQ90" s="10">
        <v>0</v>
      </c>
      <c r="BR90" s="10">
        <v>0</v>
      </c>
      <c r="BS90" s="10">
        <v>0</v>
      </c>
      <c r="BT90" s="10">
        <v>0</v>
      </c>
      <c r="BU90" s="10">
        <v>0</v>
      </c>
      <c r="BV90" s="10">
        <v>0</v>
      </c>
      <c r="BW90" s="10">
        <v>0</v>
      </c>
      <c r="BX90" s="10">
        <v>0</v>
      </c>
      <c r="BY90" s="10">
        <v>0</v>
      </c>
      <c r="BZ90" s="10">
        <v>0</v>
      </c>
      <c r="CA90" s="10">
        <v>0.57654861773399491</v>
      </c>
      <c r="CB90" s="10">
        <v>0</v>
      </c>
      <c r="CC90" s="10">
        <v>0</v>
      </c>
      <c r="CD90" s="10">
        <v>0</v>
      </c>
      <c r="CE90" s="10">
        <v>0</v>
      </c>
      <c r="CF90" s="10">
        <v>0</v>
      </c>
      <c r="CG90" s="10">
        <v>0</v>
      </c>
      <c r="CH90" s="10">
        <v>0</v>
      </c>
      <c r="CI90" s="10">
        <v>0</v>
      </c>
      <c r="CJ90" s="10">
        <v>0</v>
      </c>
      <c r="CK90" s="10">
        <v>0</v>
      </c>
      <c r="CL90" s="10">
        <v>0</v>
      </c>
      <c r="CM90" s="10">
        <v>0</v>
      </c>
      <c r="CN90" s="10">
        <v>0</v>
      </c>
      <c r="CO90" s="10">
        <v>0</v>
      </c>
      <c r="CP90" s="10">
        <v>0</v>
      </c>
      <c r="CQ90" s="10">
        <v>0</v>
      </c>
      <c r="CR90" s="10">
        <v>0</v>
      </c>
      <c r="CS90" s="10">
        <v>0</v>
      </c>
      <c r="CT90" s="10">
        <v>0</v>
      </c>
      <c r="CU90" s="10">
        <v>0</v>
      </c>
      <c r="CV90" s="10">
        <v>0</v>
      </c>
      <c r="CW90" s="10">
        <v>0</v>
      </c>
      <c r="CX90" s="10">
        <v>0</v>
      </c>
      <c r="CY90" s="10">
        <v>0</v>
      </c>
      <c r="CZ90" s="10">
        <v>0</v>
      </c>
      <c r="DA90" s="10">
        <v>0</v>
      </c>
      <c r="DB90" s="10">
        <v>0</v>
      </c>
      <c r="DC90" s="10">
        <v>0</v>
      </c>
      <c r="DD90" s="10">
        <v>7.547430350857684E-2</v>
      </c>
      <c r="DE90" s="10">
        <v>0</v>
      </c>
      <c r="DF90" s="10">
        <v>0</v>
      </c>
      <c r="DG90" s="10">
        <v>0</v>
      </c>
      <c r="DH90" s="10">
        <v>0</v>
      </c>
      <c r="DI90" s="10">
        <v>0</v>
      </c>
      <c r="DJ90" s="10">
        <v>0</v>
      </c>
      <c r="DK90" s="10">
        <v>0</v>
      </c>
      <c r="DL90" s="10">
        <v>0</v>
      </c>
      <c r="DM90" s="10">
        <v>0</v>
      </c>
      <c r="DN90" s="10">
        <v>0</v>
      </c>
      <c r="DO90" s="10">
        <v>0</v>
      </c>
      <c r="DP90" s="10">
        <v>0</v>
      </c>
      <c r="DQ90" s="10">
        <v>0</v>
      </c>
      <c r="DR90" s="10">
        <v>0</v>
      </c>
      <c r="DS90" s="10">
        <v>6.5896455175211335E-3</v>
      </c>
      <c r="DT90" s="10">
        <v>0</v>
      </c>
      <c r="DU90" s="10">
        <v>0</v>
      </c>
      <c r="DV90" s="10">
        <v>0</v>
      </c>
      <c r="DW90" s="10">
        <v>0</v>
      </c>
      <c r="DX90" s="10">
        <v>0</v>
      </c>
      <c r="DY90" s="10">
        <v>0</v>
      </c>
      <c r="DZ90" s="10">
        <v>0</v>
      </c>
      <c r="EA90" s="10">
        <v>0</v>
      </c>
      <c r="EB90" s="10">
        <v>0</v>
      </c>
      <c r="EC90" s="10">
        <v>0</v>
      </c>
      <c r="ED90" s="10">
        <v>0</v>
      </c>
      <c r="EE90" s="10">
        <v>0</v>
      </c>
      <c r="EF90" s="10">
        <v>0</v>
      </c>
      <c r="EG90" s="10">
        <v>0</v>
      </c>
      <c r="EH90" s="10">
        <v>0</v>
      </c>
      <c r="EI90" s="10">
        <v>0</v>
      </c>
      <c r="EJ90" s="10">
        <v>0</v>
      </c>
      <c r="EK90" s="10">
        <v>0</v>
      </c>
      <c r="EL90" s="10">
        <v>0</v>
      </c>
      <c r="EM90" s="10">
        <v>0</v>
      </c>
      <c r="EN90" s="10">
        <v>0</v>
      </c>
      <c r="EO90" s="10">
        <v>0</v>
      </c>
      <c r="EP90" s="10">
        <v>0</v>
      </c>
      <c r="EQ90" s="10">
        <v>0</v>
      </c>
      <c r="ER90" s="10">
        <v>0</v>
      </c>
      <c r="ES90" s="10">
        <v>0</v>
      </c>
      <c r="ET90" s="10">
        <v>0</v>
      </c>
      <c r="EU90" s="10">
        <v>0</v>
      </c>
      <c r="EV90" s="10">
        <v>0</v>
      </c>
      <c r="EW90" s="10">
        <v>0</v>
      </c>
      <c r="EX90" s="10">
        <v>0</v>
      </c>
      <c r="EY90" s="10">
        <v>0</v>
      </c>
      <c r="EZ90" s="10">
        <v>0</v>
      </c>
      <c r="FA90" s="10">
        <v>0</v>
      </c>
      <c r="FB90" s="10">
        <v>0</v>
      </c>
      <c r="FC90" s="10">
        <v>0</v>
      </c>
      <c r="FD90" s="10">
        <v>0</v>
      </c>
      <c r="FE90" s="10">
        <v>0</v>
      </c>
      <c r="FF90" s="10">
        <v>0</v>
      </c>
      <c r="FG90" s="10">
        <v>0</v>
      </c>
      <c r="FH90" s="10">
        <v>0</v>
      </c>
      <c r="FI90" s="10">
        <v>0</v>
      </c>
      <c r="FJ90" s="10">
        <v>0</v>
      </c>
      <c r="FK90" s="10">
        <v>0</v>
      </c>
      <c r="FL90" s="10">
        <v>0</v>
      </c>
      <c r="FM90" s="10">
        <v>0</v>
      </c>
      <c r="FN90" s="10">
        <v>0</v>
      </c>
      <c r="FO90" s="10">
        <v>0</v>
      </c>
      <c r="FP90" s="10">
        <v>0</v>
      </c>
      <c r="FQ90" s="10">
        <v>0</v>
      </c>
      <c r="FR90" s="10">
        <v>0</v>
      </c>
      <c r="FS90" s="10">
        <v>0</v>
      </c>
      <c r="FT90" s="10">
        <v>0</v>
      </c>
      <c r="FU90" s="10">
        <v>0</v>
      </c>
      <c r="FV90" s="10">
        <v>0</v>
      </c>
      <c r="FW90" s="10">
        <v>0</v>
      </c>
      <c r="FX90" s="10">
        <v>0</v>
      </c>
      <c r="FY90" s="10">
        <v>0</v>
      </c>
      <c r="FZ90" s="10">
        <v>0</v>
      </c>
      <c r="GA90" s="10">
        <v>0</v>
      </c>
      <c r="GB90" s="10">
        <v>0</v>
      </c>
      <c r="GC90" s="10">
        <v>0</v>
      </c>
      <c r="GD90" s="10">
        <v>0</v>
      </c>
      <c r="GE90" s="10">
        <v>0</v>
      </c>
      <c r="GF90" s="10">
        <v>0</v>
      </c>
      <c r="GG90" s="10">
        <v>0</v>
      </c>
      <c r="GH90" s="10">
        <v>0</v>
      </c>
      <c r="GI90" s="10">
        <v>0</v>
      </c>
      <c r="GJ90" s="10">
        <v>0</v>
      </c>
      <c r="GK90" s="10">
        <v>0</v>
      </c>
      <c r="GL90" s="10">
        <v>0</v>
      </c>
      <c r="GM90" s="10">
        <v>0</v>
      </c>
      <c r="GN90" s="10">
        <v>0</v>
      </c>
      <c r="GO90" s="10">
        <v>0</v>
      </c>
      <c r="GP90" s="10">
        <v>0</v>
      </c>
      <c r="GQ90" s="10">
        <v>0</v>
      </c>
      <c r="GR90" s="10">
        <v>0</v>
      </c>
      <c r="GS90" s="10">
        <v>0</v>
      </c>
      <c r="GT90" s="10">
        <v>0</v>
      </c>
      <c r="GU90" s="10">
        <v>0</v>
      </c>
      <c r="GV90" s="10">
        <v>0</v>
      </c>
      <c r="GW90" s="10">
        <v>0</v>
      </c>
      <c r="GX90" s="10">
        <v>0</v>
      </c>
      <c r="GY90" s="10">
        <v>0</v>
      </c>
      <c r="GZ90" s="10">
        <v>0</v>
      </c>
      <c r="HA90" s="10">
        <v>0</v>
      </c>
      <c r="HB90" s="10">
        <v>0</v>
      </c>
      <c r="HC90" s="10">
        <v>0</v>
      </c>
      <c r="HD90" s="10">
        <v>0</v>
      </c>
      <c r="HE90" s="10">
        <v>0</v>
      </c>
      <c r="HF90" s="10">
        <v>0</v>
      </c>
      <c r="HG90" s="10">
        <v>0.34138743323990683</v>
      </c>
      <c r="HH90" s="10">
        <v>0</v>
      </c>
      <c r="HI90" s="10">
        <v>0</v>
      </c>
      <c r="HJ90" s="10">
        <v>0</v>
      </c>
      <c r="HK90" s="10">
        <v>0</v>
      </c>
      <c r="HL90" s="10">
        <v>0</v>
      </c>
      <c r="HM90" s="10">
        <v>0</v>
      </c>
      <c r="HN90" s="10">
        <v>0</v>
      </c>
      <c r="HO90" s="10">
        <v>0</v>
      </c>
      <c r="HP90" s="10">
        <v>0</v>
      </c>
      <c r="HQ90" s="10">
        <v>0</v>
      </c>
      <c r="HR90" s="10">
        <v>0</v>
      </c>
      <c r="HS90" s="10">
        <v>0</v>
      </c>
      <c r="HT90" s="10">
        <v>0</v>
      </c>
      <c r="HU90" s="10">
        <v>0</v>
      </c>
    </row>
    <row r="91" spans="1:229" x14ac:dyDescent="0.25">
      <c r="A91" s="10">
        <v>0</v>
      </c>
      <c r="B91" s="2" t="s">
        <v>170</v>
      </c>
      <c r="C91" s="2" t="s">
        <v>171</v>
      </c>
      <c r="D91" s="2">
        <v>1.8859999999999999</v>
      </c>
      <c r="E91" s="2">
        <v>3.86</v>
      </c>
      <c r="F91" s="2">
        <v>17.75</v>
      </c>
      <c r="G91" s="2">
        <v>0</v>
      </c>
      <c r="H91" s="2">
        <v>17.75</v>
      </c>
      <c r="I91" s="2">
        <v>95</v>
      </c>
      <c r="J91" s="2">
        <v>0.875</v>
      </c>
      <c r="K91" s="2">
        <v>0.113</v>
      </c>
      <c r="L91" s="3"/>
      <c r="M91" s="2" t="str">
        <f t="shared" si="8"/>
        <v>01111</v>
      </c>
      <c r="N91" s="3">
        <v>0.45815526000785478</v>
      </c>
      <c r="O91" s="3">
        <v>1.5418447399921451</v>
      </c>
      <c r="P91" s="17">
        <v>0.45815526000778123</v>
      </c>
      <c r="Q91" s="3">
        <v>1.5418447399921167</v>
      </c>
      <c r="R91" s="3">
        <v>0.45277051830767473</v>
      </c>
      <c r="S91" s="3" t="e">
        <v>#DIV/0!</v>
      </c>
      <c r="T91" s="3">
        <v>0.30735976620643385</v>
      </c>
      <c r="U91" s="3">
        <v>0.458155260007855</v>
      </c>
      <c r="V91" s="3">
        <v>1.541844739992104</v>
      </c>
      <c r="W91" s="3">
        <v>4.6804726895609043</v>
      </c>
      <c r="X91" s="3">
        <v>0.86408082037467537</v>
      </c>
      <c r="Y91" s="3">
        <v>5.9515206963695704</v>
      </c>
      <c r="Z91" s="3">
        <v>8.0366766999612267</v>
      </c>
      <c r="AA91" s="3">
        <v>0.33038225071509381</v>
      </c>
      <c r="AB91" s="3">
        <v>5.4556358501642004</v>
      </c>
      <c r="AC91" s="3">
        <v>43.524749700746227</v>
      </c>
      <c r="AD91" s="3">
        <v>1.349114147493091</v>
      </c>
      <c r="AE91" s="3">
        <v>0.52889341392038225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3">
        <v>0</v>
      </c>
      <c r="AM91" s="3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3">
        <v>0</v>
      </c>
      <c r="AU91" s="3">
        <v>0</v>
      </c>
      <c r="AV91" s="3">
        <v>0</v>
      </c>
      <c r="AW91" s="3">
        <v>0</v>
      </c>
      <c r="AX91" s="3">
        <v>0</v>
      </c>
      <c r="AY91" s="3">
        <v>0</v>
      </c>
      <c r="AZ91" s="3">
        <v>0</v>
      </c>
      <c r="BA91" s="10">
        <v>0</v>
      </c>
      <c r="BB91" s="10">
        <v>0</v>
      </c>
      <c r="BC91" s="10">
        <v>0</v>
      </c>
      <c r="BD91" s="10">
        <v>0</v>
      </c>
      <c r="BE91" s="10">
        <v>0</v>
      </c>
      <c r="BF91" s="10">
        <v>0</v>
      </c>
      <c r="BG91" s="10">
        <v>0</v>
      </c>
      <c r="BH91" s="10">
        <v>0</v>
      </c>
      <c r="BI91" s="10">
        <v>0</v>
      </c>
      <c r="BJ91" s="10">
        <v>0</v>
      </c>
      <c r="BK91" s="10">
        <v>0</v>
      </c>
      <c r="BL91" s="10">
        <v>0</v>
      </c>
      <c r="BM91" s="10">
        <v>0</v>
      </c>
      <c r="BN91" s="10">
        <v>0</v>
      </c>
      <c r="BO91" s="10">
        <v>0</v>
      </c>
      <c r="BP91" s="10">
        <v>0</v>
      </c>
      <c r="BQ91" s="10">
        <v>0</v>
      </c>
      <c r="BR91" s="10">
        <v>0</v>
      </c>
      <c r="BS91" s="10">
        <v>0</v>
      </c>
      <c r="BT91" s="10">
        <v>0</v>
      </c>
      <c r="BU91" s="10">
        <v>0</v>
      </c>
      <c r="BV91" s="10">
        <v>0</v>
      </c>
      <c r="BW91" s="10">
        <v>0</v>
      </c>
      <c r="BX91" s="10">
        <v>0</v>
      </c>
      <c r="BY91" s="10">
        <v>0</v>
      </c>
      <c r="BZ91" s="10">
        <v>0</v>
      </c>
      <c r="CA91" s="10">
        <v>0.44304129277016607</v>
      </c>
      <c r="CB91" s="10">
        <v>0</v>
      </c>
      <c r="CC91" s="10">
        <v>0</v>
      </c>
      <c r="CD91" s="10">
        <v>0</v>
      </c>
      <c r="CE91" s="10">
        <v>0</v>
      </c>
      <c r="CF91" s="10">
        <v>0</v>
      </c>
      <c r="CG91" s="10">
        <v>0</v>
      </c>
      <c r="CH91" s="10">
        <v>0</v>
      </c>
      <c r="CI91" s="10">
        <v>0</v>
      </c>
      <c r="CJ91" s="10">
        <v>0</v>
      </c>
      <c r="CK91" s="10">
        <v>0</v>
      </c>
      <c r="CL91" s="10">
        <v>0</v>
      </c>
      <c r="CM91" s="10">
        <v>0</v>
      </c>
      <c r="CN91" s="10">
        <v>0</v>
      </c>
      <c r="CO91" s="10">
        <v>0</v>
      </c>
      <c r="CP91" s="10">
        <v>0</v>
      </c>
      <c r="CQ91" s="10">
        <v>0</v>
      </c>
      <c r="CR91" s="10">
        <v>0</v>
      </c>
      <c r="CS91" s="10">
        <v>0</v>
      </c>
      <c r="CT91" s="10">
        <v>0</v>
      </c>
      <c r="CU91" s="10">
        <v>0</v>
      </c>
      <c r="CV91" s="10">
        <v>0</v>
      </c>
      <c r="CW91" s="10">
        <v>0</v>
      </c>
      <c r="CX91" s="10">
        <v>0</v>
      </c>
      <c r="CY91" s="10">
        <v>0</v>
      </c>
      <c r="CZ91" s="10">
        <v>0</v>
      </c>
      <c r="DA91" s="10">
        <v>0</v>
      </c>
      <c r="DB91" s="10">
        <v>0</v>
      </c>
      <c r="DC91" s="10">
        <v>0</v>
      </c>
      <c r="DD91" s="10">
        <v>4.4612976645312351E-2</v>
      </c>
      <c r="DE91" s="10">
        <v>0</v>
      </c>
      <c r="DF91" s="10">
        <v>0</v>
      </c>
      <c r="DG91" s="10">
        <v>0</v>
      </c>
      <c r="DH91" s="10">
        <v>0</v>
      </c>
      <c r="DI91" s="10">
        <v>0</v>
      </c>
      <c r="DJ91" s="10">
        <v>0</v>
      </c>
      <c r="DK91" s="10">
        <v>0</v>
      </c>
      <c r="DL91" s="10">
        <v>0</v>
      </c>
      <c r="DM91" s="10">
        <v>0</v>
      </c>
      <c r="DN91" s="10">
        <v>0</v>
      </c>
      <c r="DO91" s="10">
        <v>0</v>
      </c>
      <c r="DP91" s="10">
        <v>0</v>
      </c>
      <c r="DQ91" s="10">
        <v>0</v>
      </c>
      <c r="DR91" s="10">
        <v>0</v>
      </c>
      <c r="DS91" s="10">
        <v>4.0371086705815996E-2</v>
      </c>
      <c r="DT91" s="10">
        <v>0</v>
      </c>
      <c r="DU91" s="10">
        <v>0</v>
      </c>
      <c r="DV91" s="10">
        <v>0</v>
      </c>
      <c r="DW91" s="10">
        <v>0</v>
      </c>
      <c r="DX91" s="10">
        <v>0</v>
      </c>
      <c r="DY91" s="10">
        <v>0</v>
      </c>
      <c r="DZ91" s="10">
        <v>0</v>
      </c>
      <c r="EA91" s="10">
        <v>0</v>
      </c>
      <c r="EB91" s="10">
        <v>0</v>
      </c>
      <c r="EC91" s="10">
        <v>0</v>
      </c>
      <c r="ED91" s="10">
        <v>0</v>
      </c>
      <c r="EE91" s="10">
        <v>0</v>
      </c>
      <c r="EF91" s="10">
        <v>0</v>
      </c>
      <c r="EG91" s="10">
        <v>0</v>
      </c>
      <c r="EH91" s="10">
        <v>0</v>
      </c>
      <c r="EI91" s="10">
        <v>0</v>
      </c>
      <c r="EJ91" s="10">
        <v>0</v>
      </c>
      <c r="EK91" s="10">
        <v>0</v>
      </c>
      <c r="EL91" s="10">
        <v>0</v>
      </c>
      <c r="EM91" s="10">
        <v>0</v>
      </c>
      <c r="EN91" s="10">
        <v>0</v>
      </c>
      <c r="EO91" s="10">
        <v>0</v>
      </c>
      <c r="EP91" s="10">
        <v>0</v>
      </c>
      <c r="EQ91" s="10">
        <v>0</v>
      </c>
      <c r="ER91" s="10">
        <v>0</v>
      </c>
      <c r="ES91" s="10">
        <v>0</v>
      </c>
      <c r="ET91" s="10">
        <v>0</v>
      </c>
      <c r="EU91" s="10">
        <v>0</v>
      </c>
      <c r="EV91" s="10">
        <v>0</v>
      </c>
      <c r="EW91" s="10">
        <v>0</v>
      </c>
      <c r="EX91" s="10">
        <v>0</v>
      </c>
      <c r="EY91" s="10">
        <v>0</v>
      </c>
      <c r="EZ91" s="10">
        <v>0</v>
      </c>
      <c r="FA91" s="10">
        <v>0</v>
      </c>
      <c r="FB91" s="10">
        <v>0</v>
      </c>
      <c r="FC91" s="10">
        <v>0</v>
      </c>
      <c r="FD91" s="10">
        <v>0</v>
      </c>
      <c r="FE91" s="10">
        <v>0</v>
      </c>
      <c r="FF91" s="10">
        <v>0</v>
      </c>
      <c r="FG91" s="10">
        <v>0</v>
      </c>
      <c r="FH91" s="10">
        <v>0</v>
      </c>
      <c r="FI91" s="10">
        <v>0</v>
      </c>
      <c r="FJ91" s="10">
        <v>0</v>
      </c>
      <c r="FK91" s="10">
        <v>0</v>
      </c>
      <c r="FL91" s="10">
        <v>0</v>
      </c>
      <c r="FM91" s="10">
        <v>0</v>
      </c>
      <c r="FN91" s="10">
        <v>0</v>
      </c>
      <c r="FO91" s="10">
        <v>0</v>
      </c>
      <c r="FP91" s="10">
        <v>0</v>
      </c>
      <c r="FQ91" s="10">
        <v>0</v>
      </c>
      <c r="FR91" s="10">
        <v>0</v>
      </c>
      <c r="FS91" s="10">
        <v>0</v>
      </c>
      <c r="FT91" s="10">
        <v>0</v>
      </c>
      <c r="FU91" s="10">
        <v>0</v>
      </c>
      <c r="FV91" s="10">
        <v>0</v>
      </c>
      <c r="FW91" s="10">
        <v>0</v>
      </c>
      <c r="FX91" s="10">
        <v>0</v>
      </c>
      <c r="FY91" s="10">
        <v>0</v>
      </c>
      <c r="FZ91" s="10">
        <v>0</v>
      </c>
      <c r="GA91" s="10">
        <v>0</v>
      </c>
      <c r="GB91" s="10">
        <v>0</v>
      </c>
      <c r="GC91" s="10">
        <v>0</v>
      </c>
      <c r="GD91" s="10">
        <v>0</v>
      </c>
      <c r="GE91" s="10">
        <v>0</v>
      </c>
      <c r="GF91" s="10">
        <v>0</v>
      </c>
      <c r="GG91" s="10">
        <v>0</v>
      </c>
      <c r="GH91" s="10">
        <v>0</v>
      </c>
      <c r="GI91" s="10">
        <v>0</v>
      </c>
      <c r="GJ91" s="10">
        <v>0</v>
      </c>
      <c r="GK91" s="10">
        <v>0</v>
      </c>
      <c r="GL91" s="10">
        <v>0</v>
      </c>
      <c r="GM91" s="10">
        <v>0</v>
      </c>
      <c r="GN91" s="10">
        <v>0</v>
      </c>
      <c r="GO91" s="10">
        <v>0</v>
      </c>
      <c r="GP91" s="10">
        <v>0</v>
      </c>
      <c r="GQ91" s="10">
        <v>0</v>
      </c>
      <c r="GR91" s="10">
        <v>0</v>
      </c>
      <c r="GS91" s="10">
        <v>0</v>
      </c>
      <c r="GT91" s="10">
        <v>0</v>
      </c>
      <c r="GU91" s="10">
        <v>0</v>
      </c>
      <c r="GV91" s="10">
        <v>0</v>
      </c>
      <c r="GW91" s="10">
        <v>0</v>
      </c>
      <c r="GX91" s="10">
        <v>0</v>
      </c>
      <c r="GY91" s="10">
        <v>0</v>
      </c>
      <c r="GZ91" s="10">
        <v>0</v>
      </c>
      <c r="HA91" s="10">
        <v>0</v>
      </c>
      <c r="HB91" s="10">
        <v>0</v>
      </c>
      <c r="HC91" s="10">
        <v>0</v>
      </c>
      <c r="HD91" s="10">
        <v>0</v>
      </c>
      <c r="HE91" s="10">
        <v>0</v>
      </c>
      <c r="HF91" s="10">
        <v>0</v>
      </c>
      <c r="HG91" s="10">
        <v>0.47197464387870547</v>
      </c>
      <c r="HH91" s="10">
        <v>0</v>
      </c>
      <c r="HI91" s="10">
        <v>0</v>
      </c>
      <c r="HJ91" s="10">
        <v>0</v>
      </c>
      <c r="HK91" s="10">
        <v>0</v>
      </c>
      <c r="HL91" s="10">
        <v>0</v>
      </c>
      <c r="HM91" s="10">
        <v>0</v>
      </c>
      <c r="HN91" s="10">
        <v>0</v>
      </c>
      <c r="HO91" s="10">
        <v>0</v>
      </c>
      <c r="HP91" s="10">
        <v>0</v>
      </c>
      <c r="HQ91" s="10">
        <v>0</v>
      </c>
      <c r="HR91" s="10">
        <v>0</v>
      </c>
      <c r="HS91" s="10">
        <v>0</v>
      </c>
      <c r="HT91" s="10">
        <v>0</v>
      </c>
      <c r="HU91" s="10">
        <v>0</v>
      </c>
    </row>
    <row r="92" spans="1:229" x14ac:dyDescent="0.25">
      <c r="A92" s="10">
        <v>0</v>
      </c>
      <c r="B92" s="2" t="s">
        <v>172</v>
      </c>
      <c r="C92" s="2" t="s">
        <v>173</v>
      </c>
      <c r="D92" s="2">
        <v>0.34200000000000003</v>
      </c>
      <c r="E92" s="2">
        <v>11.73</v>
      </c>
      <c r="F92" s="2">
        <v>73.45</v>
      </c>
      <c r="G92" s="2">
        <v>0</v>
      </c>
      <c r="H92" s="2">
        <v>73.45</v>
      </c>
      <c r="I92" s="2">
        <v>968</v>
      </c>
      <c r="J92" s="2">
        <v>0.14899999999999999</v>
      </c>
      <c r="K92" s="2">
        <v>2.1000000000000001E-2</v>
      </c>
      <c r="L92" s="3"/>
      <c r="M92" s="2" t="str">
        <f t="shared" si="8"/>
        <v>01113</v>
      </c>
      <c r="N92" s="3">
        <v>0.24877347011088324</v>
      </c>
      <c r="O92" s="3">
        <v>1.7512265298891172</v>
      </c>
      <c r="P92" s="17">
        <v>0.24877347011104003</v>
      </c>
      <c r="Q92" s="3">
        <v>1.7512265298891116</v>
      </c>
      <c r="R92" s="3">
        <v>0.11763977769924909</v>
      </c>
      <c r="S92" s="3" t="e">
        <v>#DIV/0!</v>
      </c>
      <c r="T92" s="3">
        <v>4.855440798170841E-2</v>
      </c>
      <c r="U92" s="3">
        <v>0.24877347011088341</v>
      </c>
      <c r="V92" s="3">
        <v>1.7512265298889798</v>
      </c>
      <c r="W92" s="3">
        <v>1.9115333562052705</v>
      </c>
      <c r="X92" s="3">
        <v>8.5080526777975701E-2</v>
      </c>
      <c r="Y92" s="3">
        <v>20.54188719559928</v>
      </c>
      <c r="Z92" s="3">
        <v>8.6406416720098456</v>
      </c>
      <c r="AA92" s="3">
        <v>5.5726182503818875E-2</v>
      </c>
      <c r="AB92" s="3">
        <v>3.5663212662564829</v>
      </c>
      <c r="AC92" s="3">
        <v>240.81271906733514</v>
      </c>
      <c r="AD92" s="3">
        <v>0.26093275295345797</v>
      </c>
      <c r="AE92" s="3">
        <v>4.0142200480310683E-2</v>
      </c>
      <c r="AF92" s="3">
        <v>0</v>
      </c>
      <c r="AG92" s="3">
        <v>0</v>
      </c>
      <c r="AH92" s="3">
        <v>0</v>
      </c>
      <c r="AI92" s="3">
        <v>0</v>
      </c>
      <c r="AJ92" s="3">
        <v>0</v>
      </c>
      <c r="AK92" s="3">
        <v>0</v>
      </c>
      <c r="AL92" s="3">
        <v>0</v>
      </c>
      <c r="AM92" s="3">
        <v>0</v>
      </c>
      <c r="AN92" s="3">
        <v>0</v>
      </c>
      <c r="AO92" s="3">
        <v>0</v>
      </c>
      <c r="AP92" s="3">
        <v>0</v>
      </c>
      <c r="AQ92" s="3">
        <v>0</v>
      </c>
      <c r="AR92" s="3">
        <v>0</v>
      </c>
      <c r="AS92" s="3">
        <v>0</v>
      </c>
      <c r="AT92" s="3">
        <v>0</v>
      </c>
      <c r="AU92" s="3">
        <v>0</v>
      </c>
      <c r="AV92" s="3">
        <v>0</v>
      </c>
      <c r="AW92" s="3">
        <v>0</v>
      </c>
      <c r="AX92" s="3">
        <v>0</v>
      </c>
      <c r="AY92" s="3">
        <v>0</v>
      </c>
      <c r="AZ92" s="3">
        <v>0</v>
      </c>
      <c r="BA92" s="10">
        <v>0</v>
      </c>
      <c r="BB92" s="10">
        <v>0</v>
      </c>
      <c r="BC92" s="10">
        <v>0</v>
      </c>
      <c r="BD92" s="10">
        <v>0</v>
      </c>
      <c r="BE92" s="10">
        <v>0</v>
      </c>
      <c r="BF92" s="10">
        <v>0</v>
      </c>
      <c r="BG92" s="10">
        <v>0</v>
      </c>
      <c r="BH92" s="10">
        <v>0</v>
      </c>
      <c r="BI92" s="10">
        <v>0</v>
      </c>
      <c r="BJ92" s="10">
        <v>0</v>
      </c>
      <c r="BK92" s="10">
        <v>0</v>
      </c>
      <c r="BL92" s="10">
        <v>0</v>
      </c>
      <c r="BM92" s="10">
        <v>0</v>
      </c>
      <c r="BN92" s="10">
        <v>0</v>
      </c>
      <c r="BO92" s="10">
        <v>0</v>
      </c>
      <c r="BP92" s="10">
        <v>0</v>
      </c>
      <c r="BQ92" s="10">
        <v>0</v>
      </c>
      <c r="BR92" s="10">
        <v>0</v>
      </c>
      <c r="BS92" s="10">
        <v>0</v>
      </c>
      <c r="BT92" s="10">
        <v>0</v>
      </c>
      <c r="BU92" s="10">
        <v>0</v>
      </c>
      <c r="BV92" s="10">
        <v>0</v>
      </c>
      <c r="BW92" s="10">
        <v>0</v>
      </c>
      <c r="BX92" s="10">
        <v>0</v>
      </c>
      <c r="BY92" s="10">
        <v>0</v>
      </c>
      <c r="BZ92" s="10">
        <v>0</v>
      </c>
      <c r="CA92" s="10">
        <v>0</v>
      </c>
      <c r="CB92" s="10">
        <v>0</v>
      </c>
      <c r="CC92" s="10">
        <v>0</v>
      </c>
      <c r="CD92" s="10">
        <v>0</v>
      </c>
      <c r="CE92" s="10">
        <v>0</v>
      </c>
      <c r="CF92" s="10">
        <v>0</v>
      </c>
      <c r="CG92" s="10">
        <v>0</v>
      </c>
      <c r="CH92" s="10">
        <v>0</v>
      </c>
      <c r="CI92" s="10">
        <v>0</v>
      </c>
      <c r="CJ92" s="10">
        <v>0</v>
      </c>
      <c r="CK92" s="10">
        <v>0</v>
      </c>
      <c r="CL92" s="10">
        <v>0</v>
      </c>
      <c r="CM92" s="10">
        <v>0</v>
      </c>
      <c r="CN92" s="10">
        <v>0</v>
      </c>
      <c r="CO92" s="10">
        <v>0</v>
      </c>
      <c r="CP92" s="10">
        <v>0</v>
      </c>
      <c r="CQ92" s="10">
        <v>0</v>
      </c>
      <c r="CR92" s="10">
        <v>0</v>
      </c>
      <c r="CS92" s="10">
        <v>0</v>
      </c>
      <c r="CT92" s="10">
        <v>0</v>
      </c>
      <c r="CU92" s="10">
        <v>0</v>
      </c>
      <c r="CV92" s="10">
        <v>0</v>
      </c>
      <c r="CW92" s="10">
        <v>0</v>
      </c>
      <c r="CX92" s="10">
        <v>0</v>
      </c>
      <c r="CY92" s="10">
        <v>0</v>
      </c>
      <c r="CZ92" s="10">
        <v>0</v>
      </c>
      <c r="DA92" s="10">
        <v>0</v>
      </c>
      <c r="DB92" s="10">
        <v>0</v>
      </c>
      <c r="DC92" s="10">
        <v>0</v>
      </c>
      <c r="DD92" s="10">
        <v>0</v>
      </c>
      <c r="DE92" s="10">
        <v>0</v>
      </c>
      <c r="DF92" s="10">
        <v>0</v>
      </c>
      <c r="DG92" s="10">
        <v>0</v>
      </c>
      <c r="DH92" s="10">
        <v>0</v>
      </c>
      <c r="DI92" s="10">
        <v>0</v>
      </c>
      <c r="DJ92" s="10">
        <v>0</v>
      </c>
      <c r="DK92" s="10">
        <v>0</v>
      </c>
      <c r="DL92" s="10">
        <v>0</v>
      </c>
      <c r="DM92" s="10">
        <v>0</v>
      </c>
      <c r="DN92" s="10">
        <v>0</v>
      </c>
      <c r="DO92" s="10">
        <v>0</v>
      </c>
      <c r="DP92" s="10">
        <v>0</v>
      </c>
      <c r="DQ92" s="10">
        <v>0</v>
      </c>
      <c r="DR92" s="10">
        <v>0</v>
      </c>
      <c r="DS92" s="10">
        <v>0</v>
      </c>
      <c r="DT92" s="10">
        <v>0</v>
      </c>
      <c r="DU92" s="10">
        <v>0</v>
      </c>
      <c r="DV92" s="10">
        <v>0</v>
      </c>
      <c r="DW92" s="10">
        <v>0</v>
      </c>
      <c r="DX92" s="10">
        <v>0</v>
      </c>
      <c r="DY92" s="10">
        <v>0</v>
      </c>
      <c r="DZ92" s="10">
        <v>0.17430840645698181</v>
      </c>
      <c r="EA92" s="10">
        <v>0</v>
      </c>
      <c r="EB92" s="10">
        <v>0</v>
      </c>
      <c r="EC92" s="10">
        <v>0</v>
      </c>
      <c r="ED92" s="10">
        <v>0</v>
      </c>
      <c r="EE92" s="10">
        <v>0</v>
      </c>
      <c r="EF92" s="10">
        <v>0</v>
      </c>
      <c r="EG92" s="10">
        <v>0</v>
      </c>
      <c r="EH92" s="10">
        <v>0</v>
      </c>
      <c r="EI92" s="10">
        <v>0</v>
      </c>
      <c r="EJ92" s="10">
        <v>0</v>
      </c>
      <c r="EK92" s="10">
        <v>0</v>
      </c>
      <c r="EL92" s="10">
        <v>0</v>
      </c>
      <c r="EM92" s="10">
        <v>0</v>
      </c>
      <c r="EN92" s="10">
        <v>0</v>
      </c>
      <c r="EO92" s="10">
        <v>0</v>
      </c>
      <c r="EP92" s="10">
        <v>0</v>
      </c>
      <c r="EQ92" s="10">
        <v>0</v>
      </c>
      <c r="ER92" s="10">
        <v>0</v>
      </c>
      <c r="ES92" s="10">
        <v>0</v>
      </c>
      <c r="ET92" s="10">
        <v>0</v>
      </c>
      <c r="EU92" s="10">
        <v>0</v>
      </c>
      <c r="EV92" s="10">
        <v>0</v>
      </c>
      <c r="EW92" s="10">
        <v>0</v>
      </c>
      <c r="EX92" s="10">
        <v>0</v>
      </c>
      <c r="EY92" s="10">
        <v>0</v>
      </c>
      <c r="EZ92" s="10">
        <v>0</v>
      </c>
      <c r="FA92" s="10">
        <v>0</v>
      </c>
      <c r="FB92" s="10">
        <v>0</v>
      </c>
      <c r="FC92" s="10">
        <v>0</v>
      </c>
      <c r="FD92" s="10">
        <v>0</v>
      </c>
      <c r="FE92" s="10">
        <v>0</v>
      </c>
      <c r="FF92" s="10">
        <v>0</v>
      </c>
      <c r="FG92" s="10">
        <v>0</v>
      </c>
      <c r="FH92" s="10">
        <v>0</v>
      </c>
      <c r="FI92" s="10">
        <v>0</v>
      </c>
      <c r="FJ92" s="10">
        <v>0</v>
      </c>
      <c r="FK92" s="10">
        <v>0</v>
      </c>
      <c r="FL92" s="10">
        <v>0</v>
      </c>
      <c r="FM92" s="10">
        <v>0</v>
      </c>
      <c r="FN92" s="10">
        <v>0</v>
      </c>
      <c r="FO92" s="10">
        <v>0</v>
      </c>
      <c r="FP92" s="10">
        <v>0</v>
      </c>
      <c r="FQ92" s="10">
        <v>0</v>
      </c>
      <c r="FR92" s="10">
        <v>0</v>
      </c>
      <c r="FS92" s="10">
        <v>0</v>
      </c>
      <c r="FT92" s="10">
        <v>0</v>
      </c>
      <c r="FU92" s="10">
        <v>0</v>
      </c>
      <c r="FV92" s="10">
        <v>0</v>
      </c>
      <c r="FW92" s="10">
        <v>0</v>
      </c>
      <c r="FX92" s="10">
        <v>0</v>
      </c>
      <c r="FY92" s="10">
        <v>0</v>
      </c>
      <c r="FZ92" s="10">
        <v>0</v>
      </c>
      <c r="GA92" s="10">
        <v>0</v>
      </c>
      <c r="GB92" s="10">
        <v>2.7863091251909437E-2</v>
      </c>
      <c r="GC92" s="10">
        <v>0</v>
      </c>
      <c r="GD92" s="10">
        <v>0</v>
      </c>
      <c r="GE92" s="10">
        <v>0</v>
      </c>
      <c r="GF92" s="10">
        <v>0</v>
      </c>
      <c r="GG92" s="10">
        <v>0</v>
      </c>
      <c r="GH92" s="10">
        <v>0</v>
      </c>
      <c r="GI92" s="10">
        <v>0</v>
      </c>
      <c r="GJ92" s="10">
        <v>0</v>
      </c>
      <c r="GK92" s="10">
        <v>0</v>
      </c>
      <c r="GL92" s="10">
        <v>0</v>
      </c>
      <c r="GM92" s="10">
        <v>0</v>
      </c>
      <c r="GN92" s="10">
        <v>0</v>
      </c>
      <c r="GO92" s="10">
        <v>0</v>
      </c>
      <c r="GP92" s="10">
        <v>0</v>
      </c>
      <c r="GQ92" s="10">
        <v>0</v>
      </c>
      <c r="GR92" s="10">
        <v>0</v>
      </c>
      <c r="GS92" s="10">
        <v>0</v>
      </c>
      <c r="GT92" s="10">
        <v>0</v>
      </c>
      <c r="GU92" s="10">
        <v>0</v>
      </c>
      <c r="GV92" s="10">
        <v>0.4683192015995738</v>
      </c>
      <c r="GW92" s="10">
        <v>0</v>
      </c>
      <c r="GX92" s="10">
        <v>0</v>
      </c>
      <c r="GY92" s="10">
        <v>0</v>
      </c>
      <c r="GZ92" s="10">
        <v>0</v>
      </c>
      <c r="HA92" s="10">
        <v>0</v>
      </c>
      <c r="HB92" s="10">
        <v>0</v>
      </c>
      <c r="HC92" s="10">
        <v>0</v>
      </c>
      <c r="HD92" s="10">
        <v>0</v>
      </c>
      <c r="HE92" s="10">
        <v>0</v>
      </c>
      <c r="HF92" s="10">
        <v>0</v>
      </c>
      <c r="HG92" s="10">
        <v>0</v>
      </c>
      <c r="HH92" s="10">
        <v>0</v>
      </c>
      <c r="HI92" s="10">
        <v>0</v>
      </c>
      <c r="HJ92" s="10">
        <v>0</v>
      </c>
      <c r="HK92" s="10">
        <v>0</v>
      </c>
      <c r="HL92" s="10">
        <v>0</v>
      </c>
      <c r="HM92" s="10">
        <v>0</v>
      </c>
      <c r="HN92" s="10">
        <v>0</v>
      </c>
      <c r="HO92" s="10">
        <v>0</v>
      </c>
      <c r="HP92" s="10">
        <v>0.32950930069153506</v>
      </c>
      <c r="HQ92" s="10">
        <v>0</v>
      </c>
      <c r="HR92" s="10">
        <v>0</v>
      </c>
      <c r="HS92" s="10">
        <v>0</v>
      </c>
      <c r="HT92" s="10">
        <v>0</v>
      </c>
      <c r="HU92" s="10">
        <v>0</v>
      </c>
    </row>
    <row r="93" spans="1:229" x14ac:dyDescent="0.25">
      <c r="A93" s="10">
        <v>0</v>
      </c>
      <c r="B93" s="2" t="s">
        <v>174</v>
      </c>
      <c r="C93" s="2" t="s">
        <v>175</v>
      </c>
      <c r="D93" s="2">
        <v>0.23</v>
      </c>
      <c r="E93" s="2">
        <v>0.85</v>
      </c>
      <c r="F93" s="2">
        <v>5.14</v>
      </c>
      <c r="G93" s="2">
        <v>0</v>
      </c>
      <c r="H93" s="2">
        <v>5.14</v>
      </c>
      <c r="I93" s="2">
        <v>54</v>
      </c>
      <c r="J93" s="2">
        <v>0.1</v>
      </c>
      <c r="K93" s="2">
        <v>1.0999999999999999E-2</v>
      </c>
      <c r="L93" s="3"/>
      <c r="M93" s="2" t="str">
        <f t="shared" si="8"/>
        <v>01114</v>
      </c>
      <c r="N93" s="3">
        <v>0.67724551373541098</v>
      </c>
      <c r="O93" s="3">
        <v>1.3227544862645888</v>
      </c>
      <c r="P93" s="17">
        <v>0.67724551373444353</v>
      </c>
      <c r="Q93" s="3">
        <v>11.474030681859784</v>
      </c>
      <c r="R93" s="3">
        <v>0.7844404914432096</v>
      </c>
      <c r="S93" s="3" t="e">
        <v>#DIV/0!</v>
      </c>
      <c r="T93" s="3">
        <v>0.67724551373541053</v>
      </c>
      <c r="U93" s="3">
        <v>0.67724551373541053</v>
      </c>
      <c r="V93" s="3">
        <v>1.3227544862644509</v>
      </c>
      <c r="W93" s="3">
        <v>4.0800838765908587</v>
      </c>
      <c r="X93" s="3">
        <v>0.15576646815892201</v>
      </c>
      <c r="Y93" s="3">
        <v>9.7529260795808153</v>
      </c>
      <c r="Z93" s="3">
        <v>4.0320241260180971</v>
      </c>
      <c r="AA93" s="3">
        <v>3.1699982499638145E-2</v>
      </c>
      <c r="AB93" s="3">
        <v>3.4810419406000102</v>
      </c>
      <c r="AC93" s="3">
        <v>36.571257741712166</v>
      </c>
      <c r="AD93" s="3">
        <v>0.13227544862644511</v>
      </c>
      <c r="AE93" s="3">
        <v>4.4880922642499439E-2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0</v>
      </c>
      <c r="AL93" s="3">
        <v>0</v>
      </c>
      <c r="AM93" s="3">
        <v>0</v>
      </c>
      <c r="AN93" s="3">
        <v>0</v>
      </c>
      <c r="AO93" s="3">
        <v>0</v>
      </c>
      <c r="AP93" s="3">
        <v>0</v>
      </c>
      <c r="AQ93" s="3">
        <v>0</v>
      </c>
      <c r="AR93" s="3">
        <v>0</v>
      </c>
      <c r="AS93" s="3">
        <v>0</v>
      </c>
      <c r="AT93" s="3">
        <v>0</v>
      </c>
      <c r="AU93" s="3">
        <v>0</v>
      </c>
      <c r="AV93" s="3">
        <v>0</v>
      </c>
      <c r="AW93" s="3">
        <v>0</v>
      </c>
      <c r="AX93" s="3">
        <v>0</v>
      </c>
      <c r="AY93" s="3">
        <v>0</v>
      </c>
      <c r="AZ93" s="3">
        <v>0</v>
      </c>
      <c r="BA93" s="10">
        <v>0</v>
      </c>
      <c r="BB93" s="10">
        <v>0</v>
      </c>
      <c r="BC93" s="10">
        <v>0</v>
      </c>
      <c r="BD93" s="10">
        <v>0</v>
      </c>
      <c r="BE93" s="10">
        <v>0</v>
      </c>
      <c r="BF93" s="10">
        <v>0</v>
      </c>
      <c r="BG93" s="10">
        <v>0</v>
      </c>
      <c r="BH93" s="10">
        <v>0</v>
      </c>
      <c r="BI93" s="10">
        <v>0</v>
      </c>
      <c r="BJ93" s="10">
        <v>0</v>
      </c>
      <c r="BK93" s="10">
        <v>0</v>
      </c>
      <c r="BL93" s="10">
        <v>0</v>
      </c>
      <c r="BM93" s="10">
        <v>0</v>
      </c>
      <c r="BN93" s="10">
        <v>0</v>
      </c>
      <c r="BO93" s="10">
        <v>0</v>
      </c>
      <c r="BP93" s="10">
        <v>0</v>
      </c>
      <c r="BQ93" s="10">
        <v>0</v>
      </c>
      <c r="BR93" s="10">
        <v>0</v>
      </c>
      <c r="BS93" s="10">
        <v>0</v>
      </c>
      <c r="BT93" s="10">
        <v>0</v>
      </c>
      <c r="BU93" s="10">
        <v>0</v>
      </c>
      <c r="BV93" s="10">
        <v>0</v>
      </c>
      <c r="BW93" s="10">
        <v>0</v>
      </c>
      <c r="BX93" s="10">
        <v>0</v>
      </c>
      <c r="BY93" s="10">
        <v>0</v>
      </c>
      <c r="BZ93" s="10">
        <v>0</v>
      </c>
      <c r="CA93" s="10">
        <v>4.0046642253922231E-2</v>
      </c>
      <c r="CB93" s="10">
        <v>0</v>
      </c>
      <c r="CC93" s="10">
        <v>0</v>
      </c>
      <c r="CD93" s="10">
        <v>0</v>
      </c>
      <c r="CE93" s="10">
        <v>0</v>
      </c>
      <c r="CF93" s="10">
        <v>0</v>
      </c>
      <c r="CG93" s="10">
        <v>0</v>
      </c>
      <c r="CH93" s="10">
        <v>0</v>
      </c>
      <c r="CI93" s="10">
        <v>0</v>
      </c>
      <c r="CJ93" s="10">
        <v>0</v>
      </c>
      <c r="CK93" s="10">
        <v>0</v>
      </c>
      <c r="CL93" s="10">
        <v>0</v>
      </c>
      <c r="CM93" s="10">
        <v>0</v>
      </c>
      <c r="CN93" s="10">
        <v>0</v>
      </c>
      <c r="CO93" s="10">
        <v>0</v>
      </c>
      <c r="CP93" s="10">
        <v>0</v>
      </c>
      <c r="CQ93" s="10">
        <v>0</v>
      </c>
      <c r="CR93" s="10">
        <v>0</v>
      </c>
      <c r="CS93" s="10">
        <v>0</v>
      </c>
      <c r="CT93" s="10">
        <v>0</v>
      </c>
      <c r="CU93" s="10">
        <v>0</v>
      </c>
      <c r="CV93" s="10">
        <v>0</v>
      </c>
      <c r="CW93" s="10">
        <v>0</v>
      </c>
      <c r="CX93" s="10">
        <v>0</v>
      </c>
      <c r="CY93" s="10">
        <v>0</v>
      </c>
      <c r="CZ93" s="10">
        <v>0</v>
      </c>
      <c r="DA93" s="10">
        <v>0</v>
      </c>
      <c r="DB93" s="10">
        <v>0</v>
      </c>
      <c r="DC93" s="10">
        <v>0</v>
      </c>
      <c r="DD93" s="10">
        <v>7.0455093560314024E-3</v>
      </c>
      <c r="DE93" s="10">
        <v>0</v>
      </c>
      <c r="DF93" s="10">
        <v>0</v>
      </c>
      <c r="DG93" s="10">
        <v>0</v>
      </c>
      <c r="DH93" s="10">
        <v>0</v>
      </c>
      <c r="DI93" s="10">
        <v>0</v>
      </c>
      <c r="DJ93" s="10">
        <v>0</v>
      </c>
      <c r="DK93" s="10">
        <v>0</v>
      </c>
      <c r="DL93" s="10">
        <v>0</v>
      </c>
      <c r="DM93" s="10">
        <v>0</v>
      </c>
      <c r="DN93" s="10">
        <v>0</v>
      </c>
      <c r="DO93" s="10">
        <v>0</v>
      </c>
      <c r="DP93" s="10">
        <v>0</v>
      </c>
      <c r="DQ93" s="10">
        <v>0</v>
      </c>
      <c r="DR93" s="10">
        <v>0</v>
      </c>
      <c r="DS93" s="10">
        <v>0</v>
      </c>
      <c r="DT93" s="10">
        <v>0</v>
      </c>
      <c r="DU93" s="10">
        <v>0</v>
      </c>
      <c r="DV93" s="10">
        <v>0</v>
      </c>
      <c r="DW93" s="10">
        <v>0</v>
      </c>
      <c r="DX93" s="10">
        <v>0</v>
      </c>
      <c r="DY93" s="10">
        <v>0</v>
      </c>
      <c r="DZ93" s="10">
        <v>0</v>
      </c>
      <c r="EA93" s="10">
        <v>0</v>
      </c>
      <c r="EB93" s="10">
        <v>0</v>
      </c>
      <c r="EC93" s="10">
        <v>0</v>
      </c>
      <c r="ED93" s="10">
        <v>0</v>
      </c>
      <c r="EE93" s="10">
        <v>0</v>
      </c>
      <c r="EF93" s="10">
        <v>0</v>
      </c>
      <c r="EG93" s="10">
        <v>0</v>
      </c>
      <c r="EH93" s="10">
        <v>0</v>
      </c>
      <c r="EI93" s="10">
        <v>0</v>
      </c>
      <c r="EJ93" s="10">
        <v>0</v>
      </c>
      <c r="EK93" s="10">
        <v>0</v>
      </c>
      <c r="EL93" s="10">
        <v>0</v>
      </c>
      <c r="EM93" s="10">
        <v>0</v>
      </c>
      <c r="EN93" s="10">
        <v>0</v>
      </c>
      <c r="EO93" s="10">
        <v>0</v>
      </c>
      <c r="EP93" s="10">
        <v>0</v>
      </c>
      <c r="EQ93" s="10">
        <v>0</v>
      </c>
      <c r="ER93" s="10">
        <v>0</v>
      </c>
      <c r="ES93" s="10">
        <v>0</v>
      </c>
      <c r="ET93" s="10">
        <v>0</v>
      </c>
      <c r="EU93" s="10">
        <v>0</v>
      </c>
      <c r="EV93" s="10">
        <v>0</v>
      </c>
      <c r="EW93" s="10">
        <v>0</v>
      </c>
      <c r="EX93" s="10">
        <v>0</v>
      </c>
      <c r="EY93" s="10">
        <v>0</v>
      </c>
      <c r="EZ93" s="10">
        <v>0</v>
      </c>
      <c r="FA93" s="10">
        <v>0</v>
      </c>
      <c r="FB93" s="10">
        <v>0</v>
      </c>
      <c r="FC93" s="10">
        <v>0</v>
      </c>
      <c r="FD93" s="10">
        <v>0</v>
      </c>
      <c r="FE93" s="10">
        <v>0</v>
      </c>
      <c r="FF93" s="10">
        <v>0</v>
      </c>
      <c r="FG93" s="10">
        <v>0</v>
      </c>
      <c r="FH93" s="10">
        <v>0</v>
      </c>
      <c r="FI93" s="10">
        <v>0</v>
      </c>
      <c r="FJ93" s="10">
        <v>0</v>
      </c>
      <c r="FK93" s="10">
        <v>0</v>
      </c>
      <c r="FL93" s="10">
        <v>0</v>
      </c>
      <c r="FM93" s="10">
        <v>0</v>
      </c>
      <c r="FN93" s="10">
        <v>0</v>
      </c>
      <c r="FO93" s="10">
        <v>0</v>
      </c>
      <c r="FP93" s="10">
        <v>0</v>
      </c>
      <c r="FQ93" s="10">
        <v>0</v>
      </c>
      <c r="FR93" s="10">
        <v>0</v>
      </c>
      <c r="FS93" s="10">
        <v>0</v>
      </c>
      <c r="FT93" s="10">
        <v>0</v>
      </c>
      <c r="FU93" s="10">
        <v>0</v>
      </c>
      <c r="FV93" s="10">
        <v>0</v>
      </c>
      <c r="FW93" s="10">
        <v>0</v>
      </c>
      <c r="FX93" s="10">
        <v>0</v>
      </c>
      <c r="FY93" s="10">
        <v>0</v>
      </c>
      <c r="FZ93" s="10">
        <v>0</v>
      </c>
      <c r="GA93" s="10">
        <v>0</v>
      </c>
      <c r="GB93" s="10">
        <v>0</v>
      </c>
      <c r="GC93" s="10">
        <v>0</v>
      </c>
      <c r="GD93" s="10">
        <v>0</v>
      </c>
      <c r="GE93" s="10">
        <v>0</v>
      </c>
      <c r="GF93" s="10">
        <v>0</v>
      </c>
      <c r="GG93" s="10">
        <v>0</v>
      </c>
      <c r="GH93" s="10">
        <v>0</v>
      </c>
      <c r="GI93" s="10">
        <v>0</v>
      </c>
      <c r="GJ93" s="10">
        <v>0</v>
      </c>
      <c r="GK93" s="10">
        <v>0</v>
      </c>
      <c r="GL93" s="10">
        <v>0</v>
      </c>
      <c r="GM93" s="10">
        <v>0</v>
      </c>
      <c r="GN93" s="10">
        <v>0</v>
      </c>
      <c r="GO93" s="10">
        <v>0</v>
      </c>
      <c r="GP93" s="10">
        <v>0</v>
      </c>
      <c r="GQ93" s="10">
        <v>0</v>
      </c>
      <c r="GR93" s="10">
        <v>0</v>
      </c>
      <c r="GS93" s="10">
        <v>0</v>
      </c>
      <c r="GT93" s="10">
        <v>0</v>
      </c>
      <c r="GU93" s="10">
        <v>0</v>
      </c>
      <c r="GV93" s="10">
        <v>0.90762215910484878</v>
      </c>
      <c r="GW93" s="10">
        <v>0</v>
      </c>
      <c r="GX93" s="10">
        <v>0</v>
      </c>
      <c r="GY93" s="10">
        <v>0</v>
      </c>
      <c r="GZ93" s="10">
        <v>0</v>
      </c>
      <c r="HA93" s="10">
        <v>0</v>
      </c>
      <c r="HB93" s="10">
        <v>0</v>
      </c>
      <c r="HC93" s="10">
        <v>0</v>
      </c>
      <c r="HD93" s="10">
        <v>0</v>
      </c>
      <c r="HE93" s="10">
        <v>0</v>
      </c>
      <c r="HF93" s="10">
        <v>0</v>
      </c>
      <c r="HG93" s="10">
        <v>4.5285689285197356E-2</v>
      </c>
      <c r="HH93" s="10">
        <v>0</v>
      </c>
      <c r="HI93" s="10">
        <v>0</v>
      </c>
      <c r="HJ93" s="10">
        <v>0</v>
      </c>
      <c r="HK93" s="10">
        <v>0</v>
      </c>
      <c r="HL93" s="10">
        <v>0</v>
      </c>
      <c r="HM93" s="10">
        <v>0</v>
      </c>
      <c r="HN93" s="10">
        <v>0</v>
      </c>
      <c r="HO93" s="10">
        <v>0</v>
      </c>
      <c r="HP93" s="10">
        <v>0</v>
      </c>
      <c r="HQ93" s="10">
        <v>0</v>
      </c>
      <c r="HR93" s="10">
        <v>0</v>
      </c>
      <c r="HS93" s="10">
        <v>0</v>
      </c>
      <c r="HT93" s="10">
        <v>0</v>
      </c>
      <c r="HU93" s="10">
        <v>0</v>
      </c>
    </row>
    <row r="94" spans="1:229" x14ac:dyDescent="0.25">
      <c r="A94" s="10">
        <v>0</v>
      </c>
      <c r="B94" s="2" t="s">
        <v>176</v>
      </c>
      <c r="C94" s="2" t="s">
        <v>177</v>
      </c>
      <c r="D94" s="2">
        <v>0.68400000000000005</v>
      </c>
      <c r="E94" s="2">
        <v>12.93</v>
      </c>
      <c r="F94" s="2">
        <v>74.459999999999994</v>
      </c>
      <c r="G94" s="2">
        <v>0</v>
      </c>
      <c r="H94" s="2">
        <v>74.459999999999994</v>
      </c>
      <c r="I94" s="2">
        <v>1079</v>
      </c>
      <c r="J94" s="2">
        <v>0.29699999999999999</v>
      </c>
      <c r="K94" s="2">
        <v>3.4000000000000002E-2</v>
      </c>
      <c r="L94" s="3"/>
      <c r="M94" s="2" t="str">
        <f t="shared" si="8"/>
        <v>01115</v>
      </c>
      <c r="N94" s="3">
        <v>0.21593560796088576</v>
      </c>
      <c r="O94" s="3">
        <v>1.7840643920391142</v>
      </c>
      <c r="P94" s="17">
        <v>0.21593560796077546</v>
      </c>
      <c r="Q94" s="3">
        <v>1.7840643920391093</v>
      </c>
      <c r="R94" s="3">
        <v>7.3725328931043624E-2</v>
      </c>
      <c r="S94" s="3" t="e">
        <v>#DIV/0!</v>
      </c>
      <c r="T94" s="3">
        <v>3.8879593387477172E-2</v>
      </c>
      <c r="U94" s="3">
        <v>0.21593560796088593</v>
      </c>
      <c r="V94" s="3">
        <v>1.7840643920386758</v>
      </c>
      <c r="W94" s="3">
        <v>2.3690693159240865</v>
      </c>
      <c r="X94" s="3">
        <v>0.14769995584517043</v>
      </c>
      <c r="Y94" s="3">
        <v>23.067952589065683</v>
      </c>
      <c r="Z94" s="3">
        <v>5.4895879922055073</v>
      </c>
      <c r="AA94" s="3">
        <v>0.11600691740543774</v>
      </c>
      <c r="AB94" s="3">
        <v>2.8949745236315501</v>
      </c>
      <c r="AC94" s="3">
        <v>232.99452098979592</v>
      </c>
      <c r="AD94" s="3">
        <v>0.52986712443548667</v>
      </c>
      <c r="AE94" s="3">
        <v>8.0548356741418942E-2</v>
      </c>
      <c r="AF94" s="3">
        <v>0</v>
      </c>
      <c r="AG94" s="3">
        <v>0</v>
      </c>
      <c r="AH94" s="3">
        <v>0</v>
      </c>
      <c r="AI94" s="3">
        <v>0</v>
      </c>
      <c r="AJ94" s="3">
        <v>0</v>
      </c>
      <c r="AK94" s="3">
        <v>0</v>
      </c>
      <c r="AL94" s="3">
        <v>0</v>
      </c>
      <c r="AM94" s="3">
        <v>0</v>
      </c>
      <c r="AN94" s="3">
        <v>0</v>
      </c>
      <c r="AO94" s="3">
        <v>0</v>
      </c>
      <c r="AP94" s="3">
        <v>0</v>
      </c>
      <c r="AQ94" s="3">
        <v>0</v>
      </c>
      <c r="AR94" s="3">
        <v>0</v>
      </c>
      <c r="AS94" s="3">
        <v>0</v>
      </c>
      <c r="AT94" s="3">
        <v>0</v>
      </c>
      <c r="AU94" s="3">
        <v>0</v>
      </c>
      <c r="AV94" s="3">
        <v>0</v>
      </c>
      <c r="AW94" s="3">
        <v>0</v>
      </c>
      <c r="AX94" s="3">
        <v>0</v>
      </c>
      <c r="AY94" s="3">
        <v>0</v>
      </c>
      <c r="AZ94" s="3">
        <v>0</v>
      </c>
      <c r="BA94" s="10">
        <v>0</v>
      </c>
      <c r="BB94" s="10">
        <v>0</v>
      </c>
      <c r="BC94" s="10">
        <v>0</v>
      </c>
      <c r="BD94" s="10">
        <v>0</v>
      </c>
      <c r="BE94" s="10">
        <v>0</v>
      </c>
      <c r="BF94" s="10">
        <v>0</v>
      </c>
      <c r="BG94" s="10">
        <v>0</v>
      </c>
      <c r="BH94" s="10">
        <v>0</v>
      </c>
      <c r="BI94" s="10">
        <v>0</v>
      </c>
      <c r="BJ94" s="10">
        <v>0</v>
      </c>
      <c r="BK94" s="10">
        <v>0</v>
      </c>
      <c r="BL94" s="10">
        <v>0</v>
      </c>
      <c r="BM94" s="10">
        <v>0</v>
      </c>
      <c r="BN94" s="10">
        <v>0</v>
      </c>
      <c r="BO94" s="10">
        <v>0</v>
      </c>
      <c r="BP94" s="10">
        <v>0</v>
      </c>
      <c r="BQ94" s="10">
        <v>0</v>
      </c>
      <c r="BR94" s="10">
        <v>0</v>
      </c>
      <c r="BS94" s="10">
        <v>0</v>
      </c>
      <c r="BT94" s="10">
        <v>0</v>
      </c>
      <c r="BU94" s="10">
        <v>0</v>
      </c>
      <c r="BV94" s="10">
        <v>0</v>
      </c>
      <c r="BW94" s="10">
        <v>0</v>
      </c>
      <c r="BX94" s="10">
        <v>0</v>
      </c>
      <c r="BY94" s="10">
        <v>0</v>
      </c>
      <c r="BZ94" s="10">
        <v>0</v>
      </c>
      <c r="CA94" s="10">
        <v>0</v>
      </c>
      <c r="CB94" s="10">
        <v>0</v>
      </c>
      <c r="CC94" s="10">
        <v>0</v>
      </c>
      <c r="CD94" s="10">
        <v>0</v>
      </c>
      <c r="CE94" s="10">
        <v>0</v>
      </c>
      <c r="CF94" s="10">
        <v>0</v>
      </c>
      <c r="CG94" s="10">
        <v>0</v>
      </c>
      <c r="CH94" s="10">
        <v>0</v>
      </c>
      <c r="CI94" s="10">
        <v>0</v>
      </c>
      <c r="CJ94" s="10">
        <v>0</v>
      </c>
      <c r="CK94" s="10">
        <v>0</v>
      </c>
      <c r="CL94" s="10">
        <v>0</v>
      </c>
      <c r="CM94" s="10">
        <v>0</v>
      </c>
      <c r="CN94" s="10">
        <v>0</v>
      </c>
      <c r="CO94" s="10">
        <v>0</v>
      </c>
      <c r="CP94" s="10">
        <v>0</v>
      </c>
      <c r="CQ94" s="10">
        <v>0</v>
      </c>
      <c r="CR94" s="10">
        <v>0</v>
      </c>
      <c r="CS94" s="10">
        <v>0</v>
      </c>
      <c r="CT94" s="10">
        <v>0</v>
      </c>
      <c r="CU94" s="10">
        <v>0</v>
      </c>
      <c r="CV94" s="10">
        <v>0</v>
      </c>
      <c r="CW94" s="10">
        <v>0</v>
      </c>
      <c r="CX94" s="10">
        <v>0</v>
      </c>
      <c r="CY94" s="10">
        <v>0</v>
      </c>
      <c r="CZ94" s="10">
        <v>0</v>
      </c>
      <c r="DA94" s="10">
        <v>0</v>
      </c>
      <c r="DB94" s="10">
        <v>0</v>
      </c>
      <c r="DC94" s="10">
        <v>0</v>
      </c>
      <c r="DD94" s="10">
        <v>0</v>
      </c>
      <c r="DE94" s="10">
        <v>0</v>
      </c>
      <c r="DF94" s="10">
        <v>0</v>
      </c>
      <c r="DG94" s="10">
        <v>0</v>
      </c>
      <c r="DH94" s="10">
        <v>0</v>
      </c>
      <c r="DI94" s="10">
        <v>0</v>
      </c>
      <c r="DJ94" s="10">
        <v>0</v>
      </c>
      <c r="DK94" s="10">
        <v>0</v>
      </c>
      <c r="DL94" s="10">
        <v>0</v>
      </c>
      <c r="DM94" s="10">
        <v>0</v>
      </c>
      <c r="DN94" s="10">
        <v>0</v>
      </c>
      <c r="DO94" s="10">
        <v>0</v>
      </c>
      <c r="DP94" s="10">
        <v>0</v>
      </c>
      <c r="DQ94" s="10">
        <v>0</v>
      </c>
      <c r="DR94" s="10">
        <v>0</v>
      </c>
      <c r="DS94" s="10">
        <v>0</v>
      </c>
      <c r="DT94" s="10">
        <v>0</v>
      </c>
      <c r="DU94" s="10">
        <v>0</v>
      </c>
      <c r="DV94" s="10">
        <v>0</v>
      </c>
      <c r="DW94" s="10">
        <v>0</v>
      </c>
      <c r="DX94" s="10">
        <v>0</v>
      </c>
      <c r="DY94" s="10">
        <v>0</v>
      </c>
      <c r="DZ94" s="10">
        <v>0.16427266395957174</v>
      </c>
      <c r="EA94" s="10">
        <v>0</v>
      </c>
      <c r="EB94" s="10">
        <v>0</v>
      </c>
      <c r="EC94" s="10">
        <v>0</v>
      </c>
      <c r="ED94" s="10">
        <v>0</v>
      </c>
      <c r="EE94" s="10">
        <v>0</v>
      </c>
      <c r="EF94" s="10">
        <v>0</v>
      </c>
      <c r="EG94" s="10">
        <v>0</v>
      </c>
      <c r="EH94" s="10">
        <v>0</v>
      </c>
      <c r="EI94" s="10">
        <v>0</v>
      </c>
      <c r="EJ94" s="10">
        <v>0</v>
      </c>
      <c r="EK94" s="10">
        <v>0</v>
      </c>
      <c r="EL94" s="10">
        <v>0</v>
      </c>
      <c r="EM94" s="10">
        <v>0</v>
      </c>
      <c r="EN94" s="10">
        <v>0</v>
      </c>
      <c r="EO94" s="10">
        <v>0</v>
      </c>
      <c r="EP94" s="10">
        <v>0</v>
      </c>
      <c r="EQ94" s="10">
        <v>0</v>
      </c>
      <c r="ER94" s="10">
        <v>0</v>
      </c>
      <c r="ES94" s="10">
        <v>0</v>
      </c>
      <c r="ET94" s="10">
        <v>0</v>
      </c>
      <c r="EU94" s="10">
        <v>0</v>
      </c>
      <c r="EV94" s="10">
        <v>0</v>
      </c>
      <c r="EW94" s="10">
        <v>0</v>
      </c>
      <c r="EX94" s="10">
        <v>0</v>
      </c>
      <c r="EY94" s="10">
        <v>0</v>
      </c>
      <c r="EZ94" s="10">
        <v>0</v>
      </c>
      <c r="FA94" s="10">
        <v>0</v>
      </c>
      <c r="FB94" s="10">
        <v>0</v>
      </c>
      <c r="FC94" s="10">
        <v>0</v>
      </c>
      <c r="FD94" s="10">
        <v>0</v>
      </c>
      <c r="FE94" s="10">
        <v>0</v>
      </c>
      <c r="FF94" s="10">
        <v>0</v>
      </c>
      <c r="FG94" s="10">
        <v>0</v>
      </c>
      <c r="FH94" s="10">
        <v>0</v>
      </c>
      <c r="FI94" s="10">
        <v>0</v>
      </c>
      <c r="FJ94" s="10">
        <v>0</v>
      </c>
      <c r="FK94" s="10">
        <v>0</v>
      </c>
      <c r="FL94" s="10">
        <v>0</v>
      </c>
      <c r="FM94" s="10">
        <v>0</v>
      </c>
      <c r="FN94" s="10">
        <v>0</v>
      </c>
      <c r="FO94" s="10">
        <v>0</v>
      </c>
      <c r="FP94" s="10">
        <v>0</v>
      </c>
      <c r="FQ94" s="10">
        <v>0</v>
      </c>
      <c r="FR94" s="10">
        <v>0</v>
      </c>
      <c r="FS94" s="10">
        <v>0</v>
      </c>
      <c r="FT94" s="10">
        <v>0</v>
      </c>
      <c r="FU94" s="10">
        <v>0</v>
      </c>
      <c r="FV94" s="10">
        <v>0</v>
      </c>
      <c r="FW94" s="10">
        <v>0</v>
      </c>
      <c r="FX94" s="10">
        <v>0</v>
      </c>
      <c r="FY94" s="10">
        <v>0</v>
      </c>
      <c r="FZ94" s="10">
        <v>0</v>
      </c>
      <c r="GA94" s="10">
        <v>0</v>
      </c>
      <c r="GB94" s="10">
        <v>5.800345870271887E-2</v>
      </c>
      <c r="GC94" s="10">
        <v>0</v>
      </c>
      <c r="GD94" s="10">
        <v>0</v>
      </c>
      <c r="GE94" s="10">
        <v>0</v>
      </c>
      <c r="GF94" s="10">
        <v>0</v>
      </c>
      <c r="GG94" s="10">
        <v>0</v>
      </c>
      <c r="GH94" s="10">
        <v>0</v>
      </c>
      <c r="GI94" s="10">
        <v>0</v>
      </c>
      <c r="GJ94" s="10">
        <v>0</v>
      </c>
      <c r="GK94" s="10">
        <v>0</v>
      </c>
      <c r="GL94" s="10">
        <v>0</v>
      </c>
      <c r="GM94" s="10">
        <v>0</v>
      </c>
      <c r="GN94" s="10">
        <v>0</v>
      </c>
      <c r="GO94" s="10">
        <v>0</v>
      </c>
      <c r="GP94" s="10">
        <v>0</v>
      </c>
      <c r="GQ94" s="10">
        <v>0</v>
      </c>
      <c r="GR94" s="10">
        <v>0</v>
      </c>
      <c r="GS94" s="10">
        <v>0</v>
      </c>
      <c r="GT94" s="10">
        <v>0</v>
      </c>
      <c r="GU94" s="10">
        <v>0</v>
      </c>
      <c r="GV94" s="10">
        <v>0.72350595072918822</v>
      </c>
      <c r="GW94" s="10">
        <v>0</v>
      </c>
      <c r="GX94" s="10">
        <v>0</v>
      </c>
      <c r="GY94" s="10">
        <v>0</v>
      </c>
      <c r="GZ94" s="10">
        <v>0</v>
      </c>
      <c r="HA94" s="10">
        <v>0</v>
      </c>
      <c r="HB94" s="10">
        <v>0</v>
      </c>
      <c r="HC94" s="10">
        <v>0</v>
      </c>
      <c r="HD94" s="10">
        <v>0</v>
      </c>
      <c r="HE94" s="10">
        <v>0</v>
      </c>
      <c r="HF94" s="10">
        <v>0</v>
      </c>
      <c r="HG94" s="10">
        <v>0</v>
      </c>
      <c r="HH94" s="10">
        <v>0</v>
      </c>
      <c r="HI94" s="10">
        <v>0</v>
      </c>
      <c r="HJ94" s="10">
        <v>0</v>
      </c>
      <c r="HK94" s="10">
        <v>0</v>
      </c>
      <c r="HL94" s="10">
        <v>0</v>
      </c>
      <c r="HM94" s="10">
        <v>0</v>
      </c>
      <c r="HN94" s="10">
        <v>0</v>
      </c>
      <c r="HO94" s="10">
        <v>0</v>
      </c>
      <c r="HP94" s="10">
        <v>5.4217926608521198E-2</v>
      </c>
      <c r="HQ94" s="10">
        <v>0</v>
      </c>
      <c r="HR94" s="10">
        <v>0</v>
      </c>
      <c r="HS94" s="10">
        <v>0</v>
      </c>
      <c r="HT94" s="10">
        <v>0</v>
      </c>
      <c r="HU94" s="10">
        <v>0</v>
      </c>
    </row>
    <row r="95" spans="1:229" x14ac:dyDescent="0.25">
      <c r="A95" s="10">
        <v>0</v>
      </c>
      <c r="B95" s="2" t="s">
        <v>178</v>
      </c>
      <c r="C95" s="2" t="s">
        <v>179</v>
      </c>
      <c r="D95" s="2">
        <v>1</v>
      </c>
      <c r="E95" s="2">
        <v>5.25</v>
      </c>
      <c r="F95" s="2">
        <v>7.04</v>
      </c>
      <c r="G95" s="2">
        <v>0</v>
      </c>
      <c r="H95" s="2">
        <v>7.04</v>
      </c>
      <c r="I95" s="2">
        <v>70</v>
      </c>
      <c r="J95" s="2">
        <v>0.42599999999999999</v>
      </c>
      <c r="K95" s="2">
        <v>4.3999999999999997E-2</v>
      </c>
      <c r="L95" s="3"/>
      <c r="M95" s="2" t="str">
        <f t="shared" si="8"/>
        <v>01117</v>
      </c>
      <c r="N95" s="3">
        <v>0.52895497914874967</v>
      </c>
      <c r="O95" s="3">
        <v>1.4710450208512509</v>
      </c>
      <c r="P95" s="17">
        <v>0.5289549791487077</v>
      </c>
      <c r="Q95" s="3">
        <v>1.4710450208512402</v>
      </c>
      <c r="R95" s="3">
        <v>0.68694007344130481</v>
      </c>
      <c r="S95" s="3" t="e">
        <v>#DIV/0!</v>
      </c>
      <c r="T95" s="3">
        <v>0.52895497914874989</v>
      </c>
      <c r="U95" s="3">
        <v>0.52895497914874912</v>
      </c>
      <c r="V95" s="3">
        <v>1.4710450208508745</v>
      </c>
      <c r="W95" s="3">
        <v>5.1594014430104664</v>
      </c>
      <c r="X95" s="3">
        <v>0.5289549791487077</v>
      </c>
      <c r="Y95" s="3">
        <v>7.7229863594690107</v>
      </c>
      <c r="Z95" s="3">
        <v>4.836058117026786</v>
      </c>
      <c r="AA95" s="3">
        <v>5.4427414228290096E-2</v>
      </c>
      <c r="AB95" s="3">
        <v>3.7238430532071991</v>
      </c>
      <c r="AC95" s="3">
        <v>37.026848540412438</v>
      </c>
      <c r="AD95" s="3">
        <v>0.62666517888247253</v>
      </c>
      <c r="AE95" s="3">
        <v>0.22701366349246052</v>
      </c>
      <c r="AF95" s="3">
        <v>0</v>
      </c>
      <c r="AG95" s="3">
        <v>0</v>
      </c>
      <c r="AH95" s="3">
        <v>0</v>
      </c>
      <c r="AI95" s="3">
        <v>0</v>
      </c>
      <c r="AJ95" s="3">
        <v>0</v>
      </c>
      <c r="AK95" s="3">
        <v>0</v>
      </c>
      <c r="AL95" s="3">
        <v>0</v>
      </c>
      <c r="AM95" s="3">
        <v>0</v>
      </c>
      <c r="AN95" s="3">
        <v>0</v>
      </c>
      <c r="AO95" s="3">
        <v>0</v>
      </c>
      <c r="AP95" s="3">
        <v>0</v>
      </c>
      <c r="AQ95" s="3">
        <v>0</v>
      </c>
      <c r="AR95" s="3">
        <v>0</v>
      </c>
      <c r="AS95" s="3">
        <v>0</v>
      </c>
      <c r="AT95" s="3">
        <v>0</v>
      </c>
      <c r="AU95" s="3">
        <v>0</v>
      </c>
      <c r="AV95" s="3">
        <v>0</v>
      </c>
      <c r="AW95" s="3">
        <v>0</v>
      </c>
      <c r="AX95" s="3">
        <v>0</v>
      </c>
      <c r="AY95" s="3">
        <v>0</v>
      </c>
      <c r="AZ95" s="3">
        <v>0</v>
      </c>
      <c r="BA95" s="10">
        <v>0</v>
      </c>
      <c r="BB95" s="10">
        <v>0</v>
      </c>
      <c r="BC95" s="10">
        <v>0</v>
      </c>
      <c r="BD95" s="10">
        <v>0</v>
      </c>
      <c r="BE95" s="10">
        <v>0</v>
      </c>
      <c r="BF95" s="10">
        <v>0</v>
      </c>
      <c r="BG95" s="10">
        <v>0</v>
      </c>
      <c r="BH95" s="10">
        <v>0</v>
      </c>
      <c r="BI95" s="10">
        <v>0</v>
      </c>
      <c r="BJ95" s="10">
        <v>0</v>
      </c>
      <c r="BK95" s="10">
        <v>0</v>
      </c>
      <c r="BL95" s="10">
        <v>0</v>
      </c>
      <c r="BM95" s="10">
        <v>0</v>
      </c>
      <c r="BN95" s="10">
        <v>0</v>
      </c>
      <c r="BO95" s="10">
        <v>0</v>
      </c>
      <c r="BP95" s="10">
        <v>0</v>
      </c>
      <c r="BQ95" s="10">
        <v>0</v>
      </c>
      <c r="BR95" s="10">
        <v>0</v>
      </c>
      <c r="BS95" s="10">
        <v>0</v>
      </c>
      <c r="BT95" s="10">
        <v>0</v>
      </c>
      <c r="BU95" s="10">
        <v>0</v>
      </c>
      <c r="BV95" s="10">
        <v>0</v>
      </c>
      <c r="BW95" s="10">
        <v>0</v>
      </c>
      <c r="BX95" s="10">
        <v>0</v>
      </c>
      <c r="BY95" s="10">
        <v>0</v>
      </c>
      <c r="BZ95" s="10">
        <v>0</v>
      </c>
      <c r="CA95" s="10">
        <v>0.17108943925369088</v>
      </c>
      <c r="CB95" s="10">
        <v>0</v>
      </c>
      <c r="CC95" s="10">
        <v>0</v>
      </c>
      <c r="CD95" s="10">
        <v>0</v>
      </c>
      <c r="CE95" s="10">
        <v>0</v>
      </c>
      <c r="CF95" s="10">
        <v>0</v>
      </c>
      <c r="CG95" s="10">
        <v>0</v>
      </c>
      <c r="CH95" s="10">
        <v>0</v>
      </c>
      <c r="CI95" s="10">
        <v>0</v>
      </c>
      <c r="CJ95" s="10">
        <v>0</v>
      </c>
      <c r="CK95" s="10">
        <v>0</v>
      </c>
      <c r="CL95" s="10">
        <v>0</v>
      </c>
      <c r="CM95" s="10">
        <v>0</v>
      </c>
      <c r="CN95" s="10">
        <v>0</v>
      </c>
      <c r="CO95" s="10">
        <v>0</v>
      </c>
      <c r="CP95" s="10">
        <v>0</v>
      </c>
      <c r="CQ95" s="10">
        <v>0</v>
      </c>
      <c r="CR95" s="10">
        <v>0</v>
      </c>
      <c r="CS95" s="10">
        <v>0</v>
      </c>
      <c r="CT95" s="10">
        <v>0</v>
      </c>
      <c r="CU95" s="10">
        <v>0</v>
      </c>
      <c r="CV95" s="10">
        <v>0</v>
      </c>
      <c r="CW95" s="10">
        <v>0</v>
      </c>
      <c r="CX95" s="10">
        <v>0</v>
      </c>
      <c r="CY95" s="10">
        <v>0</v>
      </c>
      <c r="CZ95" s="10">
        <v>0</v>
      </c>
      <c r="DA95" s="10">
        <v>0</v>
      </c>
      <c r="DB95" s="10">
        <v>0</v>
      </c>
      <c r="DC95" s="10">
        <v>0</v>
      </c>
      <c r="DD95" s="10">
        <v>0.12689931942117094</v>
      </c>
      <c r="DE95" s="10">
        <v>0</v>
      </c>
      <c r="DF95" s="10">
        <v>0</v>
      </c>
      <c r="DG95" s="10">
        <v>0</v>
      </c>
      <c r="DH95" s="10">
        <v>0</v>
      </c>
      <c r="DI95" s="10">
        <v>0</v>
      </c>
      <c r="DJ95" s="10">
        <v>0</v>
      </c>
      <c r="DK95" s="10">
        <v>0</v>
      </c>
      <c r="DL95" s="10">
        <v>0</v>
      </c>
      <c r="DM95" s="10">
        <v>0</v>
      </c>
      <c r="DN95" s="10">
        <v>0</v>
      </c>
      <c r="DO95" s="10">
        <v>0</v>
      </c>
      <c r="DP95" s="10">
        <v>0</v>
      </c>
      <c r="DQ95" s="10">
        <v>0</v>
      </c>
      <c r="DR95" s="10">
        <v>0</v>
      </c>
      <c r="DS95" s="10">
        <v>6.526477648321532E-3</v>
      </c>
      <c r="DT95" s="10">
        <v>0</v>
      </c>
      <c r="DU95" s="10">
        <v>0</v>
      </c>
      <c r="DV95" s="10">
        <v>0</v>
      </c>
      <c r="DW95" s="10">
        <v>0</v>
      </c>
      <c r="DX95" s="10">
        <v>0</v>
      </c>
      <c r="DY95" s="10">
        <v>0</v>
      </c>
      <c r="DZ95" s="10">
        <v>0</v>
      </c>
      <c r="EA95" s="10">
        <v>0</v>
      </c>
      <c r="EB95" s="10">
        <v>0</v>
      </c>
      <c r="EC95" s="10">
        <v>0</v>
      </c>
      <c r="ED95" s="10">
        <v>0</v>
      </c>
      <c r="EE95" s="10">
        <v>0</v>
      </c>
      <c r="EF95" s="10">
        <v>0</v>
      </c>
      <c r="EG95" s="10">
        <v>0</v>
      </c>
      <c r="EH95" s="10">
        <v>0</v>
      </c>
      <c r="EI95" s="10">
        <v>0</v>
      </c>
      <c r="EJ95" s="10">
        <v>0</v>
      </c>
      <c r="EK95" s="10">
        <v>0</v>
      </c>
      <c r="EL95" s="10">
        <v>0</v>
      </c>
      <c r="EM95" s="10">
        <v>0</v>
      </c>
      <c r="EN95" s="10">
        <v>0</v>
      </c>
      <c r="EO95" s="10">
        <v>0</v>
      </c>
      <c r="EP95" s="10">
        <v>0</v>
      </c>
      <c r="EQ95" s="10">
        <v>0</v>
      </c>
      <c r="ER95" s="10">
        <v>0</v>
      </c>
      <c r="ES95" s="10">
        <v>0</v>
      </c>
      <c r="ET95" s="10">
        <v>0</v>
      </c>
      <c r="EU95" s="10">
        <v>0</v>
      </c>
      <c r="EV95" s="10">
        <v>0</v>
      </c>
      <c r="EW95" s="10">
        <v>0</v>
      </c>
      <c r="EX95" s="10">
        <v>0</v>
      </c>
      <c r="EY95" s="10">
        <v>0</v>
      </c>
      <c r="EZ95" s="10">
        <v>0</v>
      </c>
      <c r="FA95" s="10">
        <v>0</v>
      </c>
      <c r="FB95" s="10">
        <v>0</v>
      </c>
      <c r="FC95" s="10">
        <v>0</v>
      </c>
      <c r="FD95" s="10">
        <v>0</v>
      </c>
      <c r="FE95" s="10">
        <v>0</v>
      </c>
      <c r="FF95" s="10">
        <v>0</v>
      </c>
      <c r="FG95" s="10">
        <v>0</v>
      </c>
      <c r="FH95" s="10">
        <v>0</v>
      </c>
      <c r="FI95" s="10">
        <v>0</v>
      </c>
      <c r="FJ95" s="10">
        <v>0</v>
      </c>
      <c r="FK95" s="10">
        <v>0</v>
      </c>
      <c r="FL95" s="10">
        <v>0</v>
      </c>
      <c r="FM95" s="10">
        <v>0</v>
      </c>
      <c r="FN95" s="10">
        <v>0</v>
      </c>
      <c r="FO95" s="10">
        <v>0</v>
      </c>
      <c r="FP95" s="10">
        <v>0</v>
      </c>
      <c r="FQ95" s="10">
        <v>0</v>
      </c>
      <c r="FR95" s="10">
        <v>0</v>
      </c>
      <c r="FS95" s="10">
        <v>0</v>
      </c>
      <c r="FT95" s="10">
        <v>0</v>
      </c>
      <c r="FU95" s="10">
        <v>0</v>
      </c>
      <c r="FV95" s="10">
        <v>0</v>
      </c>
      <c r="FW95" s="10">
        <v>0</v>
      </c>
      <c r="FX95" s="10">
        <v>0</v>
      </c>
      <c r="FY95" s="10">
        <v>0</v>
      </c>
      <c r="FZ95" s="10">
        <v>0</v>
      </c>
      <c r="GA95" s="10">
        <v>0</v>
      </c>
      <c r="GB95" s="10">
        <v>0</v>
      </c>
      <c r="GC95" s="10">
        <v>0</v>
      </c>
      <c r="GD95" s="10">
        <v>0</v>
      </c>
      <c r="GE95" s="10">
        <v>0</v>
      </c>
      <c r="GF95" s="10">
        <v>0</v>
      </c>
      <c r="GG95" s="10">
        <v>0</v>
      </c>
      <c r="GH95" s="10">
        <v>0</v>
      </c>
      <c r="GI95" s="10">
        <v>0</v>
      </c>
      <c r="GJ95" s="10">
        <v>0</v>
      </c>
      <c r="GK95" s="10">
        <v>0</v>
      </c>
      <c r="GL95" s="10">
        <v>0</v>
      </c>
      <c r="GM95" s="10">
        <v>0</v>
      </c>
      <c r="GN95" s="10">
        <v>0</v>
      </c>
      <c r="GO95" s="10">
        <v>0</v>
      </c>
      <c r="GP95" s="10">
        <v>0</v>
      </c>
      <c r="GQ95" s="10">
        <v>0</v>
      </c>
      <c r="GR95" s="10">
        <v>0</v>
      </c>
      <c r="GS95" s="10">
        <v>0</v>
      </c>
      <c r="GT95" s="10">
        <v>0</v>
      </c>
      <c r="GU95" s="10">
        <v>0</v>
      </c>
      <c r="GV95" s="10">
        <v>0.61773131477925913</v>
      </c>
      <c r="GW95" s="10">
        <v>0</v>
      </c>
      <c r="GX95" s="10">
        <v>0</v>
      </c>
      <c r="GY95" s="10">
        <v>0</v>
      </c>
      <c r="GZ95" s="10">
        <v>0</v>
      </c>
      <c r="HA95" s="10">
        <v>0</v>
      </c>
      <c r="HB95" s="10">
        <v>0</v>
      </c>
      <c r="HC95" s="10">
        <v>0</v>
      </c>
      <c r="HD95" s="10">
        <v>0</v>
      </c>
      <c r="HE95" s="10">
        <v>0</v>
      </c>
      <c r="HF95" s="10">
        <v>0</v>
      </c>
      <c r="HG95" s="10">
        <v>7.7753448897557281E-2</v>
      </c>
      <c r="HH95" s="10">
        <v>0</v>
      </c>
      <c r="HI95" s="10">
        <v>0</v>
      </c>
      <c r="HJ95" s="10">
        <v>0</v>
      </c>
      <c r="HK95" s="10">
        <v>0</v>
      </c>
      <c r="HL95" s="10">
        <v>0</v>
      </c>
      <c r="HM95" s="10">
        <v>0</v>
      </c>
      <c r="HN95" s="10">
        <v>0</v>
      </c>
      <c r="HO95" s="10">
        <v>0</v>
      </c>
      <c r="HP95" s="10">
        <v>0</v>
      </c>
      <c r="HQ95" s="10">
        <v>0</v>
      </c>
      <c r="HR95" s="10">
        <v>0</v>
      </c>
      <c r="HS95" s="10">
        <v>0</v>
      </c>
      <c r="HT95" s="10">
        <v>0</v>
      </c>
      <c r="HU95" s="10">
        <v>0</v>
      </c>
    </row>
    <row r="96" spans="1:229" x14ac:dyDescent="0.25">
      <c r="A96" s="10">
        <v>0</v>
      </c>
      <c r="B96" s="2" t="s">
        <v>180</v>
      </c>
      <c r="C96" s="2" t="s">
        <v>181</v>
      </c>
      <c r="D96" s="2">
        <v>0.11600000000000001</v>
      </c>
      <c r="E96" s="2">
        <v>5.73</v>
      </c>
      <c r="F96" s="2">
        <v>7.68</v>
      </c>
      <c r="G96" s="2">
        <v>0</v>
      </c>
      <c r="H96" s="2">
        <v>7.68</v>
      </c>
      <c r="I96" s="2">
        <v>77</v>
      </c>
      <c r="J96" s="2">
        <v>4.9000000000000002E-2</v>
      </c>
      <c r="K96" s="2">
        <v>5.0000000000000001E-3</v>
      </c>
      <c r="L96" s="3"/>
      <c r="M96" s="2" t="str">
        <f t="shared" si="8"/>
        <v>01118</v>
      </c>
      <c r="N96" s="3">
        <v>0.62978673027937027</v>
      </c>
      <c r="O96" s="3">
        <v>1.3702132697206297</v>
      </c>
      <c r="P96" s="17">
        <v>0.62978673027885046</v>
      </c>
      <c r="Q96" s="3">
        <v>1.37021326972062</v>
      </c>
      <c r="R96" s="3">
        <v>1.1874835867119091</v>
      </c>
      <c r="S96" s="3" t="e">
        <v>#DIV/0!</v>
      </c>
      <c r="T96" s="3">
        <v>0.55869089588891241</v>
      </c>
      <c r="U96" s="3">
        <v>0.62978673027937027</v>
      </c>
      <c r="V96" s="3">
        <v>1.3702132697185347</v>
      </c>
      <c r="W96" s="3">
        <v>2.4604939777482624</v>
      </c>
      <c r="X96" s="3">
        <v>7.3055260712346651E-2</v>
      </c>
      <c r="Y96" s="3">
        <v>7.8513220354991535</v>
      </c>
      <c r="Z96" s="3">
        <v>9.1198739459474609</v>
      </c>
      <c r="AA96" s="3">
        <v>8.5313843863973164E-3</v>
      </c>
      <c r="AB96" s="3">
        <v>4.2907460804268469</v>
      </c>
      <c r="AC96" s="3">
        <v>48.493578231511506</v>
      </c>
      <c r="AD96" s="3">
        <v>6.7140450216208208E-2</v>
      </c>
      <c r="AE96" s="3">
        <v>1.2302469888741313E-2</v>
      </c>
      <c r="AF96" s="3">
        <v>0</v>
      </c>
      <c r="AG96" s="3">
        <v>0</v>
      </c>
      <c r="AH96" s="3">
        <v>0</v>
      </c>
      <c r="AI96" s="10">
        <v>0</v>
      </c>
      <c r="AJ96" s="3">
        <v>0</v>
      </c>
      <c r="AK96" s="3">
        <v>0</v>
      </c>
      <c r="AL96" s="3">
        <v>0</v>
      </c>
      <c r="AM96" s="3">
        <v>0</v>
      </c>
      <c r="AN96" s="10">
        <v>0</v>
      </c>
      <c r="AO96" s="10">
        <v>0</v>
      </c>
      <c r="AP96" s="10">
        <v>0</v>
      </c>
      <c r="AQ96" s="10">
        <v>0</v>
      </c>
      <c r="AR96" s="10">
        <v>0</v>
      </c>
      <c r="AS96" s="10">
        <v>0</v>
      </c>
      <c r="AT96" s="10">
        <v>0</v>
      </c>
      <c r="AU96" s="10">
        <v>0</v>
      </c>
      <c r="AV96" s="10">
        <v>0</v>
      </c>
      <c r="AW96" s="3">
        <v>0</v>
      </c>
      <c r="AX96" s="3">
        <v>0</v>
      </c>
      <c r="AY96" s="3">
        <v>0</v>
      </c>
      <c r="AZ96" s="3">
        <v>0</v>
      </c>
      <c r="BA96" s="10">
        <v>0</v>
      </c>
      <c r="BB96" s="10">
        <v>0</v>
      </c>
      <c r="BC96" s="10">
        <v>0</v>
      </c>
      <c r="BD96" s="10">
        <v>0</v>
      </c>
      <c r="BE96" s="10">
        <v>0</v>
      </c>
      <c r="BF96" s="10">
        <v>0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0">
        <v>0</v>
      </c>
      <c r="BM96" s="10">
        <v>0</v>
      </c>
      <c r="BN96" s="10">
        <v>0</v>
      </c>
      <c r="BO96" s="10">
        <v>0</v>
      </c>
      <c r="BP96" s="10">
        <v>0</v>
      </c>
      <c r="BQ96" s="10">
        <v>0</v>
      </c>
      <c r="BR96" s="10">
        <v>0</v>
      </c>
      <c r="BS96" s="10">
        <v>0</v>
      </c>
      <c r="BT96" s="10">
        <v>0</v>
      </c>
      <c r="BU96" s="10">
        <v>0</v>
      </c>
      <c r="BV96" s="10">
        <v>0</v>
      </c>
      <c r="BW96" s="10">
        <v>0</v>
      </c>
      <c r="BX96" s="10">
        <v>0</v>
      </c>
      <c r="BY96" s="10">
        <v>0</v>
      </c>
      <c r="BZ96" s="10">
        <v>0</v>
      </c>
      <c r="CA96" s="10">
        <v>0</v>
      </c>
      <c r="CB96" s="10">
        <v>0</v>
      </c>
      <c r="CC96" s="10">
        <v>0</v>
      </c>
      <c r="CD96" s="10">
        <v>0</v>
      </c>
      <c r="CE96" s="10">
        <v>0</v>
      </c>
      <c r="CF96" s="10">
        <v>0</v>
      </c>
      <c r="CG96" s="10">
        <v>0</v>
      </c>
      <c r="CH96" s="10">
        <v>0</v>
      </c>
      <c r="CI96" s="10">
        <v>0</v>
      </c>
      <c r="CJ96" s="10">
        <v>0</v>
      </c>
      <c r="CK96" s="10">
        <v>0</v>
      </c>
      <c r="CL96" s="10">
        <v>0</v>
      </c>
      <c r="CM96" s="10">
        <v>0</v>
      </c>
      <c r="CN96" s="10">
        <v>0</v>
      </c>
      <c r="CO96" s="10">
        <v>0</v>
      </c>
      <c r="CP96" s="10">
        <v>0</v>
      </c>
      <c r="CQ96" s="10">
        <v>0</v>
      </c>
      <c r="CR96" s="10">
        <v>0</v>
      </c>
      <c r="CS96" s="10">
        <v>0</v>
      </c>
      <c r="CT96" s="10">
        <v>0</v>
      </c>
      <c r="CU96" s="10">
        <v>0</v>
      </c>
      <c r="CV96" s="10">
        <v>0</v>
      </c>
      <c r="CW96" s="10">
        <v>0</v>
      </c>
      <c r="CX96" s="10">
        <v>0</v>
      </c>
      <c r="CY96" s="10">
        <v>0</v>
      </c>
      <c r="CZ96" s="10">
        <v>0</v>
      </c>
      <c r="DA96" s="10">
        <v>0</v>
      </c>
      <c r="DB96" s="10">
        <v>0</v>
      </c>
      <c r="DC96" s="10">
        <v>0</v>
      </c>
      <c r="DD96" s="10">
        <v>0</v>
      </c>
      <c r="DE96" s="10">
        <v>0</v>
      </c>
      <c r="DF96" s="10">
        <v>0</v>
      </c>
      <c r="DG96" s="10">
        <v>0</v>
      </c>
      <c r="DH96" s="10">
        <v>0</v>
      </c>
      <c r="DI96" s="10">
        <v>0</v>
      </c>
      <c r="DJ96" s="10">
        <v>0</v>
      </c>
      <c r="DK96" s="10">
        <v>0</v>
      </c>
      <c r="DL96" s="10">
        <v>0</v>
      </c>
      <c r="DM96" s="10">
        <v>0</v>
      </c>
      <c r="DN96" s="10">
        <v>0</v>
      </c>
      <c r="DO96" s="10">
        <v>0</v>
      </c>
      <c r="DP96" s="10">
        <v>0</v>
      </c>
      <c r="DQ96" s="10">
        <v>0</v>
      </c>
      <c r="DR96" s="10">
        <v>0</v>
      </c>
      <c r="DS96" s="10">
        <v>0</v>
      </c>
      <c r="DT96" s="10">
        <v>0</v>
      </c>
      <c r="DU96" s="10">
        <v>0</v>
      </c>
      <c r="DV96" s="10">
        <v>0</v>
      </c>
      <c r="DW96" s="10">
        <v>0</v>
      </c>
      <c r="DX96" s="10">
        <v>0</v>
      </c>
      <c r="DY96" s="10">
        <v>0</v>
      </c>
      <c r="DZ96" s="10">
        <v>6.3662280185269229E-3</v>
      </c>
      <c r="EA96" s="10">
        <v>0</v>
      </c>
      <c r="EB96" s="10">
        <v>0</v>
      </c>
      <c r="EC96" s="10">
        <v>0</v>
      </c>
      <c r="ED96" s="10">
        <v>0</v>
      </c>
      <c r="EE96" s="10">
        <v>0</v>
      </c>
      <c r="EF96" s="10">
        <v>0</v>
      </c>
      <c r="EG96" s="10">
        <v>0</v>
      </c>
      <c r="EH96" s="10">
        <v>0</v>
      </c>
      <c r="EI96" s="10">
        <v>0</v>
      </c>
      <c r="EJ96" s="10">
        <v>0</v>
      </c>
      <c r="EK96" s="10">
        <v>0</v>
      </c>
      <c r="EL96" s="10">
        <v>0</v>
      </c>
      <c r="EM96" s="10">
        <v>0</v>
      </c>
      <c r="EN96" s="10">
        <v>0</v>
      </c>
      <c r="EO96" s="10">
        <v>0</v>
      </c>
      <c r="EP96" s="10">
        <v>0</v>
      </c>
      <c r="EQ96" s="10">
        <v>0</v>
      </c>
      <c r="ER96" s="10">
        <v>0</v>
      </c>
      <c r="ES96" s="10">
        <v>0</v>
      </c>
      <c r="ET96" s="10">
        <v>0</v>
      </c>
      <c r="EU96" s="10">
        <v>0</v>
      </c>
      <c r="EV96" s="10">
        <v>0</v>
      </c>
      <c r="EW96" s="10">
        <v>0</v>
      </c>
      <c r="EX96" s="10">
        <v>0</v>
      </c>
      <c r="EY96" s="10">
        <v>0</v>
      </c>
      <c r="EZ96" s="10">
        <v>0</v>
      </c>
      <c r="FA96" s="10">
        <v>0</v>
      </c>
      <c r="FB96" s="10">
        <v>0</v>
      </c>
      <c r="FC96" s="10">
        <v>0</v>
      </c>
      <c r="FD96" s="10">
        <v>0</v>
      </c>
      <c r="FE96" s="10">
        <v>0</v>
      </c>
      <c r="FF96" s="10">
        <v>0</v>
      </c>
      <c r="FG96" s="10">
        <v>0</v>
      </c>
      <c r="FH96" s="10">
        <v>0</v>
      </c>
      <c r="FI96" s="10">
        <v>0</v>
      </c>
      <c r="FJ96" s="10">
        <v>0</v>
      </c>
      <c r="FK96" s="10">
        <v>0</v>
      </c>
      <c r="FL96" s="10">
        <v>0</v>
      </c>
      <c r="FM96" s="10">
        <v>0</v>
      </c>
      <c r="FN96" s="10">
        <v>0</v>
      </c>
      <c r="FO96" s="10">
        <v>0</v>
      </c>
      <c r="FP96" s="10">
        <v>0</v>
      </c>
      <c r="FQ96" s="10">
        <v>0</v>
      </c>
      <c r="FR96" s="10">
        <v>0</v>
      </c>
      <c r="FS96" s="10">
        <v>0</v>
      </c>
      <c r="FT96" s="10">
        <v>0</v>
      </c>
      <c r="FU96" s="10">
        <v>0</v>
      </c>
      <c r="FV96" s="10">
        <v>0</v>
      </c>
      <c r="FW96" s="10">
        <v>0</v>
      </c>
      <c r="FX96" s="10">
        <v>0</v>
      </c>
      <c r="FY96" s="10">
        <v>0</v>
      </c>
      <c r="FZ96" s="10">
        <v>0</v>
      </c>
      <c r="GA96" s="10">
        <v>0</v>
      </c>
      <c r="GB96" s="10">
        <v>4.2656921931986582E-3</v>
      </c>
      <c r="GC96" s="10">
        <v>0</v>
      </c>
      <c r="GD96" s="10">
        <v>0</v>
      </c>
      <c r="GE96" s="10">
        <v>0</v>
      </c>
      <c r="GF96" s="10">
        <v>0</v>
      </c>
      <c r="GG96" s="10">
        <v>0</v>
      </c>
      <c r="GH96" s="10">
        <v>0</v>
      </c>
      <c r="GI96" s="10">
        <v>0</v>
      </c>
      <c r="GJ96" s="10">
        <v>0</v>
      </c>
      <c r="GK96" s="10">
        <v>0</v>
      </c>
      <c r="GL96" s="10">
        <v>0</v>
      </c>
      <c r="GM96" s="10">
        <v>0</v>
      </c>
      <c r="GN96" s="10">
        <v>0</v>
      </c>
      <c r="GO96" s="10">
        <v>0</v>
      </c>
      <c r="GP96" s="10">
        <v>0</v>
      </c>
      <c r="GQ96" s="10">
        <v>0</v>
      </c>
      <c r="GR96" s="10">
        <v>0</v>
      </c>
      <c r="GS96" s="10">
        <v>0</v>
      </c>
      <c r="GT96" s="10">
        <v>0</v>
      </c>
      <c r="GU96" s="10">
        <v>0</v>
      </c>
      <c r="GV96" s="10">
        <v>0.58477310511401448</v>
      </c>
      <c r="GW96" s="10">
        <v>0</v>
      </c>
      <c r="GX96" s="10">
        <v>0</v>
      </c>
      <c r="GY96" s="10">
        <v>0</v>
      </c>
      <c r="GZ96" s="10">
        <v>0</v>
      </c>
      <c r="HA96" s="10">
        <v>0</v>
      </c>
      <c r="HB96" s="10">
        <v>0</v>
      </c>
      <c r="HC96" s="10">
        <v>0</v>
      </c>
      <c r="HD96" s="10">
        <v>0</v>
      </c>
      <c r="HE96" s="10">
        <v>0</v>
      </c>
      <c r="HF96" s="10">
        <v>0</v>
      </c>
      <c r="HG96" s="10">
        <v>0</v>
      </c>
      <c r="HH96" s="10">
        <v>0</v>
      </c>
      <c r="HI96" s="10">
        <v>0</v>
      </c>
      <c r="HJ96" s="10">
        <v>0</v>
      </c>
      <c r="HK96" s="10">
        <v>0</v>
      </c>
      <c r="HL96" s="10">
        <v>0</v>
      </c>
      <c r="HM96" s="10">
        <v>0</v>
      </c>
      <c r="HN96" s="10">
        <v>0</v>
      </c>
      <c r="HO96" s="10">
        <v>0</v>
      </c>
      <c r="HP96" s="10">
        <v>0.40459497467425948</v>
      </c>
      <c r="HQ96" s="10">
        <v>0</v>
      </c>
      <c r="HR96" s="10">
        <v>0</v>
      </c>
      <c r="HS96" s="10">
        <v>0</v>
      </c>
      <c r="HT96" s="10">
        <v>0</v>
      </c>
      <c r="HU96" s="10">
        <v>0</v>
      </c>
    </row>
    <row r="97" spans="1:229" x14ac:dyDescent="0.25">
      <c r="A97" s="10">
        <v>0</v>
      </c>
      <c r="B97" s="2" t="s">
        <v>182</v>
      </c>
      <c r="C97" s="2" t="s">
        <v>183</v>
      </c>
      <c r="D97" s="2">
        <v>0.80600000000000005</v>
      </c>
      <c r="E97" s="2">
        <v>4.93</v>
      </c>
      <c r="F97" s="2">
        <v>13.8</v>
      </c>
      <c r="G97" s="2">
        <v>0</v>
      </c>
      <c r="H97" s="2">
        <v>13.8</v>
      </c>
      <c r="I97" s="2">
        <v>66</v>
      </c>
      <c r="J97" s="2">
        <v>0.34300000000000003</v>
      </c>
      <c r="K97" s="2">
        <v>3.5999999999999997E-2</v>
      </c>
      <c r="L97" s="3"/>
      <c r="M97" s="2" t="str">
        <f t="shared" si="8"/>
        <v>01119</v>
      </c>
      <c r="N97" s="3">
        <v>0.53895739366465645</v>
      </c>
      <c r="O97" s="3">
        <v>1.4610426063353437</v>
      </c>
      <c r="P97" s="17">
        <v>0.53895739366490658</v>
      </c>
      <c r="Q97" s="3">
        <v>1.4610426063353181</v>
      </c>
      <c r="R97" s="3">
        <v>0.62476883816594664</v>
      </c>
      <c r="S97" s="3" t="e">
        <v>#DIV/0!</v>
      </c>
      <c r="T97" s="3">
        <v>0.53895739366466033</v>
      </c>
      <c r="U97" s="3">
        <v>0.53895739366465634</v>
      </c>
      <c r="V97" s="3">
        <v>1.4610426063360804</v>
      </c>
      <c r="W97" s="3">
        <v>5.1571812293684092</v>
      </c>
      <c r="X97" s="3">
        <v>0.43439965929391472</v>
      </c>
      <c r="Y97" s="3">
        <v>7.2029400492331179</v>
      </c>
      <c r="Z97" s="3">
        <v>8.6218099666900638</v>
      </c>
      <c r="AA97" s="3">
        <v>0.39818376497881419</v>
      </c>
      <c r="AB97" s="3">
        <v>7.4376120325723125</v>
      </c>
      <c r="AC97" s="3">
        <v>35.571187981867318</v>
      </c>
      <c r="AD97" s="3">
        <v>0.50113761397327561</v>
      </c>
      <c r="AE97" s="3">
        <v>0.1856585242572627</v>
      </c>
      <c r="AF97" s="3">
        <v>0</v>
      </c>
      <c r="AG97" s="3">
        <v>0</v>
      </c>
      <c r="AH97" s="3">
        <v>0</v>
      </c>
      <c r="AI97" s="3">
        <v>0</v>
      </c>
      <c r="AJ97" s="3">
        <v>0</v>
      </c>
      <c r="AK97" s="3">
        <v>0</v>
      </c>
      <c r="AL97" s="3">
        <v>0</v>
      </c>
      <c r="AM97" s="3">
        <v>0</v>
      </c>
      <c r="AN97" s="3">
        <v>0</v>
      </c>
      <c r="AO97" s="3">
        <v>0</v>
      </c>
      <c r="AP97" s="3">
        <v>0</v>
      </c>
      <c r="AQ97" s="3">
        <v>0</v>
      </c>
      <c r="AR97" s="3">
        <v>0</v>
      </c>
      <c r="AS97" s="3">
        <v>0</v>
      </c>
      <c r="AT97" s="3">
        <v>0</v>
      </c>
      <c r="AU97" s="3">
        <v>0</v>
      </c>
      <c r="AV97" s="3">
        <v>0</v>
      </c>
      <c r="AW97" s="3">
        <v>0</v>
      </c>
      <c r="AX97" s="3">
        <v>0</v>
      </c>
      <c r="AY97" s="3">
        <v>0</v>
      </c>
      <c r="AZ97" s="3">
        <v>0</v>
      </c>
      <c r="BA97" s="10">
        <v>0</v>
      </c>
      <c r="BB97" s="10">
        <v>0</v>
      </c>
      <c r="BC97" s="10">
        <v>0</v>
      </c>
      <c r="BD97" s="10">
        <v>0</v>
      </c>
      <c r="BE97" s="10">
        <v>0</v>
      </c>
      <c r="BF97" s="10">
        <v>0</v>
      </c>
      <c r="BG97" s="10">
        <v>0</v>
      </c>
      <c r="BH97" s="10">
        <v>0</v>
      </c>
      <c r="BI97" s="10">
        <v>0</v>
      </c>
      <c r="BJ97" s="10">
        <v>0</v>
      </c>
      <c r="BK97" s="10">
        <v>0</v>
      </c>
      <c r="BL97" s="10">
        <v>0</v>
      </c>
      <c r="BM97" s="10">
        <v>0</v>
      </c>
      <c r="BN97" s="10">
        <v>0</v>
      </c>
      <c r="BO97" s="10">
        <v>0</v>
      </c>
      <c r="BP97" s="10">
        <v>0</v>
      </c>
      <c r="BQ97" s="10">
        <v>0</v>
      </c>
      <c r="BR97" s="10">
        <v>0</v>
      </c>
      <c r="BS97" s="10">
        <v>0</v>
      </c>
      <c r="BT97" s="10">
        <v>0</v>
      </c>
      <c r="BU97" s="10">
        <v>0</v>
      </c>
      <c r="BV97" s="10">
        <v>0</v>
      </c>
      <c r="BW97" s="10">
        <v>0</v>
      </c>
      <c r="BX97" s="10">
        <v>0</v>
      </c>
      <c r="BY97" s="10">
        <v>0</v>
      </c>
      <c r="BZ97" s="10">
        <v>0</v>
      </c>
      <c r="CA97" s="10">
        <v>0.13975376532624972</v>
      </c>
      <c r="CB97" s="10">
        <v>0</v>
      </c>
      <c r="CC97" s="10">
        <v>0</v>
      </c>
      <c r="CD97" s="10">
        <v>0</v>
      </c>
      <c r="CE97" s="10">
        <v>0</v>
      </c>
      <c r="CF97" s="10">
        <v>0</v>
      </c>
      <c r="CG97" s="10">
        <v>0</v>
      </c>
      <c r="CH97" s="10">
        <v>0</v>
      </c>
      <c r="CI97" s="10">
        <v>0</v>
      </c>
      <c r="CJ97" s="10">
        <v>0</v>
      </c>
      <c r="CK97" s="10">
        <v>0</v>
      </c>
      <c r="CL97" s="10">
        <v>0</v>
      </c>
      <c r="CM97" s="10">
        <v>0</v>
      </c>
      <c r="CN97" s="10">
        <v>0</v>
      </c>
      <c r="CO97" s="10">
        <v>0</v>
      </c>
      <c r="CP97" s="10">
        <v>0</v>
      </c>
      <c r="CQ97" s="10">
        <v>0</v>
      </c>
      <c r="CR97" s="10">
        <v>0</v>
      </c>
      <c r="CS97" s="10">
        <v>0</v>
      </c>
      <c r="CT97" s="10">
        <v>0</v>
      </c>
      <c r="CU97" s="10">
        <v>0</v>
      </c>
      <c r="CV97" s="10">
        <v>0</v>
      </c>
      <c r="CW97" s="10">
        <v>0</v>
      </c>
      <c r="CX97" s="10">
        <v>0</v>
      </c>
      <c r="CY97" s="10">
        <v>0</v>
      </c>
      <c r="CZ97" s="10">
        <v>0</v>
      </c>
      <c r="DA97" s="10">
        <v>0</v>
      </c>
      <c r="DB97" s="10">
        <v>0</v>
      </c>
      <c r="DC97" s="10">
        <v>0</v>
      </c>
      <c r="DD97" s="10">
        <v>9.1339713747255372E-2</v>
      </c>
      <c r="DE97" s="10">
        <v>0</v>
      </c>
      <c r="DF97" s="10">
        <v>0</v>
      </c>
      <c r="DG97" s="10">
        <v>0</v>
      </c>
      <c r="DH97" s="10">
        <v>0</v>
      </c>
      <c r="DI97" s="10">
        <v>0</v>
      </c>
      <c r="DJ97" s="10">
        <v>0</v>
      </c>
      <c r="DK97" s="10">
        <v>0</v>
      </c>
      <c r="DL97" s="10">
        <v>0</v>
      </c>
      <c r="DM97" s="10">
        <v>0</v>
      </c>
      <c r="DN97" s="10">
        <v>0</v>
      </c>
      <c r="DO97" s="10">
        <v>0</v>
      </c>
      <c r="DP97" s="10">
        <v>0</v>
      </c>
      <c r="DQ97" s="10">
        <v>0</v>
      </c>
      <c r="DR97" s="10">
        <v>0</v>
      </c>
      <c r="DS97" s="10">
        <v>6.5262767602602603E-3</v>
      </c>
      <c r="DT97" s="10">
        <v>0</v>
      </c>
      <c r="DU97" s="10">
        <v>0</v>
      </c>
      <c r="DV97" s="10">
        <v>0</v>
      </c>
      <c r="DW97" s="10">
        <v>0</v>
      </c>
      <c r="DX97" s="10">
        <v>0</v>
      </c>
      <c r="DY97" s="10">
        <v>0</v>
      </c>
      <c r="DZ97" s="10">
        <v>0</v>
      </c>
      <c r="EA97" s="10">
        <v>0</v>
      </c>
      <c r="EB97" s="10">
        <v>0</v>
      </c>
      <c r="EC97" s="10">
        <v>0</v>
      </c>
      <c r="ED97" s="10">
        <v>0</v>
      </c>
      <c r="EE97" s="10">
        <v>0</v>
      </c>
      <c r="EF97" s="10">
        <v>0</v>
      </c>
      <c r="EG97" s="10">
        <v>0</v>
      </c>
      <c r="EH97" s="10">
        <v>0</v>
      </c>
      <c r="EI97" s="10">
        <v>0</v>
      </c>
      <c r="EJ97" s="10">
        <v>0</v>
      </c>
      <c r="EK97" s="10">
        <v>0</v>
      </c>
      <c r="EL97" s="10">
        <v>0</v>
      </c>
      <c r="EM97" s="10">
        <v>0</v>
      </c>
      <c r="EN97" s="10">
        <v>0</v>
      </c>
      <c r="EO97" s="10">
        <v>0</v>
      </c>
      <c r="EP97" s="10">
        <v>0</v>
      </c>
      <c r="EQ97" s="10">
        <v>0</v>
      </c>
      <c r="ER97" s="10">
        <v>0</v>
      </c>
      <c r="ES97" s="10">
        <v>0</v>
      </c>
      <c r="ET97" s="10">
        <v>0</v>
      </c>
      <c r="EU97" s="10">
        <v>0</v>
      </c>
      <c r="EV97" s="10">
        <v>0</v>
      </c>
      <c r="EW97" s="10">
        <v>0</v>
      </c>
      <c r="EX97" s="10">
        <v>0</v>
      </c>
      <c r="EY97" s="10">
        <v>0</v>
      </c>
      <c r="EZ97" s="10">
        <v>0</v>
      </c>
      <c r="FA97" s="10">
        <v>0</v>
      </c>
      <c r="FB97" s="10">
        <v>0</v>
      </c>
      <c r="FC97" s="10">
        <v>0</v>
      </c>
      <c r="FD97" s="10">
        <v>0</v>
      </c>
      <c r="FE97" s="10">
        <v>0</v>
      </c>
      <c r="FF97" s="10">
        <v>0</v>
      </c>
      <c r="FG97" s="10">
        <v>0</v>
      </c>
      <c r="FH97" s="10">
        <v>0</v>
      </c>
      <c r="FI97" s="10">
        <v>0</v>
      </c>
      <c r="FJ97" s="10">
        <v>0</v>
      </c>
      <c r="FK97" s="10">
        <v>0</v>
      </c>
      <c r="FL97" s="10">
        <v>0</v>
      </c>
      <c r="FM97" s="10">
        <v>0</v>
      </c>
      <c r="FN97" s="10">
        <v>0</v>
      </c>
      <c r="FO97" s="10">
        <v>0</v>
      </c>
      <c r="FP97" s="10">
        <v>0</v>
      </c>
      <c r="FQ97" s="10">
        <v>0</v>
      </c>
      <c r="FR97" s="10">
        <v>0</v>
      </c>
      <c r="FS97" s="10">
        <v>0</v>
      </c>
      <c r="FT97" s="10">
        <v>0</v>
      </c>
      <c r="FU97" s="10">
        <v>0</v>
      </c>
      <c r="FV97" s="10">
        <v>0</v>
      </c>
      <c r="FW97" s="10">
        <v>0</v>
      </c>
      <c r="FX97" s="10">
        <v>0</v>
      </c>
      <c r="FY97" s="10">
        <v>0</v>
      </c>
      <c r="FZ97" s="10">
        <v>0</v>
      </c>
      <c r="GA97" s="10">
        <v>0</v>
      </c>
      <c r="GB97" s="10">
        <v>0</v>
      </c>
      <c r="GC97" s="10">
        <v>0</v>
      </c>
      <c r="GD97" s="10">
        <v>0</v>
      </c>
      <c r="GE97" s="10">
        <v>0</v>
      </c>
      <c r="GF97" s="10">
        <v>0</v>
      </c>
      <c r="GG97" s="10">
        <v>0</v>
      </c>
      <c r="GH97" s="10">
        <v>0</v>
      </c>
      <c r="GI97" s="10">
        <v>0</v>
      </c>
      <c r="GJ97" s="10">
        <v>0</v>
      </c>
      <c r="GK97" s="10">
        <v>0</v>
      </c>
      <c r="GL97" s="10">
        <v>0</v>
      </c>
      <c r="GM97" s="10">
        <v>0</v>
      </c>
      <c r="GN97" s="10">
        <v>0</v>
      </c>
      <c r="GO97" s="10">
        <v>0</v>
      </c>
      <c r="GP97" s="10">
        <v>0</v>
      </c>
      <c r="GQ97" s="10">
        <v>0</v>
      </c>
      <c r="GR97" s="10">
        <v>0</v>
      </c>
      <c r="GS97" s="10">
        <v>0</v>
      </c>
      <c r="GT97" s="10">
        <v>0</v>
      </c>
      <c r="GU97" s="10">
        <v>0</v>
      </c>
      <c r="GV97" s="10">
        <v>0.19354629419650024</v>
      </c>
      <c r="GW97" s="10">
        <v>0</v>
      </c>
      <c r="GX97" s="10">
        <v>0</v>
      </c>
      <c r="GY97" s="10">
        <v>0</v>
      </c>
      <c r="GZ97" s="10">
        <v>0</v>
      </c>
      <c r="HA97" s="10">
        <v>0</v>
      </c>
      <c r="HB97" s="10">
        <v>0</v>
      </c>
      <c r="HC97" s="10">
        <v>0</v>
      </c>
      <c r="HD97" s="10">
        <v>0</v>
      </c>
      <c r="HE97" s="10">
        <v>0</v>
      </c>
      <c r="HF97" s="10">
        <v>0</v>
      </c>
      <c r="HG97" s="10">
        <v>0.56883394996973458</v>
      </c>
      <c r="HH97" s="10">
        <v>0</v>
      </c>
      <c r="HI97" s="10">
        <v>0</v>
      </c>
      <c r="HJ97" s="10">
        <v>0</v>
      </c>
      <c r="HK97" s="10">
        <v>0</v>
      </c>
      <c r="HL97" s="10">
        <v>0</v>
      </c>
      <c r="HM97" s="10">
        <v>0</v>
      </c>
      <c r="HN97" s="10">
        <v>0</v>
      </c>
      <c r="HO97" s="10">
        <v>0</v>
      </c>
      <c r="HP97" s="10">
        <v>0</v>
      </c>
      <c r="HQ97" s="10">
        <v>0</v>
      </c>
      <c r="HR97" s="10">
        <v>0</v>
      </c>
      <c r="HS97" s="10">
        <v>0</v>
      </c>
      <c r="HT97" s="10">
        <v>0</v>
      </c>
      <c r="HU97" s="10">
        <v>0</v>
      </c>
    </row>
    <row r="98" spans="1:229" x14ac:dyDescent="0.25">
      <c r="A98" s="10">
        <v>0</v>
      </c>
      <c r="B98" s="2" t="s">
        <v>184</v>
      </c>
      <c r="C98" s="2" t="s">
        <v>185</v>
      </c>
      <c r="D98" s="2">
        <v>0.74199999999999999</v>
      </c>
      <c r="E98" s="2">
        <v>3.98</v>
      </c>
      <c r="F98" s="2">
        <v>18.64</v>
      </c>
      <c r="G98" s="2">
        <v>0</v>
      </c>
      <c r="H98" s="2">
        <v>18.64</v>
      </c>
      <c r="I98" s="2">
        <v>53</v>
      </c>
      <c r="J98" s="2">
        <v>0.316</v>
      </c>
      <c r="K98" s="2">
        <v>3.3000000000000002E-2</v>
      </c>
      <c r="L98" s="3"/>
      <c r="M98" s="2" t="str">
        <f t="shared" si="8"/>
        <v>01120</v>
      </c>
      <c r="N98" s="3">
        <v>0.61734830913975225</v>
      </c>
      <c r="O98" s="3">
        <v>1.3826516908602478</v>
      </c>
      <c r="P98" s="17">
        <v>0.6173483091397578</v>
      </c>
      <c r="Q98" s="3">
        <v>1.6381617194807701</v>
      </c>
      <c r="R98" s="3">
        <v>0.55050950099945939</v>
      </c>
      <c r="S98" s="3" t="e">
        <v>#DIV/0!</v>
      </c>
      <c r="T98" s="3">
        <v>0.49654515445576364</v>
      </c>
      <c r="U98" s="3">
        <v>0.61734830913975203</v>
      </c>
      <c r="V98" s="3">
        <v>1.3826516908599946</v>
      </c>
      <c r="W98" s="3">
        <v>4.6290557157475201</v>
      </c>
      <c r="X98" s="3">
        <v>0.45807244538170028</v>
      </c>
      <c r="Y98" s="3">
        <v>6.5198836435334648</v>
      </c>
      <c r="Z98" s="3">
        <v>10.261497098629922</v>
      </c>
      <c r="AA98" s="3">
        <v>0.52799511019754108</v>
      </c>
      <c r="AB98" s="3">
        <v>9.2556016790554345</v>
      </c>
      <c r="AC98" s="3">
        <v>32.719460384406858</v>
      </c>
      <c r="AD98" s="3">
        <v>0.43691793431175829</v>
      </c>
      <c r="AE98" s="3">
        <v>0.15275883861966816</v>
      </c>
      <c r="AF98" s="3">
        <v>0</v>
      </c>
      <c r="AG98" s="3">
        <v>0</v>
      </c>
      <c r="AH98" s="3">
        <v>0</v>
      </c>
      <c r="AI98" s="3">
        <v>0</v>
      </c>
      <c r="AJ98" s="3">
        <v>0</v>
      </c>
      <c r="AK98" s="3">
        <v>0</v>
      </c>
      <c r="AL98" s="3">
        <v>0</v>
      </c>
      <c r="AM98" s="3">
        <v>0</v>
      </c>
      <c r="AN98" s="3">
        <v>0</v>
      </c>
      <c r="AO98" s="3">
        <v>0</v>
      </c>
      <c r="AP98" s="3">
        <v>0</v>
      </c>
      <c r="AQ98" s="3">
        <v>0</v>
      </c>
      <c r="AR98" s="3">
        <v>0</v>
      </c>
      <c r="AS98" s="3">
        <v>0</v>
      </c>
      <c r="AT98" s="3">
        <v>0</v>
      </c>
      <c r="AU98" s="3">
        <v>0</v>
      </c>
      <c r="AV98" s="3">
        <v>0</v>
      </c>
      <c r="AW98" s="3">
        <v>0</v>
      </c>
      <c r="AX98" s="3">
        <v>0</v>
      </c>
      <c r="AY98" s="3">
        <v>0</v>
      </c>
      <c r="AZ98" s="3">
        <v>0</v>
      </c>
      <c r="BA98" s="10">
        <v>0</v>
      </c>
      <c r="BB98" s="10">
        <v>0</v>
      </c>
      <c r="BC98" s="10">
        <v>0</v>
      </c>
      <c r="BD98" s="10">
        <v>0</v>
      </c>
      <c r="BE98" s="10">
        <v>0</v>
      </c>
      <c r="BF98" s="10">
        <v>0</v>
      </c>
      <c r="BG98" s="10">
        <v>0</v>
      </c>
      <c r="BH98" s="10">
        <v>0</v>
      </c>
      <c r="BI98" s="10">
        <v>0</v>
      </c>
      <c r="BJ98" s="10">
        <v>0</v>
      </c>
      <c r="BK98" s="10">
        <v>0</v>
      </c>
      <c r="BL98" s="10">
        <v>0</v>
      </c>
      <c r="BM98" s="10">
        <v>0</v>
      </c>
      <c r="BN98" s="10">
        <v>0</v>
      </c>
      <c r="BO98" s="10">
        <v>0</v>
      </c>
      <c r="BP98" s="10">
        <v>0</v>
      </c>
      <c r="BQ98" s="10">
        <v>0</v>
      </c>
      <c r="BR98" s="10">
        <v>0</v>
      </c>
      <c r="BS98" s="10">
        <v>0</v>
      </c>
      <c r="BT98" s="10">
        <v>0</v>
      </c>
      <c r="BU98" s="10">
        <v>0</v>
      </c>
      <c r="BV98" s="10">
        <v>0</v>
      </c>
      <c r="BW98" s="10">
        <v>0</v>
      </c>
      <c r="BX98" s="10">
        <v>0</v>
      </c>
      <c r="BY98" s="10">
        <v>0</v>
      </c>
      <c r="BZ98" s="10">
        <v>0</v>
      </c>
      <c r="CA98" s="10">
        <v>9.1275018068719363E-2</v>
      </c>
      <c r="CB98" s="10">
        <v>0</v>
      </c>
      <c r="CC98" s="10">
        <v>0</v>
      </c>
      <c r="CD98" s="10">
        <v>0</v>
      </c>
      <c r="CE98" s="10">
        <v>0</v>
      </c>
      <c r="CF98" s="10">
        <v>0</v>
      </c>
      <c r="CG98" s="10">
        <v>0</v>
      </c>
      <c r="CH98" s="10">
        <v>0</v>
      </c>
      <c r="CI98" s="10">
        <v>0</v>
      </c>
      <c r="CJ98" s="10">
        <v>0</v>
      </c>
      <c r="CK98" s="10">
        <v>0</v>
      </c>
      <c r="CL98" s="10">
        <v>0</v>
      </c>
      <c r="CM98" s="10">
        <v>0</v>
      </c>
      <c r="CN98" s="10">
        <v>0</v>
      </c>
      <c r="CO98" s="10">
        <v>0</v>
      </c>
      <c r="CP98" s="10">
        <v>0</v>
      </c>
      <c r="CQ98" s="10">
        <v>0</v>
      </c>
      <c r="CR98" s="10">
        <v>0</v>
      </c>
      <c r="CS98" s="10">
        <v>0</v>
      </c>
      <c r="CT98" s="10">
        <v>0</v>
      </c>
      <c r="CU98" s="10">
        <v>0</v>
      </c>
      <c r="CV98" s="10">
        <v>0</v>
      </c>
      <c r="CW98" s="10">
        <v>0</v>
      </c>
      <c r="CX98" s="10">
        <v>0</v>
      </c>
      <c r="CY98" s="10">
        <v>0</v>
      </c>
      <c r="CZ98" s="10">
        <v>0</v>
      </c>
      <c r="DA98" s="10">
        <v>0</v>
      </c>
      <c r="DB98" s="10">
        <v>0</v>
      </c>
      <c r="DC98" s="10">
        <v>0</v>
      </c>
      <c r="DD98" s="10">
        <v>0.15444625307765053</v>
      </c>
      <c r="DE98" s="10">
        <v>0</v>
      </c>
      <c r="DF98" s="10">
        <v>0</v>
      </c>
      <c r="DG98" s="10">
        <v>0</v>
      </c>
      <c r="DH98" s="10">
        <v>0</v>
      </c>
      <c r="DI98" s="10">
        <v>0</v>
      </c>
      <c r="DJ98" s="10">
        <v>0</v>
      </c>
      <c r="DK98" s="10">
        <v>0</v>
      </c>
      <c r="DL98" s="10">
        <v>0</v>
      </c>
      <c r="DM98" s="10">
        <v>0</v>
      </c>
      <c r="DN98" s="10">
        <v>0</v>
      </c>
      <c r="DO98" s="10">
        <v>0</v>
      </c>
      <c r="DP98" s="10">
        <v>0</v>
      </c>
      <c r="DQ98" s="10">
        <v>0</v>
      </c>
      <c r="DR98" s="10">
        <v>0</v>
      </c>
      <c r="DS98" s="10">
        <v>0</v>
      </c>
      <c r="DT98" s="10">
        <v>0</v>
      </c>
      <c r="DU98" s="10">
        <v>0</v>
      </c>
      <c r="DV98" s="10">
        <v>0</v>
      </c>
      <c r="DW98" s="10">
        <v>0</v>
      </c>
      <c r="DX98" s="10">
        <v>0</v>
      </c>
      <c r="DY98" s="10">
        <v>0</v>
      </c>
      <c r="DZ98" s="10">
        <v>0</v>
      </c>
      <c r="EA98" s="10">
        <v>0</v>
      </c>
      <c r="EB98" s="10">
        <v>0</v>
      </c>
      <c r="EC98" s="10">
        <v>0</v>
      </c>
      <c r="ED98" s="10">
        <v>0</v>
      </c>
      <c r="EE98" s="10">
        <v>0</v>
      </c>
      <c r="EF98" s="10">
        <v>0</v>
      </c>
      <c r="EG98" s="10">
        <v>0</v>
      </c>
      <c r="EH98" s="10">
        <v>0</v>
      </c>
      <c r="EI98" s="10">
        <v>0</v>
      </c>
      <c r="EJ98" s="10">
        <v>0</v>
      </c>
      <c r="EK98" s="10">
        <v>0</v>
      </c>
      <c r="EL98" s="10">
        <v>0</v>
      </c>
      <c r="EM98" s="10">
        <v>0</v>
      </c>
      <c r="EN98" s="10">
        <v>0</v>
      </c>
      <c r="EO98" s="10">
        <v>0</v>
      </c>
      <c r="EP98" s="10">
        <v>0</v>
      </c>
      <c r="EQ98" s="10">
        <v>0</v>
      </c>
      <c r="ER98" s="10">
        <v>0</v>
      </c>
      <c r="ES98" s="10">
        <v>0</v>
      </c>
      <c r="ET98" s="10">
        <v>0</v>
      </c>
      <c r="EU98" s="10">
        <v>0</v>
      </c>
      <c r="EV98" s="10">
        <v>0</v>
      </c>
      <c r="EW98" s="10">
        <v>0</v>
      </c>
      <c r="EX98" s="10">
        <v>0</v>
      </c>
      <c r="EY98" s="10">
        <v>0</v>
      </c>
      <c r="EZ98" s="10">
        <v>0</v>
      </c>
      <c r="FA98" s="10">
        <v>0</v>
      </c>
      <c r="FB98" s="10">
        <v>0</v>
      </c>
      <c r="FC98" s="10">
        <v>0</v>
      </c>
      <c r="FD98" s="10">
        <v>0</v>
      </c>
      <c r="FE98" s="10">
        <v>0</v>
      </c>
      <c r="FF98" s="10">
        <v>0</v>
      </c>
      <c r="FG98" s="10">
        <v>0</v>
      </c>
      <c r="FH98" s="10">
        <v>0</v>
      </c>
      <c r="FI98" s="10">
        <v>0</v>
      </c>
      <c r="FJ98" s="10">
        <v>0</v>
      </c>
      <c r="FK98" s="10">
        <v>0</v>
      </c>
      <c r="FL98" s="10">
        <v>0</v>
      </c>
      <c r="FM98" s="10">
        <v>0</v>
      </c>
      <c r="FN98" s="10">
        <v>0</v>
      </c>
      <c r="FO98" s="10">
        <v>0</v>
      </c>
      <c r="FP98" s="10">
        <v>0</v>
      </c>
      <c r="FQ98" s="10">
        <v>0</v>
      </c>
      <c r="FR98" s="10">
        <v>0</v>
      </c>
      <c r="FS98" s="10">
        <v>0</v>
      </c>
      <c r="FT98" s="10">
        <v>0</v>
      </c>
      <c r="FU98" s="10">
        <v>0</v>
      </c>
      <c r="FV98" s="10">
        <v>0</v>
      </c>
      <c r="FW98" s="10">
        <v>0</v>
      </c>
      <c r="FX98" s="10">
        <v>0</v>
      </c>
      <c r="FY98" s="10">
        <v>0</v>
      </c>
      <c r="FZ98" s="10">
        <v>0</v>
      </c>
      <c r="GA98" s="10">
        <v>0</v>
      </c>
      <c r="GB98" s="10">
        <v>0</v>
      </c>
      <c r="GC98" s="10">
        <v>0</v>
      </c>
      <c r="GD98" s="10">
        <v>0</v>
      </c>
      <c r="GE98" s="10">
        <v>0</v>
      </c>
      <c r="GF98" s="10">
        <v>0</v>
      </c>
      <c r="GG98" s="10">
        <v>0</v>
      </c>
      <c r="GH98" s="10">
        <v>0</v>
      </c>
      <c r="GI98" s="10">
        <v>0</v>
      </c>
      <c r="GJ98" s="10">
        <v>0</v>
      </c>
      <c r="GK98" s="10">
        <v>0</v>
      </c>
      <c r="GL98" s="10">
        <v>0</v>
      </c>
      <c r="GM98" s="10">
        <v>0</v>
      </c>
      <c r="GN98" s="10">
        <v>0</v>
      </c>
      <c r="GO98" s="10">
        <v>0</v>
      </c>
      <c r="GP98" s="10">
        <v>0</v>
      </c>
      <c r="GQ98" s="10">
        <v>0</v>
      </c>
      <c r="GR98" s="10">
        <v>0</v>
      </c>
      <c r="GS98" s="10">
        <v>0</v>
      </c>
      <c r="GT98" s="10">
        <v>0</v>
      </c>
      <c r="GU98" s="10">
        <v>0</v>
      </c>
      <c r="GV98" s="10">
        <v>0</v>
      </c>
      <c r="GW98" s="10">
        <v>0</v>
      </c>
      <c r="GX98" s="10">
        <v>0</v>
      </c>
      <c r="GY98" s="10">
        <v>0</v>
      </c>
      <c r="GZ98" s="10">
        <v>0</v>
      </c>
      <c r="HA98" s="10">
        <v>0</v>
      </c>
      <c r="HB98" s="10">
        <v>0</v>
      </c>
      <c r="HC98" s="10">
        <v>0</v>
      </c>
      <c r="HD98" s="10">
        <v>0</v>
      </c>
      <c r="HE98" s="10">
        <v>0</v>
      </c>
      <c r="HF98" s="10">
        <v>0</v>
      </c>
      <c r="HG98" s="10">
        <v>0.75427872885363012</v>
      </c>
      <c r="HH98" s="10">
        <v>0</v>
      </c>
      <c r="HI98" s="10">
        <v>0</v>
      </c>
      <c r="HJ98" s="10">
        <v>0</v>
      </c>
      <c r="HK98" s="10">
        <v>0</v>
      </c>
      <c r="HL98" s="10">
        <v>0</v>
      </c>
      <c r="HM98" s="10">
        <v>0</v>
      </c>
      <c r="HN98" s="10">
        <v>0</v>
      </c>
      <c r="HO98" s="10">
        <v>0</v>
      </c>
      <c r="HP98" s="10">
        <v>0</v>
      </c>
      <c r="HQ98" s="10">
        <v>0</v>
      </c>
      <c r="HR98" s="10">
        <v>0</v>
      </c>
      <c r="HS98" s="10">
        <v>0</v>
      </c>
      <c r="HT98" s="10">
        <v>0</v>
      </c>
      <c r="HU98" s="10">
        <v>0</v>
      </c>
    </row>
    <row r="99" spans="1:229" x14ac:dyDescent="0.25">
      <c r="A99" s="10">
        <v>0</v>
      </c>
      <c r="B99" s="2" t="s">
        <v>186</v>
      </c>
      <c r="C99" s="2" t="s">
        <v>187</v>
      </c>
      <c r="D99" s="2">
        <v>0.69699999999999995</v>
      </c>
      <c r="E99" s="2">
        <v>4.37</v>
      </c>
      <c r="F99" s="2">
        <v>19.05</v>
      </c>
      <c r="G99" s="2">
        <v>0</v>
      </c>
      <c r="H99" s="2">
        <v>19.05</v>
      </c>
      <c r="I99" s="2">
        <v>58</v>
      </c>
      <c r="J99" s="2">
        <v>0.29699999999999999</v>
      </c>
      <c r="K99" s="2">
        <v>3.1E-2</v>
      </c>
      <c r="L99" s="3"/>
      <c r="M99" s="2" t="str">
        <f t="shared" si="8"/>
        <v>01121</v>
      </c>
      <c r="N99" s="3">
        <v>0.58350044883707142</v>
      </c>
      <c r="O99" s="3">
        <v>1.4164995511629288</v>
      </c>
      <c r="P99" s="17">
        <v>0.5835004488368476</v>
      </c>
      <c r="Q99" s="3">
        <v>1.5230476466952045</v>
      </c>
      <c r="R99" s="3">
        <v>0.53892884270802821</v>
      </c>
      <c r="S99" s="3" t="e">
        <v>#DIV/0!</v>
      </c>
      <c r="T99" s="3">
        <v>0.47983544269649392</v>
      </c>
      <c r="U99" s="3">
        <v>0.58350044883707108</v>
      </c>
      <c r="V99" s="3">
        <v>1.4164995511632412</v>
      </c>
      <c r="W99" s="3">
        <v>4.9346581036836783</v>
      </c>
      <c r="X99" s="3">
        <v>0.40669981283928275</v>
      </c>
      <c r="Y99" s="3">
        <v>6.6557182160580437</v>
      </c>
      <c r="Z99" s="3">
        <v>10.266594453587938</v>
      </c>
      <c r="AA99" s="3">
        <v>0.53619588049843558</v>
      </c>
      <c r="AB99" s="3">
        <v>9.1408651833682093</v>
      </c>
      <c r="AC99" s="3">
        <v>33.843026032550121</v>
      </c>
      <c r="AD99" s="3">
        <v>0.42070036669548261</v>
      </c>
      <c r="AE99" s="3">
        <v>0.15297440121419403</v>
      </c>
      <c r="AF99" s="3">
        <v>0</v>
      </c>
      <c r="AG99" s="3">
        <v>0</v>
      </c>
      <c r="AH99" s="3">
        <v>0</v>
      </c>
      <c r="AI99" s="3">
        <v>0</v>
      </c>
      <c r="AJ99" s="3">
        <v>0</v>
      </c>
      <c r="AK99" s="3">
        <v>0</v>
      </c>
      <c r="AL99" s="3">
        <v>0</v>
      </c>
      <c r="AM99" s="3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3">
        <v>0</v>
      </c>
      <c r="AU99" s="3">
        <v>0</v>
      </c>
      <c r="AV99" s="3">
        <v>0</v>
      </c>
      <c r="AW99" s="3">
        <v>0</v>
      </c>
      <c r="AX99" s="3">
        <v>0</v>
      </c>
      <c r="AY99" s="3">
        <v>0</v>
      </c>
      <c r="AZ99" s="3">
        <v>0</v>
      </c>
      <c r="BA99" s="10">
        <v>0</v>
      </c>
      <c r="BB99" s="10">
        <v>0</v>
      </c>
      <c r="BC99" s="10">
        <v>0</v>
      </c>
      <c r="BD99" s="10">
        <v>0</v>
      </c>
      <c r="BE99" s="10">
        <v>0</v>
      </c>
      <c r="BF99" s="10">
        <v>0</v>
      </c>
      <c r="BG99" s="10">
        <v>0</v>
      </c>
      <c r="BH99" s="10">
        <v>0</v>
      </c>
      <c r="BI99" s="10">
        <v>0</v>
      </c>
      <c r="BJ99" s="10">
        <v>0</v>
      </c>
      <c r="BK99" s="10">
        <v>0</v>
      </c>
      <c r="BL99" s="10">
        <v>0</v>
      </c>
      <c r="BM99" s="10">
        <v>0</v>
      </c>
      <c r="BN99" s="10">
        <v>0</v>
      </c>
      <c r="BO99" s="10">
        <v>0</v>
      </c>
      <c r="BP99" s="10">
        <v>0</v>
      </c>
      <c r="BQ99" s="10">
        <v>0</v>
      </c>
      <c r="BR99" s="10">
        <v>0</v>
      </c>
      <c r="BS99" s="10">
        <v>0</v>
      </c>
      <c r="BT99" s="10">
        <v>0</v>
      </c>
      <c r="BU99" s="10">
        <v>0</v>
      </c>
      <c r="BV99" s="10">
        <v>0</v>
      </c>
      <c r="BW99" s="10">
        <v>0</v>
      </c>
      <c r="BX99" s="10">
        <v>0</v>
      </c>
      <c r="BY99" s="10">
        <v>0</v>
      </c>
      <c r="BZ99" s="10">
        <v>0</v>
      </c>
      <c r="CA99" s="10">
        <v>0.11467800481464693</v>
      </c>
      <c r="CB99" s="10">
        <v>0</v>
      </c>
      <c r="CC99" s="10">
        <v>0</v>
      </c>
      <c r="CD99" s="10">
        <v>0</v>
      </c>
      <c r="CE99" s="10">
        <v>0</v>
      </c>
      <c r="CF99" s="10">
        <v>0</v>
      </c>
      <c r="CG99" s="10">
        <v>0</v>
      </c>
      <c r="CH99" s="10">
        <v>0</v>
      </c>
      <c r="CI99" s="10">
        <v>0</v>
      </c>
      <c r="CJ99" s="10">
        <v>0</v>
      </c>
      <c r="CK99" s="10">
        <v>0</v>
      </c>
      <c r="CL99" s="10">
        <v>0</v>
      </c>
      <c r="CM99" s="10">
        <v>0</v>
      </c>
      <c r="CN99" s="10">
        <v>0</v>
      </c>
      <c r="CO99" s="10">
        <v>0</v>
      </c>
      <c r="CP99" s="10">
        <v>0</v>
      </c>
      <c r="CQ99" s="10">
        <v>0</v>
      </c>
      <c r="CR99" s="10">
        <v>0</v>
      </c>
      <c r="CS99" s="10">
        <v>0</v>
      </c>
      <c r="CT99" s="10">
        <v>0</v>
      </c>
      <c r="CU99" s="10">
        <v>0</v>
      </c>
      <c r="CV99" s="10">
        <v>0</v>
      </c>
      <c r="CW99" s="10">
        <v>0</v>
      </c>
      <c r="CX99" s="10">
        <v>0</v>
      </c>
      <c r="CY99" s="10">
        <v>0</v>
      </c>
      <c r="CZ99" s="10">
        <v>0</v>
      </c>
      <c r="DA99" s="10">
        <v>0</v>
      </c>
      <c r="DB99" s="10">
        <v>0</v>
      </c>
      <c r="DC99" s="10">
        <v>0</v>
      </c>
      <c r="DD99" s="10">
        <v>0.11932788018758791</v>
      </c>
      <c r="DE99" s="10">
        <v>0</v>
      </c>
      <c r="DF99" s="10">
        <v>0</v>
      </c>
      <c r="DG99" s="10">
        <v>0</v>
      </c>
      <c r="DH99" s="10">
        <v>0</v>
      </c>
      <c r="DI99" s="10">
        <v>0</v>
      </c>
      <c r="DJ99" s="10">
        <v>0</v>
      </c>
      <c r="DK99" s="10">
        <v>0</v>
      </c>
      <c r="DL99" s="10">
        <v>0</v>
      </c>
      <c r="DM99" s="10">
        <v>0</v>
      </c>
      <c r="DN99" s="10">
        <v>0</v>
      </c>
      <c r="DO99" s="10">
        <v>0</v>
      </c>
      <c r="DP99" s="10">
        <v>0</v>
      </c>
      <c r="DQ99" s="10">
        <v>0</v>
      </c>
      <c r="DR99" s="10">
        <v>0</v>
      </c>
      <c r="DS99" s="10">
        <v>0</v>
      </c>
      <c r="DT99" s="10">
        <v>0</v>
      </c>
      <c r="DU99" s="10">
        <v>0</v>
      </c>
      <c r="DV99" s="10">
        <v>0</v>
      </c>
      <c r="DW99" s="10">
        <v>0</v>
      </c>
      <c r="DX99" s="10">
        <v>0</v>
      </c>
      <c r="DY99" s="10">
        <v>0</v>
      </c>
      <c r="DZ99" s="10">
        <v>0</v>
      </c>
      <c r="EA99" s="10">
        <v>0</v>
      </c>
      <c r="EB99" s="10">
        <v>0</v>
      </c>
      <c r="EC99" s="10">
        <v>0</v>
      </c>
      <c r="ED99" s="10">
        <v>0</v>
      </c>
      <c r="EE99" s="10">
        <v>0</v>
      </c>
      <c r="EF99" s="10">
        <v>0</v>
      </c>
      <c r="EG99" s="10">
        <v>0</v>
      </c>
      <c r="EH99" s="10">
        <v>0</v>
      </c>
      <c r="EI99" s="10">
        <v>0</v>
      </c>
      <c r="EJ99" s="10">
        <v>0</v>
      </c>
      <c r="EK99" s="10">
        <v>0</v>
      </c>
      <c r="EL99" s="10">
        <v>0</v>
      </c>
      <c r="EM99" s="10">
        <v>0</v>
      </c>
      <c r="EN99" s="10">
        <v>0</v>
      </c>
      <c r="EO99" s="10">
        <v>0</v>
      </c>
      <c r="EP99" s="10">
        <v>0</v>
      </c>
      <c r="EQ99" s="10">
        <v>0</v>
      </c>
      <c r="ER99" s="10">
        <v>0</v>
      </c>
      <c r="ES99" s="10">
        <v>0</v>
      </c>
      <c r="ET99" s="10">
        <v>0</v>
      </c>
      <c r="EU99" s="10">
        <v>0</v>
      </c>
      <c r="EV99" s="10">
        <v>0</v>
      </c>
      <c r="EW99" s="10">
        <v>0</v>
      </c>
      <c r="EX99" s="10">
        <v>0</v>
      </c>
      <c r="EY99" s="10">
        <v>0</v>
      </c>
      <c r="EZ99" s="10">
        <v>0</v>
      </c>
      <c r="FA99" s="10">
        <v>0</v>
      </c>
      <c r="FB99" s="10">
        <v>0</v>
      </c>
      <c r="FC99" s="10">
        <v>0</v>
      </c>
      <c r="FD99" s="10">
        <v>0</v>
      </c>
      <c r="FE99" s="10">
        <v>0</v>
      </c>
      <c r="FF99" s="10">
        <v>0</v>
      </c>
      <c r="FG99" s="10">
        <v>0</v>
      </c>
      <c r="FH99" s="10">
        <v>0</v>
      </c>
      <c r="FI99" s="10">
        <v>0</v>
      </c>
      <c r="FJ99" s="10">
        <v>0</v>
      </c>
      <c r="FK99" s="10">
        <v>0</v>
      </c>
      <c r="FL99" s="10">
        <v>0</v>
      </c>
      <c r="FM99" s="10">
        <v>0</v>
      </c>
      <c r="FN99" s="10">
        <v>0</v>
      </c>
      <c r="FO99" s="10">
        <v>0</v>
      </c>
      <c r="FP99" s="10">
        <v>0</v>
      </c>
      <c r="FQ99" s="10">
        <v>0</v>
      </c>
      <c r="FR99" s="10">
        <v>0</v>
      </c>
      <c r="FS99" s="10">
        <v>0</v>
      </c>
      <c r="FT99" s="10">
        <v>0</v>
      </c>
      <c r="FU99" s="10">
        <v>0</v>
      </c>
      <c r="FV99" s="10">
        <v>0</v>
      </c>
      <c r="FW99" s="10">
        <v>0</v>
      </c>
      <c r="FX99" s="10">
        <v>0</v>
      </c>
      <c r="FY99" s="10">
        <v>0</v>
      </c>
      <c r="FZ99" s="10">
        <v>0</v>
      </c>
      <c r="GA99" s="10">
        <v>0</v>
      </c>
      <c r="GB99" s="10">
        <v>0</v>
      </c>
      <c r="GC99" s="10">
        <v>0</v>
      </c>
      <c r="GD99" s="10">
        <v>0</v>
      </c>
      <c r="GE99" s="10">
        <v>0</v>
      </c>
      <c r="GF99" s="10">
        <v>0</v>
      </c>
      <c r="GG99" s="10">
        <v>0</v>
      </c>
      <c r="GH99" s="10">
        <v>0</v>
      </c>
      <c r="GI99" s="10">
        <v>0</v>
      </c>
      <c r="GJ99" s="10">
        <v>0</v>
      </c>
      <c r="GK99" s="10">
        <v>0</v>
      </c>
      <c r="GL99" s="10">
        <v>0</v>
      </c>
      <c r="GM99" s="10">
        <v>0</v>
      </c>
      <c r="GN99" s="10">
        <v>0</v>
      </c>
      <c r="GO99" s="10">
        <v>0</v>
      </c>
      <c r="GP99" s="10">
        <v>0</v>
      </c>
      <c r="GQ99" s="10">
        <v>0</v>
      </c>
      <c r="GR99" s="10">
        <v>0</v>
      </c>
      <c r="GS99" s="10">
        <v>0</v>
      </c>
      <c r="GT99" s="10">
        <v>0</v>
      </c>
      <c r="GU99" s="10">
        <v>0</v>
      </c>
      <c r="GV99" s="10">
        <v>0</v>
      </c>
      <c r="GW99" s="10">
        <v>0</v>
      </c>
      <c r="GX99" s="10">
        <v>0</v>
      </c>
      <c r="GY99" s="10">
        <v>0</v>
      </c>
      <c r="GZ99" s="10">
        <v>0</v>
      </c>
      <c r="HA99" s="10">
        <v>0</v>
      </c>
      <c r="HB99" s="10">
        <v>0</v>
      </c>
      <c r="HC99" s="10">
        <v>0</v>
      </c>
      <c r="HD99" s="10">
        <v>0</v>
      </c>
      <c r="HE99" s="10">
        <v>0</v>
      </c>
      <c r="HF99" s="10">
        <v>0</v>
      </c>
      <c r="HG99" s="10">
        <v>0.76599411499776515</v>
      </c>
      <c r="HH99" s="10">
        <v>0</v>
      </c>
      <c r="HI99" s="10">
        <v>0</v>
      </c>
      <c r="HJ99" s="10">
        <v>0</v>
      </c>
      <c r="HK99" s="10">
        <v>0</v>
      </c>
      <c r="HL99" s="10">
        <v>0</v>
      </c>
      <c r="HM99" s="10">
        <v>0</v>
      </c>
      <c r="HN99" s="10">
        <v>0</v>
      </c>
      <c r="HO99" s="10">
        <v>0</v>
      </c>
      <c r="HP99" s="10">
        <v>0</v>
      </c>
      <c r="HQ99" s="10">
        <v>0</v>
      </c>
      <c r="HR99" s="10">
        <v>0</v>
      </c>
      <c r="HS99" s="10">
        <v>0</v>
      </c>
      <c r="HT99" s="10">
        <v>0</v>
      </c>
      <c r="HU99" s="10">
        <v>0</v>
      </c>
    </row>
    <row r="100" spans="1:229" x14ac:dyDescent="0.25">
      <c r="A100" s="10">
        <v>0</v>
      </c>
      <c r="B100" s="2" t="s">
        <v>188</v>
      </c>
      <c r="C100" s="2" t="s">
        <v>189</v>
      </c>
      <c r="D100" s="2">
        <v>0.90900000000000003</v>
      </c>
      <c r="E100" s="2">
        <v>4.8600000000000003</v>
      </c>
      <c r="F100" s="2">
        <v>18.600000000000001</v>
      </c>
      <c r="G100" s="2">
        <v>0</v>
      </c>
      <c r="H100" s="2"/>
      <c r="I100" s="2">
        <v>65</v>
      </c>
      <c r="J100" s="2">
        <v>0.38700000000000001</v>
      </c>
      <c r="K100" s="2">
        <v>0.04</v>
      </c>
      <c r="L100" s="3"/>
      <c r="M100" s="2" t="str">
        <f t="shared" si="8"/>
        <v>01122</v>
      </c>
      <c r="N100" s="3">
        <v>0.99006415457327923</v>
      </c>
      <c r="O100" s="3">
        <v>1.0099358454267204</v>
      </c>
      <c r="P100" s="17">
        <v>0.99006415457350061</v>
      </c>
      <c r="Q100" s="3">
        <v>1.0099358454267131</v>
      </c>
      <c r="R100" s="3">
        <v>0.2898725622236194</v>
      </c>
      <c r="S100" s="3" t="e">
        <v>#DIV/0!</v>
      </c>
      <c r="T100" s="3" t="e">
        <v>#DIV/0!</v>
      </c>
      <c r="U100" s="3">
        <v>0.99006415457327923</v>
      </c>
      <c r="V100" s="3">
        <v>1.0199939501164832</v>
      </c>
      <c r="W100" s="3">
        <v>1.6227797443016059</v>
      </c>
      <c r="X100" s="3">
        <v>0.89996831650731213</v>
      </c>
      <c r="Y100" s="3">
        <v>4.9082882087738255</v>
      </c>
      <c r="Z100" s="3">
        <v>5.3916296573593208</v>
      </c>
      <c r="AA100" s="3">
        <v>0</v>
      </c>
      <c r="AB100" s="3">
        <v>0</v>
      </c>
      <c r="AC100" s="3">
        <v>64.354170047263153</v>
      </c>
      <c r="AD100" s="3">
        <v>0.39473765869507899</v>
      </c>
      <c r="AE100" s="3">
        <v>6.491118977206424E-2</v>
      </c>
      <c r="AF100" s="3">
        <v>0</v>
      </c>
      <c r="AG100" s="3">
        <v>0</v>
      </c>
      <c r="AH100" s="3">
        <v>0</v>
      </c>
      <c r="AI100" s="3">
        <v>0</v>
      </c>
      <c r="AJ100" s="3">
        <v>0</v>
      </c>
      <c r="AK100" s="3">
        <v>0</v>
      </c>
      <c r="AL100" s="3">
        <v>0</v>
      </c>
      <c r="AM100" s="3">
        <v>0</v>
      </c>
      <c r="AN100" s="3">
        <v>0</v>
      </c>
      <c r="AO100" s="3">
        <v>0</v>
      </c>
      <c r="AP100" s="3">
        <v>0</v>
      </c>
      <c r="AQ100" s="3">
        <v>0</v>
      </c>
      <c r="AR100" s="3">
        <v>0</v>
      </c>
      <c r="AS100" s="3">
        <v>0</v>
      </c>
      <c r="AT100" s="3">
        <v>0</v>
      </c>
      <c r="AU100" s="3">
        <v>0</v>
      </c>
      <c r="AV100" s="3">
        <v>0</v>
      </c>
      <c r="AW100" s="3">
        <v>0</v>
      </c>
      <c r="AX100" s="3">
        <v>0</v>
      </c>
      <c r="AY100" s="3">
        <v>0</v>
      </c>
      <c r="AZ100" s="3">
        <v>0</v>
      </c>
      <c r="BA100" s="10">
        <v>0</v>
      </c>
      <c r="BB100" s="10">
        <v>0</v>
      </c>
      <c r="BC100" s="10">
        <v>0</v>
      </c>
      <c r="BD100" s="10">
        <v>0</v>
      </c>
      <c r="BE100" s="10">
        <v>0</v>
      </c>
      <c r="BF100" s="10">
        <v>0</v>
      </c>
      <c r="BG100" s="10">
        <v>0</v>
      </c>
      <c r="BH100" s="10">
        <v>0</v>
      </c>
      <c r="BI100" s="10">
        <v>0</v>
      </c>
      <c r="BJ100" s="10">
        <v>0</v>
      </c>
      <c r="BK100" s="10">
        <v>0</v>
      </c>
      <c r="BL100" s="10">
        <v>4.0622799134753126E-2</v>
      </c>
      <c r="BM100" s="10">
        <v>0</v>
      </c>
      <c r="BN100" s="10">
        <v>0</v>
      </c>
      <c r="BO100" s="10">
        <v>0</v>
      </c>
      <c r="BP100" s="10">
        <v>0</v>
      </c>
      <c r="BQ100" s="10">
        <v>0</v>
      </c>
      <c r="BR100" s="10">
        <v>0</v>
      </c>
      <c r="BS100" s="10">
        <v>0</v>
      </c>
      <c r="BT100" s="10">
        <v>0</v>
      </c>
      <c r="BU100" s="10">
        <v>0</v>
      </c>
      <c r="BV100" s="10">
        <v>0</v>
      </c>
      <c r="BW100" s="10">
        <v>0</v>
      </c>
      <c r="BX100" s="10">
        <v>0</v>
      </c>
      <c r="BY100" s="10">
        <v>0</v>
      </c>
      <c r="BZ100" s="10">
        <v>0</v>
      </c>
      <c r="CA100" s="10">
        <v>0</v>
      </c>
      <c r="CB100" s="10">
        <v>0</v>
      </c>
      <c r="CC100" s="10">
        <v>0</v>
      </c>
      <c r="CD100" s="10">
        <v>0</v>
      </c>
      <c r="CE100" s="10">
        <v>0</v>
      </c>
      <c r="CF100" s="10">
        <v>0</v>
      </c>
      <c r="CG100" s="10">
        <v>0</v>
      </c>
      <c r="CH100" s="10">
        <v>0</v>
      </c>
      <c r="CI100" s="10">
        <v>0</v>
      </c>
      <c r="CJ100" s="10">
        <v>0</v>
      </c>
      <c r="CK100" s="10">
        <v>0</v>
      </c>
      <c r="CL100" s="10">
        <v>0</v>
      </c>
      <c r="CM100" s="10">
        <v>0</v>
      </c>
      <c r="CN100" s="10">
        <v>0</v>
      </c>
      <c r="CO100" s="10">
        <v>0</v>
      </c>
      <c r="CP100" s="10">
        <v>0</v>
      </c>
      <c r="CQ100" s="10">
        <v>0.95906134859936787</v>
      </c>
      <c r="CR100" s="10">
        <v>0</v>
      </c>
      <c r="CS100" s="10">
        <v>0</v>
      </c>
      <c r="CT100" s="10">
        <v>0</v>
      </c>
      <c r="CU100" s="10">
        <v>0</v>
      </c>
      <c r="CV100" s="10">
        <v>0</v>
      </c>
      <c r="CW100" s="10">
        <v>0</v>
      </c>
      <c r="CX100" s="10">
        <v>0</v>
      </c>
      <c r="CY100" s="10">
        <v>0</v>
      </c>
      <c r="CZ100" s="10">
        <v>0</v>
      </c>
      <c r="DA100" s="10">
        <v>0</v>
      </c>
      <c r="DB100" s="10">
        <v>0</v>
      </c>
      <c r="DC100" s="10">
        <v>0</v>
      </c>
      <c r="DD100" s="10">
        <v>0</v>
      </c>
      <c r="DE100" s="10">
        <v>0</v>
      </c>
      <c r="DF100" s="10">
        <v>0</v>
      </c>
      <c r="DG100" s="10">
        <v>0</v>
      </c>
      <c r="DH100" s="10">
        <v>0</v>
      </c>
      <c r="DI100" s="10">
        <v>0</v>
      </c>
      <c r="DJ100" s="10">
        <v>0</v>
      </c>
      <c r="DK100" s="10">
        <v>0</v>
      </c>
      <c r="DL100" s="10">
        <v>0</v>
      </c>
      <c r="DM100" s="10">
        <v>0</v>
      </c>
      <c r="DN100" s="10">
        <v>0</v>
      </c>
      <c r="DO100" s="10">
        <v>0</v>
      </c>
      <c r="DP100" s="10">
        <v>0</v>
      </c>
      <c r="DQ100" s="10">
        <v>0</v>
      </c>
      <c r="DR100" s="10">
        <v>0</v>
      </c>
      <c r="DS100" s="10">
        <v>0</v>
      </c>
      <c r="DT100" s="10">
        <v>0</v>
      </c>
      <c r="DU100" s="10">
        <v>0</v>
      </c>
      <c r="DV100" s="10">
        <v>0</v>
      </c>
      <c r="DW100" s="10">
        <v>0</v>
      </c>
      <c r="DX100" s="10">
        <v>0</v>
      </c>
      <c r="DY100" s="10">
        <v>3.1585226587887093E-4</v>
      </c>
      <c r="DZ100" s="10">
        <v>0</v>
      </c>
      <c r="EA100" s="10">
        <v>0</v>
      </c>
      <c r="EB100" s="10">
        <v>0</v>
      </c>
      <c r="EC100" s="10">
        <v>0</v>
      </c>
      <c r="ED100" s="10">
        <v>0</v>
      </c>
      <c r="EE100" s="10">
        <v>0</v>
      </c>
      <c r="EF100" s="10">
        <v>0</v>
      </c>
      <c r="EG100" s="10">
        <v>0</v>
      </c>
      <c r="EH100" s="10">
        <v>0</v>
      </c>
      <c r="EI100" s="10">
        <v>0</v>
      </c>
      <c r="EJ100" s="10">
        <v>0</v>
      </c>
      <c r="EK100" s="10">
        <v>0</v>
      </c>
      <c r="EL100" s="10">
        <v>0</v>
      </c>
      <c r="EM100" s="10">
        <v>0</v>
      </c>
      <c r="EN100" s="10">
        <v>0</v>
      </c>
      <c r="EO100" s="10">
        <v>0</v>
      </c>
      <c r="EP100" s="10">
        <v>0</v>
      </c>
      <c r="EQ100" s="10">
        <v>0</v>
      </c>
      <c r="ER100" s="10">
        <v>0</v>
      </c>
      <c r="ES100" s="10">
        <v>0</v>
      </c>
      <c r="ET100" s="10">
        <v>0</v>
      </c>
      <c r="EU100" s="10">
        <v>0</v>
      </c>
      <c r="EV100" s="10">
        <v>0</v>
      </c>
      <c r="EW100" s="10">
        <v>0</v>
      </c>
      <c r="EX100" s="10">
        <v>0</v>
      </c>
      <c r="EY100" s="10">
        <v>0</v>
      </c>
      <c r="EZ100" s="10">
        <v>0</v>
      </c>
      <c r="FA100" s="10">
        <v>0</v>
      </c>
      <c r="FB100" s="10">
        <v>0</v>
      </c>
      <c r="FC100" s="10">
        <v>0</v>
      </c>
      <c r="FD100" s="10">
        <v>0</v>
      </c>
      <c r="FE100" s="10">
        <v>0</v>
      </c>
      <c r="FF100" s="10">
        <v>0</v>
      </c>
      <c r="FG100" s="10">
        <v>0</v>
      </c>
      <c r="FH100" s="10">
        <v>0</v>
      </c>
      <c r="FI100" s="10">
        <v>0</v>
      </c>
      <c r="FJ100" s="10">
        <v>0</v>
      </c>
      <c r="FK100" s="10">
        <v>0</v>
      </c>
      <c r="FL100" s="10">
        <v>0</v>
      </c>
      <c r="FM100" s="10">
        <v>0</v>
      </c>
      <c r="FN100" s="10">
        <v>0</v>
      </c>
      <c r="FO100" s="10">
        <v>0</v>
      </c>
      <c r="FP100" s="10">
        <v>0</v>
      </c>
      <c r="FQ100" s="10">
        <v>0</v>
      </c>
      <c r="FR100" s="10">
        <v>0</v>
      </c>
      <c r="FS100" s="10">
        <v>0</v>
      </c>
      <c r="FT100" s="10">
        <v>0</v>
      </c>
      <c r="FU100" s="10">
        <v>0</v>
      </c>
      <c r="FV100" s="10">
        <v>0</v>
      </c>
      <c r="FW100" s="10">
        <v>0</v>
      </c>
      <c r="FX100" s="10">
        <v>0</v>
      </c>
      <c r="FY100" s="10">
        <v>0</v>
      </c>
      <c r="FZ100" s="10">
        <v>0</v>
      </c>
      <c r="GA100" s="10">
        <v>0</v>
      </c>
      <c r="GB100" s="10">
        <v>0</v>
      </c>
      <c r="GC100" s="10">
        <v>0</v>
      </c>
      <c r="GD100" s="10">
        <v>0</v>
      </c>
      <c r="GE100" s="10">
        <v>0</v>
      </c>
      <c r="GF100" s="10">
        <v>0</v>
      </c>
      <c r="GG100" s="10">
        <v>0</v>
      </c>
      <c r="GH100" s="10">
        <v>0</v>
      </c>
      <c r="GI100" s="10">
        <v>0</v>
      </c>
      <c r="GJ100" s="10">
        <v>0</v>
      </c>
      <c r="GK100" s="10">
        <v>0</v>
      </c>
      <c r="GL100" s="10">
        <v>0</v>
      </c>
      <c r="GM100" s="10">
        <v>0</v>
      </c>
      <c r="GN100" s="10">
        <v>0</v>
      </c>
      <c r="GO100" s="10">
        <v>0</v>
      </c>
      <c r="GP100" s="10">
        <v>0</v>
      </c>
      <c r="GQ100" s="10">
        <v>0</v>
      </c>
      <c r="GR100" s="10">
        <v>0</v>
      </c>
      <c r="GS100" s="10">
        <v>0</v>
      </c>
      <c r="GT100" s="10">
        <v>0</v>
      </c>
      <c r="GU100" s="10">
        <v>0</v>
      </c>
      <c r="GV100" s="10">
        <v>0</v>
      </c>
      <c r="GW100" s="10">
        <v>0</v>
      </c>
      <c r="GX100" s="10">
        <v>0</v>
      </c>
      <c r="GY100" s="10">
        <v>0</v>
      </c>
      <c r="GZ100" s="10">
        <v>0</v>
      </c>
      <c r="HA100" s="10">
        <v>0</v>
      </c>
      <c r="HB100" s="10">
        <v>0</v>
      </c>
      <c r="HC100" s="10">
        <v>0</v>
      </c>
      <c r="HD100" s="10">
        <v>0</v>
      </c>
      <c r="HE100" s="10">
        <v>0</v>
      </c>
      <c r="HF100" s="10">
        <v>0</v>
      </c>
      <c r="HG100" s="10">
        <v>0</v>
      </c>
      <c r="HH100" s="10">
        <v>0</v>
      </c>
      <c r="HI100" s="10">
        <v>0</v>
      </c>
      <c r="HJ100" s="10">
        <v>0</v>
      </c>
      <c r="HK100" s="10">
        <v>0</v>
      </c>
      <c r="HL100" s="10">
        <v>0</v>
      </c>
      <c r="HM100" s="10">
        <v>0</v>
      </c>
      <c r="HN100" s="10">
        <v>0</v>
      </c>
      <c r="HO100" s="10">
        <v>0</v>
      </c>
      <c r="HP100" s="10">
        <v>0</v>
      </c>
      <c r="HQ100" s="10">
        <v>0</v>
      </c>
      <c r="HR100" s="10">
        <v>0</v>
      </c>
      <c r="HS100" s="10">
        <v>0</v>
      </c>
      <c r="HT100" s="10">
        <v>0</v>
      </c>
      <c r="HU100" s="10">
        <v>0</v>
      </c>
    </row>
    <row r="101" spans="1:229" x14ac:dyDescent="0.25">
      <c r="A101" s="10">
        <v>0</v>
      </c>
      <c r="B101" s="2" t="s">
        <v>190</v>
      </c>
      <c r="C101" s="2" t="s">
        <v>191</v>
      </c>
      <c r="D101" s="2">
        <v>3.1259999999999999</v>
      </c>
      <c r="E101" s="2">
        <v>12.56</v>
      </c>
      <c r="F101" s="2">
        <v>0.72</v>
      </c>
      <c r="G101" s="2">
        <v>0</v>
      </c>
      <c r="H101" s="2">
        <v>0.37</v>
      </c>
      <c r="I101" s="2">
        <v>142</v>
      </c>
      <c r="J101" s="2">
        <v>3.6579999999999999</v>
      </c>
      <c r="K101" s="2">
        <v>1.911</v>
      </c>
      <c r="L101" s="3"/>
      <c r="M101" s="2" t="str">
        <f t="shared" si="8"/>
        <v>01123</v>
      </c>
      <c r="N101" s="3">
        <v>0.8976363946233219</v>
      </c>
      <c r="O101" s="3">
        <v>1.1023636053766781</v>
      </c>
      <c r="P101" s="17">
        <v>0.89763639462342892</v>
      </c>
      <c r="Q101" s="3">
        <v>1.102363605376677</v>
      </c>
      <c r="R101" s="3">
        <v>7.0238817350531804</v>
      </c>
      <c r="S101" s="3" t="e">
        <v>#DIV/0!</v>
      </c>
      <c r="T101" s="3">
        <v>0.89763639462335176</v>
      </c>
      <c r="U101" s="3">
        <v>0.89763639462332134</v>
      </c>
      <c r="V101" s="3">
        <v>1.1023636053765793</v>
      </c>
      <c r="W101" s="3">
        <v>0.89194766326739094</v>
      </c>
      <c r="X101" s="3">
        <v>2.8060113695928388</v>
      </c>
      <c r="Y101" s="3">
        <v>13.845686883531062</v>
      </c>
      <c r="Z101" s="3">
        <v>5.0571948492382894</v>
      </c>
      <c r="AA101" s="3">
        <v>0.14353641720752652</v>
      </c>
      <c r="AB101" s="3">
        <v>0.33212546601064014</v>
      </c>
      <c r="AC101" s="3">
        <v>127.46436803651163</v>
      </c>
      <c r="AD101" s="3">
        <v>4.032446068467527</v>
      </c>
      <c r="AE101" s="3">
        <v>1.7045119845039842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0</v>
      </c>
      <c r="AO101" s="3">
        <v>0</v>
      </c>
      <c r="AP101" s="3">
        <v>0</v>
      </c>
      <c r="AQ101" s="3">
        <v>0</v>
      </c>
      <c r="AR101" s="3">
        <v>0</v>
      </c>
      <c r="AS101" s="3">
        <v>0</v>
      </c>
      <c r="AT101" s="3">
        <v>0</v>
      </c>
      <c r="AU101" s="3">
        <v>0</v>
      </c>
      <c r="AV101" s="3">
        <v>0</v>
      </c>
      <c r="AW101" s="3">
        <v>0</v>
      </c>
      <c r="AX101" s="3">
        <v>0</v>
      </c>
      <c r="AY101" s="3">
        <v>0</v>
      </c>
      <c r="AZ101" s="3">
        <v>0</v>
      </c>
      <c r="BA101" s="10">
        <v>0</v>
      </c>
      <c r="BB101" s="10">
        <v>0</v>
      </c>
      <c r="BC101" s="10">
        <v>0</v>
      </c>
      <c r="BD101" s="10">
        <v>0</v>
      </c>
      <c r="BE101" s="10">
        <v>0</v>
      </c>
      <c r="BF101" s="10">
        <v>0</v>
      </c>
      <c r="BG101" s="10">
        <v>0</v>
      </c>
      <c r="BH101" s="10">
        <v>0</v>
      </c>
      <c r="BI101" s="10">
        <v>0</v>
      </c>
      <c r="BJ101" s="10">
        <v>0</v>
      </c>
      <c r="BK101" s="10">
        <v>0</v>
      </c>
      <c r="BL101" s="10">
        <v>0</v>
      </c>
      <c r="BM101" s="10">
        <v>0</v>
      </c>
      <c r="BN101" s="10">
        <v>0</v>
      </c>
      <c r="BO101" s="10">
        <v>0</v>
      </c>
      <c r="BP101" s="10">
        <v>0</v>
      </c>
      <c r="BQ101" s="10">
        <v>0</v>
      </c>
      <c r="BR101" s="10">
        <v>0</v>
      </c>
      <c r="BS101" s="10">
        <v>0</v>
      </c>
      <c r="BT101" s="10">
        <v>0</v>
      </c>
      <c r="BU101" s="10">
        <v>0</v>
      </c>
      <c r="BV101" s="10">
        <v>0</v>
      </c>
      <c r="BW101" s="10">
        <v>0</v>
      </c>
      <c r="BX101" s="10">
        <v>0</v>
      </c>
      <c r="BY101" s="10">
        <v>0</v>
      </c>
      <c r="BZ101" s="10">
        <v>0</v>
      </c>
      <c r="CA101" s="10">
        <v>0.33876657307071184</v>
      </c>
      <c r="CB101" s="10">
        <v>0</v>
      </c>
      <c r="CC101" s="10">
        <v>0</v>
      </c>
      <c r="CD101" s="10">
        <v>0</v>
      </c>
      <c r="CE101" s="10">
        <v>0</v>
      </c>
      <c r="CF101" s="10">
        <v>0</v>
      </c>
      <c r="CG101" s="10">
        <v>0</v>
      </c>
      <c r="CH101" s="10">
        <v>0</v>
      </c>
      <c r="CI101" s="10">
        <v>0</v>
      </c>
      <c r="CJ101" s="10">
        <v>0</v>
      </c>
      <c r="CK101" s="10">
        <v>0</v>
      </c>
      <c r="CL101" s="10">
        <v>0</v>
      </c>
      <c r="CM101" s="10">
        <v>0</v>
      </c>
      <c r="CN101" s="10">
        <v>0</v>
      </c>
      <c r="CO101" s="10">
        <v>0</v>
      </c>
      <c r="CP101" s="10">
        <v>0</v>
      </c>
      <c r="CQ101" s="10">
        <v>0.25940719905770537</v>
      </c>
      <c r="CR101" s="10">
        <v>0</v>
      </c>
      <c r="CS101" s="10">
        <v>0</v>
      </c>
      <c r="CT101" s="10">
        <v>0</v>
      </c>
      <c r="CU101" s="10">
        <v>0</v>
      </c>
      <c r="CV101" s="10">
        <v>0</v>
      </c>
      <c r="CW101" s="10">
        <v>0</v>
      </c>
      <c r="CX101" s="10">
        <v>0</v>
      </c>
      <c r="CY101" s="10">
        <v>0</v>
      </c>
      <c r="CZ101" s="10">
        <v>0</v>
      </c>
      <c r="DA101" s="10">
        <v>0</v>
      </c>
      <c r="DB101" s="10">
        <v>0</v>
      </c>
      <c r="DC101" s="10">
        <v>0</v>
      </c>
      <c r="DD101" s="10">
        <v>0</v>
      </c>
      <c r="DE101" s="10">
        <v>0</v>
      </c>
      <c r="DF101" s="10">
        <v>0</v>
      </c>
      <c r="DG101" s="10">
        <v>0</v>
      </c>
      <c r="DH101" s="10">
        <v>0</v>
      </c>
      <c r="DI101" s="10">
        <v>0</v>
      </c>
      <c r="DJ101" s="10">
        <v>0</v>
      </c>
      <c r="DK101" s="10">
        <v>0</v>
      </c>
      <c r="DL101" s="10">
        <v>0</v>
      </c>
      <c r="DM101" s="10">
        <v>0</v>
      </c>
      <c r="DN101" s="10">
        <v>0</v>
      </c>
      <c r="DO101" s="10">
        <v>0</v>
      </c>
      <c r="DP101" s="10">
        <v>0</v>
      </c>
      <c r="DQ101" s="10">
        <v>0</v>
      </c>
      <c r="DR101" s="10">
        <v>0</v>
      </c>
      <c r="DS101" s="10">
        <v>0</v>
      </c>
      <c r="DT101" s="10">
        <v>0.28157894747241935</v>
      </c>
      <c r="DU101" s="10">
        <v>0</v>
      </c>
      <c r="DV101" s="10">
        <v>0</v>
      </c>
      <c r="DW101" s="10">
        <v>0</v>
      </c>
      <c r="DX101" s="10">
        <v>0</v>
      </c>
      <c r="DY101" s="10">
        <v>0</v>
      </c>
      <c r="DZ101" s="10">
        <v>4.847907179540098E-2</v>
      </c>
      <c r="EA101" s="10">
        <v>0</v>
      </c>
      <c r="EB101" s="10">
        <v>0</v>
      </c>
      <c r="EC101" s="10">
        <v>0</v>
      </c>
      <c r="ED101" s="10">
        <v>0</v>
      </c>
      <c r="EE101" s="10">
        <v>0</v>
      </c>
      <c r="EF101" s="10">
        <v>0</v>
      </c>
      <c r="EG101" s="10">
        <v>0</v>
      </c>
      <c r="EH101" s="10">
        <v>0</v>
      </c>
      <c r="EI101" s="10">
        <v>0</v>
      </c>
      <c r="EJ101" s="10">
        <v>0</v>
      </c>
      <c r="EK101" s="10">
        <v>0</v>
      </c>
      <c r="EL101" s="10">
        <v>0</v>
      </c>
      <c r="EM101" s="10">
        <v>0</v>
      </c>
      <c r="EN101" s="10">
        <v>0</v>
      </c>
      <c r="EO101" s="10">
        <v>0</v>
      </c>
      <c r="EP101" s="10">
        <v>0</v>
      </c>
      <c r="EQ101" s="10">
        <v>0</v>
      </c>
      <c r="ER101" s="10">
        <v>0</v>
      </c>
      <c r="ES101" s="10">
        <v>0</v>
      </c>
      <c r="ET101" s="10">
        <v>0</v>
      </c>
      <c r="EU101" s="10">
        <v>0</v>
      </c>
      <c r="EV101" s="10">
        <v>0</v>
      </c>
      <c r="EW101" s="10">
        <v>0</v>
      </c>
      <c r="EX101" s="10">
        <v>0</v>
      </c>
      <c r="EY101" s="10">
        <v>0</v>
      </c>
      <c r="EZ101" s="10">
        <v>0</v>
      </c>
      <c r="FA101" s="10">
        <v>0</v>
      </c>
      <c r="FB101" s="10">
        <v>0</v>
      </c>
      <c r="FC101" s="10">
        <v>0</v>
      </c>
      <c r="FD101" s="10">
        <v>0</v>
      </c>
      <c r="FE101" s="10">
        <v>0</v>
      </c>
      <c r="FF101" s="10">
        <v>0</v>
      </c>
      <c r="FG101" s="10">
        <v>0</v>
      </c>
      <c r="FH101" s="10">
        <v>0</v>
      </c>
      <c r="FI101" s="10">
        <v>0</v>
      </c>
      <c r="FJ101" s="10">
        <v>0</v>
      </c>
      <c r="FK101" s="10">
        <v>0</v>
      </c>
      <c r="FL101" s="10">
        <v>0</v>
      </c>
      <c r="FM101" s="10">
        <v>0</v>
      </c>
      <c r="FN101" s="10">
        <v>0</v>
      </c>
      <c r="FO101" s="10">
        <v>0</v>
      </c>
      <c r="FP101" s="10">
        <v>0</v>
      </c>
      <c r="FQ101" s="10">
        <v>0</v>
      </c>
      <c r="FR101" s="10">
        <v>0</v>
      </c>
      <c r="FS101" s="10">
        <v>0</v>
      </c>
      <c r="FT101" s="10">
        <v>0</v>
      </c>
      <c r="FU101" s="10">
        <v>0</v>
      </c>
      <c r="FV101" s="10">
        <v>0</v>
      </c>
      <c r="FW101" s="10">
        <v>0</v>
      </c>
      <c r="FX101" s="10">
        <v>0</v>
      </c>
      <c r="FY101" s="10">
        <v>0</v>
      </c>
      <c r="FZ101" s="10">
        <v>0</v>
      </c>
      <c r="GA101" s="10">
        <v>0</v>
      </c>
      <c r="GB101" s="10">
        <v>7.1768208603763262E-2</v>
      </c>
      <c r="GC101" s="10">
        <v>0</v>
      </c>
      <c r="GD101" s="10">
        <v>0</v>
      </c>
      <c r="GE101" s="10">
        <v>0</v>
      </c>
      <c r="GF101" s="10">
        <v>0</v>
      </c>
      <c r="GG101" s="10">
        <v>0</v>
      </c>
      <c r="GH101" s="10">
        <v>0</v>
      </c>
      <c r="GI101" s="10">
        <v>0</v>
      </c>
      <c r="GJ101" s="10">
        <v>0</v>
      </c>
      <c r="GK101" s="10">
        <v>0</v>
      </c>
      <c r="GL101" s="10">
        <v>0</v>
      </c>
      <c r="GM101" s="10">
        <v>0</v>
      </c>
      <c r="GN101" s="10">
        <v>0</v>
      </c>
      <c r="GO101" s="10">
        <v>0</v>
      </c>
      <c r="GP101" s="10">
        <v>0</v>
      </c>
      <c r="GQ101" s="10">
        <v>0</v>
      </c>
      <c r="GR101" s="10">
        <v>0</v>
      </c>
      <c r="GS101" s="10">
        <v>0</v>
      </c>
      <c r="GT101" s="10">
        <v>0</v>
      </c>
      <c r="GU101" s="10">
        <v>0</v>
      </c>
      <c r="GV101" s="10">
        <v>0</v>
      </c>
      <c r="GW101" s="10">
        <v>0</v>
      </c>
      <c r="GX101" s="10">
        <v>0</v>
      </c>
      <c r="GY101" s="10">
        <v>0</v>
      </c>
      <c r="GZ101" s="10">
        <v>0</v>
      </c>
      <c r="HA101" s="10">
        <v>0</v>
      </c>
      <c r="HB101" s="10">
        <v>0</v>
      </c>
      <c r="HC101" s="10">
        <v>0</v>
      </c>
      <c r="HD101" s="10">
        <v>0</v>
      </c>
      <c r="HE101" s="10">
        <v>0</v>
      </c>
      <c r="HF101" s="10">
        <v>0</v>
      </c>
      <c r="HG101" s="10">
        <v>0</v>
      </c>
      <c r="HH101" s="10">
        <v>0</v>
      </c>
      <c r="HI101" s="10">
        <v>0</v>
      </c>
      <c r="HJ101" s="10">
        <v>0</v>
      </c>
      <c r="HK101" s="10">
        <v>0</v>
      </c>
      <c r="HL101" s="10">
        <v>0</v>
      </c>
      <c r="HM101" s="10">
        <v>0</v>
      </c>
      <c r="HN101" s="10">
        <v>0</v>
      </c>
      <c r="HO101" s="10">
        <v>0</v>
      </c>
      <c r="HP101" s="10">
        <v>0</v>
      </c>
      <c r="HQ101" s="10">
        <v>0</v>
      </c>
      <c r="HR101" s="10">
        <v>0</v>
      </c>
      <c r="HS101" s="10">
        <v>0</v>
      </c>
      <c r="HT101" s="10">
        <v>0</v>
      </c>
      <c r="HU101" s="10">
        <v>0</v>
      </c>
    </row>
    <row r="102" spans="1:229" x14ac:dyDescent="0.25">
      <c r="A102" s="10">
        <v>8.4164942314447738E-2</v>
      </c>
      <c r="B102" s="2" t="s">
        <v>192</v>
      </c>
      <c r="C102" s="2" t="s">
        <v>193</v>
      </c>
      <c r="D102" s="2">
        <v>9.5510000000000002</v>
      </c>
      <c r="E102" s="2">
        <v>15.86</v>
      </c>
      <c r="F102" s="2">
        <v>3.59</v>
      </c>
      <c r="G102" s="2">
        <v>0</v>
      </c>
      <c r="H102" s="2">
        <v>0.56000000000000005</v>
      </c>
      <c r="I102" s="2">
        <v>48</v>
      </c>
      <c r="J102" s="2">
        <v>11.738</v>
      </c>
      <c r="K102" s="2">
        <v>4.2039999999999997</v>
      </c>
      <c r="L102" s="3"/>
      <c r="M102" s="2" t="str">
        <f t="shared" si="8"/>
        <v>01125</v>
      </c>
      <c r="N102" s="3">
        <v>1.0000000000000051</v>
      </c>
      <c r="O102" s="3">
        <v>0.99999999999999445</v>
      </c>
      <c r="P102" s="17">
        <v>1.0000000000000517</v>
      </c>
      <c r="Q102" s="3">
        <v>1.0000000000000007</v>
      </c>
      <c r="R102" s="3">
        <v>1.0000000000000089</v>
      </c>
      <c r="S102" s="3" t="e">
        <v>#DIV/0!</v>
      </c>
      <c r="T102" s="3">
        <v>1.0000000000000138</v>
      </c>
      <c r="U102" s="3">
        <v>1.0000000000000056</v>
      </c>
      <c r="V102" s="3">
        <v>1.0000000000000118</v>
      </c>
      <c r="W102" s="3">
        <v>0.99999999999999367</v>
      </c>
      <c r="X102" s="3">
        <v>9.551000000000494</v>
      </c>
      <c r="Y102" s="3">
        <v>15.860000000000008</v>
      </c>
      <c r="Z102" s="3">
        <v>3.5900000000000318</v>
      </c>
      <c r="AA102" s="3">
        <v>7.7213087734921029E-15</v>
      </c>
      <c r="AB102" s="3">
        <v>0.56000000000000782</v>
      </c>
      <c r="AC102" s="3">
        <v>48.00000000000027</v>
      </c>
      <c r="AD102" s="3">
        <v>11.738000000000138</v>
      </c>
      <c r="AE102" s="3">
        <v>4.2039999999999731</v>
      </c>
      <c r="AF102" s="3">
        <v>0</v>
      </c>
      <c r="AG102" s="3">
        <v>0</v>
      </c>
      <c r="AH102" s="3">
        <v>9.4399137836211998E-15</v>
      </c>
      <c r="AI102" s="3">
        <v>0</v>
      </c>
      <c r="AJ102" s="3">
        <v>0</v>
      </c>
      <c r="AK102" s="3">
        <v>0</v>
      </c>
      <c r="AL102" s="3">
        <v>0</v>
      </c>
      <c r="AM102" s="3">
        <v>0</v>
      </c>
      <c r="AN102" s="3">
        <v>0</v>
      </c>
      <c r="AO102" s="3">
        <v>0</v>
      </c>
      <c r="AP102" s="3">
        <v>0</v>
      </c>
      <c r="AQ102" s="3">
        <v>0</v>
      </c>
      <c r="AR102" s="3">
        <v>0</v>
      </c>
      <c r="AS102" s="3">
        <v>0</v>
      </c>
      <c r="AT102" s="3">
        <v>0</v>
      </c>
      <c r="AU102" s="3">
        <v>0</v>
      </c>
      <c r="AV102" s="3">
        <v>0</v>
      </c>
      <c r="AW102" s="3">
        <v>0</v>
      </c>
      <c r="AX102" s="3">
        <v>0</v>
      </c>
      <c r="AY102" s="3">
        <v>0</v>
      </c>
      <c r="AZ102" s="3">
        <v>0</v>
      </c>
      <c r="BA102" s="10">
        <v>0</v>
      </c>
      <c r="BB102" s="10">
        <v>0</v>
      </c>
      <c r="BC102" s="10">
        <v>0</v>
      </c>
      <c r="BD102" s="10">
        <v>0</v>
      </c>
      <c r="BE102" s="10">
        <v>0</v>
      </c>
      <c r="BF102" s="10">
        <v>0</v>
      </c>
      <c r="BG102" s="10">
        <v>0</v>
      </c>
      <c r="BH102" s="10">
        <v>0</v>
      </c>
      <c r="BI102" s="10">
        <v>0</v>
      </c>
      <c r="BJ102" s="10">
        <v>0</v>
      </c>
      <c r="BK102" s="10">
        <v>0</v>
      </c>
      <c r="BL102" s="10">
        <v>0</v>
      </c>
      <c r="BM102" s="10">
        <v>0</v>
      </c>
      <c r="BN102" s="10">
        <v>0</v>
      </c>
      <c r="BO102" s="10">
        <v>0</v>
      </c>
      <c r="BP102" s="10">
        <v>0</v>
      </c>
      <c r="BQ102" s="10">
        <v>0</v>
      </c>
      <c r="BR102" s="10">
        <v>0</v>
      </c>
      <c r="BS102" s="10">
        <v>0</v>
      </c>
      <c r="BT102" s="10">
        <v>0</v>
      </c>
      <c r="BU102" s="10">
        <v>0</v>
      </c>
      <c r="BV102" s="10">
        <v>0</v>
      </c>
      <c r="BW102" s="10">
        <v>0</v>
      </c>
      <c r="BX102" s="10">
        <v>0</v>
      </c>
      <c r="BY102" s="10">
        <v>0</v>
      </c>
      <c r="BZ102" s="10">
        <v>0</v>
      </c>
      <c r="CA102" s="10">
        <v>0</v>
      </c>
      <c r="CB102" s="10">
        <v>0</v>
      </c>
      <c r="CC102" s="10">
        <v>0</v>
      </c>
      <c r="CD102" s="10">
        <v>0</v>
      </c>
      <c r="CE102" s="10">
        <v>0</v>
      </c>
      <c r="CF102" s="10">
        <v>0</v>
      </c>
      <c r="CG102" s="10">
        <v>0</v>
      </c>
      <c r="CH102" s="10">
        <v>0</v>
      </c>
      <c r="CI102" s="10">
        <v>0</v>
      </c>
      <c r="CJ102" s="10">
        <v>0</v>
      </c>
      <c r="CK102" s="10">
        <v>0</v>
      </c>
      <c r="CL102" s="10">
        <v>0</v>
      </c>
      <c r="CM102" s="10">
        <v>0</v>
      </c>
      <c r="CN102" s="10">
        <v>0</v>
      </c>
      <c r="CO102" s="10">
        <v>0</v>
      </c>
      <c r="CP102" s="10">
        <v>0</v>
      </c>
      <c r="CQ102" s="10">
        <v>0</v>
      </c>
      <c r="CR102" s="10">
        <v>0</v>
      </c>
      <c r="CS102" s="10">
        <v>0</v>
      </c>
      <c r="CT102" s="10">
        <v>0</v>
      </c>
      <c r="CU102" s="10">
        <v>0</v>
      </c>
      <c r="CV102" s="10">
        <v>0</v>
      </c>
      <c r="CW102" s="10">
        <v>0</v>
      </c>
      <c r="CX102" s="10">
        <v>0</v>
      </c>
      <c r="CY102" s="10">
        <v>0</v>
      </c>
      <c r="CZ102" s="10">
        <v>0</v>
      </c>
      <c r="DA102" s="10">
        <v>0</v>
      </c>
      <c r="DB102" s="10">
        <v>0</v>
      </c>
      <c r="DC102" s="10">
        <v>0</v>
      </c>
      <c r="DD102" s="10">
        <v>0</v>
      </c>
      <c r="DE102" s="10">
        <v>0</v>
      </c>
      <c r="DF102" s="10">
        <v>0</v>
      </c>
      <c r="DG102" s="10">
        <v>0</v>
      </c>
      <c r="DH102" s="10">
        <v>0</v>
      </c>
      <c r="DI102" s="10">
        <v>0</v>
      </c>
      <c r="DJ102" s="10">
        <v>0</v>
      </c>
      <c r="DK102" s="10">
        <v>0</v>
      </c>
      <c r="DL102" s="10">
        <v>0</v>
      </c>
      <c r="DM102" s="10">
        <v>0</v>
      </c>
      <c r="DN102" s="10">
        <v>0</v>
      </c>
      <c r="DO102" s="10">
        <v>0</v>
      </c>
      <c r="DP102" s="10">
        <v>0</v>
      </c>
      <c r="DQ102" s="10">
        <v>0</v>
      </c>
      <c r="DR102" s="10">
        <v>0</v>
      </c>
      <c r="DS102" s="10">
        <v>0.99999999999998368</v>
      </c>
      <c r="DT102" s="10">
        <v>0</v>
      </c>
      <c r="DU102" s="10">
        <v>0</v>
      </c>
      <c r="DV102" s="10">
        <v>0</v>
      </c>
      <c r="DW102" s="10">
        <v>0</v>
      </c>
      <c r="DX102" s="10">
        <v>0</v>
      </c>
      <c r="DY102" s="10">
        <v>0</v>
      </c>
      <c r="DZ102" s="10">
        <v>0</v>
      </c>
      <c r="EA102" s="10">
        <v>0</v>
      </c>
      <c r="EB102" s="10">
        <v>0</v>
      </c>
      <c r="EC102" s="10">
        <v>0</v>
      </c>
      <c r="ED102" s="10">
        <v>0</v>
      </c>
      <c r="EE102" s="10">
        <v>0</v>
      </c>
      <c r="EF102" s="10">
        <v>0</v>
      </c>
      <c r="EG102" s="10">
        <v>0</v>
      </c>
      <c r="EH102" s="10">
        <v>0</v>
      </c>
      <c r="EI102" s="10">
        <v>0</v>
      </c>
      <c r="EJ102" s="10">
        <v>0</v>
      </c>
      <c r="EK102" s="10">
        <v>0</v>
      </c>
      <c r="EL102" s="10">
        <v>0</v>
      </c>
      <c r="EM102" s="10">
        <v>0</v>
      </c>
      <c r="EN102" s="10">
        <v>0</v>
      </c>
      <c r="EO102" s="10">
        <v>0</v>
      </c>
      <c r="EP102" s="10">
        <v>0</v>
      </c>
      <c r="EQ102" s="10">
        <v>0</v>
      </c>
      <c r="ER102" s="10">
        <v>0</v>
      </c>
      <c r="ES102" s="10">
        <v>0</v>
      </c>
      <c r="ET102" s="10">
        <v>2.9707197772840351E-15</v>
      </c>
      <c r="EU102" s="10">
        <v>0</v>
      </c>
      <c r="EV102" s="10">
        <v>0</v>
      </c>
      <c r="EW102" s="10">
        <v>0</v>
      </c>
      <c r="EX102" s="10">
        <v>0</v>
      </c>
      <c r="EY102" s="10">
        <v>0</v>
      </c>
      <c r="EZ102" s="10">
        <v>0</v>
      </c>
      <c r="FA102" s="10">
        <v>0</v>
      </c>
      <c r="FB102" s="10">
        <v>0</v>
      </c>
      <c r="FC102" s="10">
        <v>0</v>
      </c>
      <c r="FD102" s="10">
        <v>0</v>
      </c>
      <c r="FE102" s="10">
        <v>0</v>
      </c>
      <c r="FF102" s="10">
        <v>0</v>
      </c>
      <c r="FG102" s="10">
        <v>0</v>
      </c>
      <c r="FH102" s="10">
        <v>0</v>
      </c>
      <c r="FI102" s="10">
        <v>0</v>
      </c>
      <c r="FJ102" s="10">
        <v>0</v>
      </c>
      <c r="FK102" s="10">
        <v>0</v>
      </c>
      <c r="FL102" s="10">
        <v>0</v>
      </c>
      <c r="FM102" s="10">
        <v>0</v>
      </c>
      <c r="FN102" s="10">
        <v>0</v>
      </c>
      <c r="FO102" s="10">
        <v>0</v>
      </c>
      <c r="FP102" s="10">
        <v>0</v>
      </c>
      <c r="FQ102" s="10">
        <v>0</v>
      </c>
      <c r="FR102" s="10">
        <v>0</v>
      </c>
      <c r="FS102" s="10">
        <v>0</v>
      </c>
      <c r="FT102" s="10">
        <v>0</v>
      </c>
      <c r="FU102" s="10">
        <v>0</v>
      </c>
      <c r="FV102" s="10">
        <v>0</v>
      </c>
      <c r="FW102" s="10">
        <v>0</v>
      </c>
      <c r="FX102" s="10">
        <v>0</v>
      </c>
      <c r="FY102" s="10">
        <v>0</v>
      </c>
      <c r="FZ102" s="10">
        <v>0</v>
      </c>
      <c r="GA102" s="10">
        <v>0</v>
      </c>
      <c r="GB102" s="10">
        <v>3.8606543867460514E-15</v>
      </c>
      <c r="GC102" s="10">
        <v>0</v>
      </c>
      <c r="GD102" s="10">
        <v>0</v>
      </c>
      <c r="GE102" s="10">
        <v>0</v>
      </c>
      <c r="GF102" s="10">
        <v>0</v>
      </c>
      <c r="GG102" s="10">
        <v>0</v>
      </c>
      <c r="GH102" s="10">
        <v>0</v>
      </c>
      <c r="GI102" s="10">
        <v>0</v>
      </c>
      <c r="GJ102" s="10">
        <v>0</v>
      </c>
      <c r="GK102" s="10">
        <v>0</v>
      </c>
      <c r="GL102" s="10">
        <v>0</v>
      </c>
      <c r="GM102" s="10">
        <v>0</v>
      </c>
      <c r="GN102" s="10">
        <v>0</v>
      </c>
      <c r="GO102" s="10">
        <v>0</v>
      </c>
      <c r="GP102" s="10">
        <v>0</v>
      </c>
      <c r="GQ102" s="10">
        <v>0</v>
      </c>
      <c r="GR102" s="10">
        <v>0</v>
      </c>
      <c r="GS102" s="10">
        <v>0</v>
      </c>
      <c r="GT102" s="10">
        <v>0</v>
      </c>
      <c r="GU102" s="10">
        <v>0</v>
      </c>
      <c r="GV102" s="10">
        <v>0</v>
      </c>
      <c r="GW102" s="10">
        <v>0</v>
      </c>
      <c r="GX102" s="10">
        <v>0</v>
      </c>
      <c r="GY102" s="10">
        <v>0</v>
      </c>
      <c r="GZ102" s="10">
        <v>0</v>
      </c>
      <c r="HA102" s="10">
        <v>0</v>
      </c>
      <c r="HB102" s="10">
        <v>0</v>
      </c>
      <c r="HC102" s="10">
        <v>0</v>
      </c>
      <c r="HD102" s="10">
        <v>0</v>
      </c>
      <c r="HE102" s="10">
        <v>0</v>
      </c>
      <c r="HF102" s="10">
        <v>0</v>
      </c>
      <c r="HG102" s="10">
        <v>0</v>
      </c>
      <c r="HH102" s="10">
        <v>0</v>
      </c>
      <c r="HI102" s="10">
        <v>0</v>
      </c>
      <c r="HJ102" s="10">
        <v>0</v>
      </c>
      <c r="HK102" s="10">
        <v>0</v>
      </c>
      <c r="HL102" s="10">
        <v>0</v>
      </c>
      <c r="HM102" s="10">
        <v>0</v>
      </c>
      <c r="HN102" s="10">
        <v>0</v>
      </c>
      <c r="HO102" s="10">
        <v>0</v>
      </c>
      <c r="HP102" s="10">
        <v>0</v>
      </c>
      <c r="HQ102" s="10">
        <v>0</v>
      </c>
      <c r="HR102" s="10">
        <v>0</v>
      </c>
      <c r="HS102" s="10">
        <v>0</v>
      </c>
      <c r="HT102" s="10">
        <v>0</v>
      </c>
      <c r="HU102" s="10">
        <v>0</v>
      </c>
    </row>
    <row r="103" spans="1:229" x14ac:dyDescent="0.25">
      <c r="A103" s="10">
        <v>0</v>
      </c>
      <c r="B103" s="2" t="s">
        <v>194</v>
      </c>
      <c r="C103" s="2" t="s">
        <v>195</v>
      </c>
      <c r="D103" s="2">
        <v>8.6150000000000002</v>
      </c>
      <c r="E103" s="2">
        <v>15.53</v>
      </c>
      <c r="F103" s="2">
        <v>0.81</v>
      </c>
      <c r="G103" s="2">
        <v>0</v>
      </c>
      <c r="H103" s="2">
        <v>0.16</v>
      </c>
      <c r="I103" s="2">
        <v>67</v>
      </c>
      <c r="J103" s="2">
        <v>9.9559999999999995</v>
      </c>
      <c r="K103" s="2">
        <v>4.827</v>
      </c>
      <c r="L103" s="3"/>
      <c r="M103" s="2" t="str">
        <f t="shared" si="8"/>
        <v>01126</v>
      </c>
      <c r="N103" s="3">
        <v>0.99999999999999689</v>
      </c>
      <c r="O103" s="3">
        <v>1.0000000000000031</v>
      </c>
      <c r="P103" s="17">
        <v>1.0000000000000488</v>
      </c>
      <c r="Q103" s="3">
        <v>0.99999999999999623</v>
      </c>
      <c r="R103" s="3">
        <v>1.0000000000003073</v>
      </c>
      <c r="S103" s="3" t="e">
        <v>#DIV/0!</v>
      </c>
      <c r="T103" s="3">
        <v>1.000000000000226</v>
      </c>
      <c r="U103" s="3">
        <v>0.9999999999999637</v>
      </c>
      <c r="V103" s="3">
        <v>1.000000000000024</v>
      </c>
      <c r="W103" s="3">
        <v>0.99999999999998068</v>
      </c>
      <c r="X103" s="3">
        <v>8.6150000000004212</v>
      </c>
      <c r="Y103" s="3">
        <v>15.529999999999941</v>
      </c>
      <c r="Z103" s="3">
        <v>0.81000000000024897</v>
      </c>
      <c r="AA103" s="3">
        <v>0</v>
      </c>
      <c r="AB103" s="3">
        <v>0.16000000000003617</v>
      </c>
      <c r="AC103" s="3">
        <v>66.99999999999757</v>
      </c>
      <c r="AD103" s="3">
        <v>9.9560000000002393</v>
      </c>
      <c r="AE103" s="3">
        <v>4.8269999999999067</v>
      </c>
      <c r="AF103" s="3">
        <v>0</v>
      </c>
      <c r="AG103" s="3">
        <v>0</v>
      </c>
      <c r="AH103" s="3">
        <v>5.7413616455643018E-15</v>
      </c>
      <c r="AI103" s="3">
        <v>0</v>
      </c>
      <c r="AJ103" s="3">
        <v>0</v>
      </c>
      <c r="AK103" s="3">
        <v>0</v>
      </c>
      <c r="AL103" s="3">
        <v>0</v>
      </c>
      <c r="AM103" s="3">
        <v>0</v>
      </c>
      <c r="AN103" s="3">
        <v>0</v>
      </c>
      <c r="AO103" s="3">
        <v>0</v>
      </c>
      <c r="AP103" s="3">
        <v>0</v>
      </c>
      <c r="AQ103" s="3">
        <v>0</v>
      </c>
      <c r="AR103" s="3">
        <v>0</v>
      </c>
      <c r="AS103" s="3">
        <v>0</v>
      </c>
      <c r="AT103" s="3">
        <v>0</v>
      </c>
      <c r="AU103" s="3">
        <v>0</v>
      </c>
      <c r="AV103" s="3">
        <v>0</v>
      </c>
      <c r="AW103" s="3">
        <v>0</v>
      </c>
      <c r="AX103" s="3">
        <v>0</v>
      </c>
      <c r="AY103" s="3">
        <v>0</v>
      </c>
      <c r="AZ103" s="3">
        <v>0</v>
      </c>
      <c r="BA103" s="10">
        <v>0</v>
      </c>
      <c r="BB103" s="10">
        <v>0</v>
      </c>
      <c r="BC103" s="10">
        <v>0</v>
      </c>
      <c r="BD103" s="10">
        <v>0</v>
      </c>
      <c r="BE103" s="10">
        <v>0</v>
      </c>
      <c r="BF103" s="10">
        <v>0</v>
      </c>
      <c r="BG103" s="10">
        <v>0</v>
      </c>
      <c r="BH103" s="10">
        <v>0</v>
      </c>
      <c r="BI103" s="10">
        <v>0</v>
      </c>
      <c r="BJ103" s="10">
        <v>0</v>
      </c>
      <c r="BK103" s="10">
        <v>0</v>
      </c>
      <c r="BL103" s="10">
        <v>0</v>
      </c>
      <c r="BM103" s="10">
        <v>0</v>
      </c>
      <c r="BN103" s="10">
        <v>0</v>
      </c>
      <c r="BO103" s="10">
        <v>0</v>
      </c>
      <c r="BP103" s="10">
        <v>0</v>
      </c>
      <c r="BQ103" s="10">
        <v>0</v>
      </c>
      <c r="BR103" s="10">
        <v>0</v>
      </c>
      <c r="BS103" s="10">
        <v>0</v>
      </c>
      <c r="BT103" s="10">
        <v>0</v>
      </c>
      <c r="BU103" s="10">
        <v>0</v>
      </c>
      <c r="BV103" s="10">
        <v>0</v>
      </c>
      <c r="BW103" s="10">
        <v>0</v>
      </c>
      <c r="BX103" s="10">
        <v>0</v>
      </c>
      <c r="BY103" s="10">
        <v>0</v>
      </c>
      <c r="BZ103" s="10">
        <v>0</v>
      </c>
      <c r="CA103" s="10">
        <v>0</v>
      </c>
      <c r="CB103" s="10">
        <v>0</v>
      </c>
      <c r="CC103" s="10">
        <v>0</v>
      </c>
      <c r="CD103" s="10">
        <v>0</v>
      </c>
      <c r="CE103" s="10">
        <v>0</v>
      </c>
      <c r="CF103" s="10">
        <v>0</v>
      </c>
      <c r="CG103" s="10">
        <v>0</v>
      </c>
      <c r="CH103" s="10">
        <v>0</v>
      </c>
      <c r="CI103" s="10">
        <v>0</v>
      </c>
      <c r="CJ103" s="10">
        <v>0</v>
      </c>
      <c r="CK103" s="10">
        <v>0</v>
      </c>
      <c r="CL103" s="10">
        <v>0</v>
      </c>
      <c r="CM103" s="10">
        <v>0</v>
      </c>
      <c r="CN103" s="10">
        <v>0</v>
      </c>
      <c r="CO103" s="10">
        <v>0</v>
      </c>
      <c r="CP103" s="10">
        <v>0</v>
      </c>
      <c r="CQ103" s="10">
        <v>0</v>
      </c>
      <c r="CR103" s="10">
        <v>0</v>
      </c>
      <c r="CS103" s="10">
        <v>0</v>
      </c>
      <c r="CT103" s="10">
        <v>0</v>
      </c>
      <c r="CU103" s="10">
        <v>0</v>
      </c>
      <c r="CV103" s="10">
        <v>0</v>
      </c>
      <c r="CW103" s="10">
        <v>0</v>
      </c>
      <c r="CX103" s="10">
        <v>0</v>
      </c>
      <c r="CY103" s="10">
        <v>0</v>
      </c>
      <c r="CZ103" s="10">
        <v>0</v>
      </c>
      <c r="DA103" s="10">
        <v>0</v>
      </c>
      <c r="DB103" s="10">
        <v>0</v>
      </c>
      <c r="DC103" s="10">
        <v>0</v>
      </c>
      <c r="DD103" s="10">
        <v>0</v>
      </c>
      <c r="DE103" s="10">
        <v>0</v>
      </c>
      <c r="DF103" s="10">
        <v>0</v>
      </c>
      <c r="DG103" s="10">
        <v>0</v>
      </c>
      <c r="DH103" s="10">
        <v>0</v>
      </c>
      <c r="DI103" s="10">
        <v>0</v>
      </c>
      <c r="DJ103" s="10">
        <v>0</v>
      </c>
      <c r="DK103" s="10">
        <v>0</v>
      </c>
      <c r="DL103" s="10">
        <v>0</v>
      </c>
      <c r="DM103" s="10">
        <v>0</v>
      </c>
      <c r="DN103" s="10">
        <v>0</v>
      </c>
      <c r="DO103" s="10">
        <v>0</v>
      </c>
      <c r="DP103" s="10">
        <v>0</v>
      </c>
      <c r="DQ103" s="10">
        <v>0</v>
      </c>
      <c r="DR103" s="10">
        <v>0</v>
      </c>
      <c r="DS103" s="10">
        <v>9.0220163965311352E-14</v>
      </c>
      <c r="DT103" s="10">
        <v>0.99999999999989686</v>
      </c>
      <c r="DU103" s="10">
        <v>0</v>
      </c>
      <c r="DV103" s="10">
        <v>0</v>
      </c>
      <c r="DW103" s="10">
        <v>0</v>
      </c>
      <c r="DX103" s="10">
        <v>0</v>
      </c>
      <c r="DY103" s="10">
        <v>6.1396036540884751E-17</v>
      </c>
      <c r="DZ103" s="10">
        <v>0</v>
      </c>
      <c r="EA103" s="10">
        <v>0</v>
      </c>
      <c r="EB103" s="10">
        <v>0</v>
      </c>
      <c r="EC103" s="10">
        <v>0</v>
      </c>
      <c r="ED103" s="10">
        <v>0</v>
      </c>
      <c r="EE103" s="10">
        <v>0</v>
      </c>
      <c r="EF103" s="10">
        <v>0</v>
      </c>
      <c r="EG103" s="10">
        <v>0</v>
      </c>
      <c r="EH103" s="10">
        <v>0</v>
      </c>
      <c r="EI103" s="10">
        <v>0</v>
      </c>
      <c r="EJ103" s="10">
        <v>0</v>
      </c>
      <c r="EK103" s="10">
        <v>0</v>
      </c>
      <c r="EL103" s="10">
        <v>0</v>
      </c>
      <c r="EM103" s="10">
        <v>0</v>
      </c>
      <c r="EN103" s="10">
        <v>0</v>
      </c>
      <c r="EO103" s="10">
        <v>0</v>
      </c>
      <c r="EP103" s="10">
        <v>0</v>
      </c>
      <c r="EQ103" s="10">
        <v>0</v>
      </c>
      <c r="ER103" s="10">
        <v>0</v>
      </c>
      <c r="ES103" s="10">
        <v>0</v>
      </c>
      <c r="ET103" s="10">
        <v>4.4234475035303492E-15</v>
      </c>
      <c r="EU103" s="10">
        <v>0</v>
      </c>
      <c r="EV103" s="10">
        <v>0</v>
      </c>
      <c r="EW103" s="10">
        <v>0</v>
      </c>
      <c r="EX103" s="10">
        <v>0</v>
      </c>
      <c r="EY103" s="10">
        <v>0</v>
      </c>
      <c r="EZ103" s="10">
        <v>0</v>
      </c>
      <c r="FA103" s="10">
        <v>0</v>
      </c>
      <c r="FB103" s="10">
        <v>0</v>
      </c>
      <c r="FC103" s="10">
        <v>0</v>
      </c>
      <c r="FD103" s="10">
        <v>0</v>
      </c>
      <c r="FE103" s="10">
        <v>0</v>
      </c>
      <c r="FF103" s="10">
        <v>0</v>
      </c>
      <c r="FG103" s="10">
        <v>0</v>
      </c>
      <c r="FH103" s="10">
        <v>0</v>
      </c>
      <c r="FI103" s="10">
        <v>0</v>
      </c>
      <c r="FJ103" s="10">
        <v>0</v>
      </c>
      <c r="FK103" s="10">
        <v>0</v>
      </c>
      <c r="FL103" s="10">
        <v>0</v>
      </c>
      <c r="FM103" s="10">
        <v>0</v>
      </c>
      <c r="FN103" s="10">
        <v>0</v>
      </c>
      <c r="FO103" s="10">
        <v>0</v>
      </c>
      <c r="FP103" s="10">
        <v>0</v>
      </c>
      <c r="FQ103" s="10">
        <v>0</v>
      </c>
      <c r="FR103" s="10">
        <v>0</v>
      </c>
      <c r="FS103" s="10">
        <v>0</v>
      </c>
      <c r="FT103" s="10">
        <v>0</v>
      </c>
      <c r="FU103" s="10">
        <v>0</v>
      </c>
      <c r="FV103" s="10">
        <v>0</v>
      </c>
      <c r="FW103" s="10">
        <v>0</v>
      </c>
      <c r="FX103" s="10">
        <v>0</v>
      </c>
      <c r="FY103" s="10">
        <v>0</v>
      </c>
      <c r="FZ103" s="10">
        <v>0</v>
      </c>
      <c r="GA103" s="10">
        <v>0</v>
      </c>
      <c r="GB103" s="10">
        <v>0</v>
      </c>
      <c r="GC103" s="10">
        <v>0</v>
      </c>
      <c r="GD103" s="10">
        <v>0</v>
      </c>
      <c r="GE103" s="10">
        <v>0</v>
      </c>
      <c r="GF103" s="10">
        <v>0</v>
      </c>
      <c r="GG103" s="10">
        <v>0</v>
      </c>
      <c r="GH103" s="10">
        <v>0</v>
      </c>
      <c r="GI103" s="10">
        <v>0</v>
      </c>
      <c r="GJ103" s="10">
        <v>0</v>
      </c>
      <c r="GK103" s="10">
        <v>0</v>
      </c>
      <c r="GL103" s="10">
        <v>0</v>
      </c>
      <c r="GM103" s="10">
        <v>0</v>
      </c>
      <c r="GN103" s="10">
        <v>0</v>
      </c>
      <c r="GO103" s="10">
        <v>0</v>
      </c>
      <c r="GP103" s="10">
        <v>0</v>
      </c>
      <c r="GQ103" s="10">
        <v>0</v>
      </c>
      <c r="GR103" s="10">
        <v>0</v>
      </c>
      <c r="GS103" s="10">
        <v>0</v>
      </c>
      <c r="GT103" s="10">
        <v>0</v>
      </c>
      <c r="GU103" s="10">
        <v>0</v>
      </c>
      <c r="GV103" s="10">
        <v>0</v>
      </c>
      <c r="GW103" s="10">
        <v>0</v>
      </c>
      <c r="GX103" s="10">
        <v>0</v>
      </c>
      <c r="GY103" s="10">
        <v>0</v>
      </c>
      <c r="GZ103" s="10">
        <v>0</v>
      </c>
      <c r="HA103" s="10">
        <v>0</v>
      </c>
      <c r="HB103" s="10">
        <v>0</v>
      </c>
      <c r="HC103" s="10">
        <v>0</v>
      </c>
      <c r="HD103" s="10">
        <v>0</v>
      </c>
      <c r="HE103" s="10">
        <v>0</v>
      </c>
      <c r="HF103" s="10">
        <v>0</v>
      </c>
      <c r="HG103" s="10">
        <v>0</v>
      </c>
      <c r="HH103" s="10">
        <v>0</v>
      </c>
      <c r="HI103" s="10">
        <v>0</v>
      </c>
      <c r="HJ103" s="10">
        <v>0</v>
      </c>
      <c r="HK103" s="10">
        <v>0</v>
      </c>
      <c r="HL103" s="10">
        <v>0</v>
      </c>
      <c r="HM103" s="10">
        <v>0</v>
      </c>
      <c r="HN103" s="10">
        <v>0</v>
      </c>
      <c r="HO103" s="10">
        <v>0</v>
      </c>
      <c r="HP103" s="10">
        <v>0</v>
      </c>
      <c r="HQ103" s="10">
        <v>0</v>
      </c>
      <c r="HR103" s="10">
        <v>0</v>
      </c>
      <c r="HS103" s="10">
        <v>0</v>
      </c>
      <c r="HT103" s="10">
        <v>0</v>
      </c>
      <c r="HU103" s="10">
        <v>0</v>
      </c>
    </row>
    <row r="104" spans="1:229" x14ac:dyDescent="0.25">
      <c r="A104" s="10">
        <v>0</v>
      </c>
      <c r="B104" s="2" t="s">
        <v>196</v>
      </c>
      <c r="C104" s="2" t="s">
        <v>197</v>
      </c>
      <c r="D104" s="2">
        <v>4.3230000000000004</v>
      </c>
      <c r="E104" s="2">
        <v>13.61</v>
      </c>
      <c r="F104" s="2">
        <v>0.83</v>
      </c>
      <c r="G104" s="2">
        <v>0</v>
      </c>
      <c r="H104" s="2">
        <v>0.4</v>
      </c>
      <c r="I104" s="2">
        <v>207</v>
      </c>
      <c r="J104" s="2">
        <v>6.1820000000000004</v>
      </c>
      <c r="K104" s="2">
        <v>3.2509999999999999</v>
      </c>
      <c r="L104" s="3"/>
      <c r="M104" s="2" t="str">
        <f t="shared" si="8"/>
        <v>01128</v>
      </c>
      <c r="N104" s="3">
        <v>0.94151692815323418</v>
      </c>
      <c r="O104" s="3">
        <v>1.0584830718467664</v>
      </c>
      <c r="P104" s="17">
        <v>0.94151692815330545</v>
      </c>
      <c r="Q104" s="3">
        <v>1.2739547911279088</v>
      </c>
      <c r="R104" s="3">
        <v>6.0380637887112112</v>
      </c>
      <c r="S104" s="3" t="e">
        <v>#DIV/0!</v>
      </c>
      <c r="T104" s="3">
        <v>0.94151692815297638</v>
      </c>
      <c r="U104" s="3">
        <v>0.94151692815323296</v>
      </c>
      <c r="V104" s="3">
        <v>1.0584830718468112</v>
      </c>
      <c r="W104" s="3">
        <v>0.64975893397508222</v>
      </c>
      <c r="X104" s="3">
        <v>4.07017768040674</v>
      </c>
      <c r="Y104" s="3">
        <v>17.338524707250837</v>
      </c>
      <c r="Z104" s="3">
        <v>5.0115929446303049</v>
      </c>
      <c r="AA104" s="3">
        <v>0.45280070288147756</v>
      </c>
      <c r="AB104" s="3">
        <v>0.37660677126119058</v>
      </c>
      <c r="AC104" s="3">
        <v>194.89400412771923</v>
      </c>
      <c r="AD104" s="3">
        <v>6.5435423501569874</v>
      </c>
      <c r="AE104" s="3">
        <v>2.1123662943529924</v>
      </c>
      <c r="AF104" s="3">
        <v>0</v>
      </c>
      <c r="AG104" s="3">
        <v>0</v>
      </c>
      <c r="AH104" s="3">
        <v>0</v>
      </c>
      <c r="AI104" s="3">
        <v>0</v>
      </c>
      <c r="AJ104" s="3">
        <v>0</v>
      </c>
      <c r="AK104" s="3">
        <v>0</v>
      </c>
      <c r="AL104" s="3">
        <v>0</v>
      </c>
      <c r="AM104" s="3">
        <v>0</v>
      </c>
      <c r="AN104" s="3">
        <v>0</v>
      </c>
      <c r="AO104" s="3">
        <v>0</v>
      </c>
      <c r="AP104" s="3">
        <v>0</v>
      </c>
      <c r="AQ104" s="3">
        <v>0</v>
      </c>
      <c r="AR104" s="3">
        <v>0</v>
      </c>
      <c r="AS104" s="3">
        <v>0</v>
      </c>
      <c r="AT104" s="3">
        <v>0</v>
      </c>
      <c r="AU104" s="3">
        <v>0</v>
      </c>
      <c r="AV104" s="3">
        <v>0</v>
      </c>
      <c r="AW104" s="3">
        <v>0</v>
      </c>
      <c r="AX104" s="3">
        <v>0</v>
      </c>
      <c r="AY104" s="3">
        <v>0</v>
      </c>
      <c r="AZ104" s="3">
        <v>0</v>
      </c>
      <c r="BA104" s="10">
        <v>0</v>
      </c>
      <c r="BB104" s="10">
        <v>0</v>
      </c>
      <c r="BC104" s="10">
        <v>0</v>
      </c>
      <c r="BD104" s="10">
        <v>0</v>
      </c>
      <c r="BE104" s="10">
        <v>0</v>
      </c>
      <c r="BF104" s="10">
        <v>0</v>
      </c>
      <c r="BG104" s="10">
        <v>0</v>
      </c>
      <c r="BH104" s="10">
        <v>0</v>
      </c>
      <c r="BI104" s="10">
        <v>0</v>
      </c>
      <c r="BJ104" s="10">
        <v>0</v>
      </c>
      <c r="BK104" s="10">
        <v>0</v>
      </c>
      <c r="BL104" s="10">
        <v>0</v>
      </c>
      <c r="BM104" s="10">
        <v>0</v>
      </c>
      <c r="BN104" s="10">
        <v>0</v>
      </c>
      <c r="BO104" s="10">
        <v>0</v>
      </c>
      <c r="BP104" s="10">
        <v>0</v>
      </c>
      <c r="BQ104" s="10">
        <v>0</v>
      </c>
      <c r="BR104" s="10">
        <v>0</v>
      </c>
      <c r="BS104" s="10">
        <v>0</v>
      </c>
      <c r="BT104" s="10">
        <v>0</v>
      </c>
      <c r="BU104" s="10">
        <v>0</v>
      </c>
      <c r="BV104" s="10">
        <v>0</v>
      </c>
      <c r="BW104" s="10">
        <v>0</v>
      </c>
      <c r="BX104" s="10">
        <v>0</v>
      </c>
      <c r="BY104" s="10">
        <v>0</v>
      </c>
      <c r="BZ104" s="10">
        <v>0</v>
      </c>
      <c r="CA104" s="10">
        <v>0.66806640768039838</v>
      </c>
      <c r="CB104" s="10">
        <v>0</v>
      </c>
      <c r="CC104" s="10">
        <v>0</v>
      </c>
      <c r="CD104" s="10">
        <v>0</v>
      </c>
      <c r="CE104" s="10">
        <v>0</v>
      </c>
      <c r="CF104" s="10">
        <v>0</v>
      </c>
      <c r="CG104" s="10">
        <v>0</v>
      </c>
      <c r="CH104" s="10">
        <v>0</v>
      </c>
      <c r="CI104" s="10">
        <v>0</v>
      </c>
      <c r="CJ104" s="10">
        <v>0</v>
      </c>
      <c r="CK104" s="10">
        <v>0</v>
      </c>
      <c r="CL104" s="10">
        <v>0</v>
      </c>
      <c r="CM104" s="10">
        <v>0</v>
      </c>
      <c r="CN104" s="10">
        <v>0</v>
      </c>
      <c r="CO104" s="10">
        <v>0</v>
      </c>
      <c r="CP104" s="10">
        <v>0</v>
      </c>
      <c r="CQ104" s="10">
        <v>0</v>
      </c>
      <c r="CR104" s="10">
        <v>0</v>
      </c>
      <c r="CS104" s="10">
        <v>0</v>
      </c>
      <c r="CT104" s="10">
        <v>0</v>
      </c>
      <c r="CU104" s="10">
        <v>0</v>
      </c>
      <c r="CV104" s="10">
        <v>0</v>
      </c>
      <c r="CW104" s="10">
        <v>0</v>
      </c>
      <c r="CX104" s="10">
        <v>0</v>
      </c>
      <c r="CY104" s="10">
        <v>0</v>
      </c>
      <c r="CZ104" s="10">
        <v>0</v>
      </c>
      <c r="DA104" s="10">
        <v>0</v>
      </c>
      <c r="DB104" s="10">
        <v>0</v>
      </c>
      <c r="DC104" s="10">
        <v>0</v>
      </c>
      <c r="DD104" s="10">
        <v>0</v>
      </c>
      <c r="DE104" s="10">
        <v>0</v>
      </c>
      <c r="DF104" s="10">
        <v>0</v>
      </c>
      <c r="DG104" s="10">
        <v>0</v>
      </c>
      <c r="DH104" s="10">
        <v>0</v>
      </c>
      <c r="DI104" s="10">
        <v>0</v>
      </c>
      <c r="DJ104" s="10">
        <v>0</v>
      </c>
      <c r="DK104" s="10">
        <v>0</v>
      </c>
      <c r="DL104" s="10">
        <v>0</v>
      </c>
      <c r="DM104" s="10">
        <v>0</v>
      </c>
      <c r="DN104" s="10">
        <v>0</v>
      </c>
      <c r="DO104" s="10">
        <v>0</v>
      </c>
      <c r="DP104" s="10">
        <v>0</v>
      </c>
      <c r="DQ104" s="10">
        <v>0</v>
      </c>
      <c r="DR104" s="10">
        <v>0</v>
      </c>
      <c r="DS104" s="10">
        <v>2.2237440266905384E-2</v>
      </c>
      <c r="DT104" s="10">
        <v>0</v>
      </c>
      <c r="DU104" s="10">
        <v>0</v>
      </c>
      <c r="DV104" s="10">
        <v>0</v>
      </c>
      <c r="DW104" s="10">
        <v>0</v>
      </c>
      <c r="DX104" s="10">
        <v>0</v>
      </c>
      <c r="DY104" s="10">
        <v>0.24592140516798136</v>
      </c>
      <c r="DZ104" s="10">
        <v>0</v>
      </c>
      <c r="EA104" s="10">
        <v>0</v>
      </c>
      <c r="EB104" s="10">
        <v>0</v>
      </c>
      <c r="EC104" s="10">
        <v>0</v>
      </c>
      <c r="ED104" s="10">
        <v>0</v>
      </c>
      <c r="EE104" s="10">
        <v>0</v>
      </c>
      <c r="EF104" s="10">
        <v>0</v>
      </c>
      <c r="EG104" s="10">
        <v>0</v>
      </c>
      <c r="EH104" s="10">
        <v>0</v>
      </c>
      <c r="EI104" s="10">
        <v>0</v>
      </c>
      <c r="EJ104" s="10">
        <v>0</v>
      </c>
      <c r="EK104" s="10">
        <v>0</v>
      </c>
      <c r="EL104" s="10">
        <v>0</v>
      </c>
      <c r="EM104" s="10">
        <v>0</v>
      </c>
      <c r="EN104" s="10">
        <v>0</v>
      </c>
      <c r="EO104" s="10">
        <v>0</v>
      </c>
      <c r="EP104" s="10">
        <v>0</v>
      </c>
      <c r="EQ104" s="10">
        <v>0</v>
      </c>
      <c r="ER104" s="10">
        <v>0</v>
      </c>
      <c r="ES104" s="10">
        <v>0</v>
      </c>
      <c r="ET104" s="10">
        <v>0</v>
      </c>
      <c r="EU104" s="10">
        <v>0</v>
      </c>
      <c r="EV104" s="10">
        <v>0</v>
      </c>
      <c r="EW104" s="10">
        <v>0</v>
      </c>
      <c r="EX104" s="10">
        <v>0</v>
      </c>
      <c r="EY104" s="10">
        <v>0</v>
      </c>
      <c r="EZ104" s="10">
        <v>0</v>
      </c>
      <c r="FA104" s="10">
        <v>0</v>
      </c>
      <c r="FB104" s="10">
        <v>0</v>
      </c>
      <c r="FC104" s="10">
        <v>0</v>
      </c>
      <c r="FD104" s="10">
        <v>0</v>
      </c>
      <c r="FE104" s="10">
        <v>0</v>
      </c>
      <c r="FF104" s="10">
        <v>0</v>
      </c>
      <c r="FG104" s="10">
        <v>0</v>
      </c>
      <c r="FH104" s="10">
        <v>0</v>
      </c>
      <c r="FI104" s="10">
        <v>0</v>
      </c>
      <c r="FJ104" s="10">
        <v>0</v>
      </c>
      <c r="FK104" s="10">
        <v>0</v>
      </c>
      <c r="FL104" s="10">
        <v>0</v>
      </c>
      <c r="FM104" s="10">
        <v>0</v>
      </c>
      <c r="FN104" s="10">
        <v>0</v>
      </c>
      <c r="FO104" s="10">
        <v>0</v>
      </c>
      <c r="FP104" s="10">
        <v>0</v>
      </c>
      <c r="FQ104" s="10">
        <v>0</v>
      </c>
      <c r="FR104" s="10">
        <v>0</v>
      </c>
      <c r="FS104" s="10">
        <v>0</v>
      </c>
      <c r="FT104" s="10">
        <v>0</v>
      </c>
      <c r="FU104" s="10">
        <v>0</v>
      </c>
      <c r="FV104" s="10">
        <v>0</v>
      </c>
      <c r="FW104" s="10">
        <v>0</v>
      </c>
      <c r="FX104" s="10">
        <v>0</v>
      </c>
      <c r="FY104" s="10">
        <v>0</v>
      </c>
      <c r="FZ104" s="10">
        <v>0</v>
      </c>
      <c r="GA104" s="10">
        <v>6.3774746884715156E-2</v>
      </c>
      <c r="GB104" s="10">
        <v>0</v>
      </c>
      <c r="GC104" s="10">
        <v>0</v>
      </c>
      <c r="GD104" s="10">
        <v>0</v>
      </c>
      <c r="GE104" s="10">
        <v>0</v>
      </c>
      <c r="GF104" s="10">
        <v>0</v>
      </c>
      <c r="GG104" s="10">
        <v>0</v>
      </c>
      <c r="GH104" s="10">
        <v>0</v>
      </c>
      <c r="GI104" s="10">
        <v>0</v>
      </c>
      <c r="GJ104" s="10">
        <v>0</v>
      </c>
      <c r="GK104" s="10">
        <v>0</v>
      </c>
      <c r="GL104" s="10">
        <v>0</v>
      </c>
      <c r="GM104" s="10">
        <v>0</v>
      </c>
      <c r="GN104" s="10">
        <v>0</v>
      </c>
      <c r="GO104" s="10">
        <v>0</v>
      </c>
      <c r="GP104" s="10">
        <v>0</v>
      </c>
      <c r="GQ104" s="10">
        <v>0</v>
      </c>
      <c r="GR104" s="10">
        <v>0</v>
      </c>
      <c r="GS104" s="10">
        <v>0</v>
      </c>
      <c r="GT104" s="10">
        <v>0</v>
      </c>
      <c r="GU104" s="10">
        <v>0</v>
      </c>
      <c r="GV104" s="10">
        <v>0</v>
      </c>
      <c r="GW104" s="10">
        <v>0</v>
      </c>
      <c r="GX104" s="10">
        <v>0</v>
      </c>
      <c r="GY104" s="10">
        <v>0</v>
      </c>
      <c r="GZ104" s="10">
        <v>0</v>
      </c>
      <c r="HA104" s="10">
        <v>0</v>
      </c>
      <c r="HB104" s="10">
        <v>0</v>
      </c>
      <c r="HC104" s="10">
        <v>0</v>
      </c>
      <c r="HD104" s="10">
        <v>0</v>
      </c>
      <c r="HE104" s="10">
        <v>0</v>
      </c>
      <c r="HF104" s="10">
        <v>0</v>
      </c>
      <c r="HG104" s="10">
        <v>0</v>
      </c>
      <c r="HH104" s="10">
        <v>0</v>
      </c>
      <c r="HI104" s="10">
        <v>0</v>
      </c>
      <c r="HJ104" s="10">
        <v>0</v>
      </c>
      <c r="HK104" s="10">
        <v>0</v>
      </c>
      <c r="HL104" s="10">
        <v>0</v>
      </c>
      <c r="HM104" s="10">
        <v>0</v>
      </c>
      <c r="HN104" s="10">
        <v>0</v>
      </c>
      <c r="HO104" s="10">
        <v>0</v>
      </c>
      <c r="HP104" s="10">
        <v>0</v>
      </c>
      <c r="HQ104" s="10">
        <v>0</v>
      </c>
      <c r="HR104" s="10">
        <v>0</v>
      </c>
      <c r="HS104" s="10">
        <v>0</v>
      </c>
      <c r="HT104" s="10">
        <v>0</v>
      </c>
      <c r="HU104" s="10">
        <v>0</v>
      </c>
    </row>
    <row r="105" spans="1:229" x14ac:dyDescent="0.25">
      <c r="A105" s="10">
        <v>0</v>
      </c>
      <c r="B105" s="2" t="s">
        <v>198</v>
      </c>
      <c r="C105" s="2" t="s">
        <v>199</v>
      </c>
      <c r="D105" s="2">
        <v>3.319</v>
      </c>
      <c r="E105" s="2">
        <v>10.57</v>
      </c>
      <c r="F105" s="2">
        <v>0.64</v>
      </c>
      <c r="G105" s="2">
        <v>0</v>
      </c>
      <c r="H105" s="2">
        <v>0.31</v>
      </c>
      <c r="I105" s="2">
        <v>155</v>
      </c>
      <c r="J105" s="2">
        <v>4.843</v>
      </c>
      <c r="K105" s="2">
        <v>2.7120000000000002</v>
      </c>
      <c r="L105" s="3"/>
      <c r="M105" s="2" t="str">
        <f t="shared" si="8"/>
        <v>01130</v>
      </c>
      <c r="N105" s="3">
        <v>0.93797526204240622</v>
      </c>
      <c r="O105" s="3">
        <v>1.062024737957594</v>
      </c>
      <c r="P105" s="17">
        <v>0.93797526204219317</v>
      </c>
      <c r="Q105" s="3">
        <v>1.2110927320280573</v>
      </c>
      <c r="R105" s="3">
        <v>7.759674507058425</v>
      </c>
      <c r="S105" s="3" t="e">
        <v>#DIV/0!</v>
      </c>
      <c r="T105" s="3">
        <v>0.93797526204286974</v>
      </c>
      <c r="U105" s="3">
        <v>0.93797526204235537</v>
      </c>
      <c r="V105" s="3">
        <v>1.0620247379576278</v>
      </c>
      <c r="W105" s="3">
        <v>0.63312040131658565</v>
      </c>
      <c r="X105" s="3">
        <v>3.1131398947180391</v>
      </c>
      <c r="Y105" s="3">
        <v>12.801250177536566</v>
      </c>
      <c r="Z105" s="3">
        <v>4.9661916845173923</v>
      </c>
      <c r="AA105" s="3">
        <v>0.33124684147593958</v>
      </c>
      <c r="AB105" s="3">
        <v>0.2907723312332896</v>
      </c>
      <c r="AC105" s="3">
        <v>145.38616561656508</v>
      </c>
      <c r="AD105" s="3">
        <v>5.1433858059287916</v>
      </c>
      <c r="AE105" s="3">
        <v>1.7170225283705804</v>
      </c>
      <c r="AF105" s="3">
        <v>0</v>
      </c>
      <c r="AG105" s="3">
        <v>0</v>
      </c>
      <c r="AH105" s="3">
        <v>0</v>
      </c>
      <c r="AI105" s="3">
        <v>0</v>
      </c>
      <c r="AJ105" s="3">
        <v>0</v>
      </c>
      <c r="AK105" s="3">
        <v>0</v>
      </c>
      <c r="AL105" s="3">
        <v>0</v>
      </c>
      <c r="AM105" s="3">
        <v>0</v>
      </c>
      <c r="AN105" s="3">
        <v>0</v>
      </c>
      <c r="AO105" s="3">
        <v>0</v>
      </c>
      <c r="AP105" s="3">
        <v>0</v>
      </c>
      <c r="AQ105" s="3">
        <v>0</v>
      </c>
      <c r="AR105" s="3">
        <v>0</v>
      </c>
      <c r="AS105" s="3">
        <v>0</v>
      </c>
      <c r="AT105" s="3">
        <v>0</v>
      </c>
      <c r="AU105" s="3">
        <v>0</v>
      </c>
      <c r="AV105" s="3">
        <v>0</v>
      </c>
      <c r="AW105" s="3">
        <v>0</v>
      </c>
      <c r="AX105" s="3">
        <v>0</v>
      </c>
      <c r="AY105" s="3">
        <v>0</v>
      </c>
      <c r="AZ105" s="3">
        <v>0</v>
      </c>
      <c r="BA105" s="10">
        <v>0</v>
      </c>
      <c r="BB105" s="10">
        <v>0</v>
      </c>
      <c r="BC105" s="10">
        <v>0</v>
      </c>
      <c r="BD105" s="10">
        <v>0</v>
      </c>
      <c r="BE105" s="10">
        <v>0</v>
      </c>
      <c r="BF105" s="10">
        <v>0</v>
      </c>
      <c r="BG105" s="10">
        <v>0</v>
      </c>
      <c r="BH105" s="10">
        <v>0</v>
      </c>
      <c r="BI105" s="10">
        <v>0</v>
      </c>
      <c r="BJ105" s="10">
        <v>0</v>
      </c>
      <c r="BK105" s="10">
        <v>0</v>
      </c>
      <c r="BL105" s="10">
        <v>0</v>
      </c>
      <c r="BM105" s="10">
        <v>0</v>
      </c>
      <c r="BN105" s="10">
        <v>0</v>
      </c>
      <c r="BO105" s="10">
        <v>0</v>
      </c>
      <c r="BP105" s="10">
        <v>0</v>
      </c>
      <c r="BQ105" s="10">
        <v>0</v>
      </c>
      <c r="BR105" s="10">
        <v>0</v>
      </c>
      <c r="BS105" s="10">
        <v>0</v>
      </c>
      <c r="BT105" s="10">
        <v>0</v>
      </c>
      <c r="BU105" s="10">
        <v>0</v>
      </c>
      <c r="BV105" s="10">
        <v>0</v>
      </c>
      <c r="BW105" s="10">
        <v>0</v>
      </c>
      <c r="BX105" s="10">
        <v>0</v>
      </c>
      <c r="BY105" s="10">
        <v>0</v>
      </c>
      <c r="BZ105" s="10">
        <v>0</v>
      </c>
      <c r="CA105" s="10">
        <v>0.75485317680295483</v>
      </c>
      <c r="CB105" s="10">
        <v>0</v>
      </c>
      <c r="CC105" s="10">
        <v>0</v>
      </c>
      <c r="CD105" s="10">
        <v>0</v>
      </c>
      <c r="CE105" s="10">
        <v>0</v>
      </c>
      <c r="CF105" s="10">
        <v>0</v>
      </c>
      <c r="CG105" s="10">
        <v>0</v>
      </c>
      <c r="CH105" s="10">
        <v>0</v>
      </c>
      <c r="CI105" s="10">
        <v>0</v>
      </c>
      <c r="CJ105" s="10">
        <v>0</v>
      </c>
      <c r="CK105" s="10">
        <v>0</v>
      </c>
      <c r="CL105" s="10">
        <v>0</v>
      </c>
      <c r="CM105" s="10">
        <v>0</v>
      </c>
      <c r="CN105" s="10">
        <v>0</v>
      </c>
      <c r="CO105" s="10">
        <v>0</v>
      </c>
      <c r="CP105" s="10">
        <v>0</v>
      </c>
      <c r="CQ105" s="10">
        <v>0</v>
      </c>
      <c r="CR105" s="10">
        <v>0</v>
      </c>
      <c r="CS105" s="10">
        <v>0</v>
      </c>
      <c r="CT105" s="10">
        <v>0</v>
      </c>
      <c r="CU105" s="10">
        <v>0</v>
      </c>
      <c r="CV105" s="10">
        <v>0</v>
      </c>
      <c r="CW105" s="10">
        <v>0</v>
      </c>
      <c r="CX105" s="10">
        <v>0</v>
      </c>
      <c r="CY105" s="10">
        <v>0</v>
      </c>
      <c r="CZ105" s="10">
        <v>0</v>
      </c>
      <c r="DA105" s="10">
        <v>0</v>
      </c>
      <c r="DB105" s="10">
        <v>0</v>
      </c>
      <c r="DC105" s="10">
        <v>0</v>
      </c>
      <c r="DD105" s="10">
        <v>0</v>
      </c>
      <c r="DE105" s="10">
        <v>0</v>
      </c>
      <c r="DF105" s="10">
        <v>0</v>
      </c>
      <c r="DG105" s="10">
        <v>0</v>
      </c>
      <c r="DH105" s="10">
        <v>0</v>
      </c>
      <c r="DI105" s="10">
        <v>0</v>
      </c>
      <c r="DJ105" s="10">
        <v>0</v>
      </c>
      <c r="DK105" s="10">
        <v>0</v>
      </c>
      <c r="DL105" s="10">
        <v>0</v>
      </c>
      <c r="DM105" s="10">
        <v>0</v>
      </c>
      <c r="DN105" s="10">
        <v>0</v>
      </c>
      <c r="DO105" s="10">
        <v>0</v>
      </c>
      <c r="DP105" s="10">
        <v>0</v>
      </c>
      <c r="DQ105" s="10">
        <v>0</v>
      </c>
      <c r="DR105" s="10">
        <v>0</v>
      </c>
      <c r="DS105" s="10">
        <v>4.3527184841232643E-2</v>
      </c>
      <c r="DT105" s="10">
        <v>0</v>
      </c>
      <c r="DU105" s="10">
        <v>0</v>
      </c>
      <c r="DV105" s="10">
        <v>0</v>
      </c>
      <c r="DW105" s="10">
        <v>0</v>
      </c>
      <c r="DX105" s="10">
        <v>0</v>
      </c>
      <c r="DY105" s="10">
        <v>0.15496515364089133</v>
      </c>
      <c r="DZ105" s="10">
        <v>0</v>
      </c>
      <c r="EA105" s="10">
        <v>0</v>
      </c>
      <c r="EB105" s="10">
        <v>0</v>
      </c>
      <c r="EC105" s="10">
        <v>0</v>
      </c>
      <c r="ED105" s="10">
        <v>0</v>
      </c>
      <c r="EE105" s="10">
        <v>0</v>
      </c>
      <c r="EF105" s="10">
        <v>0</v>
      </c>
      <c r="EG105" s="10">
        <v>0</v>
      </c>
      <c r="EH105" s="10">
        <v>0</v>
      </c>
      <c r="EI105" s="10">
        <v>0</v>
      </c>
      <c r="EJ105" s="10">
        <v>0</v>
      </c>
      <c r="EK105" s="10">
        <v>0</v>
      </c>
      <c r="EL105" s="10">
        <v>0</v>
      </c>
      <c r="EM105" s="10">
        <v>0</v>
      </c>
      <c r="EN105" s="10">
        <v>0</v>
      </c>
      <c r="EO105" s="10">
        <v>0</v>
      </c>
      <c r="EP105" s="10">
        <v>0</v>
      </c>
      <c r="EQ105" s="10">
        <v>0</v>
      </c>
      <c r="ER105" s="10">
        <v>0</v>
      </c>
      <c r="ES105" s="10">
        <v>0</v>
      </c>
      <c r="ET105" s="10">
        <v>0</v>
      </c>
      <c r="EU105" s="10">
        <v>0</v>
      </c>
      <c r="EV105" s="10">
        <v>0</v>
      </c>
      <c r="EW105" s="10">
        <v>0</v>
      </c>
      <c r="EX105" s="10">
        <v>0</v>
      </c>
      <c r="EY105" s="10">
        <v>0</v>
      </c>
      <c r="EZ105" s="10">
        <v>0</v>
      </c>
      <c r="FA105" s="10">
        <v>0</v>
      </c>
      <c r="FB105" s="10">
        <v>0</v>
      </c>
      <c r="FC105" s="10">
        <v>0</v>
      </c>
      <c r="FD105" s="10">
        <v>0</v>
      </c>
      <c r="FE105" s="10">
        <v>0</v>
      </c>
      <c r="FF105" s="10">
        <v>0</v>
      </c>
      <c r="FG105" s="10">
        <v>0</v>
      </c>
      <c r="FH105" s="10">
        <v>0</v>
      </c>
      <c r="FI105" s="10">
        <v>0</v>
      </c>
      <c r="FJ105" s="10">
        <v>0</v>
      </c>
      <c r="FK105" s="10">
        <v>0</v>
      </c>
      <c r="FL105" s="10">
        <v>0</v>
      </c>
      <c r="FM105" s="10">
        <v>0</v>
      </c>
      <c r="FN105" s="10">
        <v>0</v>
      </c>
      <c r="FO105" s="10">
        <v>0</v>
      </c>
      <c r="FP105" s="10">
        <v>0</v>
      </c>
      <c r="FQ105" s="10">
        <v>0</v>
      </c>
      <c r="FR105" s="10">
        <v>0</v>
      </c>
      <c r="FS105" s="10">
        <v>0</v>
      </c>
      <c r="FT105" s="10">
        <v>0</v>
      </c>
      <c r="FU105" s="10">
        <v>0</v>
      </c>
      <c r="FV105" s="10">
        <v>0</v>
      </c>
      <c r="FW105" s="10">
        <v>0</v>
      </c>
      <c r="FX105" s="10">
        <v>0</v>
      </c>
      <c r="FY105" s="10">
        <v>0</v>
      </c>
      <c r="FZ105" s="10">
        <v>0</v>
      </c>
      <c r="GA105" s="10">
        <v>4.665448471492107E-2</v>
      </c>
      <c r="GB105" s="10">
        <v>0</v>
      </c>
      <c r="GC105" s="10">
        <v>0</v>
      </c>
      <c r="GD105" s="10">
        <v>0</v>
      </c>
      <c r="GE105" s="10">
        <v>0</v>
      </c>
      <c r="GF105" s="10">
        <v>0</v>
      </c>
      <c r="GG105" s="10">
        <v>0</v>
      </c>
      <c r="GH105" s="10">
        <v>0</v>
      </c>
      <c r="GI105" s="10">
        <v>0</v>
      </c>
      <c r="GJ105" s="10">
        <v>0</v>
      </c>
      <c r="GK105" s="10">
        <v>0</v>
      </c>
      <c r="GL105" s="10">
        <v>0</v>
      </c>
      <c r="GM105" s="10">
        <v>0</v>
      </c>
      <c r="GN105" s="10">
        <v>0</v>
      </c>
      <c r="GO105" s="10">
        <v>0</v>
      </c>
      <c r="GP105" s="10">
        <v>0</v>
      </c>
      <c r="GQ105" s="10">
        <v>0</v>
      </c>
      <c r="GR105" s="10">
        <v>0</v>
      </c>
      <c r="GS105" s="10">
        <v>0</v>
      </c>
      <c r="GT105" s="10">
        <v>0</v>
      </c>
      <c r="GU105" s="10">
        <v>0</v>
      </c>
      <c r="GV105" s="10">
        <v>0</v>
      </c>
      <c r="GW105" s="10">
        <v>0</v>
      </c>
      <c r="GX105" s="10">
        <v>0</v>
      </c>
      <c r="GY105" s="10">
        <v>0</v>
      </c>
      <c r="GZ105" s="10">
        <v>0</v>
      </c>
      <c r="HA105" s="10">
        <v>0</v>
      </c>
      <c r="HB105" s="10">
        <v>0</v>
      </c>
      <c r="HC105" s="10">
        <v>0</v>
      </c>
      <c r="HD105" s="10">
        <v>0</v>
      </c>
      <c r="HE105" s="10">
        <v>0</v>
      </c>
      <c r="HF105" s="10">
        <v>0</v>
      </c>
      <c r="HG105" s="10">
        <v>0</v>
      </c>
      <c r="HH105" s="10">
        <v>0</v>
      </c>
      <c r="HI105" s="10">
        <v>0</v>
      </c>
      <c r="HJ105" s="10">
        <v>0</v>
      </c>
      <c r="HK105" s="10">
        <v>0</v>
      </c>
      <c r="HL105" s="10">
        <v>0</v>
      </c>
      <c r="HM105" s="10">
        <v>0</v>
      </c>
      <c r="HN105" s="10">
        <v>0</v>
      </c>
      <c r="HO105" s="10">
        <v>0</v>
      </c>
      <c r="HP105" s="10">
        <v>0</v>
      </c>
      <c r="HQ105" s="10">
        <v>0</v>
      </c>
      <c r="HR105" s="10">
        <v>0</v>
      </c>
      <c r="HS105" s="10">
        <v>0</v>
      </c>
      <c r="HT105" s="10">
        <v>0</v>
      </c>
      <c r="HU105" s="10">
        <v>0</v>
      </c>
    </row>
    <row r="106" spans="1:229" x14ac:dyDescent="0.25">
      <c r="A106" s="10">
        <v>0</v>
      </c>
      <c r="B106" s="2" t="s">
        <v>200</v>
      </c>
      <c r="C106" s="2" t="s">
        <v>201</v>
      </c>
      <c r="D106" s="2">
        <v>3.331</v>
      </c>
      <c r="E106" s="2">
        <v>9.99</v>
      </c>
      <c r="F106" s="2">
        <v>1.61</v>
      </c>
      <c r="G106" s="2">
        <v>0</v>
      </c>
      <c r="H106" s="2">
        <v>1.39</v>
      </c>
      <c r="I106" s="2">
        <v>145</v>
      </c>
      <c r="J106" s="2">
        <v>4.4409999999999998</v>
      </c>
      <c r="K106" s="2">
        <v>2.4289999999999998</v>
      </c>
      <c r="L106" s="3"/>
      <c r="M106" s="2" t="str">
        <f t="shared" si="8"/>
        <v>01132</v>
      </c>
      <c r="N106" s="3">
        <v>0.76926102297116328</v>
      </c>
      <c r="O106" s="3">
        <v>1.2307389770288366</v>
      </c>
      <c r="P106" s="17">
        <v>0.76926102297115095</v>
      </c>
      <c r="Q106" s="3">
        <v>1.3492747084553978</v>
      </c>
      <c r="R106" s="3">
        <v>4.2651383796226412</v>
      </c>
      <c r="S106" s="3" t="e">
        <v>#DIV/0!</v>
      </c>
      <c r="T106" s="3">
        <v>0.7692610229711786</v>
      </c>
      <c r="U106" s="3">
        <v>0.7692610229711655</v>
      </c>
      <c r="V106" s="3">
        <v>1.2307389770287387</v>
      </c>
      <c r="W106" s="3">
        <v>0.65006172457205713</v>
      </c>
      <c r="X106" s="3">
        <v>2.5624084675169039</v>
      </c>
      <c r="Y106" s="3">
        <v>13.479254337469424</v>
      </c>
      <c r="Z106" s="3">
        <v>6.8668727911924528</v>
      </c>
      <c r="AA106" s="3">
        <v>1.2168079112860384</v>
      </c>
      <c r="AB106" s="3">
        <v>1.0692728219299381</v>
      </c>
      <c r="AC106" s="3">
        <v>111.542848330819</v>
      </c>
      <c r="AD106" s="3">
        <v>5.4657117969846283</v>
      </c>
      <c r="AE106" s="3">
        <v>1.5789999289855268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0</v>
      </c>
      <c r="AL106" s="3">
        <v>0</v>
      </c>
      <c r="AM106" s="3">
        <v>0</v>
      </c>
      <c r="AN106" s="3">
        <v>0</v>
      </c>
      <c r="AO106" s="3">
        <v>0</v>
      </c>
      <c r="AP106" s="3">
        <v>0</v>
      </c>
      <c r="AQ106" s="3">
        <v>0</v>
      </c>
      <c r="AR106" s="3">
        <v>0</v>
      </c>
      <c r="AS106" s="3">
        <v>0</v>
      </c>
      <c r="AT106" s="3">
        <v>0</v>
      </c>
      <c r="AU106" s="3">
        <v>0</v>
      </c>
      <c r="AV106" s="3">
        <v>0</v>
      </c>
      <c r="AW106" s="3">
        <v>0</v>
      </c>
      <c r="AX106" s="3">
        <v>0</v>
      </c>
      <c r="AY106" s="3">
        <v>0</v>
      </c>
      <c r="AZ106" s="3">
        <v>0</v>
      </c>
      <c r="BA106" s="10">
        <v>0</v>
      </c>
      <c r="BB106" s="10">
        <v>0</v>
      </c>
      <c r="BC106" s="10">
        <v>0</v>
      </c>
      <c r="BD106" s="10">
        <v>0</v>
      </c>
      <c r="BE106" s="10">
        <v>0</v>
      </c>
      <c r="BF106" s="10">
        <v>0</v>
      </c>
      <c r="BG106" s="10">
        <v>0</v>
      </c>
      <c r="BH106" s="10">
        <v>0</v>
      </c>
      <c r="BI106" s="10">
        <v>0</v>
      </c>
      <c r="BJ106" s="10">
        <v>0</v>
      </c>
      <c r="BK106" s="10">
        <v>0</v>
      </c>
      <c r="BL106" s="10">
        <v>0</v>
      </c>
      <c r="BM106" s="10">
        <v>0</v>
      </c>
      <c r="BN106" s="10">
        <v>0</v>
      </c>
      <c r="BO106" s="10">
        <v>0</v>
      </c>
      <c r="BP106" s="10">
        <v>0</v>
      </c>
      <c r="BQ106" s="10">
        <v>0</v>
      </c>
      <c r="BR106" s="10">
        <v>0</v>
      </c>
      <c r="BS106" s="10">
        <v>0</v>
      </c>
      <c r="BT106" s="10">
        <v>0</v>
      </c>
      <c r="BU106" s="10">
        <v>0</v>
      </c>
      <c r="BV106" s="10">
        <v>0</v>
      </c>
      <c r="BW106" s="10">
        <v>0</v>
      </c>
      <c r="BX106" s="10">
        <v>0</v>
      </c>
      <c r="BY106" s="10">
        <v>0</v>
      </c>
      <c r="BZ106" s="10">
        <v>0</v>
      </c>
      <c r="CA106" s="10">
        <v>0.64756788268659993</v>
      </c>
      <c r="CB106" s="10">
        <v>0</v>
      </c>
      <c r="CC106" s="10">
        <v>0</v>
      </c>
      <c r="CD106" s="10">
        <v>0</v>
      </c>
      <c r="CE106" s="10">
        <v>0</v>
      </c>
      <c r="CF106" s="10">
        <v>0</v>
      </c>
      <c r="CG106" s="10">
        <v>0</v>
      </c>
      <c r="CH106" s="10">
        <v>0</v>
      </c>
      <c r="CI106" s="10">
        <v>0</v>
      </c>
      <c r="CJ106" s="10">
        <v>0</v>
      </c>
      <c r="CK106" s="10">
        <v>0</v>
      </c>
      <c r="CL106" s="10">
        <v>0</v>
      </c>
      <c r="CM106" s="10">
        <v>0</v>
      </c>
      <c r="CN106" s="10">
        <v>0</v>
      </c>
      <c r="CO106" s="10">
        <v>0</v>
      </c>
      <c r="CP106" s="10">
        <v>0</v>
      </c>
      <c r="CQ106" s="10">
        <v>0</v>
      </c>
      <c r="CR106" s="10">
        <v>0</v>
      </c>
      <c r="CS106" s="10">
        <v>0</v>
      </c>
      <c r="CT106" s="10">
        <v>0</v>
      </c>
      <c r="CU106" s="10">
        <v>0</v>
      </c>
      <c r="CV106" s="10">
        <v>0</v>
      </c>
      <c r="CW106" s="10">
        <v>0</v>
      </c>
      <c r="CX106" s="10">
        <v>0</v>
      </c>
      <c r="CY106" s="10">
        <v>0</v>
      </c>
      <c r="CZ106" s="10">
        <v>0</v>
      </c>
      <c r="DA106" s="10">
        <v>0</v>
      </c>
      <c r="DB106" s="10">
        <v>0</v>
      </c>
      <c r="DC106" s="10">
        <v>0</v>
      </c>
      <c r="DD106" s="10">
        <v>0</v>
      </c>
      <c r="DE106" s="10">
        <v>0</v>
      </c>
      <c r="DF106" s="10">
        <v>0</v>
      </c>
      <c r="DG106" s="10">
        <v>0</v>
      </c>
      <c r="DH106" s="10">
        <v>0</v>
      </c>
      <c r="DI106" s="10">
        <v>0</v>
      </c>
      <c r="DJ106" s="10">
        <v>0</v>
      </c>
      <c r="DK106" s="10">
        <v>0</v>
      </c>
      <c r="DL106" s="10">
        <v>0</v>
      </c>
      <c r="DM106" s="10">
        <v>0</v>
      </c>
      <c r="DN106" s="10">
        <v>0</v>
      </c>
      <c r="DO106" s="10">
        <v>0</v>
      </c>
      <c r="DP106" s="10">
        <v>0</v>
      </c>
      <c r="DQ106" s="10">
        <v>0</v>
      </c>
      <c r="DR106" s="10">
        <v>0</v>
      </c>
      <c r="DS106" s="10">
        <v>0.16193759111148934</v>
      </c>
      <c r="DT106" s="10">
        <v>0</v>
      </c>
      <c r="DU106" s="10">
        <v>0</v>
      </c>
      <c r="DV106" s="10">
        <v>0</v>
      </c>
      <c r="DW106" s="10">
        <v>0</v>
      </c>
      <c r="DX106" s="10">
        <v>0</v>
      </c>
      <c r="DY106" s="10">
        <v>1.9113130246130781E-2</v>
      </c>
      <c r="DZ106" s="10">
        <v>0</v>
      </c>
      <c r="EA106" s="10">
        <v>0</v>
      </c>
      <c r="EB106" s="10">
        <v>0</v>
      </c>
      <c r="EC106" s="10">
        <v>0</v>
      </c>
      <c r="ED106" s="10">
        <v>0</v>
      </c>
      <c r="EE106" s="10">
        <v>0</v>
      </c>
      <c r="EF106" s="10">
        <v>0</v>
      </c>
      <c r="EG106" s="10">
        <v>0</v>
      </c>
      <c r="EH106" s="10">
        <v>0</v>
      </c>
      <c r="EI106" s="10">
        <v>0</v>
      </c>
      <c r="EJ106" s="10">
        <v>0</v>
      </c>
      <c r="EK106" s="10">
        <v>0</v>
      </c>
      <c r="EL106" s="10">
        <v>0</v>
      </c>
      <c r="EM106" s="10">
        <v>0</v>
      </c>
      <c r="EN106" s="10">
        <v>0</v>
      </c>
      <c r="EO106" s="10">
        <v>0</v>
      </c>
      <c r="EP106" s="10">
        <v>0</v>
      </c>
      <c r="EQ106" s="10">
        <v>0</v>
      </c>
      <c r="ER106" s="10">
        <v>0</v>
      </c>
      <c r="ES106" s="10">
        <v>0</v>
      </c>
      <c r="ET106" s="10">
        <v>0</v>
      </c>
      <c r="EU106" s="10">
        <v>0</v>
      </c>
      <c r="EV106" s="10">
        <v>0</v>
      </c>
      <c r="EW106" s="10">
        <v>0</v>
      </c>
      <c r="EX106" s="10">
        <v>0</v>
      </c>
      <c r="EY106" s="10">
        <v>0</v>
      </c>
      <c r="EZ106" s="10">
        <v>0</v>
      </c>
      <c r="FA106" s="10">
        <v>0</v>
      </c>
      <c r="FB106" s="10">
        <v>0</v>
      </c>
      <c r="FC106" s="10">
        <v>0</v>
      </c>
      <c r="FD106" s="10">
        <v>0</v>
      </c>
      <c r="FE106" s="10">
        <v>0</v>
      </c>
      <c r="FF106" s="10">
        <v>0</v>
      </c>
      <c r="FG106" s="10">
        <v>0</v>
      </c>
      <c r="FH106" s="10">
        <v>0</v>
      </c>
      <c r="FI106" s="10">
        <v>0</v>
      </c>
      <c r="FJ106" s="10">
        <v>0</v>
      </c>
      <c r="FK106" s="10">
        <v>0</v>
      </c>
      <c r="FL106" s="10">
        <v>0</v>
      </c>
      <c r="FM106" s="10">
        <v>0</v>
      </c>
      <c r="FN106" s="10">
        <v>0</v>
      </c>
      <c r="FO106" s="10">
        <v>0</v>
      </c>
      <c r="FP106" s="10">
        <v>0</v>
      </c>
      <c r="FQ106" s="10">
        <v>0</v>
      </c>
      <c r="FR106" s="10">
        <v>0</v>
      </c>
      <c r="FS106" s="10">
        <v>0</v>
      </c>
      <c r="FT106" s="10">
        <v>0</v>
      </c>
      <c r="FU106" s="10">
        <v>0</v>
      </c>
      <c r="FV106" s="10">
        <v>0</v>
      </c>
      <c r="FW106" s="10">
        <v>0</v>
      </c>
      <c r="FX106" s="10">
        <v>0</v>
      </c>
      <c r="FY106" s="10">
        <v>0</v>
      </c>
      <c r="FZ106" s="10">
        <v>0</v>
      </c>
      <c r="GA106" s="10">
        <v>0.17138139595578006</v>
      </c>
      <c r="GB106" s="10">
        <v>0</v>
      </c>
      <c r="GC106" s="10">
        <v>0</v>
      </c>
      <c r="GD106" s="10">
        <v>0</v>
      </c>
      <c r="GE106" s="10">
        <v>0</v>
      </c>
      <c r="GF106" s="10">
        <v>0</v>
      </c>
      <c r="GG106" s="10">
        <v>0</v>
      </c>
      <c r="GH106" s="10">
        <v>0</v>
      </c>
      <c r="GI106" s="10">
        <v>0</v>
      </c>
      <c r="GJ106" s="10">
        <v>0</v>
      </c>
      <c r="GK106" s="10">
        <v>0</v>
      </c>
      <c r="GL106" s="10">
        <v>0</v>
      </c>
      <c r="GM106" s="10">
        <v>0</v>
      </c>
      <c r="GN106" s="10">
        <v>0</v>
      </c>
      <c r="GO106" s="10">
        <v>0</v>
      </c>
      <c r="GP106" s="10">
        <v>0</v>
      </c>
      <c r="GQ106" s="10">
        <v>0</v>
      </c>
      <c r="GR106" s="10">
        <v>0</v>
      </c>
      <c r="GS106" s="10">
        <v>0</v>
      </c>
      <c r="GT106" s="10">
        <v>0</v>
      </c>
      <c r="GU106" s="10">
        <v>0</v>
      </c>
      <c r="GV106" s="10">
        <v>0</v>
      </c>
      <c r="GW106" s="10">
        <v>0</v>
      </c>
      <c r="GX106" s="10">
        <v>0</v>
      </c>
      <c r="GY106" s="10">
        <v>0</v>
      </c>
      <c r="GZ106" s="10">
        <v>0</v>
      </c>
      <c r="HA106" s="10">
        <v>0</v>
      </c>
      <c r="HB106" s="10">
        <v>0</v>
      </c>
      <c r="HC106" s="10">
        <v>0</v>
      </c>
      <c r="HD106" s="10">
        <v>0</v>
      </c>
      <c r="HE106" s="10">
        <v>0</v>
      </c>
      <c r="HF106" s="10">
        <v>0</v>
      </c>
      <c r="HG106" s="10">
        <v>0</v>
      </c>
      <c r="HH106" s="10">
        <v>0</v>
      </c>
      <c r="HI106" s="10">
        <v>0</v>
      </c>
      <c r="HJ106" s="10">
        <v>0</v>
      </c>
      <c r="HK106" s="10">
        <v>0</v>
      </c>
      <c r="HL106" s="10">
        <v>0</v>
      </c>
      <c r="HM106" s="10">
        <v>0</v>
      </c>
      <c r="HN106" s="10">
        <v>0</v>
      </c>
      <c r="HO106" s="10">
        <v>0</v>
      </c>
      <c r="HP106" s="10">
        <v>0</v>
      </c>
      <c r="HQ106" s="10">
        <v>0</v>
      </c>
      <c r="HR106" s="10">
        <v>0</v>
      </c>
      <c r="HS106" s="10">
        <v>0</v>
      </c>
      <c r="HT106" s="10">
        <v>0</v>
      </c>
      <c r="HU106" s="10">
        <v>0</v>
      </c>
    </row>
    <row r="107" spans="1:229" x14ac:dyDescent="0.25">
      <c r="A107" s="10">
        <v>0</v>
      </c>
      <c r="B107" s="2" t="s">
        <v>202</v>
      </c>
      <c r="C107" s="2" t="s">
        <v>203</v>
      </c>
      <c r="D107" s="2">
        <v>15.069000000000001</v>
      </c>
      <c r="E107" s="2">
        <v>48.05</v>
      </c>
      <c r="F107" s="2">
        <v>1.1299999999999999</v>
      </c>
      <c r="G107" s="2">
        <v>0</v>
      </c>
      <c r="H107" s="2">
        <v>0.56000000000000005</v>
      </c>
      <c r="I107" s="2">
        <v>476</v>
      </c>
      <c r="J107" s="2">
        <v>16.725999999999999</v>
      </c>
      <c r="K107" s="2">
        <v>8.3140000000000001</v>
      </c>
      <c r="L107" s="3"/>
      <c r="M107" s="2" t="str">
        <f t="shared" si="8"/>
        <v>01133</v>
      </c>
      <c r="N107" s="3">
        <v>0.99999999999999989</v>
      </c>
      <c r="O107" s="3">
        <v>1.0000000000000002</v>
      </c>
      <c r="P107" s="17">
        <v>0.99999999999999289</v>
      </c>
      <c r="Q107" s="3">
        <v>1.0000000000000011</v>
      </c>
      <c r="R107" s="3">
        <v>1.0000000000001152</v>
      </c>
      <c r="S107" s="3" t="e">
        <v>#DIV/0!</v>
      </c>
      <c r="T107" s="3">
        <v>1.0000000000000355</v>
      </c>
      <c r="U107" s="3">
        <v>0.99999999999999933</v>
      </c>
      <c r="V107" s="3">
        <v>0.99999999999999534</v>
      </c>
      <c r="W107" s="10">
        <v>0.99999999999999334</v>
      </c>
      <c r="X107" s="10">
        <v>15.068999999999894</v>
      </c>
      <c r="Y107" s="3">
        <v>48.050000000000047</v>
      </c>
      <c r="Z107" s="3">
        <v>1.13000000000013</v>
      </c>
      <c r="AA107" s="3">
        <v>1.2043291209475572E-14</v>
      </c>
      <c r="AB107" s="3">
        <v>0.56000000000001993</v>
      </c>
      <c r="AC107" s="3">
        <v>475.99999999999966</v>
      </c>
      <c r="AD107" s="3">
        <v>16.725999999999921</v>
      </c>
      <c r="AE107" s="3">
        <v>8.313999999999945</v>
      </c>
      <c r="AF107" s="3">
        <v>0</v>
      </c>
      <c r="AG107" s="3">
        <v>0</v>
      </c>
      <c r="AH107" s="3">
        <v>0</v>
      </c>
      <c r="AI107" s="10">
        <v>0</v>
      </c>
      <c r="AJ107" s="3">
        <v>0</v>
      </c>
      <c r="AK107" s="3">
        <v>0</v>
      </c>
      <c r="AL107" s="3">
        <v>0</v>
      </c>
      <c r="AM107" s="3">
        <v>0</v>
      </c>
      <c r="AN107" s="10">
        <v>0</v>
      </c>
      <c r="AO107" s="10">
        <v>0</v>
      </c>
      <c r="AP107" s="10">
        <v>0</v>
      </c>
      <c r="AQ107" s="10">
        <v>0</v>
      </c>
      <c r="AR107" s="10">
        <v>0</v>
      </c>
      <c r="AS107" s="10">
        <v>0</v>
      </c>
      <c r="AT107" s="10">
        <v>0</v>
      </c>
      <c r="AU107" s="10">
        <v>0</v>
      </c>
      <c r="AV107" s="10">
        <v>0</v>
      </c>
      <c r="AW107" s="3">
        <v>0</v>
      </c>
      <c r="AX107" s="3">
        <v>0</v>
      </c>
      <c r="AY107" s="3">
        <v>0</v>
      </c>
      <c r="AZ107" s="3">
        <v>0</v>
      </c>
      <c r="BA107" s="10">
        <v>0</v>
      </c>
      <c r="BB107" s="10">
        <v>0</v>
      </c>
      <c r="BC107" s="10">
        <v>0</v>
      </c>
      <c r="BD107" s="10">
        <v>0</v>
      </c>
      <c r="BE107" s="10">
        <v>0</v>
      </c>
      <c r="BF107" s="10">
        <v>0</v>
      </c>
      <c r="BG107" s="10">
        <v>0</v>
      </c>
      <c r="BH107" s="10">
        <v>0</v>
      </c>
      <c r="BI107" s="10">
        <v>0</v>
      </c>
      <c r="BJ107" s="10">
        <v>0</v>
      </c>
      <c r="BK107" s="10">
        <v>0</v>
      </c>
      <c r="BL107" s="10">
        <v>0</v>
      </c>
      <c r="BM107" s="10">
        <v>0</v>
      </c>
      <c r="BN107" s="10">
        <v>0</v>
      </c>
      <c r="BO107" s="10">
        <v>0</v>
      </c>
      <c r="BP107" s="10">
        <v>0</v>
      </c>
      <c r="BQ107" s="10">
        <v>0</v>
      </c>
      <c r="BR107" s="10">
        <v>0</v>
      </c>
      <c r="BS107" s="10">
        <v>0</v>
      </c>
      <c r="BT107" s="10">
        <v>0</v>
      </c>
      <c r="BU107" s="10">
        <v>0</v>
      </c>
      <c r="BV107" s="10">
        <v>0</v>
      </c>
      <c r="BW107" s="10">
        <v>0</v>
      </c>
      <c r="BX107" s="10">
        <v>0</v>
      </c>
      <c r="BY107" s="10">
        <v>0</v>
      </c>
      <c r="BZ107" s="10">
        <v>0</v>
      </c>
      <c r="CA107" s="10">
        <v>0</v>
      </c>
      <c r="CB107" s="10">
        <v>0</v>
      </c>
      <c r="CC107" s="10">
        <v>0</v>
      </c>
      <c r="CD107" s="10">
        <v>0</v>
      </c>
      <c r="CE107" s="10">
        <v>0</v>
      </c>
      <c r="CF107" s="10">
        <v>0</v>
      </c>
      <c r="CG107" s="10">
        <v>0</v>
      </c>
      <c r="CH107" s="10">
        <v>0</v>
      </c>
      <c r="CI107" s="10">
        <v>0</v>
      </c>
      <c r="CJ107" s="10">
        <v>0</v>
      </c>
      <c r="CK107" s="10">
        <v>0</v>
      </c>
      <c r="CL107" s="10">
        <v>0</v>
      </c>
      <c r="CM107" s="10">
        <v>0</v>
      </c>
      <c r="CN107" s="10">
        <v>0</v>
      </c>
      <c r="CO107" s="10">
        <v>0</v>
      </c>
      <c r="CP107" s="10">
        <v>0</v>
      </c>
      <c r="CQ107" s="10">
        <v>0</v>
      </c>
      <c r="CR107" s="10">
        <v>0</v>
      </c>
      <c r="CS107" s="10">
        <v>0</v>
      </c>
      <c r="CT107" s="10">
        <v>0</v>
      </c>
      <c r="CU107" s="10">
        <v>0</v>
      </c>
      <c r="CV107" s="10">
        <v>0</v>
      </c>
      <c r="CW107" s="10">
        <v>0</v>
      </c>
      <c r="CX107" s="10">
        <v>0</v>
      </c>
      <c r="CY107" s="10">
        <v>0</v>
      </c>
      <c r="CZ107" s="10">
        <v>0</v>
      </c>
      <c r="DA107" s="10">
        <v>0</v>
      </c>
      <c r="DB107" s="10">
        <v>0</v>
      </c>
      <c r="DC107" s="10">
        <v>0</v>
      </c>
      <c r="DD107" s="10">
        <v>0</v>
      </c>
      <c r="DE107" s="10">
        <v>0</v>
      </c>
      <c r="DF107" s="10">
        <v>0</v>
      </c>
      <c r="DG107" s="10">
        <v>0</v>
      </c>
      <c r="DH107" s="10">
        <v>0</v>
      </c>
      <c r="DI107" s="10">
        <v>0</v>
      </c>
      <c r="DJ107" s="10">
        <v>0</v>
      </c>
      <c r="DK107" s="10">
        <v>0</v>
      </c>
      <c r="DL107" s="10">
        <v>0</v>
      </c>
      <c r="DM107" s="10">
        <v>0</v>
      </c>
      <c r="DN107" s="10">
        <v>0</v>
      </c>
      <c r="DO107" s="10">
        <v>0</v>
      </c>
      <c r="DP107" s="10">
        <v>0</v>
      </c>
      <c r="DQ107" s="10">
        <v>0</v>
      </c>
      <c r="DR107" s="10">
        <v>0</v>
      </c>
      <c r="DS107" s="10">
        <v>0</v>
      </c>
      <c r="DT107" s="10">
        <v>0</v>
      </c>
      <c r="DU107" s="10">
        <v>0</v>
      </c>
      <c r="DV107" s="10">
        <v>0</v>
      </c>
      <c r="DW107" s="10">
        <v>0</v>
      </c>
      <c r="DX107" s="10">
        <v>0.99999999999999245</v>
      </c>
      <c r="DY107" s="10">
        <v>0</v>
      </c>
      <c r="DZ107" s="10">
        <v>0</v>
      </c>
      <c r="EA107" s="10">
        <v>0</v>
      </c>
      <c r="EB107" s="10">
        <v>0</v>
      </c>
      <c r="EC107" s="10">
        <v>0</v>
      </c>
      <c r="ED107" s="10">
        <v>0</v>
      </c>
      <c r="EE107" s="10">
        <v>0</v>
      </c>
      <c r="EF107" s="10">
        <v>0</v>
      </c>
      <c r="EG107" s="10">
        <v>0</v>
      </c>
      <c r="EH107" s="10">
        <v>0</v>
      </c>
      <c r="EI107" s="10">
        <v>0</v>
      </c>
      <c r="EJ107" s="10">
        <v>0</v>
      </c>
      <c r="EK107" s="10">
        <v>0</v>
      </c>
      <c r="EL107" s="10">
        <v>0</v>
      </c>
      <c r="EM107" s="10">
        <v>0</v>
      </c>
      <c r="EN107" s="10">
        <v>0</v>
      </c>
      <c r="EO107" s="10">
        <v>0</v>
      </c>
      <c r="EP107" s="10">
        <v>0</v>
      </c>
      <c r="EQ107" s="10">
        <v>0</v>
      </c>
      <c r="ER107" s="10">
        <v>0</v>
      </c>
      <c r="ES107" s="10">
        <v>0</v>
      </c>
      <c r="ET107" s="10">
        <v>0</v>
      </c>
      <c r="EU107" s="10">
        <v>0</v>
      </c>
      <c r="EV107" s="10">
        <v>0</v>
      </c>
      <c r="EW107" s="10">
        <v>0</v>
      </c>
      <c r="EX107" s="10">
        <v>0</v>
      </c>
      <c r="EY107" s="10">
        <v>0</v>
      </c>
      <c r="EZ107" s="10">
        <v>0</v>
      </c>
      <c r="FA107" s="10">
        <v>0</v>
      </c>
      <c r="FB107" s="10">
        <v>0</v>
      </c>
      <c r="FC107" s="10">
        <v>0</v>
      </c>
      <c r="FD107" s="10">
        <v>0</v>
      </c>
      <c r="FE107" s="10">
        <v>0</v>
      </c>
      <c r="FF107" s="10">
        <v>0</v>
      </c>
      <c r="FG107" s="10">
        <v>0</v>
      </c>
      <c r="FH107" s="10">
        <v>0</v>
      </c>
      <c r="FI107" s="10">
        <v>0</v>
      </c>
      <c r="FJ107" s="10">
        <v>0</v>
      </c>
      <c r="FK107" s="10">
        <v>0</v>
      </c>
      <c r="FL107" s="10">
        <v>0</v>
      </c>
      <c r="FM107" s="10">
        <v>0</v>
      </c>
      <c r="FN107" s="10">
        <v>0</v>
      </c>
      <c r="FO107" s="10">
        <v>0</v>
      </c>
      <c r="FP107" s="10">
        <v>0</v>
      </c>
      <c r="FQ107" s="10">
        <v>0</v>
      </c>
      <c r="FR107" s="10">
        <v>0</v>
      </c>
      <c r="FS107" s="10">
        <v>0</v>
      </c>
      <c r="FT107" s="10">
        <v>0</v>
      </c>
      <c r="FU107" s="10">
        <v>0</v>
      </c>
      <c r="FV107" s="10">
        <v>0</v>
      </c>
      <c r="FW107" s="10">
        <v>0</v>
      </c>
      <c r="FX107" s="10">
        <v>0</v>
      </c>
      <c r="FY107" s="10">
        <v>0</v>
      </c>
      <c r="FZ107" s="10">
        <v>0</v>
      </c>
      <c r="GA107" s="10">
        <v>0</v>
      </c>
      <c r="GB107" s="10">
        <v>6.0216456047377861E-15</v>
      </c>
      <c r="GC107" s="10">
        <v>0</v>
      </c>
      <c r="GD107" s="10">
        <v>0</v>
      </c>
      <c r="GE107" s="10">
        <v>0</v>
      </c>
      <c r="GF107" s="10">
        <v>0</v>
      </c>
      <c r="GG107" s="10">
        <v>0</v>
      </c>
      <c r="GH107" s="10">
        <v>0</v>
      </c>
      <c r="GI107" s="10">
        <v>0</v>
      </c>
      <c r="GJ107" s="10">
        <v>0</v>
      </c>
      <c r="GK107" s="10">
        <v>0</v>
      </c>
      <c r="GL107" s="10">
        <v>0</v>
      </c>
      <c r="GM107" s="10">
        <v>0</v>
      </c>
      <c r="GN107" s="10">
        <v>0</v>
      </c>
      <c r="GO107" s="10">
        <v>0</v>
      </c>
      <c r="GP107" s="10">
        <v>0</v>
      </c>
      <c r="GQ107" s="10">
        <v>0</v>
      </c>
      <c r="GR107" s="10">
        <v>0</v>
      </c>
      <c r="GS107" s="10">
        <v>0</v>
      </c>
      <c r="GT107" s="10">
        <v>0</v>
      </c>
      <c r="GU107" s="10">
        <v>0</v>
      </c>
      <c r="GV107" s="10">
        <v>0</v>
      </c>
      <c r="GW107" s="10">
        <v>1.3458552562943936E-15</v>
      </c>
      <c r="GX107" s="10">
        <v>0</v>
      </c>
      <c r="GY107" s="10">
        <v>0</v>
      </c>
      <c r="GZ107" s="10">
        <v>0</v>
      </c>
      <c r="HA107" s="10">
        <v>0</v>
      </c>
      <c r="HB107" s="10">
        <v>0</v>
      </c>
      <c r="HC107" s="10">
        <v>0</v>
      </c>
      <c r="HD107" s="10">
        <v>0</v>
      </c>
      <c r="HE107" s="10">
        <v>0</v>
      </c>
      <c r="HF107" s="10">
        <v>0</v>
      </c>
      <c r="HG107" s="10">
        <v>0</v>
      </c>
      <c r="HH107" s="10">
        <v>0</v>
      </c>
      <c r="HI107" s="10">
        <v>0</v>
      </c>
      <c r="HJ107" s="10">
        <v>0</v>
      </c>
      <c r="HK107" s="10">
        <v>0</v>
      </c>
      <c r="HL107" s="10">
        <v>0</v>
      </c>
      <c r="HM107" s="10">
        <v>0</v>
      </c>
      <c r="HN107" s="10">
        <v>0</v>
      </c>
      <c r="HO107" s="10">
        <v>0</v>
      </c>
      <c r="HP107" s="10">
        <v>0</v>
      </c>
      <c r="HQ107" s="10">
        <v>0</v>
      </c>
      <c r="HR107" s="10">
        <v>0</v>
      </c>
      <c r="HS107" s="10">
        <v>0</v>
      </c>
      <c r="HT107" s="10">
        <v>0</v>
      </c>
      <c r="HU107" s="10">
        <v>0</v>
      </c>
    </row>
    <row r="108" spans="1:229" x14ac:dyDescent="0.25">
      <c r="A108" s="10">
        <v>0</v>
      </c>
      <c r="B108" s="2" t="s">
        <v>204</v>
      </c>
      <c r="C108" s="2" t="s">
        <v>205</v>
      </c>
      <c r="D108" s="2">
        <v>13.198</v>
      </c>
      <c r="E108" s="2">
        <v>48.17</v>
      </c>
      <c r="F108" s="2">
        <v>2.38</v>
      </c>
      <c r="G108" s="2">
        <v>0</v>
      </c>
      <c r="H108" s="2"/>
      <c r="I108" s="2">
        <v>548</v>
      </c>
      <c r="J108" s="2">
        <v>17.564</v>
      </c>
      <c r="K108" s="2">
        <v>5.7130000000000001</v>
      </c>
      <c r="L108" s="3"/>
      <c r="M108" s="2" t="str">
        <f t="shared" si="8"/>
        <v>01134</v>
      </c>
      <c r="N108" s="3">
        <v>0.99999999999999933</v>
      </c>
      <c r="O108" s="3">
        <v>1.0000000000000007</v>
      </c>
      <c r="P108" s="17">
        <v>0.99999999999999933</v>
      </c>
      <c r="Q108" s="3">
        <v>0.99999999999999922</v>
      </c>
      <c r="R108" s="3">
        <v>1.0000000000000018</v>
      </c>
      <c r="S108" s="3" t="e">
        <v>#DIV/0!</v>
      </c>
      <c r="T108" s="3" t="e">
        <v>#DIV/0!</v>
      </c>
      <c r="U108" s="3">
        <v>0.99999999999999933</v>
      </c>
      <c r="V108" s="3">
        <v>0.99999999999999944</v>
      </c>
      <c r="W108" s="3">
        <v>0.99999999999999922</v>
      </c>
      <c r="X108" s="3">
        <v>13.197999999999992</v>
      </c>
      <c r="Y108" s="3">
        <v>48.169999999999966</v>
      </c>
      <c r="Z108" s="3">
        <v>2.3800000000000043</v>
      </c>
      <c r="AA108" s="3">
        <v>0</v>
      </c>
      <c r="AB108" s="3">
        <v>0</v>
      </c>
      <c r="AC108" s="3">
        <v>547.99999999999966</v>
      </c>
      <c r="AD108" s="3">
        <v>17.563999999999989</v>
      </c>
      <c r="AE108" s="3">
        <v>5.7129999999999956</v>
      </c>
      <c r="AF108" s="3">
        <v>0</v>
      </c>
      <c r="AG108" s="3">
        <v>0</v>
      </c>
      <c r="AH108" s="3">
        <v>0</v>
      </c>
      <c r="AI108" s="10">
        <v>0</v>
      </c>
      <c r="AJ108" s="3">
        <v>0</v>
      </c>
      <c r="AK108" s="3">
        <v>0</v>
      </c>
      <c r="AL108" s="3">
        <v>0</v>
      </c>
      <c r="AM108" s="3">
        <v>0</v>
      </c>
      <c r="AN108" s="10">
        <v>0</v>
      </c>
      <c r="AO108" s="10">
        <v>0</v>
      </c>
      <c r="AP108" s="10">
        <v>0</v>
      </c>
      <c r="AQ108" s="10">
        <v>0</v>
      </c>
      <c r="AR108" s="10">
        <v>0</v>
      </c>
      <c r="AS108" s="10">
        <v>0</v>
      </c>
      <c r="AT108" s="10">
        <v>0</v>
      </c>
      <c r="AU108" s="10">
        <v>0</v>
      </c>
      <c r="AV108" s="10">
        <v>0</v>
      </c>
      <c r="AW108" s="3">
        <v>0</v>
      </c>
      <c r="AX108" s="3">
        <v>0</v>
      </c>
      <c r="AY108" s="3">
        <v>0</v>
      </c>
      <c r="AZ108" s="3">
        <v>0</v>
      </c>
      <c r="BA108" s="10">
        <v>0</v>
      </c>
      <c r="BB108" s="10">
        <v>0</v>
      </c>
      <c r="BC108" s="10">
        <v>0</v>
      </c>
      <c r="BD108" s="10">
        <v>0</v>
      </c>
      <c r="BE108" s="10">
        <v>0</v>
      </c>
      <c r="BF108" s="10">
        <v>0</v>
      </c>
      <c r="BG108" s="10">
        <v>0</v>
      </c>
      <c r="BH108" s="10">
        <v>0</v>
      </c>
      <c r="BI108" s="10">
        <v>0</v>
      </c>
      <c r="BJ108" s="10">
        <v>0</v>
      </c>
      <c r="BK108" s="10">
        <v>0</v>
      </c>
      <c r="BL108" s="10">
        <v>0</v>
      </c>
      <c r="BM108" s="10">
        <v>0</v>
      </c>
      <c r="BN108" s="10">
        <v>0</v>
      </c>
      <c r="BO108" s="10">
        <v>0</v>
      </c>
      <c r="BP108" s="10">
        <v>0</v>
      </c>
      <c r="BQ108" s="10">
        <v>0</v>
      </c>
      <c r="BR108" s="10">
        <v>0</v>
      </c>
      <c r="BS108" s="10">
        <v>0</v>
      </c>
      <c r="BT108" s="10">
        <v>0</v>
      </c>
      <c r="BU108" s="10">
        <v>0</v>
      </c>
      <c r="BV108" s="10">
        <v>0</v>
      </c>
      <c r="BW108" s="10">
        <v>0</v>
      </c>
      <c r="BX108" s="10">
        <v>0</v>
      </c>
      <c r="BY108" s="10">
        <v>0</v>
      </c>
      <c r="BZ108" s="10">
        <v>0</v>
      </c>
      <c r="CA108" s="10">
        <v>4.4408920985006262E-16</v>
      </c>
      <c r="CB108" s="10">
        <v>0</v>
      </c>
      <c r="CC108" s="10">
        <v>0</v>
      </c>
      <c r="CD108" s="10">
        <v>0</v>
      </c>
      <c r="CE108" s="10">
        <v>0</v>
      </c>
      <c r="CF108" s="10">
        <v>0</v>
      </c>
      <c r="CG108" s="10">
        <v>0</v>
      </c>
      <c r="CH108" s="10">
        <v>0</v>
      </c>
      <c r="CI108" s="10">
        <v>0</v>
      </c>
      <c r="CJ108" s="10">
        <v>0</v>
      </c>
      <c r="CK108" s="10">
        <v>0</v>
      </c>
      <c r="CL108" s="10">
        <v>0</v>
      </c>
      <c r="CM108" s="10">
        <v>0</v>
      </c>
      <c r="CN108" s="10">
        <v>0</v>
      </c>
      <c r="CO108" s="10">
        <v>0</v>
      </c>
      <c r="CP108" s="10">
        <v>0</v>
      </c>
      <c r="CQ108" s="10">
        <v>0</v>
      </c>
      <c r="CR108" s="10">
        <v>0</v>
      </c>
      <c r="CS108" s="10">
        <v>0</v>
      </c>
      <c r="CT108" s="10">
        <v>0</v>
      </c>
      <c r="CU108" s="10">
        <v>0</v>
      </c>
      <c r="CV108" s="10">
        <v>0</v>
      </c>
      <c r="CW108" s="10">
        <v>0</v>
      </c>
      <c r="CX108" s="10">
        <v>0</v>
      </c>
      <c r="CY108" s="10">
        <v>0</v>
      </c>
      <c r="CZ108" s="10">
        <v>0</v>
      </c>
      <c r="DA108" s="10">
        <v>0</v>
      </c>
      <c r="DB108" s="10">
        <v>0</v>
      </c>
      <c r="DC108" s="10">
        <v>0</v>
      </c>
      <c r="DD108" s="10">
        <v>0</v>
      </c>
      <c r="DE108" s="10">
        <v>0</v>
      </c>
      <c r="DF108" s="10">
        <v>8.8817841970012523E-16</v>
      </c>
      <c r="DG108" s="10">
        <v>0</v>
      </c>
      <c r="DH108" s="10">
        <v>0</v>
      </c>
      <c r="DI108" s="10">
        <v>0</v>
      </c>
      <c r="DJ108" s="10">
        <v>0</v>
      </c>
      <c r="DK108" s="10">
        <v>0</v>
      </c>
      <c r="DL108" s="10">
        <v>0</v>
      </c>
      <c r="DM108" s="10">
        <v>0</v>
      </c>
      <c r="DN108" s="10">
        <v>0</v>
      </c>
      <c r="DO108" s="10">
        <v>0</v>
      </c>
      <c r="DP108" s="10">
        <v>0</v>
      </c>
      <c r="DQ108" s="10">
        <v>0</v>
      </c>
      <c r="DR108" s="10">
        <v>0</v>
      </c>
      <c r="DS108" s="10">
        <v>0</v>
      </c>
      <c r="DT108" s="10">
        <v>0</v>
      </c>
      <c r="DU108" s="10">
        <v>0</v>
      </c>
      <c r="DV108" s="10">
        <v>0</v>
      </c>
      <c r="DW108" s="10">
        <v>0</v>
      </c>
      <c r="DX108" s="10">
        <v>0</v>
      </c>
      <c r="DY108" s="10">
        <v>0.99999999999999911</v>
      </c>
      <c r="DZ108" s="10">
        <v>0</v>
      </c>
      <c r="EA108" s="10">
        <v>0</v>
      </c>
      <c r="EB108" s="10">
        <v>0</v>
      </c>
      <c r="EC108" s="10">
        <v>0</v>
      </c>
      <c r="ED108" s="10">
        <v>0</v>
      </c>
      <c r="EE108" s="10">
        <v>0</v>
      </c>
      <c r="EF108" s="10">
        <v>0</v>
      </c>
      <c r="EG108" s="10">
        <v>0</v>
      </c>
      <c r="EH108" s="10">
        <v>0</v>
      </c>
      <c r="EI108" s="10">
        <v>0</v>
      </c>
      <c r="EJ108" s="10">
        <v>0</v>
      </c>
      <c r="EK108" s="10">
        <v>0</v>
      </c>
      <c r="EL108" s="10">
        <v>0</v>
      </c>
      <c r="EM108" s="10">
        <v>0</v>
      </c>
      <c r="EN108" s="10">
        <v>0</v>
      </c>
      <c r="EO108" s="10">
        <v>0</v>
      </c>
      <c r="EP108" s="10">
        <v>0</v>
      </c>
      <c r="EQ108" s="10">
        <v>0</v>
      </c>
      <c r="ER108" s="10">
        <v>0</v>
      </c>
      <c r="ES108" s="10">
        <v>0</v>
      </c>
      <c r="ET108" s="10">
        <v>0</v>
      </c>
      <c r="EU108" s="10">
        <v>0</v>
      </c>
      <c r="EV108" s="10">
        <v>0</v>
      </c>
      <c r="EW108" s="10">
        <v>0</v>
      </c>
      <c r="EX108" s="10">
        <v>0</v>
      </c>
      <c r="EY108" s="10">
        <v>0</v>
      </c>
      <c r="EZ108" s="10">
        <v>0</v>
      </c>
      <c r="FA108" s="10">
        <v>0</v>
      </c>
      <c r="FB108" s="10">
        <v>0</v>
      </c>
      <c r="FC108" s="10">
        <v>0</v>
      </c>
      <c r="FD108" s="10">
        <v>0</v>
      </c>
      <c r="FE108" s="10">
        <v>0</v>
      </c>
      <c r="FF108" s="10">
        <v>0</v>
      </c>
      <c r="FG108" s="10">
        <v>0</v>
      </c>
      <c r="FH108" s="10">
        <v>0</v>
      </c>
      <c r="FI108" s="10">
        <v>0</v>
      </c>
      <c r="FJ108" s="10">
        <v>0</v>
      </c>
      <c r="FK108" s="10">
        <v>0</v>
      </c>
      <c r="FL108" s="10">
        <v>0</v>
      </c>
      <c r="FM108" s="10">
        <v>0</v>
      </c>
      <c r="FN108" s="10">
        <v>0</v>
      </c>
      <c r="FO108" s="10">
        <v>0</v>
      </c>
      <c r="FP108" s="10">
        <v>0</v>
      </c>
      <c r="FQ108" s="10">
        <v>0</v>
      </c>
      <c r="FR108" s="10">
        <v>0</v>
      </c>
      <c r="FS108" s="10">
        <v>0</v>
      </c>
      <c r="FT108" s="10">
        <v>0</v>
      </c>
      <c r="FU108" s="10">
        <v>0</v>
      </c>
      <c r="FV108" s="10">
        <v>0</v>
      </c>
      <c r="FW108" s="10">
        <v>0</v>
      </c>
      <c r="FX108" s="10">
        <v>0</v>
      </c>
      <c r="FY108" s="10">
        <v>0</v>
      </c>
      <c r="FZ108" s="10">
        <v>0</v>
      </c>
      <c r="GA108" s="10">
        <v>0</v>
      </c>
      <c r="GB108" s="10">
        <v>0</v>
      </c>
      <c r="GC108" s="10">
        <v>0</v>
      </c>
      <c r="GD108" s="10">
        <v>0</v>
      </c>
      <c r="GE108" s="10">
        <v>0</v>
      </c>
      <c r="GF108" s="10">
        <v>0</v>
      </c>
      <c r="GG108" s="10">
        <v>0</v>
      </c>
      <c r="GH108" s="10">
        <v>0</v>
      </c>
      <c r="GI108" s="10">
        <v>0</v>
      </c>
      <c r="GJ108" s="10">
        <v>0</v>
      </c>
      <c r="GK108" s="10">
        <v>0</v>
      </c>
      <c r="GL108" s="10">
        <v>0</v>
      </c>
      <c r="GM108" s="10">
        <v>0</v>
      </c>
      <c r="GN108" s="10">
        <v>0</v>
      </c>
      <c r="GO108" s="10">
        <v>0</v>
      </c>
      <c r="GP108" s="10">
        <v>0</v>
      </c>
      <c r="GQ108" s="10">
        <v>0</v>
      </c>
      <c r="GR108" s="10">
        <v>0</v>
      </c>
      <c r="GS108" s="10">
        <v>0</v>
      </c>
      <c r="GT108" s="10">
        <v>0</v>
      </c>
      <c r="GU108" s="10">
        <v>0</v>
      </c>
      <c r="GV108" s="10">
        <v>0</v>
      </c>
      <c r="GW108" s="10">
        <v>0</v>
      </c>
      <c r="GX108" s="10">
        <v>0</v>
      </c>
      <c r="GY108" s="10">
        <v>0</v>
      </c>
      <c r="GZ108" s="10">
        <v>0</v>
      </c>
      <c r="HA108" s="10">
        <v>0</v>
      </c>
      <c r="HB108" s="10">
        <v>0</v>
      </c>
      <c r="HC108" s="10">
        <v>0</v>
      </c>
      <c r="HD108" s="10">
        <v>0</v>
      </c>
      <c r="HE108" s="10">
        <v>0</v>
      </c>
      <c r="HF108" s="10">
        <v>0</v>
      </c>
      <c r="HG108" s="10">
        <v>0</v>
      </c>
      <c r="HH108" s="10">
        <v>0</v>
      </c>
      <c r="HI108" s="10">
        <v>0</v>
      </c>
      <c r="HJ108" s="10">
        <v>0</v>
      </c>
      <c r="HK108" s="10">
        <v>0</v>
      </c>
      <c r="HL108" s="10">
        <v>0</v>
      </c>
      <c r="HM108" s="10">
        <v>0</v>
      </c>
      <c r="HN108" s="10">
        <v>0</v>
      </c>
      <c r="HO108" s="10">
        <v>0</v>
      </c>
      <c r="HP108" s="10">
        <v>0</v>
      </c>
      <c r="HQ108" s="10">
        <v>0</v>
      </c>
      <c r="HR108" s="10">
        <v>0</v>
      </c>
      <c r="HS108" s="10">
        <v>0</v>
      </c>
      <c r="HT108" s="10">
        <v>0</v>
      </c>
      <c r="HU108" s="10">
        <v>0</v>
      </c>
    </row>
    <row r="109" spans="1:229" x14ac:dyDescent="0.25">
      <c r="A109" s="10">
        <v>0</v>
      </c>
      <c r="B109" s="2" t="s">
        <v>206</v>
      </c>
      <c r="C109" s="2" t="s">
        <v>207</v>
      </c>
      <c r="D109" s="2">
        <v>0</v>
      </c>
      <c r="E109" s="2">
        <v>76.92</v>
      </c>
      <c r="F109" s="2">
        <v>4.17</v>
      </c>
      <c r="G109" s="2">
        <v>0</v>
      </c>
      <c r="H109" s="2">
        <v>0</v>
      </c>
      <c r="I109" s="2">
        <v>1156</v>
      </c>
      <c r="J109" s="2">
        <v>0</v>
      </c>
      <c r="K109" s="2">
        <v>0</v>
      </c>
      <c r="L109" s="3"/>
      <c r="M109" s="2" t="str">
        <f t="shared" si="8"/>
        <v>01135</v>
      </c>
      <c r="N109" s="3">
        <v>0.99999999999999922</v>
      </c>
      <c r="O109" s="3">
        <v>1.0000000000000007</v>
      </c>
      <c r="P109" s="17" t="e">
        <v>#DIV/0!</v>
      </c>
      <c r="Q109" s="3">
        <v>0.99999999999999978</v>
      </c>
      <c r="R109" s="3">
        <v>0.99999999999999889</v>
      </c>
      <c r="S109" s="3" t="e">
        <v>#DIV/0!</v>
      </c>
      <c r="T109" s="3" t="e">
        <v>#DIV/0!</v>
      </c>
      <c r="U109" s="3">
        <v>0.99999999999999944</v>
      </c>
      <c r="V109" s="3" t="e">
        <v>#DIV/0!</v>
      </c>
      <c r="W109" s="3" t="e">
        <v>#DIV/0!</v>
      </c>
      <c r="X109" s="3">
        <v>1.1800693755491398E-13</v>
      </c>
      <c r="Y109" s="3">
        <v>76.919999999999987</v>
      </c>
      <c r="Z109" s="3">
        <v>4.1699999999999955</v>
      </c>
      <c r="AA109" s="3">
        <v>0</v>
      </c>
      <c r="AB109" s="3">
        <v>0</v>
      </c>
      <c r="AC109" s="3">
        <v>1155.9999999999993</v>
      </c>
      <c r="AD109" s="3">
        <v>1.5604487094541734E-13</v>
      </c>
      <c r="AE109" s="3">
        <v>5.0891818747250789E-14</v>
      </c>
      <c r="AF109" s="3">
        <v>0</v>
      </c>
      <c r="AG109" s="3">
        <v>0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P109" s="3">
        <v>0</v>
      </c>
      <c r="AQ109" s="3">
        <v>0</v>
      </c>
      <c r="AR109" s="3">
        <v>0</v>
      </c>
      <c r="AS109" s="3">
        <v>0</v>
      </c>
      <c r="AT109" s="3">
        <v>0</v>
      </c>
      <c r="AU109" s="3">
        <v>0</v>
      </c>
      <c r="AV109" s="3">
        <v>0</v>
      </c>
      <c r="AW109" s="3">
        <v>0</v>
      </c>
      <c r="AX109" s="3">
        <v>0</v>
      </c>
      <c r="AY109" s="3">
        <v>0</v>
      </c>
      <c r="AZ109" s="3">
        <v>0</v>
      </c>
      <c r="BA109" s="10">
        <v>0</v>
      </c>
      <c r="BB109" s="10">
        <v>0</v>
      </c>
      <c r="BC109" s="10">
        <v>0</v>
      </c>
      <c r="BD109" s="10">
        <v>0</v>
      </c>
      <c r="BE109" s="10">
        <v>0</v>
      </c>
      <c r="BF109" s="10">
        <v>0</v>
      </c>
      <c r="BG109" s="10">
        <v>0</v>
      </c>
      <c r="BH109" s="10">
        <v>0</v>
      </c>
      <c r="BI109" s="10">
        <v>0</v>
      </c>
      <c r="BJ109" s="10">
        <v>0</v>
      </c>
      <c r="BK109" s="10">
        <v>0</v>
      </c>
      <c r="BL109" s="10">
        <v>0</v>
      </c>
      <c r="BM109" s="10">
        <v>0</v>
      </c>
      <c r="BN109" s="10">
        <v>0</v>
      </c>
      <c r="BO109" s="10">
        <v>0</v>
      </c>
      <c r="BP109" s="10">
        <v>0</v>
      </c>
      <c r="BQ109" s="10">
        <v>0</v>
      </c>
      <c r="BR109" s="10">
        <v>0</v>
      </c>
      <c r="BS109" s="10">
        <v>0</v>
      </c>
      <c r="BT109" s="10">
        <v>0</v>
      </c>
      <c r="BU109" s="10">
        <v>0</v>
      </c>
      <c r="BV109" s="10">
        <v>0</v>
      </c>
      <c r="BW109" s="10">
        <v>0</v>
      </c>
      <c r="BX109" s="10">
        <v>0</v>
      </c>
      <c r="BY109" s="10">
        <v>0</v>
      </c>
      <c r="BZ109" s="10">
        <v>0</v>
      </c>
      <c r="CA109" s="10">
        <v>0</v>
      </c>
      <c r="CB109" s="10">
        <v>0</v>
      </c>
      <c r="CC109" s="10">
        <v>0</v>
      </c>
      <c r="CD109" s="10">
        <v>0</v>
      </c>
      <c r="CE109" s="10">
        <v>0</v>
      </c>
      <c r="CF109" s="10">
        <v>0</v>
      </c>
      <c r="CG109" s="10">
        <v>0</v>
      </c>
      <c r="CH109" s="10">
        <v>0</v>
      </c>
      <c r="CI109" s="10">
        <v>0</v>
      </c>
      <c r="CJ109" s="10">
        <v>0</v>
      </c>
      <c r="CK109" s="10">
        <v>0</v>
      </c>
      <c r="CL109" s="10">
        <v>0</v>
      </c>
      <c r="CM109" s="10">
        <v>0</v>
      </c>
      <c r="CN109" s="10">
        <v>0</v>
      </c>
      <c r="CO109" s="10">
        <v>0</v>
      </c>
      <c r="CP109" s="10">
        <v>0</v>
      </c>
      <c r="CQ109" s="10">
        <v>0</v>
      </c>
      <c r="CR109" s="10">
        <v>0</v>
      </c>
      <c r="CS109" s="10">
        <v>0</v>
      </c>
      <c r="CT109" s="10">
        <v>0</v>
      </c>
      <c r="CU109" s="10">
        <v>0</v>
      </c>
      <c r="CV109" s="10">
        <v>0</v>
      </c>
      <c r="CW109" s="10">
        <v>0</v>
      </c>
      <c r="CX109" s="10">
        <v>0</v>
      </c>
      <c r="CY109" s="10">
        <v>0</v>
      </c>
      <c r="CZ109" s="10">
        <v>0</v>
      </c>
      <c r="DA109" s="10">
        <v>0</v>
      </c>
      <c r="DB109" s="10">
        <v>0</v>
      </c>
      <c r="DC109" s="10">
        <v>0</v>
      </c>
      <c r="DD109" s="10">
        <v>0</v>
      </c>
      <c r="DE109" s="10">
        <v>0</v>
      </c>
      <c r="DF109" s="10">
        <v>0</v>
      </c>
      <c r="DG109" s="10">
        <v>0</v>
      </c>
      <c r="DH109" s="10">
        <v>0</v>
      </c>
      <c r="DI109" s="10">
        <v>0</v>
      </c>
      <c r="DJ109" s="10">
        <v>0</v>
      </c>
      <c r="DK109" s="10">
        <v>0</v>
      </c>
      <c r="DL109" s="10">
        <v>0</v>
      </c>
      <c r="DM109" s="10">
        <v>0</v>
      </c>
      <c r="DN109" s="10">
        <v>0</v>
      </c>
      <c r="DO109" s="10">
        <v>0</v>
      </c>
      <c r="DP109" s="10">
        <v>0</v>
      </c>
      <c r="DQ109" s="10">
        <v>0</v>
      </c>
      <c r="DR109" s="10">
        <v>0</v>
      </c>
      <c r="DS109" s="10">
        <v>0</v>
      </c>
      <c r="DT109" s="10">
        <v>0</v>
      </c>
      <c r="DU109" s="10">
        <v>0</v>
      </c>
      <c r="DV109" s="10">
        <v>0</v>
      </c>
      <c r="DW109" s="10">
        <v>0</v>
      </c>
      <c r="DX109" s="10">
        <v>0</v>
      </c>
      <c r="DY109" s="10">
        <v>8.662275905021737E-15</v>
      </c>
      <c r="DZ109" s="10">
        <v>0.99999999999996037</v>
      </c>
      <c r="EA109" s="10">
        <v>0</v>
      </c>
      <c r="EB109" s="10">
        <v>0</v>
      </c>
      <c r="EC109" s="10">
        <v>0</v>
      </c>
      <c r="ED109" s="10">
        <v>0</v>
      </c>
      <c r="EE109" s="10">
        <v>0</v>
      </c>
      <c r="EF109" s="10">
        <v>0</v>
      </c>
      <c r="EG109" s="10">
        <v>0</v>
      </c>
      <c r="EH109" s="10">
        <v>0</v>
      </c>
      <c r="EI109" s="10">
        <v>0</v>
      </c>
      <c r="EJ109" s="10">
        <v>0</v>
      </c>
      <c r="EK109" s="10">
        <v>0</v>
      </c>
      <c r="EL109" s="10">
        <v>0</v>
      </c>
      <c r="EM109" s="10">
        <v>0</v>
      </c>
      <c r="EN109" s="10">
        <v>0</v>
      </c>
      <c r="EO109" s="10">
        <v>0</v>
      </c>
      <c r="EP109" s="10">
        <v>0</v>
      </c>
      <c r="EQ109" s="10">
        <v>0</v>
      </c>
      <c r="ER109" s="10">
        <v>0</v>
      </c>
      <c r="ES109" s="10">
        <v>0</v>
      </c>
      <c r="ET109" s="10">
        <v>0</v>
      </c>
      <c r="EU109" s="10">
        <v>0</v>
      </c>
      <c r="EV109" s="10">
        <v>0</v>
      </c>
      <c r="EW109" s="10">
        <v>0</v>
      </c>
      <c r="EX109" s="10">
        <v>0</v>
      </c>
      <c r="EY109" s="10">
        <v>0</v>
      </c>
      <c r="EZ109" s="10">
        <v>0</v>
      </c>
      <c r="FA109" s="10">
        <v>0</v>
      </c>
      <c r="FB109" s="10">
        <v>0</v>
      </c>
      <c r="FC109" s="10">
        <v>0</v>
      </c>
      <c r="FD109" s="10">
        <v>0</v>
      </c>
      <c r="FE109" s="10">
        <v>0</v>
      </c>
      <c r="FF109" s="10">
        <v>0</v>
      </c>
      <c r="FG109" s="10">
        <v>0</v>
      </c>
      <c r="FH109" s="10">
        <v>0</v>
      </c>
      <c r="FI109" s="10">
        <v>0</v>
      </c>
      <c r="FJ109" s="10">
        <v>0</v>
      </c>
      <c r="FK109" s="10">
        <v>0</v>
      </c>
      <c r="FL109" s="10">
        <v>0</v>
      </c>
      <c r="FM109" s="10">
        <v>0</v>
      </c>
      <c r="FN109" s="10">
        <v>0</v>
      </c>
      <c r="FO109" s="10">
        <v>0</v>
      </c>
      <c r="FP109" s="10">
        <v>0</v>
      </c>
      <c r="FQ109" s="10">
        <v>0</v>
      </c>
      <c r="FR109" s="10">
        <v>0</v>
      </c>
      <c r="FS109" s="10">
        <v>0</v>
      </c>
      <c r="FT109" s="10">
        <v>0</v>
      </c>
      <c r="FU109" s="10">
        <v>0</v>
      </c>
      <c r="FV109" s="10">
        <v>0</v>
      </c>
      <c r="FW109" s="10">
        <v>0</v>
      </c>
      <c r="FX109" s="10">
        <v>0</v>
      </c>
      <c r="FY109" s="10">
        <v>0</v>
      </c>
      <c r="FZ109" s="10">
        <v>0</v>
      </c>
      <c r="GA109" s="10">
        <v>0</v>
      </c>
      <c r="GB109" s="10">
        <v>0</v>
      </c>
      <c r="GC109" s="10">
        <v>0</v>
      </c>
      <c r="GD109" s="10">
        <v>0</v>
      </c>
      <c r="GE109" s="10">
        <v>0</v>
      </c>
      <c r="GF109" s="10">
        <v>0</v>
      </c>
      <c r="GG109" s="10">
        <v>0</v>
      </c>
      <c r="GH109" s="10">
        <v>0</v>
      </c>
      <c r="GI109" s="10">
        <v>0</v>
      </c>
      <c r="GJ109" s="10">
        <v>0</v>
      </c>
      <c r="GK109" s="10">
        <v>0</v>
      </c>
      <c r="GL109" s="10">
        <v>0</v>
      </c>
      <c r="GM109" s="10">
        <v>0</v>
      </c>
      <c r="GN109" s="10">
        <v>0</v>
      </c>
      <c r="GO109" s="10">
        <v>0</v>
      </c>
      <c r="GP109" s="10">
        <v>0</v>
      </c>
      <c r="GQ109" s="10">
        <v>0</v>
      </c>
      <c r="GR109" s="10">
        <v>0</v>
      </c>
      <c r="GS109" s="10">
        <v>0</v>
      </c>
      <c r="GT109" s="10">
        <v>0</v>
      </c>
      <c r="GU109" s="10">
        <v>0</v>
      </c>
      <c r="GV109" s="10">
        <v>0</v>
      </c>
      <c r="GW109" s="10">
        <v>3.1205255596924474E-14</v>
      </c>
      <c r="GX109" s="10">
        <v>0</v>
      </c>
      <c r="GY109" s="10">
        <v>0</v>
      </c>
      <c r="GZ109" s="10">
        <v>0</v>
      </c>
      <c r="HA109" s="10">
        <v>0</v>
      </c>
      <c r="HB109" s="10">
        <v>0</v>
      </c>
      <c r="HC109" s="10">
        <v>0</v>
      </c>
      <c r="HD109" s="10">
        <v>0</v>
      </c>
      <c r="HE109" s="10">
        <v>0</v>
      </c>
      <c r="HF109" s="10">
        <v>0</v>
      </c>
      <c r="HG109" s="10">
        <v>0</v>
      </c>
      <c r="HH109" s="10">
        <v>0</v>
      </c>
      <c r="HI109" s="10">
        <v>0</v>
      </c>
      <c r="HJ109" s="10">
        <v>0</v>
      </c>
      <c r="HK109" s="10">
        <v>0</v>
      </c>
      <c r="HL109" s="10">
        <v>0</v>
      </c>
      <c r="HM109" s="10">
        <v>0</v>
      </c>
      <c r="HN109" s="10">
        <v>0</v>
      </c>
      <c r="HO109" s="10">
        <v>0</v>
      </c>
      <c r="HP109" s="10">
        <v>0</v>
      </c>
      <c r="HQ109" s="10">
        <v>0</v>
      </c>
      <c r="HR109" s="10">
        <v>0</v>
      </c>
      <c r="HS109" s="10">
        <v>0</v>
      </c>
      <c r="HT109" s="10">
        <v>0</v>
      </c>
      <c r="HU109" s="10">
        <v>0</v>
      </c>
    </row>
    <row r="110" spans="1:229" x14ac:dyDescent="0.25">
      <c r="A110" s="10">
        <v>0</v>
      </c>
      <c r="B110" s="2" t="s">
        <v>208</v>
      </c>
      <c r="C110" s="2" t="s">
        <v>209</v>
      </c>
      <c r="D110" s="2">
        <v>3.681</v>
      </c>
      <c r="E110" s="2">
        <v>12.81</v>
      </c>
      <c r="F110" s="2">
        <v>1.45</v>
      </c>
      <c r="G110" s="2">
        <v>0</v>
      </c>
      <c r="H110" s="2">
        <v>0.93</v>
      </c>
      <c r="I110" s="2">
        <v>146</v>
      </c>
      <c r="J110" s="2">
        <v>6.5250000000000004</v>
      </c>
      <c r="K110" s="2">
        <v>1.2230000000000001</v>
      </c>
      <c r="L110" s="3"/>
      <c r="M110" s="2" t="str">
        <f t="shared" si="8"/>
        <v>01138</v>
      </c>
      <c r="N110" s="3">
        <v>0.99104162540967111</v>
      </c>
      <c r="O110" s="3">
        <v>1.0089583745903292</v>
      </c>
      <c r="P110" s="17">
        <v>0.99104162540966378</v>
      </c>
      <c r="Q110" s="3">
        <v>1.2615569580022985</v>
      </c>
      <c r="R110" s="3">
        <v>4.3402680897602828</v>
      </c>
      <c r="S110" s="3" t="e">
        <v>#DIV/0!</v>
      </c>
      <c r="T110" s="3">
        <v>0.99104162540967444</v>
      </c>
      <c r="U110" s="3">
        <v>0.99104162540967122</v>
      </c>
      <c r="V110" s="3">
        <v>1.0089583745902859</v>
      </c>
      <c r="W110" s="3">
        <v>1.6296547419491214</v>
      </c>
      <c r="X110" s="3">
        <v>3.6480242231329725</v>
      </c>
      <c r="Y110" s="3">
        <v>16.160544632009444</v>
      </c>
      <c r="Z110" s="3">
        <v>6.2933887301524098</v>
      </c>
      <c r="AA110" s="3">
        <v>1.0268436708039241</v>
      </c>
      <c r="AB110" s="3">
        <v>0.92166871163099728</v>
      </c>
      <c r="AC110" s="3">
        <v>144.69207730981199</v>
      </c>
      <c r="AD110" s="3">
        <v>6.5834533942016158</v>
      </c>
      <c r="AE110" s="3">
        <v>1.9930677494037756</v>
      </c>
      <c r="AF110" s="3">
        <v>0</v>
      </c>
      <c r="AG110" s="3">
        <v>0</v>
      </c>
      <c r="AH110" s="3">
        <v>0</v>
      </c>
      <c r="AI110" s="3">
        <v>0</v>
      </c>
      <c r="AJ110" s="3">
        <v>0</v>
      </c>
      <c r="AK110" s="3">
        <v>0</v>
      </c>
      <c r="AL110" s="3">
        <v>0</v>
      </c>
      <c r="AM110" s="3">
        <v>0</v>
      </c>
      <c r="AN110" s="3">
        <v>0</v>
      </c>
      <c r="AO110" s="3">
        <v>0</v>
      </c>
      <c r="AP110" s="3">
        <v>0</v>
      </c>
      <c r="AQ110" s="3">
        <v>0</v>
      </c>
      <c r="AR110" s="3">
        <v>0</v>
      </c>
      <c r="AS110" s="3">
        <v>0</v>
      </c>
      <c r="AT110" s="3">
        <v>0</v>
      </c>
      <c r="AU110" s="3">
        <v>0</v>
      </c>
      <c r="AV110" s="3">
        <v>0</v>
      </c>
      <c r="AW110" s="3">
        <v>0</v>
      </c>
      <c r="AX110" s="3">
        <v>0</v>
      </c>
      <c r="AY110" s="3">
        <v>0</v>
      </c>
      <c r="AZ110" s="3">
        <v>0</v>
      </c>
      <c r="BA110" s="10">
        <v>0</v>
      </c>
      <c r="BB110" s="10">
        <v>0</v>
      </c>
      <c r="BC110" s="10">
        <v>0</v>
      </c>
      <c r="BD110" s="10">
        <v>0</v>
      </c>
      <c r="BE110" s="10">
        <v>0</v>
      </c>
      <c r="BF110" s="10">
        <v>0</v>
      </c>
      <c r="BG110" s="10">
        <v>0</v>
      </c>
      <c r="BH110" s="10">
        <v>0</v>
      </c>
      <c r="BI110" s="10">
        <v>0</v>
      </c>
      <c r="BJ110" s="10">
        <v>0</v>
      </c>
      <c r="BK110" s="10">
        <v>0</v>
      </c>
      <c r="BL110" s="10">
        <v>0</v>
      </c>
      <c r="BM110" s="10">
        <v>0</v>
      </c>
      <c r="BN110" s="10">
        <v>0</v>
      </c>
      <c r="BO110" s="10">
        <v>0</v>
      </c>
      <c r="BP110" s="10">
        <v>0</v>
      </c>
      <c r="BQ110" s="10">
        <v>0</v>
      </c>
      <c r="BR110" s="10">
        <v>0</v>
      </c>
      <c r="BS110" s="10">
        <v>0</v>
      </c>
      <c r="BT110" s="10">
        <v>0</v>
      </c>
      <c r="BU110" s="10">
        <v>0</v>
      </c>
      <c r="BV110" s="10">
        <v>0</v>
      </c>
      <c r="BW110" s="10">
        <v>0</v>
      </c>
      <c r="BX110" s="10">
        <v>0</v>
      </c>
      <c r="BY110" s="10">
        <v>0</v>
      </c>
      <c r="BZ110" s="10">
        <v>0</v>
      </c>
      <c r="CA110" s="10">
        <v>0.58258663318196169</v>
      </c>
      <c r="CB110" s="10">
        <v>0</v>
      </c>
      <c r="CC110" s="10">
        <v>0</v>
      </c>
      <c r="CD110" s="10">
        <v>0</v>
      </c>
      <c r="CE110" s="10">
        <v>0</v>
      </c>
      <c r="CF110" s="10">
        <v>0</v>
      </c>
      <c r="CG110" s="10">
        <v>0</v>
      </c>
      <c r="CH110" s="10">
        <v>0</v>
      </c>
      <c r="CI110" s="10">
        <v>0</v>
      </c>
      <c r="CJ110" s="10">
        <v>0</v>
      </c>
      <c r="CK110" s="10">
        <v>0</v>
      </c>
      <c r="CL110" s="10">
        <v>0</v>
      </c>
      <c r="CM110" s="10">
        <v>0</v>
      </c>
      <c r="CN110" s="10">
        <v>0</v>
      </c>
      <c r="CO110" s="10">
        <v>0</v>
      </c>
      <c r="CP110" s="10">
        <v>0</v>
      </c>
      <c r="CQ110" s="10">
        <v>0</v>
      </c>
      <c r="CR110" s="10">
        <v>0</v>
      </c>
      <c r="CS110" s="10">
        <v>0</v>
      </c>
      <c r="CT110" s="10">
        <v>0</v>
      </c>
      <c r="CU110" s="10">
        <v>0</v>
      </c>
      <c r="CV110" s="10">
        <v>0</v>
      </c>
      <c r="CW110" s="10">
        <v>0</v>
      </c>
      <c r="CX110" s="10">
        <v>0</v>
      </c>
      <c r="CY110" s="10">
        <v>0</v>
      </c>
      <c r="CZ110" s="10">
        <v>0</v>
      </c>
      <c r="DA110" s="10">
        <v>0</v>
      </c>
      <c r="DB110" s="10">
        <v>0</v>
      </c>
      <c r="DC110" s="10">
        <v>0</v>
      </c>
      <c r="DD110" s="10">
        <v>0</v>
      </c>
      <c r="DE110" s="10">
        <v>0</v>
      </c>
      <c r="DF110" s="10">
        <v>0</v>
      </c>
      <c r="DG110" s="10">
        <v>0</v>
      </c>
      <c r="DH110" s="10">
        <v>0</v>
      </c>
      <c r="DI110" s="10">
        <v>0</v>
      </c>
      <c r="DJ110" s="10">
        <v>0</v>
      </c>
      <c r="DK110" s="10">
        <v>0</v>
      </c>
      <c r="DL110" s="10">
        <v>0</v>
      </c>
      <c r="DM110" s="10">
        <v>0</v>
      </c>
      <c r="DN110" s="10">
        <v>0</v>
      </c>
      <c r="DO110" s="10">
        <v>0</v>
      </c>
      <c r="DP110" s="10">
        <v>0</v>
      </c>
      <c r="DQ110" s="10">
        <v>0</v>
      </c>
      <c r="DR110" s="10">
        <v>0</v>
      </c>
      <c r="DS110" s="10">
        <v>0.171169640917926</v>
      </c>
      <c r="DT110" s="10">
        <v>0</v>
      </c>
      <c r="DU110" s="10">
        <v>0</v>
      </c>
      <c r="DV110" s="10">
        <v>0</v>
      </c>
      <c r="DW110" s="10">
        <v>0</v>
      </c>
      <c r="DX110" s="10">
        <v>0</v>
      </c>
      <c r="DY110" s="10">
        <v>0.10161785677279869</v>
      </c>
      <c r="DZ110" s="10">
        <v>0</v>
      </c>
      <c r="EA110" s="10">
        <v>0</v>
      </c>
      <c r="EB110" s="10">
        <v>0</v>
      </c>
      <c r="EC110" s="10">
        <v>0</v>
      </c>
      <c r="ED110" s="10">
        <v>0</v>
      </c>
      <c r="EE110" s="10">
        <v>0</v>
      </c>
      <c r="EF110" s="10">
        <v>0</v>
      </c>
      <c r="EG110" s="10">
        <v>0</v>
      </c>
      <c r="EH110" s="10">
        <v>0</v>
      </c>
      <c r="EI110" s="10">
        <v>0</v>
      </c>
      <c r="EJ110" s="10">
        <v>0</v>
      </c>
      <c r="EK110" s="10">
        <v>0</v>
      </c>
      <c r="EL110" s="10">
        <v>0</v>
      </c>
      <c r="EM110" s="10">
        <v>0</v>
      </c>
      <c r="EN110" s="10">
        <v>0</v>
      </c>
      <c r="EO110" s="10">
        <v>0</v>
      </c>
      <c r="EP110" s="10">
        <v>0</v>
      </c>
      <c r="EQ110" s="10">
        <v>0</v>
      </c>
      <c r="ER110" s="10">
        <v>0</v>
      </c>
      <c r="ES110" s="10">
        <v>0</v>
      </c>
      <c r="ET110" s="10">
        <v>0</v>
      </c>
      <c r="EU110" s="10">
        <v>0</v>
      </c>
      <c r="EV110" s="10">
        <v>0</v>
      </c>
      <c r="EW110" s="10">
        <v>0</v>
      </c>
      <c r="EX110" s="10">
        <v>0</v>
      </c>
      <c r="EY110" s="10">
        <v>0</v>
      </c>
      <c r="EZ110" s="10">
        <v>0</v>
      </c>
      <c r="FA110" s="10">
        <v>0</v>
      </c>
      <c r="FB110" s="10">
        <v>0</v>
      </c>
      <c r="FC110" s="10">
        <v>0</v>
      </c>
      <c r="FD110" s="10">
        <v>0</v>
      </c>
      <c r="FE110" s="10">
        <v>0</v>
      </c>
      <c r="FF110" s="10">
        <v>0</v>
      </c>
      <c r="FG110" s="10">
        <v>0</v>
      </c>
      <c r="FH110" s="10">
        <v>0</v>
      </c>
      <c r="FI110" s="10">
        <v>0</v>
      </c>
      <c r="FJ110" s="10">
        <v>0</v>
      </c>
      <c r="FK110" s="10">
        <v>0</v>
      </c>
      <c r="FL110" s="10">
        <v>0</v>
      </c>
      <c r="FM110" s="10">
        <v>0</v>
      </c>
      <c r="FN110" s="10">
        <v>0</v>
      </c>
      <c r="FO110" s="10">
        <v>0</v>
      </c>
      <c r="FP110" s="10">
        <v>0</v>
      </c>
      <c r="FQ110" s="10">
        <v>0</v>
      </c>
      <c r="FR110" s="10">
        <v>0</v>
      </c>
      <c r="FS110" s="10">
        <v>0</v>
      </c>
      <c r="FT110" s="10">
        <v>0</v>
      </c>
      <c r="FU110" s="10">
        <v>0</v>
      </c>
      <c r="FV110" s="10">
        <v>0</v>
      </c>
      <c r="FW110" s="10">
        <v>0</v>
      </c>
      <c r="FX110" s="10">
        <v>0</v>
      </c>
      <c r="FY110" s="10">
        <v>0</v>
      </c>
      <c r="FZ110" s="10">
        <v>0</v>
      </c>
      <c r="GA110" s="10">
        <v>0.14462586912731326</v>
      </c>
      <c r="GB110" s="10">
        <v>0</v>
      </c>
      <c r="GC110" s="10">
        <v>0</v>
      </c>
      <c r="GD110" s="10">
        <v>0</v>
      </c>
      <c r="GE110" s="10">
        <v>0</v>
      </c>
      <c r="GF110" s="10">
        <v>0</v>
      </c>
      <c r="GG110" s="10">
        <v>0</v>
      </c>
      <c r="GH110" s="10">
        <v>0</v>
      </c>
      <c r="GI110" s="10">
        <v>0</v>
      </c>
      <c r="GJ110" s="10">
        <v>0</v>
      </c>
      <c r="GK110" s="10">
        <v>0</v>
      </c>
      <c r="GL110" s="10">
        <v>0</v>
      </c>
      <c r="GM110" s="10">
        <v>0</v>
      </c>
      <c r="GN110" s="10">
        <v>0</v>
      </c>
      <c r="GO110" s="10">
        <v>0</v>
      </c>
      <c r="GP110" s="10">
        <v>0</v>
      </c>
      <c r="GQ110" s="10">
        <v>0</v>
      </c>
      <c r="GR110" s="10">
        <v>0</v>
      </c>
      <c r="GS110" s="10">
        <v>0</v>
      </c>
      <c r="GT110" s="10">
        <v>0</v>
      </c>
      <c r="GU110" s="10">
        <v>0</v>
      </c>
      <c r="GV110" s="10">
        <v>0</v>
      </c>
      <c r="GW110" s="10">
        <v>0</v>
      </c>
      <c r="GX110" s="10">
        <v>0</v>
      </c>
      <c r="GY110" s="10">
        <v>0</v>
      </c>
      <c r="GZ110" s="10">
        <v>0</v>
      </c>
      <c r="HA110" s="10">
        <v>0</v>
      </c>
      <c r="HB110" s="10">
        <v>0</v>
      </c>
      <c r="HC110" s="10">
        <v>0</v>
      </c>
      <c r="HD110" s="10">
        <v>0</v>
      </c>
      <c r="HE110" s="10">
        <v>0</v>
      </c>
      <c r="HF110" s="10">
        <v>0</v>
      </c>
      <c r="HG110" s="10">
        <v>0</v>
      </c>
      <c r="HH110" s="10">
        <v>0</v>
      </c>
      <c r="HI110" s="10">
        <v>0</v>
      </c>
      <c r="HJ110" s="10">
        <v>0</v>
      </c>
      <c r="HK110" s="10">
        <v>0</v>
      </c>
      <c r="HL110" s="10">
        <v>0</v>
      </c>
      <c r="HM110" s="10">
        <v>0</v>
      </c>
      <c r="HN110" s="10">
        <v>0</v>
      </c>
      <c r="HO110" s="10">
        <v>0</v>
      </c>
      <c r="HP110" s="10">
        <v>0</v>
      </c>
      <c r="HQ110" s="10">
        <v>0</v>
      </c>
      <c r="HR110" s="10">
        <v>0</v>
      </c>
      <c r="HS110" s="10">
        <v>0</v>
      </c>
      <c r="HT110" s="10">
        <v>0</v>
      </c>
      <c r="HU110" s="10">
        <v>0</v>
      </c>
    </row>
    <row r="111" spans="1:229" x14ac:dyDescent="0.25">
      <c r="A111" s="10">
        <v>0</v>
      </c>
      <c r="B111" s="2" t="s">
        <v>210</v>
      </c>
      <c r="C111" s="2" t="s">
        <v>211</v>
      </c>
      <c r="D111" s="2">
        <v>3.5950000000000002</v>
      </c>
      <c r="E111" s="2">
        <v>13.87</v>
      </c>
      <c r="F111" s="2">
        <v>1.35</v>
      </c>
      <c r="G111" s="2">
        <v>0</v>
      </c>
      <c r="H111" s="2">
        <v>0.94</v>
      </c>
      <c r="I111" s="2">
        <v>138</v>
      </c>
      <c r="J111" s="2">
        <v>5.7469999999999999</v>
      </c>
      <c r="K111" s="2">
        <v>1.6719999999999999</v>
      </c>
      <c r="L111" s="3"/>
      <c r="M111" s="2" t="str">
        <f t="shared" si="8"/>
        <v>01139</v>
      </c>
      <c r="N111" s="3">
        <v>0.93391024315289239</v>
      </c>
      <c r="O111" s="3">
        <v>1.0660897568471073</v>
      </c>
      <c r="P111" s="17">
        <v>0.93391024315297833</v>
      </c>
      <c r="Q111" s="3">
        <v>1.0660897568471064</v>
      </c>
      <c r="R111" s="3">
        <v>4.6615415441242103</v>
      </c>
      <c r="S111" s="3" t="e">
        <v>#DIV/0!</v>
      </c>
      <c r="T111" s="3">
        <v>0.93391024315290061</v>
      </c>
      <c r="U111" s="3">
        <v>0.93391024315289306</v>
      </c>
      <c r="V111" s="3">
        <v>1.0660897568470726</v>
      </c>
      <c r="W111" s="3">
        <v>1.1182913660746396</v>
      </c>
      <c r="X111" s="3">
        <v>3.3574073241349573</v>
      </c>
      <c r="Y111" s="3">
        <v>14.786664927469364</v>
      </c>
      <c r="Z111" s="3">
        <v>6.2930810845676843</v>
      </c>
      <c r="AA111" s="3">
        <v>0.94533089532548165</v>
      </c>
      <c r="AB111" s="3">
        <v>0.87787562856372647</v>
      </c>
      <c r="AC111" s="3">
        <v>128.87961355509924</v>
      </c>
      <c r="AD111" s="3">
        <v>6.1268178326001266</v>
      </c>
      <c r="AE111" s="3">
        <v>1.8697831640767972</v>
      </c>
      <c r="AF111" s="3">
        <v>0</v>
      </c>
      <c r="AG111" s="3">
        <v>0</v>
      </c>
      <c r="AH111" s="3">
        <v>0</v>
      </c>
      <c r="AI111" s="3">
        <v>0</v>
      </c>
      <c r="AJ111" s="3">
        <v>0</v>
      </c>
      <c r="AK111" s="3">
        <v>0</v>
      </c>
      <c r="AL111" s="3">
        <v>0</v>
      </c>
      <c r="AM111" s="3">
        <v>0</v>
      </c>
      <c r="AN111" s="3">
        <v>0</v>
      </c>
      <c r="AO111" s="3">
        <v>0</v>
      </c>
      <c r="AP111" s="3">
        <v>0</v>
      </c>
      <c r="AQ111" s="3">
        <v>0</v>
      </c>
      <c r="AR111" s="3">
        <v>0</v>
      </c>
      <c r="AS111" s="3">
        <v>0</v>
      </c>
      <c r="AT111" s="10">
        <v>0</v>
      </c>
      <c r="AU111" s="10">
        <v>0</v>
      </c>
      <c r="AV111" s="3">
        <v>0</v>
      </c>
      <c r="AW111" s="3">
        <v>0</v>
      </c>
      <c r="AX111" s="3">
        <v>0</v>
      </c>
      <c r="AY111" s="3">
        <v>0</v>
      </c>
      <c r="AZ111" s="3">
        <v>0</v>
      </c>
      <c r="BA111" s="10">
        <v>0</v>
      </c>
      <c r="BB111" s="10">
        <v>0</v>
      </c>
      <c r="BC111" s="10">
        <v>0</v>
      </c>
      <c r="BD111" s="10">
        <v>0</v>
      </c>
      <c r="BE111" s="10">
        <v>0</v>
      </c>
      <c r="BF111" s="10">
        <v>0</v>
      </c>
      <c r="BG111" s="10">
        <v>0</v>
      </c>
      <c r="BH111" s="10">
        <v>0</v>
      </c>
      <c r="BI111" s="10">
        <v>0</v>
      </c>
      <c r="BJ111" s="10">
        <v>0</v>
      </c>
      <c r="BK111" s="10">
        <v>0</v>
      </c>
      <c r="BL111" s="10">
        <v>0</v>
      </c>
      <c r="BM111" s="10">
        <v>0</v>
      </c>
      <c r="BN111" s="10">
        <v>0</v>
      </c>
      <c r="BO111" s="10">
        <v>0</v>
      </c>
      <c r="BP111" s="10">
        <v>0</v>
      </c>
      <c r="BQ111" s="10">
        <v>0</v>
      </c>
      <c r="BR111" s="10">
        <v>0</v>
      </c>
      <c r="BS111" s="10">
        <v>0</v>
      </c>
      <c r="BT111" s="10">
        <v>0</v>
      </c>
      <c r="BU111" s="10">
        <v>0</v>
      </c>
      <c r="BV111" s="10">
        <v>0</v>
      </c>
      <c r="BW111" s="10">
        <v>0</v>
      </c>
      <c r="BX111" s="10">
        <v>0</v>
      </c>
      <c r="BY111" s="10">
        <v>0</v>
      </c>
      <c r="BZ111" s="10">
        <v>0</v>
      </c>
      <c r="CA111" s="10">
        <v>0.60939733358826775</v>
      </c>
      <c r="CB111" s="10">
        <v>0</v>
      </c>
      <c r="CC111" s="10">
        <v>0</v>
      </c>
      <c r="CD111" s="10">
        <v>0</v>
      </c>
      <c r="CE111" s="10">
        <v>0</v>
      </c>
      <c r="CF111" s="10">
        <v>0</v>
      </c>
      <c r="CG111" s="10">
        <v>0</v>
      </c>
      <c r="CH111" s="10">
        <v>0</v>
      </c>
      <c r="CI111" s="10">
        <v>0</v>
      </c>
      <c r="CJ111" s="10">
        <v>0</v>
      </c>
      <c r="CK111" s="10">
        <v>0</v>
      </c>
      <c r="CL111" s="10">
        <v>0</v>
      </c>
      <c r="CM111" s="10">
        <v>0</v>
      </c>
      <c r="CN111" s="10">
        <v>0</v>
      </c>
      <c r="CO111" s="10">
        <v>0</v>
      </c>
      <c r="CP111" s="10">
        <v>0</v>
      </c>
      <c r="CQ111" s="10">
        <v>0</v>
      </c>
      <c r="CR111" s="10">
        <v>0</v>
      </c>
      <c r="CS111" s="10">
        <v>0</v>
      </c>
      <c r="CT111" s="10">
        <v>0</v>
      </c>
      <c r="CU111" s="10">
        <v>0</v>
      </c>
      <c r="CV111" s="10">
        <v>0</v>
      </c>
      <c r="CW111" s="10">
        <v>0</v>
      </c>
      <c r="CX111" s="10">
        <v>0</v>
      </c>
      <c r="CY111" s="10">
        <v>0</v>
      </c>
      <c r="CZ111" s="10">
        <v>0</v>
      </c>
      <c r="DA111" s="10">
        <v>0</v>
      </c>
      <c r="DB111" s="10">
        <v>0</v>
      </c>
      <c r="DC111" s="10">
        <v>0</v>
      </c>
      <c r="DD111" s="10">
        <v>0</v>
      </c>
      <c r="DE111" s="10">
        <v>0</v>
      </c>
      <c r="DF111" s="10">
        <v>0</v>
      </c>
      <c r="DG111" s="10">
        <v>0</v>
      </c>
      <c r="DH111" s="10">
        <v>0</v>
      </c>
      <c r="DI111" s="10">
        <v>0</v>
      </c>
      <c r="DJ111" s="10">
        <v>0</v>
      </c>
      <c r="DK111" s="10">
        <v>0</v>
      </c>
      <c r="DL111" s="10">
        <v>0</v>
      </c>
      <c r="DM111" s="10">
        <v>0</v>
      </c>
      <c r="DN111" s="10">
        <v>0</v>
      </c>
      <c r="DO111" s="10">
        <v>0</v>
      </c>
      <c r="DP111" s="10">
        <v>0</v>
      </c>
      <c r="DQ111" s="10">
        <v>0</v>
      </c>
      <c r="DR111" s="10">
        <v>0</v>
      </c>
      <c r="DS111" s="10">
        <v>0.17794418268352985</v>
      </c>
      <c r="DT111" s="10">
        <v>0</v>
      </c>
      <c r="DU111" s="10">
        <v>0</v>
      </c>
      <c r="DV111" s="10">
        <v>0</v>
      </c>
      <c r="DW111" s="10">
        <v>0</v>
      </c>
      <c r="DX111" s="10">
        <v>0</v>
      </c>
      <c r="DY111" s="10">
        <v>7.4116593921119134E-2</v>
      </c>
      <c r="DZ111" s="10">
        <v>0</v>
      </c>
      <c r="EA111" s="10">
        <v>0</v>
      </c>
      <c r="EB111" s="10">
        <v>0</v>
      </c>
      <c r="EC111" s="10">
        <v>0</v>
      </c>
      <c r="ED111" s="10">
        <v>0</v>
      </c>
      <c r="EE111" s="10">
        <v>0</v>
      </c>
      <c r="EF111" s="10">
        <v>0</v>
      </c>
      <c r="EG111" s="10">
        <v>0</v>
      </c>
      <c r="EH111" s="10">
        <v>0</v>
      </c>
      <c r="EI111" s="10">
        <v>0</v>
      </c>
      <c r="EJ111" s="10">
        <v>0</v>
      </c>
      <c r="EK111" s="10">
        <v>0</v>
      </c>
      <c r="EL111" s="10">
        <v>0</v>
      </c>
      <c r="EM111" s="10">
        <v>0</v>
      </c>
      <c r="EN111" s="10">
        <v>0</v>
      </c>
      <c r="EO111" s="10">
        <v>0</v>
      </c>
      <c r="EP111" s="10">
        <v>0</v>
      </c>
      <c r="EQ111" s="10">
        <v>0</v>
      </c>
      <c r="ER111" s="10">
        <v>0</v>
      </c>
      <c r="ES111" s="10">
        <v>0</v>
      </c>
      <c r="ET111" s="10">
        <v>0</v>
      </c>
      <c r="EU111" s="10">
        <v>0</v>
      </c>
      <c r="EV111" s="10">
        <v>0</v>
      </c>
      <c r="EW111" s="10">
        <v>0</v>
      </c>
      <c r="EX111" s="10">
        <v>0</v>
      </c>
      <c r="EY111" s="10">
        <v>0</v>
      </c>
      <c r="EZ111" s="10">
        <v>0</v>
      </c>
      <c r="FA111" s="10">
        <v>0</v>
      </c>
      <c r="FB111" s="10">
        <v>0</v>
      </c>
      <c r="FC111" s="10">
        <v>0</v>
      </c>
      <c r="FD111" s="10">
        <v>0</v>
      </c>
      <c r="FE111" s="10">
        <v>0</v>
      </c>
      <c r="FF111" s="10">
        <v>0</v>
      </c>
      <c r="FG111" s="10">
        <v>0</v>
      </c>
      <c r="FH111" s="10">
        <v>0</v>
      </c>
      <c r="FI111" s="10">
        <v>0</v>
      </c>
      <c r="FJ111" s="10">
        <v>0</v>
      </c>
      <c r="FK111" s="10">
        <v>0</v>
      </c>
      <c r="FL111" s="10">
        <v>0</v>
      </c>
      <c r="FM111" s="10">
        <v>0</v>
      </c>
      <c r="FN111" s="10">
        <v>0</v>
      </c>
      <c r="FO111" s="10">
        <v>0</v>
      </c>
      <c r="FP111" s="10">
        <v>0</v>
      </c>
      <c r="FQ111" s="10">
        <v>0</v>
      </c>
      <c r="FR111" s="10">
        <v>0</v>
      </c>
      <c r="FS111" s="10">
        <v>0</v>
      </c>
      <c r="FT111" s="10">
        <v>0</v>
      </c>
      <c r="FU111" s="10">
        <v>0</v>
      </c>
      <c r="FV111" s="10">
        <v>0</v>
      </c>
      <c r="FW111" s="10">
        <v>0</v>
      </c>
      <c r="FX111" s="10">
        <v>0</v>
      </c>
      <c r="FY111" s="10">
        <v>0</v>
      </c>
      <c r="FZ111" s="10">
        <v>0</v>
      </c>
      <c r="GA111" s="10">
        <v>0.13102884621790503</v>
      </c>
      <c r="GB111" s="10">
        <v>7.5130435891780072E-3</v>
      </c>
      <c r="GC111" s="10">
        <v>0</v>
      </c>
      <c r="GD111" s="10">
        <v>0</v>
      </c>
      <c r="GE111" s="10">
        <v>0</v>
      </c>
      <c r="GF111" s="10">
        <v>0</v>
      </c>
      <c r="GG111" s="10">
        <v>0</v>
      </c>
      <c r="GH111" s="10">
        <v>0</v>
      </c>
      <c r="GI111" s="10">
        <v>0</v>
      </c>
      <c r="GJ111" s="10">
        <v>0</v>
      </c>
      <c r="GK111" s="10">
        <v>0</v>
      </c>
      <c r="GL111" s="10">
        <v>0</v>
      </c>
      <c r="GM111" s="10">
        <v>0</v>
      </c>
      <c r="GN111" s="10">
        <v>0</v>
      </c>
      <c r="GO111" s="10">
        <v>0</v>
      </c>
      <c r="GP111" s="10">
        <v>0</v>
      </c>
      <c r="GQ111" s="10">
        <v>0</v>
      </c>
      <c r="GR111" s="10">
        <v>0</v>
      </c>
      <c r="GS111" s="10">
        <v>0</v>
      </c>
      <c r="GT111" s="10">
        <v>0</v>
      </c>
      <c r="GU111" s="10">
        <v>0</v>
      </c>
      <c r="GV111" s="10">
        <v>0</v>
      </c>
      <c r="GW111" s="10">
        <v>0</v>
      </c>
      <c r="GX111" s="10">
        <v>0</v>
      </c>
      <c r="GY111" s="10">
        <v>0</v>
      </c>
      <c r="GZ111" s="10">
        <v>0</v>
      </c>
      <c r="HA111" s="10">
        <v>0</v>
      </c>
      <c r="HB111" s="10">
        <v>0</v>
      </c>
      <c r="HC111" s="10">
        <v>0</v>
      </c>
      <c r="HD111" s="10">
        <v>0</v>
      </c>
      <c r="HE111" s="10">
        <v>0</v>
      </c>
      <c r="HF111" s="10">
        <v>0</v>
      </c>
      <c r="HG111" s="10">
        <v>0</v>
      </c>
      <c r="HH111" s="10">
        <v>0</v>
      </c>
      <c r="HI111" s="10">
        <v>0</v>
      </c>
      <c r="HJ111" s="10">
        <v>0</v>
      </c>
      <c r="HK111" s="10">
        <v>0</v>
      </c>
      <c r="HL111" s="10">
        <v>0</v>
      </c>
      <c r="HM111" s="10">
        <v>0</v>
      </c>
      <c r="HN111" s="10">
        <v>0</v>
      </c>
      <c r="HO111" s="10">
        <v>0</v>
      </c>
      <c r="HP111" s="10">
        <v>0</v>
      </c>
      <c r="HQ111" s="10">
        <v>0</v>
      </c>
      <c r="HR111" s="10">
        <v>0</v>
      </c>
      <c r="HS111" s="10">
        <v>0</v>
      </c>
      <c r="HT111" s="10">
        <v>0</v>
      </c>
      <c r="HU111" s="10">
        <v>0</v>
      </c>
    </row>
    <row r="112" spans="1:229" x14ac:dyDescent="0.25">
      <c r="A112" s="10">
        <v>0</v>
      </c>
      <c r="B112" s="2" t="s">
        <v>212</v>
      </c>
      <c r="C112" s="2" t="s">
        <v>213</v>
      </c>
      <c r="D112" s="2">
        <v>3.5569999999999999</v>
      </c>
      <c r="E112" s="2">
        <v>13.05</v>
      </c>
      <c r="F112" s="2">
        <v>0.41</v>
      </c>
      <c r="G112" s="2">
        <v>0</v>
      </c>
      <c r="H112" s="2">
        <v>0.4</v>
      </c>
      <c r="I112" s="2">
        <v>141</v>
      </c>
      <c r="J112" s="2">
        <v>4.3239999999999998</v>
      </c>
      <c r="K112" s="2">
        <v>1.3240000000000001</v>
      </c>
      <c r="L112" s="3"/>
      <c r="M112" s="2" t="str">
        <f t="shared" si="8"/>
        <v>01140</v>
      </c>
      <c r="N112" s="3">
        <v>0.90313594131053332</v>
      </c>
      <c r="O112" s="3">
        <v>1.0968640586894673</v>
      </c>
      <c r="P112" s="17">
        <v>0.90313594131054142</v>
      </c>
      <c r="Q112" s="3">
        <v>1.096864058689466</v>
      </c>
      <c r="R112" s="3">
        <v>11.804672602244009</v>
      </c>
      <c r="S112" s="3" t="e">
        <v>#DIV/0!</v>
      </c>
      <c r="T112" s="3">
        <v>0.90313594131056685</v>
      </c>
      <c r="U112" s="3">
        <v>0.90313594131053354</v>
      </c>
      <c r="V112" s="3">
        <v>1.0968640586895075</v>
      </c>
      <c r="W112" s="3">
        <v>1.5221593807421954</v>
      </c>
      <c r="X112" s="3">
        <v>3.2124545432415959</v>
      </c>
      <c r="Y112" s="3">
        <v>14.314075965897532</v>
      </c>
      <c r="Z112" s="3">
        <v>4.8399157669200434</v>
      </c>
      <c r="AA112" s="3">
        <v>0.15539632104804477</v>
      </c>
      <c r="AB112" s="3">
        <v>0.36125437652422676</v>
      </c>
      <c r="AC112" s="3">
        <v>127.34216772478523</v>
      </c>
      <c r="AD112" s="3">
        <v>4.74284018977343</v>
      </c>
      <c r="AE112" s="3">
        <v>2.0153390201026666</v>
      </c>
      <c r="AF112" s="3">
        <v>0</v>
      </c>
      <c r="AG112" s="3">
        <v>0</v>
      </c>
      <c r="AH112" s="3">
        <v>0</v>
      </c>
      <c r="AI112" s="3">
        <v>0</v>
      </c>
      <c r="AJ112" s="3">
        <v>0</v>
      </c>
      <c r="AK112" s="3">
        <v>0</v>
      </c>
      <c r="AL112" s="3">
        <v>0</v>
      </c>
      <c r="AM112" s="3">
        <v>0</v>
      </c>
      <c r="AN112" s="3">
        <v>0</v>
      </c>
      <c r="AO112" s="3">
        <v>0</v>
      </c>
      <c r="AP112" s="3">
        <v>0</v>
      </c>
      <c r="AQ112" s="3">
        <v>0</v>
      </c>
      <c r="AR112" s="3">
        <v>0</v>
      </c>
      <c r="AS112" s="3">
        <v>0</v>
      </c>
      <c r="AT112" s="3">
        <v>0</v>
      </c>
      <c r="AU112" s="3">
        <v>0</v>
      </c>
      <c r="AV112" s="3">
        <v>0</v>
      </c>
      <c r="AW112" s="3">
        <v>0</v>
      </c>
      <c r="AX112" s="3">
        <v>0</v>
      </c>
      <c r="AY112" s="3">
        <v>0</v>
      </c>
      <c r="AZ112" s="3">
        <v>0</v>
      </c>
      <c r="BA112" s="10">
        <v>0</v>
      </c>
      <c r="BB112" s="10">
        <v>0</v>
      </c>
      <c r="BC112" s="10">
        <v>0</v>
      </c>
      <c r="BD112" s="10">
        <v>0</v>
      </c>
      <c r="BE112" s="10">
        <v>0</v>
      </c>
      <c r="BF112" s="10">
        <v>0</v>
      </c>
      <c r="BG112" s="10">
        <v>0</v>
      </c>
      <c r="BH112" s="10">
        <v>0</v>
      </c>
      <c r="BI112" s="10">
        <v>0</v>
      </c>
      <c r="BJ112" s="10">
        <v>0</v>
      </c>
      <c r="BK112" s="10">
        <v>0</v>
      </c>
      <c r="BL112" s="10">
        <v>0</v>
      </c>
      <c r="BM112" s="10">
        <v>0</v>
      </c>
      <c r="BN112" s="10">
        <v>0</v>
      </c>
      <c r="BO112" s="10">
        <v>0</v>
      </c>
      <c r="BP112" s="10">
        <v>0</v>
      </c>
      <c r="BQ112" s="10">
        <v>0</v>
      </c>
      <c r="BR112" s="10">
        <v>0</v>
      </c>
      <c r="BS112" s="10">
        <v>0</v>
      </c>
      <c r="BT112" s="10">
        <v>0</v>
      </c>
      <c r="BU112" s="10">
        <v>0</v>
      </c>
      <c r="BV112" s="10">
        <v>0</v>
      </c>
      <c r="BW112" s="10">
        <v>0</v>
      </c>
      <c r="BX112" s="10">
        <v>0</v>
      </c>
      <c r="BY112" s="10">
        <v>0</v>
      </c>
      <c r="BZ112" s="10">
        <v>0</v>
      </c>
      <c r="CA112" s="10">
        <v>0.52856709446156924</v>
      </c>
      <c r="CB112" s="10">
        <v>0</v>
      </c>
      <c r="CC112" s="10">
        <v>0</v>
      </c>
      <c r="CD112" s="10">
        <v>0</v>
      </c>
      <c r="CE112" s="10">
        <v>0</v>
      </c>
      <c r="CF112" s="10">
        <v>0</v>
      </c>
      <c r="CG112" s="10">
        <v>0</v>
      </c>
      <c r="CH112" s="10">
        <v>0</v>
      </c>
      <c r="CI112" s="10">
        <v>0</v>
      </c>
      <c r="CJ112" s="10">
        <v>0</v>
      </c>
      <c r="CK112" s="10">
        <v>0</v>
      </c>
      <c r="CL112" s="10">
        <v>0</v>
      </c>
      <c r="CM112" s="10">
        <v>0</v>
      </c>
      <c r="CN112" s="10">
        <v>0</v>
      </c>
      <c r="CO112" s="10">
        <v>0</v>
      </c>
      <c r="CP112" s="10">
        <v>0</v>
      </c>
      <c r="CQ112" s="10">
        <v>3.0914204262239352E-2</v>
      </c>
      <c r="CR112" s="10">
        <v>0</v>
      </c>
      <c r="CS112" s="10">
        <v>0</v>
      </c>
      <c r="CT112" s="10">
        <v>0</v>
      </c>
      <c r="CU112" s="10">
        <v>0</v>
      </c>
      <c r="CV112" s="10">
        <v>0</v>
      </c>
      <c r="CW112" s="10">
        <v>0</v>
      </c>
      <c r="CX112" s="10">
        <v>0</v>
      </c>
      <c r="CY112" s="10">
        <v>0</v>
      </c>
      <c r="CZ112" s="10">
        <v>0</v>
      </c>
      <c r="DA112" s="10">
        <v>0</v>
      </c>
      <c r="DB112" s="10">
        <v>0</v>
      </c>
      <c r="DC112" s="10">
        <v>0</v>
      </c>
      <c r="DD112" s="10">
        <v>0</v>
      </c>
      <c r="DE112" s="10">
        <v>0</v>
      </c>
      <c r="DF112" s="10">
        <v>0</v>
      </c>
      <c r="DG112" s="10">
        <v>0</v>
      </c>
      <c r="DH112" s="10">
        <v>0</v>
      </c>
      <c r="DI112" s="10">
        <v>0</v>
      </c>
      <c r="DJ112" s="10">
        <v>0</v>
      </c>
      <c r="DK112" s="10">
        <v>0</v>
      </c>
      <c r="DL112" s="10">
        <v>0</v>
      </c>
      <c r="DM112" s="10">
        <v>0</v>
      </c>
      <c r="DN112" s="10">
        <v>0</v>
      </c>
      <c r="DO112" s="10">
        <v>0</v>
      </c>
      <c r="DP112" s="10">
        <v>0</v>
      </c>
      <c r="DQ112" s="10">
        <v>0</v>
      </c>
      <c r="DR112" s="10">
        <v>0</v>
      </c>
      <c r="DS112" s="10">
        <v>0</v>
      </c>
      <c r="DT112" s="10">
        <v>0.31538584017585786</v>
      </c>
      <c r="DU112" s="10">
        <v>0</v>
      </c>
      <c r="DV112" s="10">
        <v>0</v>
      </c>
      <c r="DW112" s="10">
        <v>0</v>
      </c>
      <c r="DX112" s="10">
        <v>0</v>
      </c>
      <c r="DY112" s="10">
        <v>0</v>
      </c>
      <c r="DZ112" s="10">
        <v>4.7434700576311051E-2</v>
      </c>
      <c r="EA112" s="10">
        <v>0</v>
      </c>
      <c r="EB112" s="10">
        <v>0</v>
      </c>
      <c r="EC112" s="10">
        <v>0</v>
      </c>
      <c r="ED112" s="10">
        <v>0</v>
      </c>
      <c r="EE112" s="10">
        <v>0</v>
      </c>
      <c r="EF112" s="10">
        <v>0</v>
      </c>
      <c r="EG112" s="10">
        <v>0</v>
      </c>
      <c r="EH112" s="10">
        <v>0</v>
      </c>
      <c r="EI112" s="10">
        <v>0</v>
      </c>
      <c r="EJ112" s="10">
        <v>0</v>
      </c>
      <c r="EK112" s="10">
        <v>0</v>
      </c>
      <c r="EL112" s="10">
        <v>0</v>
      </c>
      <c r="EM112" s="10">
        <v>0</v>
      </c>
      <c r="EN112" s="10">
        <v>0</v>
      </c>
      <c r="EO112" s="10">
        <v>0</v>
      </c>
      <c r="EP112" s="10">
        <v>0</v>
      </c>
      <c r="EQ112" s="10">
        <v>0</v>
      </c>
      <c r="ER112" s="10">
        <v>0</v>
      </c>
      <c r="ES112" s="10">
        <v>0</v>
      </c>
      <c r="ET112" s="10">
        <v>0</v>
      </c>
      <c r="EU112" s="10">
        <v>0</v>
      </c>
      <c r="EV112" s="10">
        <v>0</v>
      </c>
      <c r="EW112" s="10">
        <v>0</v>
      </c>
      <c r="EX112" s="10">
        <v>0</v>
      </c>
      <c r="EY112" s="10">
        <v>0</v>
      </c>
      <c r="EZ112" s="10">
        <v>0</v>
      </c>
      <c r="FA112" s="10">
        <v>0</v>
      </c>
      <c r="FB112" s="10">
        <v>0</v>
      </c>
      <c r="FC112" s="10">
        <v>0</v>
      </c>
      <c r="FD112" s="10">
        <v>0</v>
      </c>
      <c r="FE112" s="10">
        <v>0</v>
      </c>
      <c r="FF112" s="10">
        <v>0</v>
      </c>
      <c r="FG112" s="10">
        <v>0</v>
      </c>
      <c r="FH112" s="10">
        <v>0</v>
      </c>
      <c r="FI112" s="10">
        <v>0</v>
      </c>
      <c r="FJ112" s="10">
        <v>0</v>
      </c>
      <c r="FK112" s="10">
        <v>0</v>
      </c>
      <c r="FL112" s="10">
        <v>0</v>
      </c>
      <c r="FM112" s="10">
        <v>0</v>
      </c>
      <c r="FN112" s="10">
        <v>0</v>
      </c>
      <c r="FO112" s="10">
        <v>0</v>
      </c>
      <c r="FP112" s="10">
        <v>0</v>
      </c>
      <c r="FQ112" s="10">
        <v>0</v>
      </c>
      <c r="FR112" s="10">
        <v>0</v>
      </c>
      <c r="FS112" s="10">
        <v>0</v>
      </c>
      <c r="FT112" s="10">
        <v>0</v>
      </c>
      <c r="FU112" s="10">
        <v>0</v>
      </c>
      <c r="FV112" s="10">
        <v>0</v>
      </c>
      <c r="FW112" s="10">
        <v>0</v>
      </c>
      <c r="FX112" s="10">
        <v>0</v>
      </c>
      <c r="FY112" s="10">
        <v>0</v>
      </c>
      <c r="FZ112" s="10">
        <v>0</v>
      </c>
      <c r="GA112" s="10">
        <v>0</v>
      </c>
      <c r="GB112" s="10">
        <v>7.7698160524022383E-2</v>
      </c>
      <c r="GC112" s="10">
        <v>0</v>
      </c>
      <c r="GD112" s="10">
        <v>0</v>
      </c>
      <c r="GE112" s="10">
        <v>0</v>
      </c>
      <c r="GF112" s="10">
        <v>0</v>
      </c>
      <c r="GG112" s="10">
        <v>0</v>
      </c>
      <c r="GH112" s="10">
        <v>0</v>
      </c>
      <c r="GI112" s="10">
        <v>0</v>
      </c>
      <c r="GJ112" s="10">
        <v>0</v>
      </c>
      <c r="GK112" s="10">
        <v>0</v>
      </c>
      <c r="GL112" s="10">
        <v>0</v>
      </c>
      <c r="GM112" s="10">
        <v>0</v>
      </c>
      <c r="GN112" s="10">
        <v>0</v>
      </c>
      <c r="GO112" s="10">
        <v>0</v>
      </c>
      <c r="GP112" s="10">
        <v>0</v>
      </c>
      <c r="GQ112" s="10">
        <v>0</v>
      </c>
      <c r="GR112" s="10">
        <v>0</v>
      </c>
      <c r="GS112" s="10">
        <v>0</v>
      </c>
      <c r="GT112" s="10">
        <v>0</v>
      </c>
      <c r="GU112" s="10">
        <v>0</v>
      </c>
      <c r="GV112" s="10">
        <v>0</v>
      </c>
      <c r="GW112" s="10">
        <v>0</v>
      </c>
      <c r="GX112" s="10">
        <v>0</v>
      </c>
      <c r="GY112" s="10">
        <v>0</v>
      </c>
      <c r="GZ112" s="10">
        <v>0</v>
      </c>
      <c r="HA112" s="10">
        <v>0</v>
      </c>
      <c r="HB112" s="10">
        <v>0</v>
      </c>
      <c r="HC112" s="10">
        <v>0</v>
      </c>
      <c r="HD112" s="10">
        <v>0</v>
      </c>
      <c r="HE112" s="10">
        <v>0</v>
      </c>
      <c r="HF112" s="10">
        <v>0</v>
      </c>
      <c r="HG112" s="10">
        <v>0</v>
      </c>
      <c r="HH112" s="10">
        <v>0</v>
      </c>
      <c r="HI112" s="10">
        <v>0</v>
      </c>
      <c r="HJ112" s="10">
        <v>0</v>
      </c>
      <c r="HK112" s="10">
        <v>0</v>
      </c>
      <c r="HL112" s="10">
        <v>0</v>
      </c>
      <c r="HM112" s="10">
        <v>0</v>
      </c>
      <c r="HN112" s="10">
        <v>0</v>
      </c>
      <c r="HO112" s="10">
        <v>0</v>
      </c>
      <c r="HP112" s="10">
        <v>0</v>
      </c>
      <c r="HQ112" s="10">
        <v>0</v>
      </c>
      <c r="HR112" s="10">
        <v>0</v>
      </c>
      <c r="HS112" s="10">
        <v>0</v>
      </c>
      <c r="HT112" s="10">
        <v>0</v>
      </c>
      <c r="HU112" s="10">
        <v>0</v>
      </c>
    </row>
    <row r="113" spans="1:229" x14ac:dyDescent="0.25">
      <c r="A113" s="10">
        <v>0</v>
      </c>
      <c r="B113" s="2" t="s">
        <v>214</v>
      </c>
      <c r="C113" s="2" t="s">
        <v>215</v>
      </c>
      <c r="D113" s="2">
        <v>3.766</v>
      </c>
      <c r="E113" s="2">
        <v>55.5</v>
      </c>
      <c r="F113" s="2">
        <v>21.8</v>
      </c>
      <c r="G113" s="2">
        <v>0</v>
      </c>
      <c r="H113" s="2">
        <v>21.8</v>
      </c>
      <c r="I113" s="2">
        <v>800</v>
      </c>
      <c r="J113" s="2">
        <v>5.3410000000000002</v>
      </c>
      <c r="K113" s="2">
        <v>1.6830000000000001</v>
      </c>
      <c r="L113" s="3"/>
      <c r="M113" s="2" t="str">
        <f t="shared" si="8"/>
        <v>01144</v>
      </c>
      <c r="N113" s="3">
        <v>0.86071937485424133</v>
      </c>
      <c r="O113" s="3">
        <v>1.1392806251457586</v>
      </c>
      <c r="P113" s="17">
        <v>0.59403283166563636</v>
      </c>
      <c r="Q113" s="3">
        <v>1.139280625145759</v>
      </c>
      <c r="R113" s="3">
        <v>0.58776676883276124</v>
      </c>
      <c r="S113" s="3" t="e">
        <v>#DIV/0!</v>
      </c>
      <c r="T113" s="3">
        <v>9.3810973010658244E-2</v>
      </c>
      <c r="U113" s="3">
        <v>0.86071937485424155</v>
      </c>
      <c r="V113" s="3">
        <v>1.1392806251457219</v>
      </c>
      <c r="W113" s="3">
        <v>0.91704589796014535</v>
      </c>
      <c r="X113" s="3">
        <v>2.2371276440527867</v>
      </c>
      <c r="Y113" s="3">
        <v>63.230074695589622</v>
      </c>
      <c r="Z113" s="3">
        <v>12.813315560554196</v>
      </c>
      <c r="AA113" s="3">
        <v>0.99185262749439773</v>
      </c>
      <c r="AB113" s="3">
        <v>2.0450792116323497</v>
      </c>
      <c r="AC113" s="3">
        <v>688.57549988339326</v>
      </c>
      <c r="AD113" s="3">
        <v>6.0848978189033014</v>
      </c>
      <c r="AE113" s="3">
        <v>1.5433882462669246</v>
      </c>
      <c r="AF113" s="3">
        <v>0</v>
      </c>
      <c r="AG113" s="3">
        <v>0</v>
      </c>
      <c r="AH113" s="3">
        <v>0</v>
      </c>
      <c r="AI113" s="3">
        <v>0</v>
      </c>
      <c r="AJ113" s="3">
        <v>0</v>
      </c>
      <c r="AK113" s="3">
        <v>0</v>
      </c>
      <c r="AL113" s="3">
        <v>0</v>
      </c>
      <c r="AM113" s="3">
        <v>0</v>
      </c>
      <c r="AN113" s="3">
        <v>0</v>
      </c>
      <c r="AO113" s="3">
        <v>0</v>
      </c>
      <c r="AP113" s="3">
        <v>0</v>
      </c>
      <c r="AQ113" s="3">
        <v>0</v>
      </c>
      <c r="AR113" s="3">
        <v>0</v>
      </c>
      <c r="AS113" s="3">
        <v>0</v>
      </c>
      <c r="AT113" s="10">
        <v>0</v>
      </c>
      <c r="AU113" s="10">
        <v>0</v>
      </c>
      <c r="AV113" s="3">
        <v>0</v>
      </c>
      <c r="AW113" s="3">
        <v>0</v>
      </c>
      <c r="AX113" s="3">
        <v>0</v>
      </c>
      <c r="AY113" s="3">
        <v>0</v>
      </c>
      <c r="AZ113" s="3">
        <v>0</v>
      </c>
      <c r="BA113" s="10">
        <v>0</v>
      </c>
      <c r="BB113" s="10">
        <v>0</v>
      </c>
      <c r="BC113" s="10">
        <v>0</v>
      </c>
      <c r="BD113" s="10">
        <v>0</v>
      </c>
      <c r="BE113" s="10">
        <v>0</v>
      </c>
      <c r="BF113" s="10">
        <v>0</v>
      </c>
      <c r="BG113" s="10">
        <v>0</v>
      </c>
      <c r="BH113" s="10">
        <v>0</v>
      </c>
      <c r="BI113" s="10">
        <v>0</v>
      </c>
      <c r="BJ113" s="10">
        <v>0</v>
      </c>
      <c r="BK113" s="10">
        <v>0</v>
      </c>
      <c r="BL113" s="10">
        <v>0</v>
      </c>
      <c r="BM113" s="10">
        <v>0</v>
      </c>
      <c r="BN113" s="10">
        <v>0</v>
      </c>
      <c r="BO113" s="10">
        <v>0</v>
      </c>
      <c r="BP113" s="10">
        <v>0</v>
      </c>
      <c r="BQ113" s="10">
        <v>0</v>
      </c>
      <c r="BR113" s="10">
        <v>0</v>
      </c>
      <c r="BS113" s="10">
        <v>0</v>
      </c>
      <c r="BT113" s="10">
        <v>0</v>
      </c>
      <c r="BU113" s="10">
        <v>0</v>
      </c>
      <c r="BV113" s="10">
        <v>0</v>
      </c>
      <c r="BW113" s="10">
        <v>0</v>
      </c>
      <c r="BX113" s="10">
        <v>0</v>
      </c>
      <c r="BY113" s="10">
        <v>0</v>
      </c>
      <c r="BZ113" s="10">
        <v>0</v>
      </c>
      <c r="CA113" s="10">
        <v>0</v>
      </c>
      <c r="CB113" s="10">
        <v>0</v>
      </c>
      <c r="CC113" s="10">
        <v>0</v>
      </c>
      <c r="CD113" s="10">
        <v>0</v>
      </c>
      <c r="CE113" s="10">
        <v>0</v>
      </c>
      <c r="CF113" s="10">
        <v>0</v>
      </c>
      <c r="CG113" s="10">
        <v>0</v>
      </c>
      <c r="CH113" s="10">
        <v>0</v>
      </c>
      <c r="CI113" s="10">
        <v>0</v>
      </c>
      <c r="CJ113" s="10">
        <v>0</v>
      </c>
      <c r="CK113" s="10">
        <v>0</v>
      </c>
      <c r="CL113" s="10">
        <v>0</v>
      </c>
      <c r="CM113" s="10">
        <v>0</v>
      </c>
      <c r="CN113" s="10">
        <v>0</v>
      </c>
      <c r="CO113" s="10">
        <v>0</v>
      </c>
      <c r="CP113" s="10">
        <v>0</v>
      </c>
      <c r="CQ113" s="10">
        <v>0</v>
      </c>
      <c r="CR113" s="10">
        <v>0</v>
      </c>
      <c r="CS113" s="10">
        <v>0</v>
      </c>
      <c r="CT113" s="10">
        <v>0</v>
      </c>
      <c r="CU113" s="10">
        <v>0</v>
      </c>
      <c r="CV113" s="10">
        <v>0</v>
      </c>
      <c r="CW113" s="10">
        <v>0</v>
      </c>
      <c r="CX113" s="10">
        <v>0</v>
      </c>
      <c r="CY113" s="10">
        <v>0</v>
      </c>
      <c r="CZ113" s="10">
        <v>0</v>
      </c>
      <c r="DA113" s="10">
        <v>0</v>
      </c>
      <c r="DB113" s="10">
        <v>0</v>
      </c>
      <c r="DC113" s="10">
        <v>0</v>
      </c>
      <c r="DD113" s="10">
        <v>0</v>
      </c>
      <c r="DE113" s="10">
        <v>0</v>
      </c>
      <c r="DF113" s="10">
        <v>0</v>
      </c>
      <c r="DG113" s="10">
        <v>0</v>
      </c>
      <c r="DH113" s="10">
        <v>0</v>
      </c>
      <c r="DI113" s="10">
        <v>0</v>
      </c>
      <c r="DJ113" s="10">
        <v>0</v>
      </c>
      <c r="DK113" s="10">
        <v>0</v>
      </c>
      <c r="DL113" s="10">
        <v>0</v>
      </c>
      <c r="DM113" s="10">
        <v>0</v>
      </c>
      <c r="DN113" s="10">
        <v>0</v>
      </c>
      <c r="DO113" s="10">
        <v>0</v>
      </c>
      <c r="DP113" s="10">
        <v>0</v>
      </c>
      <c r="DQ113" s="10">
        <v>0</v>
      </c>
      <c r="DR113" s="10">
        <v>0</v>
      </c>
      <c r="DS113" s="10">
        <v>0</v>
      </c>
      <c r="DT113" s="10">
        <v>0</v>
      </c>
      <c r="DU113" s="10">
        <v>0</v>
      </c>
      <c r="DV113" s="10">
        <v>0</v>
      </c>
      <c r="DW113" s="10">
        <v>0</v>
      </c>
      <c r="DX113" s="10">
        <v>0.10959635114920416</v>
      </c>
      <c r="DY113" s="10">
        <v>0</v>
      </c>
      <c r="DZ113" s="10">
        <v>0</v>
      </c>
      <c r="EA113" s="10">
        <v>0</v>
      </c>
      <c r="EB113" s="10">
        <v>0</v>
      </c>
      <c r="EC113" s="10">
        <v>0</v>
      </c>
      <c r="ED113" s="10">
        <v>0</v>
      </c>
      <c r="EE113" s="10">
        <v>0</v>
      </c>
      <c r="EF113" s="10">
        <v>0</v>
      </c>
      <c r="EG113" s="10">
        <v>0</v>
      </c>
      <c r="EH113" s="10">
        <v>0</v>
      </c>
      <c r="EI113" s="10">
        <v>0</v>
      </c>
      <c r="EJ113" s="10">
        <v>0</v>
      </c>
      <c r="EK113" s="10">
        <v>0</v>
      </c>
      <c r="EL113" s="10">
        <v>0</v>
      </c>
      <c r="EM113" s="10">
        <v>0</v>
      </c>
      <c r="EN113" s="10">
        <v>0</v>
      </c>
      <c r="EO113" s="10">
        <v>0</v>
      </c>
      <c r="EP113" s="10">
        <v>0</v>
      </c>
      <c r="EQ113" s="10">
        <v>0</v>
      </c>
      <c r="ER113" s="10">
        <v>0</v>
      </c>
      <c r="ES113" s="10">
        <v>0</v>
      </c>
      <c r="ET113" s="10">
        <v>0</v>
      </c>
      <c r="EU113" s="10">
        <v>0</v>
      </c>
      <c r="EV113" s="10">
        <v>0</v>
      </c>
      <c r="EW113" s="10">
        <v>0</v>
      </c>
      <c r="EX113" s="10">
        <v>0</v>
      </c>
      <c r="EY113" s="10">
        <v>0</v>
      </c>
      <c r="EZ113" s="10">
        <v>0</v>
      </c>
      <c r="FA113" s="10">
        <v>0</v>
      </c>
      <c r="FB113" s="10">
        <v>0</v>
      </c>
      <c r="FC113" s="10">
        <v>0</v>
      </c>
      <c r="FD113" s="10">
        <v>0</v>
      </c>
      <c r="FE113" s="10">
        <v>0</v>
      </c>
      <c r="FF113" s="10">
        <v>0</v>
      </c>
      <c r="FG113" s="10">
        <v>0</v>
      </c>
      <c r="FH113" s="10">
        <v>0</v>
      </c>
      <c r="FI113" s="10">
        <v>0</v>
      </c>
      <c r="FJ113" s="10">
        <v>0</v>
      </c>
      <c r="FK113" s="10">
        <v>0</v>
      </c>
      <c r="FL113" s="10">
        <v>0</v>
      </c>
      <c r="FM113" s="10">
        <v>0</v>
      </c>
      <c r="FN113" s="10">
        <v>0</v>
      </c>
      <c r="FO113" s="10">
        <v>0</v>
      </c>
      <c r="FP113" s="10">
        <v>0</v>
      </c>
      <c r="FQ113" s="10">
        <v>0</v>
      </c>
      <c r="FR113" s="10">
        <v>0</v>
      </c>
      <c r="FS113" s="10">
        <v>0</v>
      </c>
      <c r="FT113" s="10">
        <v>0</v>
      </c>
      <c r="FU113" s="10">
        <v>0</v>
      </c>
      <c r="FV113" s="10">
        <v>0</v>
      </c>
      <c r="FW113" s="10">
        <v>0</v>
      </c>
      <c r="FX113" s="10">
        <v>0</v>
      </c>
      <c r="FY113" s="10">
        <v>0</v>
      </c>
      <c r="FZ113" s="10">
        <v>0</v>
      </c>
      <c r="GA113" s="10">
        <v>0</v>
      </c>
      <c r="GB113" s="10">
        <v>0.49592631374719887</v>
      </c>
      <c r="GC113" s="10">
        <v>0</v>
      </c>
      <c r="GD113" s="10">
        <v>0</v>
      </c>
      <c r="GE113" s="10">
        <v>0</v>
      </c>
      <c r="GF113" s="10">
        <v>0</v>
      </c>
      <c r="GG113" s="10">
        <v>0</v>
      </c>
      <c r="GH113" s="10">
        <v>0</v>
      </c>
      <c r="GI113" s="10">
        <v>0</v>
      </c>
      <c r="GJ113" s="10">
        <v>0</v>
      </c>
      <c r="GK113" s="10">
        <v>0</v>
      </c>
      <c r="GL113" s="10">
        <v>0</v>
      </c>
      <c r="GM113" s="10">
        <v>0</v>
      </c>
      <c r="GN113" s="10">
        <v>0</v>
      </c>
      <c r="GO113" s="10">
        <v>0</v>
      </c>
      <c r="GP113" s="10">
        <v>0</v>
      </c>
      <c r="GQ113" s="10">
        <v>0</v>
      </c>
      <c r="GR113" s="10">
        <v>0</v>
      </c>
      <c r="GS113" s="10">
        <v>0</v>
      </c>
      <c r="GT113" s="10">
        <v>0</v>
      </c>
      <c r="GU113" s="10">
        <v>0</v>
      </c>
      <c r="GV113" s="10">
        <v>0</v>
      </c>
      <c r="GW113" s="10">
        <v>0.39447733510359684</v>
      </c>
      <c r="GX113" s="10">
        <v>0</v>
      </c>
      <c r="GY113" s="10">
        <v>0</v>
      </c>
      <c r="GZ113" s="10">
        <v>0</v>
      </c>
      <c r="HA113" s="10">
        <v>0</v>
      </c>
      <c r="HB113" s="10">
        <v>0</v>
      </c>
      <c r="HC113" s="10">
        <v>0</v>
      </c>
      <c r="HD113" s="10">
        <v>0</v>
      </c>
      <c r="HE113" s="10">
        <v>0</v>
      </c>
      <c r="HF113" s="10">
        <v>0</v>
      </c>
      <c r="HG113" s="10">
        <v>0</v>
      </c>
      <c r="HH113" s="10">
        <v>0</v>
      </c>
      <c r="HI113" s="10">
        <v>0</v>
      </c>
      <c r="HJ113" s="10">
        <v>0</v>
      </c>
      <c r="HK113" s="10">
        <v>0</v>
      </c>
      <c r="HL113" s="10">
        <v>0</v>
      </c>
      <c r="HM113" s="10">
        <v>0</v>
      </c>
      <c r="HN113" s="10">
        <v>0</v>
      </c>
      <c r="HO113" s="10">
        <v>0</v>
      </c>
      <c r="HP113" s="10">
        <v>0</v>
      </c>
      <c r="HQ113" s="10">
        <v>0</v>
      </c>
      <c r="HR113" s="10">
        <v>0</v>
      </c>
      <c r="HS113" s="10">
        <v>0</v>
      </c>
      <c r="HT113" s="10">
        <v>0</v>
      </c>
      <c r="HU113" s="10">
        <v>0</v>
      </c>
    </row>
    <row r="114" spans="1:229" x14ac:dyDescent="0.25">
      <c r="A114" s="10">
        <v>0</v>
      </c>
      <c r="B114" s="2" t="s">
        <v>216</v>
      </c>
      <c r="C114" s="2" t="s">
        <v>217</v>
      </c>
      <c r="D114" s="2">
        <v>50.488999999999997</v>
      </c>
      <c r="E114" s="2">
        <v>0.85</v>
      </c>
      <c r="F114" s="2">
        <v>0.06</v>
      </c>
      <c r="G114" s="2">
        <v>0</v>
      </c>
      <c r="H114" s="2">
        <v>0.06</v>
      </c>
      <c r="I114" s="2">
        <v>11</v>
      </c>
      <c r="J114" s="2">
        <v>23.43</v>
      </c>
      <c r="K114" s="2">
        <v>3.01</v>
      </c>
      <c r="L114" s="3"/>
      <c r="M114" s="2" t="str">
        <f t="shared" si="8"/>
        <v>01145</v>
      </c>
      <c r="N114" s="3">
        <v>0.99000669592614099</v>
      </c>
      <c r="O114" s="3">
        <v>1.0099933040738589</v>
      </c>
      <c r="P114" s="17">
        <v>0.99000669592614088</v>
      </c>
      <c r="Q114" s="3">
        <v>3.50043973711416</v>
      </c>
      <c r="R114" s="3">
        <v>15.800832610479324</v>
      </c>
      <c r="S114" s="3" t="e">
        <v>#DIV/0!</v>
      </c>
      <c r="T114" s="3">
        <v>0.990006695926271</v>
      </c>
      <c r="U114" s="3">
        <v>0.99000669592614865</v>
      </c>
      <c r="V114" s="3">
        <v>1.0099933040738578</v>
      </c>
      <c r="W114" s="3">
        <v>1.0771110157891908</v>
      </c>
      <c r="X114" s="3">
        <v>49.984448070614924</v>
      </c>
      <c r="Y114" s="3">
        <v>2.9753737765470358</v>
      </c>
      <c r="Z114" s="3">
        <v>0.94804995662875935</v>
      </c>
      <c r="AA114" s="3">
        <v>0</v>
      </c>
      <c r="AB114" s="3">
        <v>5.940040175557626E-2</v>
      </c>
      <c r="AC114" s="3">
        <v>10.890073655187635</v>
      </c>
      <c r="AD114" s="3">
        <v>23.664143114450486</v>
      </c>
      <c r="AE114" s="3">
        <v>3.2421041575254641</v>
      </c>
      <c r="AF114" s="3">
        <v>0</v>
      </c>
      <c r="AG114" s="3">
        <v>0</v>
      </c>
      <c r="AH114" s="3">
        <v>0.77482510163994389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P114" s="3">
        <v>0</v>
      </c>
      <c r="AQ114" s="3">
        <v>0</v>
      </c>
      <c r="AR114" s="3">
        <v>0</v>
      </c>
      <c r="AS114" s="3">
        <v>0</v>
      </c>
      <c r="AT114" s="3">
        <v>0</v>
      </c>
      <c r="AU114" s="3">
        <v>0</v>
      </c>
      <c r="AV114" s="3">
        <v>0</v>
      </c>
      <c r="AW114" s="3">
        <v>0</v>
      </c>
      <c r="AX114" s="3">
        <v>0</v>
      </c>
      <c r="AY114" s="3">
        <v>0</v>
      </c>
      <c r="AZ114" s="3">
        <v>0</v>
      </c>
      <c r="BA114" s="10">
        <v>0</v>
      </c>
      <c r="BB114" s="10">
        <v>0</v>
      </c>
      <c r="BC114" s="10">
        <v>0</v>
      </c>
      <c r="BD114" s="10">
        <v>0</v>
      </c>
      <c r="BE114" s="10">
        <v>0</v>
      </c>
      <c r="BF114" s="10">
        <v>0</v>
      </c>
      <c r="BG114" s="10">
        <v>0</v>
      </c>
      <c r="BH114" s="10">
        <v>0</v>
      </c>
      <c r="BI114" s="10">
        <v>0</v>
      </c>
      <c r="BJ114" s="10">
        <v>0</v>
      </c>
      <c r="BK114" s="10">
        <v>0</v>
      </c>
      <c r="BL114" s="10">
        <v>0</v>
      </c>
      <c r="BM114" s="10">
        <v>0</v>
      </c>
      <c r="BN114" s="10">
        <v>0</v>
      </c>
      <c r="BO114" s="10">
        <v>0</v>
      </c>
      <c r="BP114" s="10">
        <v>0</v>
      </c>
      <c r="BQ114" s="10">
        <v>0</v>
      </c>
      <c r="BR114" s="10">
        <v>0</v>
      </c>
      <c r="BS114" s="10">
        <v>0</v>
      </c>
      <c r="BT114" s="10">
        <v>0</v>
      </c>
      <c r="BU114" s="10">
        <v>0</v>
      </c>
      <c r="BV114" s="10">
        <v>0</v>
      </c>
      <c r="BW114" s="10">
        <v>0</v>
      </c>
      <c r="BX114" s="10">
        <v>0</v>
      </c>
      <c r="BY114" s="10">
        <v>0</v>
      </c>
      <c r="BZ114" s="10">
        <v>0</v>
      </c>
      <c r="CA114" s="10">
        <v>0</v>
      </c>
      <c r="CB114" s="10">
        <v>0</v>
      </c>
      <c r="CC114" s="10">
        <v>0</v>
      </c>
      <c r="CD114" s="10">
        <v>0</v>
      </c>
      <c r="CE114" s="10">
        <v>0</v>
      </c>
      <c r="CF114" s="10">
        <v>0</v>
      </c>
      <c r="CG114" s="10">
        <v>0</v>
      </c>
      <c r="CH114" s="10">
        <v>0</v>
      </c>
      <c r="CI114" s="10">
        <v>0</v>
      </c>
      <c r="CJ114" s="10">
        <v>0</v>
      </c>
      <c r="CK114" s="10">
        <v>0</v>
      </c>
      <c r="CL114" s="10">
        <v>0</v>
      </c>
      <c r="CM114" s="10">
        <v>0</v>
      </c>
      <c r="CN114" s="10">
        <v>0</v>
      </c>
      <c r="CO114" s="10">
        <v>0</v>
      </c>
      <c r="CP114" s="10">
        <v>0</v>
      </c>
      <c r="CQ114" s="10">
        <v>0</v>
      </c>
      <c r="CR114" s="10">
        <v>0</v>
      </c>
      <c r="CS114" s="10">
        <v>0</v>
      </c>
      <c r="CT114" s="10">
        <v>0</v>
      </c>
      <c r="CU114" s="10">
        <v>0</v>
      </c>
      <c r="CV114" s="10">
        <v>0</v>
      </c>
      <c r="CW114" s="10">
        <v>0</v>
      </c>
      <c r="CX114" s="10">
        <v>0</v>
      </c>
      <c r="CY114" s="10">
        <v>0</v>
      </c>
      <c r="CZ114" s="10">
        <v>0</v>
      </c>
      <c r="DA114" s="10">
        <v>0</v>
      </c>
      <c r="DB114" s="10">
        <v>0</v>
      </c>
      <c r="DC114" s="10">
        <v>0</v>
      </c>
      <c r="DD114" s="10">
        <v>0</v>
      </c>
      <c r="DE114" s="10">
        <v>0</v>
      </c>
      <c r="DF114" s="10">
        <v>0.11442557944388479</v>
      </c>
      <c r="DG114" s="10">
        <v>0</v>
      </c>
      <c r="DH114" s="10">
        <v>0</v>
      </c>
      <c r="DI114" s="10">
        <v>0</v>
      </c>
      <c r="DJ114" s="10">
        <v>0</v>
      </c>
      <c r="DK114" s="10">
        <v>0</v>
      </c>
      <c r="DL114" s="10">
        <v>0</v>
      </c>
      <c r="DM114" s="10">
        <v>0</v>
      </c>
      <c r="DN114" s="10">
        <v>0</v>
      </c>
      <c r="DO114" s="10">
        <v>0</v>
      </c>
      <c r="DP114" s="10">
        <v>0</v>
      </c>
      <c r="DQ114" s="10">
        <v>0</v>
      </c>
      <c r="DR114" s="10">
        <v>0</v>
      </c>
      <c r="DS114" s="10">
        <v>7.3331935523600261E-2</v>
      </c>
      <c r="DT114" s="10">
        <v>0</v>
      </c>
      <c r="DU114" s="10">
        <v>0</v>
      </c>
      <c r="DV114" s="10">
        <v>0</v>
      </c>
      <c r="DW114" s="10">
        <v>0</v>
      </c>
      <c r="DX114" s="10">
        <v>0</v>
      </c>
      <c r="DY114" s="10">
        <v>0</v>
      </c>
      <c r="DZ114" s="10">
        <v>0</v>
      </c>
      <c r="EA114" s="10">
        <v>0</v>
      </c>
      <c r="EB114" s="10">
        <v>0</v>
      </c>
      <c r="EC114" s="10">
        <v>0</v>
      </c>
      <c r="ED114" s="10">
        <v>0</v>
      </c>
      <c r="EE114" s="10">
        <v>0</v>
      </c>
      <c r="EF114" s="10">
        <v>0</v>
      </c>
      <c r="EG114" s="10">
        <v>0</v>
      </c>
      <c r="EH114" s="10">
        <v>0</v>
      </c>
      <c r="EI114" s="10">
        <v>0</v>
      </c>
      <c r="EJ114" s="10">
        <v>0</v>
      </c>
      <c r="EK114" s="10">
        <v>0</v>
      </c>
      <c r="EL114" s="10">
        <v>0</v>
      </c>
      <c r="EM114" s="10">
        <v>0</v>
      </c>
      <c r="EN114" s="10">
        <v>0</v>
      </c>
      <c r="EO114" s="10">
        <v>0</v>
      </c>
      <c r="EP114" s="10">
        <v>0</v>
      </c>
      <c r="EQ114" s="10">
        <v>0</v>
      </c>
      <c r="ER114" s="10">
        <v>0</v>
      </c>
      <c r="ES114" s="10">
        <v>0</v>
      </c>
      <c r="ET114" s="10">
        <v>3.7417383392571661E-2</v>
      </c>
      <c r="EU114" s="10">
        <v>0</v>
      </c>
      <c r="EV114" s="10">
        <v>0</v>
      </c>
      <c r="EW114" s="10">
        <v>0</v>
      </c>
      <c r="EX114" s="10">
        <v>0</v>
      </c>
      <c r="EY114" s="10">
        <v>0</v>
      </c>
      <c r="EZ114" s="10">
        <v>0</v>
      </c>
      <c r="FA114" s="10">
        <v>0</v>
      </c>
      <c r="FB114" s="10">
        <v>0</v>
      </c>
      <c r="FC114" s="10">
        <v>0</v>
      </c>
      <c r="FD114" s="10">
        <v>0</v>
      </c>
      <c r="FE114" s="10">
        <v>0</v>
      </c>
      <c r="FF114" s="10">
        <v>0</v>
      </c>
      <c r="FG114" s="10">
        <v>0</v>
      </c>
      <c r="FH114" s="10">
        <v>0</v>
      </c>
      <c r="FI114" s="10">
        <v>0</v>
      </c>
      <c r="FJ114" s="10">
        <v>0</v>
      </c>
      <c r="FK114" s="10">
        <v>0</v>
      </c>
      <c r="FL114" s="10">
        <v>0</v>
      </c>
      <c r="FM114" s="10">
        <v>0</v>
      </c>
      <c r="FN114" s="10">
        <v>0</v>
      </c>
      <c r="FO114" s="10">
        <v>0</v>
      </c>
      <c r="FP114" s="10">
        <v>0</v>
      </c>
      <c r="FQ114" s="10">
        <v>0</v>
      </c>
      <c r="FR114" s="10">
        <v>0</v>
      </c>
      <c r="FS114" s="10">
        <v>0</v>
      </c>
      <c r="FT114" s="10">
        <v>0</v>
      </c>
      <c r="FU114" s="10">
        <v>0</v>
      </c>
      <c r="FV114" s="10">
        <v>0</v>
      </c>
      <c r="FW114" s="10">
        <v>0</v>
      </c>
      <c r="FX114" s="10">
        <v>0</v>
      </c>
      <c r="FY114" s="10">
        <v>0</v>
      </c>
      <c r="FZ114" s="10">
        <v>0</v>
      </c>
      <c r="GA114" s="10">
        <v>0</v>
      </c>
      <c r="GB114" s="10">
        <v>0</v>
      </c>
      <c r="GC114" s="10">
        <v>0</v>
      </c>
      <c r="GD114" s="10">
        <v>0</v>
      </c>
      <c r="GE114" s="10">
        <v>0</v>
      </c>
      <c r="GF114" s="10">
        <v>0</v>
      </c>
      <c r="GG114" s="10">
        <v>0</v>
      </c>
      <c r="GH114" s="10">
        <v>0</v>
      </c>
      <c r="GI114" s="10">
        <v>0</v>
      </c>
      <c r="GJ114" s="10">
        <v>0</v>
      </c>
      <c r="GK114" s="10">
        <v>0</v>
      </c>
      <c r="GL114" s="10">
        <v>0</v>
      </c>
      <c r="GM114" s="10">
        <v>0</v>
      </c>
      <c r="GN114" s="10">
        <v>0</v>
      </c>
      <c r="GO114" s="10">
        <v>0</v>
      </c>
      <c r="GP114" s="10">
        <v>0</v>
      </c>
      <c r="GQ114" s="10">
        <v>0</v>
      </c>
      <c r="GR114" s="10">
        <v>0</v>
      </c>
      <c r="GS114" s="10">
        <v>0</v>
      </c>
      <c r="GT114" s="10">
        <v>0</v>
      </c>
      <c r="GU114" s="10">
        <v>0</v>
      </c>
      <c r="GV114" s="10">
        <v>0</v>
      </c>
      <c r="GW114" s="10">
        <v>0</v>
      </c>
      <c r="GX114" s="10">
        <v>0</v>
      </c>
      <c r="GY114" s="10">
        <v>0</v>
      </c>
      <c r="GZ114" s="10">
        <v>0</v>
      </c>
      <c r="HA114" s="10">
        <v>0</v>
      </c>
      <c r="HB114" s="10">
        <v>0</v>
      </c>
      <c r="HC114" s="10">
        <v>0</v>
      </c>
      <c r="HD114" s="10">
        <v>0</v>
      </c>
      <c r="HE114" s="10">
        <v>0</v>
      </c>
      <c r="HF114" s="10">
        <v>0</v>
      </c>
      <c r="HG114" s="10">
        <v>0</v>
      </c>
      <c r="HH114" s="10">
        <v>0</v>
      </c>
      <c r="HI114" s="10">
        <v>0</v>
      </c>
      <c r="HJ114" s="10">
        <v>0</v>
      </c>
      <c r="HK114" s="10">
        <v>0</v>
      </c>
      <c r="HL114" s="10">
        <v>0</v>
      </c>
      <c r="HM114" s="10">
        <v>0</v>
      </c>
      <c r="HN114" s="10">
        <v>0</v>
      </c>
      <c r="HO114" s="10">
        <v>0</v>
      </c>
      <c r="HP114" s="10">
        <v>0</v>
      </c>
      <c r="HQ114" s="10">
        <v>0</v>
      </c>
      <c r="HR114" s="10">
        <v>0</v>
      </c>
      <c r="HS114" s="10">
        <v>0</v>
      </c>
      <c r="HT114" s="10">
        <v>0</v>
      </c>
      <c r="HU114" s="10">
        <v>0</v>
      </c>
    </row>
    <row r="115" spans="1:229" x14ac:dyDescent="0.25">
      <c r="A115" s="10">
        <v>0</v>
      </c>
      <c r="B115" s="2" t="s">
        <v>218</v>
      </c>
      <c r="C115" s="2" t="s">
        <v>219</v>
      </c>
      <c r="D115" s="2">
        <v>17.37</v>
      </c>
      <c r="E115" s="2">
        <v>37.86</v>
      </c>
      <c r="F115" s="2">
        <v>3.41</v>
      </c>
      <c r="G115" s="2">
        <v>0</v>
      </c>
      <c r="H115" s="2">
        <v>0.9</v>
      </c>
      <c r="I115" s="2">
        <v>1696</v>
      </c>
      <c r="J115" s="2">
        <v>8.734</v>
      </c>
      <c r="K115" s="2">
        <v>0.66100000000000003</v>
      </c>
      <c r="L115" s="3"/>
      <c r="M115" s="2" t="str">
        <f t="shared" si="8"/>
        <v>01146</v>
      </c>
      <c r="N115" s="3">
        <v>0.52250597291270207</v>
      </c>
      <c r="O115" s="3">
        <v>1.4774940270872976</v>
      </c>
      <c r="P115" s="17">
        <v>0.52250597291281153</v>
      </c>
      <c r="Q115" s="3">
        <v>1.4774940270872969</v>
      </c>
      <c r="R115" s="3">
        <v>1.2392083521126416</v>
      </c>
      <c r="S115" s="3" t="e">
        <v>#DIV/0!</v>
      </c>
      <c r="T115" s="3">
        <v>0.52250597291269929</v>
      </c>
      <c r="U115" s="3">
        <v>0.41314279444441521</v>
      </c>
      <c r="V115" s="3">
        <v>1.4774940270872392</v>
      </c>
      <c r="W115" s="3">
        <v>6.0838820533882076</v>
      </c>
      <c r="X115" s="3">
        <v>9.075928749495537</v>
      </c>
      <c r="Y115" s="3">
        <v>55.937923865525057</v>
      </c>
      <c r="Z115" s="3">
        <v>4.2257004807041083</v>
      </c>
      <c r="AA115" s="3">
        <v>0.58473085234888755</v>
      </c>
      <c r="AB115" s="3">
        <v>0.47025537562142933</v>
      </c>
      <c r="AC115" s="3">
        <v>700.69017937772821</v>
      </c>
      <c r="AD115" s="3">
        <v>12.904432832579946</v>
      </c>
      <c r="AE115" s="3">
        <v>4.0214460372896053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3">
        <v>0</v>
      </c>
      <c r="AM115" s="3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3">
        <v>0</v>
      </c>
      <c r="AU115" s="3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10">
        <v>0</v>
      </c>
      <c r="BB115" s="10">
        <v>0</v>
      </c>
      <c r="BC115" s="10">
        <v>0</v>
      </c>
      <c r="BD115" s="10">
        <v>0</v>
      </c>
      <c r="BE115" s="10">
        <v>0</v>
      </c>
      <c r="BF115" s="10">
        <v>0</v>
      </c>
      <c r="BG115" s="10">
        <v>0</v>
      </c>
      <c r="BH115" s="10">
        <v>0</v>
      </c>
      <c r="BI115" s="10">
        <v>0</v>
      </c>
      <c r="BJ115" s="10">
        <v>0</v>
      </c>
      <c r="BK115" s="10">
        <v>0</v>
      </c>
      <c r="BL115" s="10">
        <v>0</v>
      </c>
      <c r="BM115" s="10">
        <v>0</v>
      </c>
      <c r="BN115" s="10">
        <v>0</v>
      </c>
      <c r="BO115" s="10">
        <v>0</v>
      </c>
      <c r="BP115" s="10">
        <v>0</v>
      </c>
      <c r="BQ115" s="10">
        <v>0</v>
      </c>
      <c r="BR115" s="10">
        <v>0</v>
      </c>
      <c r="BS115" s="10">
        <v>0</v>
      </c>
      <c r="BT115" s="10">
        <v>0</v>
      </c>
      <c r="BU115" s="10">
        <v>0</v>
      </c>
      <c r="BV115" s="10">
        <v>0</v>
      </c>
      <c r="BW115" s="10">
        <v>0</v>
      </c>
      <c r="BX115" s="10">
        <v>0</v>
      </c>
      <c r="BY115" s="10">
        <v>0</v>
      </c>
      <c r="BZ115" s="10">
        <v>0</v>
      </c>
      <c r="CA115" s="10">
        <v>9.0331019824926636E-3</v>
      </c>
      <c r="CB115" s="10">
        <v>0</v>
      </c>
      <c r="CC115" s="10">
        <v>0</v>
      </c>
      <c r="CD115" s="10">
        <v>0</v>
      </c>
      <c r="CE115" s="10">
        <v>0</v>
      </c>
      <c r="CF115" s="10">
        <v>0</v>
      </c>
      <c r="CG115" s="10">
        <v>0</v>
      </c>
      <c r="CH115" s="10">
        <v>0</v>
      </c>
      <c r="CI115" s="10">
        <v>0</v>
      </c>
      <c r="CJ115" s="10">
        <v>0</v>
      </c>
      <c r="CK115" s="10">
        <v>0</v>
      </c>
      <c r="CL115" s="10">
        <v>0</v>
      </c>
      <c r="CM115" s="10">
        <v>0</v>
      </c>
      <c r="CN115" s="10">
        <v>0</v>
      </c>
      <c r="CO115" s="10">
        <v>0</v>
      </c>
      <c r="CP115" s="10">
        <v>0</v>
      </c>
      <c r="CQ115" s="10">
        <v>0</v>
      </c>
      <c r="CR115" s="10">
        <v>0</v>
      </c>
      <c r="CS115" s="10">
        <v>0</v>
      </c>
      <c r="CT115" s="10">
        <v>0</v>
      </c>
      <c r="CU115" s="10">
        <v>0</v>
      </c>
      <c r="CV115" s="10">
        <v>0</v>
      </c>
      <c r="CW115" s="10">
        <v>0</v>
      </c>
      <c r="CX115" s="10">
        <v>0</v>
      </c>
      <c r="CY115" s="10">
        <v>0</v>
      </c>
      <c r="CZ115" s="10">
        <v>0</v>
      </c>
      <c r="DA115" s="10">
        <v>0</v>
      </c>
      <c r="DB115" s="10">
        <v>0</v>
      </c>
      <c r="DC115" s="10">
        <v>0</v>
      </c>
      <c r="DD115" s="10">
        <v>0</v>
      </c>
      <c r="DE115" s="10">
        <v>0</v>
      </c>
      <c r="DF115" s="10">
        <v>0</v>
      </c>
      <c r="DG115" s="10">
        <v>0</v>
      </c>
      <c r="DH115" s="10">
        <v>0</v>
      </c>
      <c r="DI115" s="10">
        <v>0</v>
      </c>
      <c r="DJ115" s="10">
        <v>0</v>
      </c>
      <c r="DK115" s="10">
        <v>0</v>
      </c>
      <c r="DL115" s="10">
        <v>0</v>
      </c>
      <c r="DM115" s="10">
        <v>0</v>
      </c>
      <c r="DN115" s="10">
        <v>0</v>
      </c>
      <c r="DO115" s="10">
        <v>0</v>
      </c>
      <c r="DP115" s="10">
        <v>0</v>
      </c>
      <c r="DQ115" s="10">
        <v>0</v>
      </c>
      <c r="DR115" s="10">
        <v>0</v>
      </c>
      <c r="DS115" s="10">
        <v>0</v>
      </c>
      <c r="DT115" s="10">
        <v>0</v>
      </c>
      <c r="DU115" s="10">
        <v>0</v>
      </c>
      <c r="DV115" s="10">
        <v>0</v>
      </c>
      <c r="DW115" s="10">
        <v>0</v>
      </c>
      <c r="DX115" s="10">
        <v>0</v>
      </c>
      <c r="DY115" s="10">
        <v>0.67537276115183331</v>
      </c>
      <c r="DZ115" s="10">
        <v>0</v>
      </c>
      <c r="EA115" s="10">
        <v>0</v>
      </c>
      <c r="EB115" s="10">
        <v>0</v>
      </c>
      <c r="EC115" s="10">
        <v>0</v>
      </c>
      <c r="ED115" s="10">
        <v>0</v>
      </c>
      <c r="EE115" s="10">
        <v>0</v>
      </c>
      <c r="EF115" s="10">
        <v>0</v>
      </c>
      <c r="EG115" s="10">
        <v>0</v>
      </c>
      <c r="EH115" s="10">
        <v>0</v>
      </c>
      <c r="EI115" s="10">
        <v>0</v>
      </c>
      <c r="EJ115" s="10">
        <v>0</v>
      </c>
      <c r="EK115" s="10">
        <v>0</v>
      </c>
      <c r="EL115" s="10">
        <v>0</v>
      </c>
      <c r="EM115" s="10">
        <v>0</v>
      </c>
      <c r="EN115" s="10">
        <v>0</v>
      </c>
      <c r="EO115" s="10">
        <v>0</v>
      </c>
      <c r="EP115" s="10">
        <v>0</v>
      </c>
      <c r="EQ115" s="10">
        <v>0</v>
      </c>
      <c r="ER115" s="10">
        <v>0</v>
      </c>
      <c r="ES115" s="10">
        <v>0</v>
      </c>
      <c r="ET115" s="10">
        <v>0</v>
      </c>
      <c r="EU115" s="10">
        <v>0</v>
      </c>
      <c r="EV115" s="10">
        <v>0</v>
      </c>
      <c r="EW115" s="10">
        <v>0</v>
      </c>
      <c r="EX115" s="10">
        <v>0</v>
      </c>
      <c r="EY115" s="10">
        <v>0</v>
      </c>
      <c r="EZ115" s="10">
        <v>0</v>
      </c>
      <c r="FA115" s="10">
        <v>0</v>
      </c>
      <c r="FB115" s="10">
        <v>0</v>
      </c>
      <c r="FC115" s="10">
        <v>0</v>
      </c>
      <c r="FD115" s="10">
        <v>0</v>
      </c>
      <c r="FE115" s="10">
        <v>0</v>
      </c>
      <c r="FF115" s="10">
        <v>0</v>
      </c>
      <c r="FG115" s="10">
        <v>0</v>
      </c>
      <c r="FH115" s="10">
        <v>0</v>
      </c>
      <c r="FI115" s="10">
        <v>0</v>
      </c>
      <c r="FJ115" s="10">
        <v>0</v>
      </c>
      <c r="FK115" s="10">
        <v>0</v>
      </c>
      <c r="FL115" s="10">
        <v>0</v>
      </c>
      <c r="FM115" s="10">
        <v>0</v>
      </c>
      <c r="FN115" s="10">
        <v>0</v>
      </c>
      <c r="FO115" s="10">
        <v>0</v>
      </c>
      <c r="FP115" s="10">
        <v>0</v>
      </c>
      <c r="FQ115" s="10">
        <v>0</v>
      </c>
      <c r="FR115" s="10">
        <v>0</v>
      </c>
      <c r="FS115" s="10">
        <v>0</v>
      </c>
      <c r="FT115" s="10">
        <v>0</v>
      </c>
      <c r="FU115" s="10">
        <v>0</v>
      </c>
      <c r="FV115" s="10">
        <v>0</v>
      </c>
      <c r="FW115" s="10">
        <v>0</v>
      </c>
      <c r="FX115" s="10">
        <v>0</v>
      </c>
      <c r="FY115" s="10">
        <v>0</v>
      </c>
      <c r="FZ115" s="10">
        <v>0</v>
      </c>
      <c r="GA115" s="10">
        <v>8.2356458077308112E-2</v>
      </c>
      <c r="GB115" s="10">
        <v>0</v>
      </c>
      <c r="GC115" s="10">
        <v>0</v>
      </c>
      <c r="GD115" s="10">
        <v>0</v>
      </c>
      <c r="GE115" s="10">
        <v>0</v>
      </c>
      <c r="GF115" s="10">
        <v>0</v>
      </c>
      <c r="GG115" s="10">
        <v>0</v>
      </c>
      <c r="GH115" s="10">
        <v>0</v>
      </c>
      <c r="GI115" s="10">
        <v>0</v>
      </c>
      <c r="GJ115" s="10">
        <v>0</v>
      </c>
      <c r="GK115" s="10">
        <v>0</v>
      </c>
      <c r="GL115" s="10">
        <v>0</v>
      </c>
      <c r="GM115" s="10">
        <v>0</v>
      </c>
      <c r="GN115" s="10">
        <v>0</v>
      </c>
      <c r="GO115" s="10">
        <v>0</v>
      </c>
      <c r="GP115" s="10">
        <v>0</v>
      </c>
      <c r="GQ115" s="10">
        <v>0</v>
      </c>
      <c r="GR115" s="10">
        <v>0</v>
      </c>
      <c r="GS115" s="10">
        <v>0</v>
      </c>
      <c r="GT115" s="10">
        <v>0</v>
      </c>
      <c r="GU115" s="10">
        <v>0</v>
      </c>
      <c r="GV115" s="10">
        <v>0</v>
      </c>
      <c r="GW115" s="10">
        <v>0.23323767878836577</v>
      </c>
      <c r="GX115" s="10">
        <v>0</v>
      </c>
      <c r="GY115" s="10">
        <v>0</v>
      </c>
      <c r="GZ115" s="10">
        <v>0</v>
      </c>
      <c r="HA115" s="10">
        <v>0</v>
      </c>
      <c r="HB115" s="10">
        <v>0</v>
      </c>
      <c r="HC115" s="10">
        <v>0</v>
      </c>
      <c r="HD115" s="10">
        <v>0</v>
      </c>
      <c r="HE115" s="10">
        <v>0</v>
      </c>
      <c r="HF115" s="10">
        <v>0</v>
      </c>
      <c r="HG115" s="10">
        <v>0</v>
      </c>
      <c r="HH115" s="10">
        <v>0</v>
      </c>
      <c r="HI115" s="10">
        <v>0</v>
      </c>
      <c r="HJ115" s="10">
        <v>0</v>
      </c>
      <c r="HK115" s="10">
        <v>0</v>
      </c>
      <c r="HL115" s="10">
        <v>0</v>
      </c>
      <c r="HM115" s="10">
        <v>0</v>
      </c>
      <c r="HN115" s="10">
        <v>0</v>
      </c>
      <c r="HO115" s="10">
        <v>0</v>
      </c>
      <c r="HP115" s="10">
        <v>0</v>
      </c>
      <c r="HQ115" s="10">
        <v>0</v>
      </c>
      <c r="HR115" s="10">
        <v>0</v>
      </c>
      <c r="HS115" s="10">
        <v>0</v>
      </c>
      <c r="HT115" s="10">
        <v>0</v>
      </c>
      <c r="HU115" s="10">
        <v>0</v>
      </c>
    </row>
    <row r="116" spans="1:229" x14ac:dyDescent="0.25">
      <c r="A116" s="10">
        <v>0</v>
      </c>
      <c r="B116" s="2" t="s">
        <v>220</v>
      </c>
      <c r="C116" s="2" t="s">
        <v>221</v>
      </c>
      <c r="D116" s="2">
        <v>5.0999999999999997E-2</v>
      </c>
      <c r="E116" s="2">
        <v>3.37</v>
      </c>
      <c r="F116" s="2">
        <v>4.96</v>
      </c>
      <c r="G116" s="2">
        <v>0</v>
      </c>
      <c r="H116" s="2">
        <v>5.09</v>
      </c>
      <c r="I116" s="2">
        <v>42</v>
      </c>
      <c r="J116" s="2">
        <v>2.1000000000000001E-2</v>
      </c>
      <c r="K116" s="2">
        <v>3.0000000000000001E-3</v>
      </c>
      <c r="L116" s="3"/>
      <c r="M116" s="2" t="str">
        <f t="shared" si="8"/>
        <v>01151</v>
      </c>
      <c r="N116" s="3">
        <v>0.99984029317485767</v>
      </c>
      <c r="O116" s="3">
        <v>1.0001597068251429</v>
      </c>
      <c r="P116" s="17">
        <v>0.99984029317109591</v>
      </c>
      <c r="Q116" s="3">
        <v>1.791124354365486</v>
      </c>
      <c r="R116" s="3">
        <v>2.3182046218783414</v>
      </c>
      <c r="S116" s="3" t="e">
        <v>#DIV/0!</v>
      </c>
      <c r="T116" s="3">
        <v>0.99984029317484557</v>
      </c>
      <c r="U116" s="3">
        <v>0.99984029317485412</v>
      </c>
      <c r="V116" s="3">
        <v>1.0468009985478093</v>
      </c>
      <c r="W116" s="3">
        <v>1.7340494256638914</v>
      </c>
      <c r="X116" s="3">
        <v>5.0991854951725889E-2</v>
      </c>
      <c r="Y116" s="3">
        <v>6.0360890742116879</v>
      </c>
      <c r="Z116" s="3">
        <v>11.498294924516573</v>
      </c>
      <c r="AA116" s="3">
        <v>3.4479359225444414E-2</v>
      </c>
      <c r="AB116" s="3">
        <v>5.089187092259964</v>
      </c>
      <c r="AC116" s="3">
        <v>41.993292313343872</v>
      </c>
      <c r="AD116" s="3">
        <v>2.1982820969503995E-2</v>
      </c>
      <c r="AE116" s="3">
        <v>5.2021482769916746E-3</v>
      </c>
      <c r="AF116" s="3">
        <v>0</v>
      </c>
      <c r="AG116" s="3">
        <v>0</v>
      </c>
      <c r="AH116" s="3">
        <v>0</v>
      </c>
      <c r="AI116" s="3">
        <v>0</v>
      </c>
      <c r="AJ116" s="3">
        <v>0</v>
      </c>
      <c r="AK116" s="3">
        <v>0</v>
      </c>
      <c r="AL116" s="3">
        <v>0</v>
      </c>
      <c r="AM116" s="3">
        <v>0</v>
      </c>
      <c r="AN116" s="3">
        <v>0</v>
      </c>
      <c r="AO116" s="3">
        <v>0</v>
      </c>
      <c r="AP116" s="3">
        <v>0</v>
      </c>
      <c r="AQ116" s="3">
        <v>0</v>
      </c>
      <c r="AR116" s="3">
        <v>0</v>
      </c>
      <c r="AS116" s="3">
        <v>0</v>
      </c>
      <c r="AT116" s="3">
        <v>0</v>
      </c>
      <c r="AU116" s="3">
        <v>0</v>
      </c>
      <c r="AV116" s="3">
        <v>0</v>
      </c>
      <c r="AW116" s="3">
        <v>0</v>
      </c>
      <c r="AX116" s="3">
        <v>0</v>
      </c>
      <c r="AY116" s="3">
        <v>0</v>
      </c>
      <c r="AZ116" s="3">
        <v>0</v>
      </c>
      <c r="BA116" s="10">
        <v>0</v>
      </c>
      <c r="BB116" s="10">
        <v>0</v>
      </c>
      <c r="BC116" s="10">
        <v>0</v>
      </c>
      <c r="BD116" s="10">
        <v>0</v>
      </c>
      <c r="BE116" s="10">
        <v>0</v>
      </c>
      <c r="BF116" s="10">
        <v>0</v>
      </c>
      <c r="BG116" s="10">
        <v>0</v>
      </c>
      <c r="BH116" s="10">
        <v>0</v>
      </c>
      <c r="BI116" s="10">
        <v>0</v>
      </c>
      <c r="BJ116" s="10">
        <v>0</v>
      </c>
      <c r="BK116" s="10">
        <v>0</v>
      </c>
      <c r="BL116" s="10">
        <v>0</v>
      </c>
      <c r="BM116" s="10">
        <v>0</v>
      </c>
      <c r="BN116" s="10">
        <v>0</v>
      </c>
      <c r="BO116" s="10">
        <v>0</v>
      </c>
      <c r="BP116" s="10">
        <v>0</v>
      </c>
      <c r="BQ116" s="10">
        <v>0</v>
      </c>
      <c r="BR116" s="10">
        <v>0</v>
      </c>
      <c r="BS116" s="10">
        <v>0</v>
      </c>
      <c r="BT116" s="10">
        <v>0</v>
      </c>
      <c r="BU116" s="10">
        <v>0</v>
      </c>
      <c r="BV116" s="10">
        <v>0</v>
      </c>
      <c r="BW116" s="10">
        <v>0</v>
      </c>
      <c r="BX116" s="10">
        <v>0</v>
      </c>
      <c r="BY116" s="10">
        <v>0</v>
      </c>
      <c r="BZ116" s="10">
        <v>0</v>
      </c>
      <c r="CA116" s="10">
        <v>0</v>
      </c>
      <c r="CB116" s="10">
        <v>0</v>
      </c>
      <c r="CC116" s="10">
        <v>0</v>
      </c>
      <c r="CD116" s="10">
        <v>0</v>
      </c>
      <c r="CE116" s="10">
        <v>0</v>
      </c>
      <c r="CF116" s="10">
        <v>0</v>
      </c>
      <c r="CG116" s="10">
        <v>0</v>
      </c>
      <c r="CH116" s="10">
        <v>0</v>
      </c>
      <c r="CI116" s="10">
        <v>0</v>
      </c>
      <c r="CJ116" s="10">
        <v>0</v>
      </c>
      <c r="CK116" s="10">
        <v>0</v>
      </c>
      <c r="CL116" s="10">
        <v>0</v>
      </c>
      <c r="CM116" s="10">
        <v>0</v>
      </c>
      <c r="CN116" s="10">
        <v>0</v>
      </c>
      <c r="CO116" s="10">
        <v>0</v>
      </c>
      <c r="CP116" s="10">
        <v>0</v>
      </c>
      <c r="CQ116" s="10">
        <v>0</v>
      </c>
      <c r="CR116" s="10">
        <v>0</v>
      </c>
      <c r="CS116" s="10">
        <v>0</v>
      </c>
      <c r="CT116" s="10">
        <v>0</v>
      </c>
      <c r="CU116" s="10">
        <v>0</v>
      </c>
      <c r="CV116" s="10">
        <v>0</v>
      </c>
      <c r="CW116" s="10">
        <v>0</v>
      </c>
      <c r="CX116" s="10">
        <v>0</v>
      </c>
      <c r="CY116" s="10">
        <v>0</v>
      </c>
      <c r="CZ116" s="10">
        <v>0</v>
      </c>
      <c r="DA116" s="10">
        <v>0</v>
      </c>
      <c r="DB116" s="10">
        <v>0</v>
      </c>
      <c r="DC116" s="10">
        <v>0</v>
      </c>
      <c r="DD116" s="10">
        <v>0</v>
      </c>
      <c r="DE116" s="10">
        <v>0</v>
      </c>
      <c r="DF116" s="10">
        <v>0</v>
      </c>
      <c r="DG116" s="10">
        <v>0</v>
      </c>
      <c r="DH116" s="10">
        <v>0</v>
      </c>
      <c r="DI116" s="10">
        <v>0</v>
      </c>
      <c r="DJ116" s="10">
        <v>0</v>
      </c>
      <c r="DK116" s="10">
        <v>0</v>
      </c>
      <c r="DL116" s="10">
        <v>0</v>
      </c>
      <c r="DM116" s="10">
        <v>0</v>
      </c>
      <c r="DN116" s="10">
        <v>0</v>
      </c>
      <c r="DO116" s="10">
        <v>0</v>
      </c>
      <c r="DP116" s="10">
        <v>0</v>
      </c>
      <c r="DQ116" s="10">
        <v>0</v>
      </c>
      <c r="DR116" s="10">
        <v>0</v>
      </c>
      <c r="DS116" s="10">
        <v>0</v>
      </c>
      <c r="DT116" s="10">
        <v>0</v>
      </c>
      <c r="DU116" s="10">
        <v>0</v>
      </c>
      <c r="DV116" s="10">
        <v>0</v>
      </c>
      <c r="DW116" s="10">
        <v>0</v>
      </c>
      <c r="DX116" s="10">
        <v>0</v>
      </c>
      <c r="DY116" s="10">
        <v>0</v>
      </c>
      <c r="DZ116" s="10">
        <v>0</v>
      </c>
      <c r="EA116" s="10">
        <v>0</v>
      </c>
      <c r="EB116" s="10">
        <v>0</v>
      </c>
      <c r="EC116" s="10">
        <v>0</v>
      </c>
      <c r="ED116" s="10">
        <v>0</v>
      </c>
      <c r="EE116" s="10">
        <v>0</v>
      </c>
      <c r="EF116" s="10">
        <v>0</v>
      </c>
      <c r="EG116" s="10">
        <v>0</v>
      </c>
      <c r="EH116" s="10">
        <v>0</v>
      </c>
      <c r="EI116" s="10">
        <v>0</v>
      </c>
      <c r="EJ116" s="10">
        <v>0</v>
      </c>
      <c r="EK116" s="10">
        <v>0</v>
      </c>
      <c r="EL116" s="10">
        <v>0</v>
      </c>
      <c r="EM116" s="10">
        <v>0</v>
      </c>
      <c r="EN116" s="10">
        <v>0</v>
      </c>
      <c r="EO116" s="10">
        <v>0</v>
      </c>
      <c r="EP116" s="10">
        <v>0</v>
      </c>
      <c r="EQ116" s="10">
        <v>0</v>
      </c>
      <c r="ER116" s="10">
        <v>0</v>
      </c>
      <c r="ES116" s="10">
        <v>0</v>
      </c>
      <c r="ET116" s="10">
        <v>0</v>
      </c>
      <c r="EU116" s="10">
        <v>0</v>
      </c>
      <c r="EV116" s="10">
        <v>0</v>
      </c>
      <c r="EW116" s="10">
        <v>0</v>
      </c>
      <c r="EX116" s="10">
        <v>0</v>
      </c>
      <c r="EY116" s="10">
        <v>0</v>
      </c>
      <c r="EZ116" s="10">
        <v>0</v>
      </c>
      <c r="FA116" s="10">
        <v>0</v>
      </c>
      <c r="FB116" s="10">
        <v>0</v>
      </c>
      <c r="FC116" s="10">
        <v>0</v>
      </c>
      <c r="FD116" s="10">
        <v>0</v>
      </c>
      <c r="FE116" s="10">
        <v>0</v>
      </c>
      <c r="FF116" s="10">
        <v>0</v>
      </c>
      <c r="FG116" s="10">
        <v>0</v>
      </c>
      <c r="FH116" s="10">
        <v>0</v>
      </c>
      <c r="FI116" s="10">
        <v>0</v>
      </c>
      <c r="FJ116" s="10">
        <v>0</v>
      </c>
      <c r="FK116" s="10">
        <v>0</v>
      </c>
      <c r="FL116" s="10">
        <v>0</v>
      </c>
      <c r="FM116" s="10">
        <v>0</v>
      </c>
      <c r="FN116" s="10">
        <v>0</v>
      </c>
      <c r="FO116" s="10">
        <v>0</v>
      </c>
      <c r="FP116" s="10">
        <v>0</v>
      </c>
      <c r="FQ116" s="10">
        <v>0</v>
      </c>
      <c r="FR116" s="10">
        <v>0</v>
      </c>
      <c r="FS116" s="10">
        <v>0</v>
      </c>
      <c r="FT116" s="10">
        <v>0</v>
      </c>
      <c r="FU116" s="10">
        <v>0</v>
      </c>
      <c r="FV116" s="10">
        <v>0</v>
      </c>
      <c r="FW116" s="10">
        <v>0</v>
      </c>
      <c r="FX116" s="10">
        <v>0</v>
      </c>
      <c r="FY116" s="10">
        <v>0</v>
      </c>
      <c r="FZ116" s="10">
        <v>0</v>
      </c>
      <c r="GA116" s="10">
        <v>0</v>
      </c>
      <c r="GB116" s="10">
        <v>0</v>
      </c>
      <c r="GC116" s="10">
        <v>0</v>
      </c>
      <c r="GD116" s="10">
        <v>0</v>
      </c>
      <c r="GE116" s="10">
        <v>0</v>
      </c>
      <c r="GF116" s="10">
        <v>0</v>
      </c>
      <c r="GG116" s="10">
        <v>0</v>
      </c>
      <c r="GH116" s="10">
        <v>0</v>
      </c>
      <c r="GI116" s="10">
        <v>0</v>
      </c>
      <c r="GJ116" s="10">
        <v>0</v>
      </c>
      <c r="GK116" s="10">
        <v>0</v>
      </c>
      <c r="GL116" s="10">
        <v>0</v>
      </c>
      <c r="GM116" s="10">
        <v>0</v>
      </c>
      <c r="GN116" s="10">
        <v>0</v>
      </c>
      <c r="GO116" s="10">
        <v>0</v>
      </c>
      <c r="GP116" s="10">
        <v>0</v>
      </c>
      <c r="GQ116" s="10">
        <v>0</v>
      </c>
      <c r="GR116" s="10">
        <v>0</v>
      </c>
      <c r="GS116" s="10">
        <v>0</v>
      </c>
      <c r="GT116" s="10">
        <v>0</v>
      </c>
      <c r="GU116" s="10">
        <v>0</v>
      </c>
      <c r="GV116" s="10">
        <v>0.39246550019520571</v>
      </c>
      <c r="GW116" s="10">
        <v>0</v>
      </c>
      <c r="GX116" s="10">
        <v>0</v>
      </c>
      <c r="GY116" s="10">
        <v>0</v>
      </c>
      <c r="GZ116" s="10">
        <v>0</v>
      </c>
      <c r="HA116" s="10">
        <v>0</v>
      </c>
      <c r="HB116" s="10">
        <v>0</v>
      </c>
      <c r="HC116" s="10">
        <v>0</v>
      </c>
      <c r="HD116" s="10">
        <v>0</v>
      </c>
      <c r="HE116" s="10">
        <v>0</v>
      </c>
      <c r="HF116" s="10">
        <v>0</v>
      </c>
      <c r="HG116" s="10">
        <v>4.9256227464920595E-2</v>
      </c>
      <c r="HH116" s="10">
        <v>0</v>
      </c>
      <c r="HI116" s="10">
        <v>0</v>
      </c>
      <c r="HJ116" s="10">
        <v>0</v>
      </c>
      <c r="HK116" s="10">
        <v>0</v>
      </c>
      <c r="HL116" s="10">
        <v>0</v>
      </c>
      <c r="HM116" s="10">
        <v>0</v>
      </c>
      <c r="HN116" s="10">
        <v>0</v>
      </c>
      <c r="HO116" s="10">
        <v>0</v>
      </c>
      <c r="HP116" s="10">
        <v>0.55827827233987415</v>
      </c>
      <c r="HQ116" s="10">
        <v>0</v>
      </c>
      <c r="HR116" s="10">
        <v>0</v>
      </c>
      <c r="HS116" s="10">
        <v>0</v>
      </c>
      <c r="HT116" s="10">
        <v>0</v>
      </c>
      <c r="HU116" s="10">
        <v>0</v>
      </c>
    </row>
    <row r="117" spans="1:229" x14ac:dyDescent="0.25">
      <c r="A117" s="10">
        <v>0</v>
      </c>
      <c r="B117" s="2" t="s">
        <v>222</v>
      </c>
      <c r="C117" s="2" t="s">
        <v>223</v>
      </c>
      <c r="D117" s="2">
        <v>1.232</v>
      </c>
      <c r="E117" s="2">
        <v>3.95</v>
      </c>
      <c r="F117" s="2">
        <v>5.49</v>
      </c>
      <c r="G117" s="2">
        <v>0</v>
      </c>
      <c r="H117" s="2"/>
      <c r="I117" s="2">
        <v>59</v>
      </c>
      <c r="J117" s="2">
        <v>6.5000000000000002E-2</v>
      </c>
      <c r="K117" s="2">
        <v>8.9999999999999993E-3</v>
      </c>
      <c r="L117" s="3"/>
      <c r="M117" s="2" t="str">
        <f t="shared" si="8"/>
        <v>01152</v>
      </c>
      <c r="N117" s="3">
        <v>0.92341487205713513</v>
      </c>
      <c r="O117" s="3">
        <v>1.0765851279428651</v>
      </c>
      <c r="P117" s="17">
        <v>0.92341487205709782</v>
      </c>
      <c r="Q117" s="3">
        <v>1.0765851279428578</v>
      </c>
      <c r="R117" s="3">
        <v>0.98168311059226676</v>
      </c>
      <c r="S117" s="3" t="e">
        <v>#DIV/0!</v>
      </c>
      <c r="T117" s="3" t="e">
        <v>#DIV/0!</v>
      </c>
      <c r="U117" s="3">
        <v>0.92341487205713468</v>
      </c>
      <c r="V117" s="3">
        <v>6.777643016994749</v>
      </c>
      <c r="W117" s="3">
        <v>8.2305403262171666</v>
      </c>
      <c r="X117" s="3">
        <v>1.1376471223743445</v>
      </c>
      <c r="Y117" s="3">
        <v>4.2525112553742881</v>
      </c>
      <c r="Z117" s="3">
        <v>5.3894402771515448</v>
      </c>
      <c r="AA117" s="3">
        <v>0</v>
      </c>
      <c r="AB117" s="3">
        <v>0</v>
      </c>
      <c r="AC117" s="3">
        <v>54.481477451370949</v>
      </c>
      <c r="AD117" s="3">
        <v>0.44054679610465869</v>
      </c>
      <c r="AE117" s="3">
        <v>7.40748629359545E-2</v>
      </c>
      <c r="AF117" s="3">
        <v>0</v>
      </c>
      <c r="AG117" s="3">
        <v>0</v>
      </c>
      <c r="AH117" s="3">
        <v>0</v>
      </c>
      <c r="AI117" s="3">
        <v>0</v>
      </c>
      <c r="AJ117" s="3">
        <v>0</v>
      </c>
      <c r="AK117" s="3">
        <v>0</v>
      </c>
      <c r="AL117" s="3">
        <v>0</v>
      </c>
      <c r="AM117" s="3">
        <v>0</v>
      </c>
      <c r="AN117" s="3">
        <v>0</v>
      </c>
      <c r="AO117" s="3">
        <v>0</v>
      </c>
      <c r="AP117" s="3">
        <v>0</v>
      </c>
      <c r="AQ117" s="3">
        <v>0</v>
      </c>
      <c r="AR117" s="3">
        <v>0</v>
      </c>
      <c r="AS117" s="3">
        <v>0</v>
      </c>
      <c r="AT117" s="3">
        <v>0</v>
      </c>
      <c r="AU117" s="3">
        <v>0</v>
      </c>
      <c r="AV117" s="3">
        <v>0</v>
      </c>
      <c r="AW117" s="3">
        <v>0</v>
      </c>
      <c r="AX117" s="3">
        <v>0</v>
      </c>
      <c r="AY117" s="3">
        <v>0</v>
      </c>
      <c r="AZ117" s="3">
        <v>0</v>
      </c>
      <c r="BA117" s="10">
        <v>0</v>
      </c>
      <c r="BB117" s="10">
        <v>0</v>
      </c>
      <c r="BC117" s="10">
        <v>0</v>
      </c>
      <c r="BD117" s="10">
        <v>0</v>
      </c>
      <c r="BE117" s="10">
        <v>0</v>
      </c>
      <c r="BF117" s="10">
        <v>0</v>
      </c>
      <c r="BG117" s="10">
        <v>0</v>
      </c>
      <c r="BH117" s="10">
        <v>0</v>
      </c>
      <c r="BI117" s="10">
        <v>0</v>
      </c>
      <c r="BJ117" s="10">
        <v>0</v>
      </c>
      <c r="BK117" s="10">
        <v>0</v>
      </c>
      <c r="BL117" s="10">
        <v>0</v>
      </c>
      <c r="BM117" s="10">
        <v>0</v>
      </c>
      <c r="BN117" s="10">
        <v>0</v>
      </c>
      <c r="BO117" s="10">
        <v>0</v>
      </c>
      <c r="BP117" s="10">
        <v>0</v>
      </c>
      <c r="BQ117" s="10">
        <v>0</v>
      </c>
      <c r="BR117" s="10">
        <v>0</v>
      </c>
      <c r="BS117" s="10">
        <v>0</v>
      </c>
      <c r="BT117" s="10">
        <v>0</v>
      </c>
      <c r="BU117" s="10">
        <v>0</v>
      </c>
      <c r="BV117" s="10">
        <v>0</v>
      </c>
      <c r="BW117" s="10">
        <v>0</v>
      </c>
      <c r="BX117" s="10">
        <v>0</v>
      </c>
      <c r="BY117" s="10">
        <v>0</v>
      </c>
      <c r="BZ117" s="10">
        <v>0</v>
      </c>
      <c r="CA117" s="10">
        <v>0</v>
      </c>
      <c r="CB117" s="10">
        <v>0</v>
      </c>
      <c r="CC117" s="10">
        <v>0</v>
      </c>
      <c r="CD117" s="10">
        <v>0</v>
      </c>
      <c r="CE117" s="10">
        <v>0</v>
      </c>
      <c r="CF117" s="10">
        <v>0</v>
      </c>
      <c r="CG117" s="10">
        <v>0</v>
      </c>
      <c r="CH117" s="10">
        <v>0</v>
      </c>
      <c r="CI117" s="10">
        <v>0</v>
      </c>
      <c r="CJ117" s="10">
        <v>0</v>
      </c>
      <c r="CK117" s="10">
        <v>0</v>
      </c>
      <c r="CL117" s="10">
        <v>0</v>
      </c>
      <c r="CM117" s="10">
        <v>0</v>
      </c>
      <c r="CN117" s="10">
        <v>0.22210621919476892</v>
      </c>
      <c r="CO117" s="10">
        <v>0</v>
      </c>
      <c r="CP117" s="10">
        <v>0</v>
      </c>
      <c r="CQ117" s="10">
        <v>0.58030851318751964</v>
      </c>
      <c r="CR117" s="10">
        <v>0</v>
      </c>
      <c r="CS117" s="10">
        <v>0</v>
      </c>
      <c r="CT117" s="10">
        <v>0</v>
      </c>
      <c r="CU117" s="10">
        <v>0</v>
      </c>
      <c r="CV117" s="10">
        <v>0</v>
      </c>
      <c r="CW117" s="10">
        <v>0</v>
      </c>
      <c r="CX117" s="10">
        <v>0</v>
      </c>
      <c r="CY117" s="10">
        <v>0</v>
      </c>
      <c r="CZ117" s="10">
        <v>0</v>
      </c>
      <c r="DA117" s="10">
        <v>0</v>
      </c>
      <c r="DB117" s="10">
        <v>0</v>
      </c>
      <c r="DC117" s="10">
        <v>0</v>
      </c>
      <c r="DD117" s="10">
        <v>0</v>
      </c>
      <c r="DE117" s="10">
        <v>0</v>
      </c>
      <c r="DF117" s="10">
        <v>0.1975852676177115</v>
      </c>
      <c r="DG117" s="10">
        <v>0</v>
      </c>
      <c r="DH117" s="10">
        <v>0</v>
      </c>
      <c r="DI117" s="10">
        <v>0</v>
      </c>
      <c r="DJ117" s="10">
        <v>0</v>
      </c>
      <c r="DK117" s="10">
        <v>0</v>
      </c>
      <c r="DL117" s="10">
        <v>0</v>
      </c>
      <c r="DM117" s="10">
        <v>0</v>
      </c>
      <c r="DN117" s="10">
        <v>0</v>
      </c>
      <c r="DO117" s="10">
        <v>0</v>
      </c>
      <c r="DP117" s="10">
        <v>0</v>
      </c>
      <c r="DQ117" s="10">
        <v>0</v>
      </c>
      <c r="DR117" s="10">
        <v>0</v>
      </c>
      <c r="DS117" s="10">
        <v>0</v>
      </c>
      <c r="DT117" s="10">
        <v>0</v>
      </c>
      <c r="DU117" s="10">
        <v>0</v>
      </c>
      <c r="DV117" s="10">
        <v>0</v>
      </c>
      <c r="DW117" s="10">
        <v>0</v>
      </c>
      <c r="DX117" s="10">
        <v>0</v>
      </c>
      <c r="DY117" s="10">
        <v>0</v>
      </c>
      <c r="DZ117" s="10">
        <v>0</v>
      </c>
      <c r="EA117" s="10">
        <v>0</v>
      </c>
      <c r="EB117" s="10">
        <v>0</v>
      </c>
      <c r="EC117" s="10">
        <v>0</v>
      </c>
      <c r="ED117" s="10">
        <v>0</v>
      </c>
      <c r="EE117" s="10">
        <v>0</v>
      </c>
      <c r="EF117" s="10">
        <v>0</v>
      </c>
      <c r="EG117" s="10">
        <v>0</v>
      </c>
      <c r="EH117" s="10">
        <v>0</v>
      </c>
      <c r="EI117" s="10">
        <v>0</v>
      </c>
      <c r="EJ117" s="10">
        <v>0</v>
      </c>
      <c r="EK117" s="10">
        <v>0</v>
      </c>
      <c r="EL117" s="10">
        <v>0</v>
      </c>
      <c r="EM117" s="10">
        <v>0</v>
      </c>
      <c r="EN117" s="10">
        <v>0</v>
      </c>
      <c r="EO117" s="10">
        <v>0</v>
      </c>
      <c r="EP117" s="10">
        <v>0</v>
      </c>
      <c r="EQ117" s="10">
        <v>0</v>
      </c>
      <c r="ER117" s="10">
        <v>0</v>
      </c>
      <c r="ES117" s="10">
        <v>0</v>
      </c>
      <c r="ET117" s="10">
        <v>0</v>
      </c>
      <c r="EU117" s="10">
        <v>0</v>
      </c>
      <c r="EV117" s="10">
        <v>0</v>
      </c>
      <c r="EW117" s="10">
        <v>0</v>
      </c>
      <c r="EX117" s="10">
        <v>0</v>
      </c>
      <c r="EY117" s="10">
        <v>0</v>
      </c>
      <c r="EZ117" s="10">
        <v>0</v>
      </c>
      <c r="FA117" s="10">
        <v>0</v>
      </c>
      <c r="FB117" s="10">
        <v>0</v>
      </c>
      <c r="FC117" s="10">
        <v>0</v>
      </c>
      <c r="FD117" s="10">
        <v>0</v>
      </c>
      <c r="FE117" s="10">
        <v>0</v>
      </c>
      <c r="FF117" s="10">
        <v>0</v>
      </c>
      <c r="FG117" s="10">
        <v>0</v>
      </c>
      <c r="FH117" s="10">
        <v>0</v>
      </c>
      <c r="FI117" s="10">
        <v>0</v>
      </c>
      <c r="FJ117" s="10">
        <v>0</v>
      </c>
      <c r="FK117" s="10">
        <v>0</v>
      </c>
      <c r="FL117" s="10">
        <v>0</v>
      </c>
      <c r="FM117" s="10">
        <v>0</v>
      </c>
      <c r="FN117" s="10">
        <v>0</v>
      </c>
      <c r="FO117" s="10">
        <v>0</v>
      </c>
      <c r="FP117" s="10">
        <v>0</v>
      </c>
      <c r="FQ117" s="10">
        <v>0</v>
      </c>
      <c r="FR117" s="10">
        <v>0</v>
      </c>
      <c r="FS117" s="10">
        <v>0</v>
      </c>
      <c r="FT117" s="10">
        <v>0</v>
      </c>
      <c r="FU117" s="10">
        <v>0</v>
      </c>
      <c r="FV117" s="10">
        <v>0</v>
      </c>
      <c r="FW117" s="10">
        <v>0</v>
      </c>
      <c r="FX117" s="10">
        <v>0</v>
      </c>
      <c r="FY117" s="10">
        <v>0</v>
      </c>
      <c r="FZ117" s="10">
        <v>0</v>
      </c>
      <c r="GA117" s="10">
        <v>0</v>
      </c>
      <c r="GB117" s="10">
        <v>0</v>
      </c>
      <c r="GC117" s="10">
        <v>0</v>
      </c>
      <c r="GD117" s="10">
        <v>0</v>
      </c>
      <c r="GE117" s="10">
        <v>0</v>
      </c>
      <c r="GF117" s="10">
        <v>0</v>
      </c>
      <c r="GG117" s="10">
        <v>0</v>
      </c>
      <c r="GH117" s="10">
        <v>0</v>
      </c>
      <c r="GI117" s="10">
        <v>0</v>
      </c>
      <c r="GJ117" s="10">
        <v>0</v>
      </c>
      <c r="GK117" s="10">
        <v>0</v>
      </c>
      <c r="GL117" s="10">
        <v>0</v>
      </c>
      <c r="GM117" s="10">
        <v>0</v>
      </c>
      <c r="GN117" s="10">
        <v>0</v>
      </c>
      <c r="GO117" s="10">
        <v>0</v>
      </c>
      <c r="GP117" s="10">
        <v>0</v>
      </c>
      <c r="GQ117" s="10">
        <v>0</v>
      </c>
      <c r="GR117" s="10">
        <v>0</v>
      </c>
      <c r="GS117" s="10">
        <v>0</v>
      </c>
      <c r="GT117" s="10">
        <v>0</v>
      </c>
      <c r="GU117" s="10">
        <v>0</v>
      </c>
      <c r="GV117" s="10">
        <v>0</v>
      </c>
      <c r="GW117" s="10">
        <v>0</v>
      </c>
      <c r="GX117" s="10">
        <v>0</v>
      </c>
      <c r="GY117" s="10">
        <v>0</v>
      </c>
      <c r="GZ117" s="10">
        <v>0</v>
      </c>
      <c r="HA117" s="10">
        <v>0</v>
      </c>
      <c r="HB117" s="10">
        <v>0</v>
      </c>
      <c r="HC117" s="10">
        <v>0</v>
      </c>
      <c r="HD117" s="10">
        <v>0</v>
      </c>
      <c r="HE117" s="10">
        <v>0</v>
      </c>
      <c r="HF117" s="10">
        <v>0</v>
      </c>
      <c r="HG117" s="10">
        <v>0</v>
      </c>
      <c r="HH117" s="10">
        <v>0</v>
      </c>
      <c r="HI117" s="10">
        <v>0</v>
      </c>
      <c r="HJ117" s="10">
        <v>0</v>
      </c>
      <c r="HK117" s="10">
        <v>0</v>
      </c>
      <c r="HL117" s="10">
        <v>0</v>
      </c>
      <c r="HM117" s="10">
        <v>0</v>
      </c>
      <c r="HN117" s="10">
        <v>0</v>
      </c>
      <c r="HO117" s="10">
        <v>0</v>
      </c>
      <c r="HP117" s="10">
        <v>0</v>
      </c>
      <c r="HQ117" s="10">
        <v>0</v>
      </c>
      <c r="HR117" s="10">
        <v>0</v>
      </c>
      <c r="HS117" s="10">
        <v>0</v>
      </c>
      <c r="HT117" s="10">
        <v>0</v>
      </c>
      <c r="HU117" s="10">
        <v>0</v>
      </c>
    </row>
    <row r="118" spans="1:229" x14ac:dyDescent="0.25">
      <c r="A118" s="10">
        <v>0</v>
      </c>
      <c r="B118" s="2" t="s">
        <v>224</v>
      </c>
      <c r="C118" s="2" t="s">
        <v>225</v>
      </c>
      <c r="D118" s="2">
        <v>4.5910000000000002</v>
      </c>
      <c r="E118" s="2">
        <v>6.81</v>
      </c>
      <c r="F118" s="2">
        <v>10.039999999999999</v>
      </c>
      <c r="G118" s="2">
        <v>0</v>
      </c>
      <c r="H118" s="2"/>
      <c r="I118" s="2">
        <v>106</v>
      </c>
      <c r="J118" s="2">
        <v>2.335</v>
      </c>
      <c r="K118" s="2">
        <v>0.245</v>
      </c>
      <c r="L118" s="3"/>
      <c r="M118" s="2" t="str">
        <f t="shared" si="8"/>
        <v>01153</v>
      </c>
      <c r="N118" s="3">
        <v>0.81079280543787002</v>
      </c>
      <c r="O118" s="3">
        <v>1.1892071945621299</v>
      </c>
      <c r="P118" s="17">
        <v>0.81079280543775478</v>
      </c>
      <c r="Q118" s="3">
        <v>1.1892071945621254</v>
      </c>
      <c r="R118" s="3">
        <v>0.49465482161557212</v>
      </c>
      <c r="S118" s="3" t="e">
        <v>#DIV/0!</v>
      </c>
      <c r="T118" s="3" t="e">
        <v>#DIV/0!</v>
      </c>
      <c r="U118" s="3">
        <v>0.8107928054378708</v>
      </c>
      <c r="V118" s="3">
        <v>1.189207194562067</v>
      </c>
      <c r="W118" s="3">
        <v>3.3338819289059578</v>
      </c>
      <c r="X118" s="3">
        <v>3.7223497697647323</v>
      </c>
      <c r="Y118" s="3">
        <v>8.0985009949680737</v>
      </c>
      <c r="Z118" s="3">
        <v>4.9663344090203436</v>
      </c>
      <c r="AA118" s="3">
        <v>0</v>
      </c>
      <c r="AB118" s="3">
        <v>0</v>
      </c>
      <c r="AC118" s="3">
        <v>85.9440373764143</v>
      </c>
      <c r="AD118" s="3">
        <v>2.7767987993024263</v>
      </c>
      <c r="AE118" s="3">
        <v>0.81680107258195966</v>
      </c>
      <c r="AF118" s="3">
        <v>0</v>
      </c>
      <c r="AG118" s="3">
        <v>0</v>
      </c>
      <c r="AH118" s="3">
        <v>0</v>
      </c>
      <c r="AI118" s="3">
        <v>0</v>
      </c>
      <c r="AJ118" s="3">
        <v>0</v>
      </c>
      <c r="AK118" s="3">
        <v>0</v>
      </c>
      <c r="AL118" s="3">
        <v>0</v>
      </c>
      <c r="AM118" s="3">
        <v>0</v>
      </c>
      <c r="AN118" s="3">
        <v>0</v>
      </c>
      <c r="AO118" s="3">
        <v>0</v>
      </c>
      <c r="AP118" s="3">
        <v>0</v>
      </c>
      <c r="AQ118" s="3">
        <v>0</v>
      </c>
      <c r="AR118" s="3">
        <v>0</v>
      </c>
      <c r="AS118" s="3">
        <v>0</v>
      </c>
      <c r="AT118" s="3">
        <v>0</v>
      </c>
      <c r="AU118" s="3">
        <v>0</v>
      </c>
      <c r="AV118" s="3">
        <v>0</v>
      </c>
      <c r="AW118" s="3">
        <v>0</v>
      </c>
      <c r="AX118" s="3">
        <v>0</v>
      </c>
      <c r="AY118" s="3">
        <v>0</v>
      </c>
      <c r="AZ118" s="3">
        <v>0</v>
      </c>
      <c r="BA118" s="10">
        <v>0</v>
      </c>
      <c r="BB118" s="10">
        <v>0</v>
      </c>
      <c r="BC118" s="10">
        <v>0</v>
      </c>
      <c r="BD118" s="10">
        <v>0</v>
      </c>
      <c r="BE118" s="10">
        <v>0</v>
      </c>
      <c r="BF118" s="10">
        <v>0</v>
      </c>
      <c r="BG118" s="10">
        <v>0</v>
      </c>
      <c r="BH118" s="10">
        <v>0</v>
      </c>
      <c r="BI118" s="10">
        <v>0</v>
      </c>
      <c r="BJ118" s="10">
        <v>0</v>
      </c>
      <c r="BK118" s="10">
        <v>0</v>
      </c>
      <c r="BL118" s="10">
        <v>0</v>
      </c>
      <c r="BM118" s="10">
        <v>0</v>
      </c>
      <c r="BN118" s="10">
        <v>0</v>
      </c>
      <c r="BO118" s="10">
        <v>0</v>
      </c>
      <c r="BP118" s="10">
        <v>0</v>
      </c>
      <c r="BQ118" s="10">
        <v>0</v>
      </c>
      <c r="BR118" s="10">
        <v>0</v>
      </c>
      <c r="BS118" s="10">
        <v>0</v>
      </c>
      <c r="BT118" s="10">
        <v>0</v>
      </c>
      <c r="BU118" s="10">
        <v>0</v>
      </c>
      <c r="BV118" s="10">
        <v>0</v>
      </c>
      <c r="BW118" s="10">
        <v>0</v>
      </c>
      <c r="BX118" s="10">
        <v>0</v>
      </c>
      <c r="BY118" s="10">
        <v>0</v>
      </c>
      <c r="BZ118" s="10">
        <v>0</v>
      </c>
      <c r="CA118" s="10">
        <v>0.30758901093864366</v>
      </c>
      <c r="CB118" s="10">
        <v>0</v>
      </c>
      <c r="CC118" s="10">
        <v>0</v>
      </c>
      <c r="CD118" s="10">
        <v>0</v>
      </c>
      <c r="CE118" s="10">
        <v>0</v>
      </c>
      <c r="CF118" s="10">
        <v>0</v>
      </c>
      <c r="CG118" s="10">
        <v>0</v>
      </c>
      <c r="CH118" s="10">
        <v>0</v>
      </c>
      <c r="CI118" s="10">
        <v>0</v>
      </c>
      <c r="CJ118" s="10">
        <v>0</v>
      </c>
      <c r="CK118" s="10">
        <v>0</v>
      </c>
      <c r="CL118" s="10">
        <v>0</v>
      </c>
      <c r="CM118" s="10">
        <v>0</v>
      </c>
      <c r="CN118" s="10">
        <v>0</v>
      </c>
      <c r="CO118" s="10">
        <v>0</v>
      </c>
      <c r="CP118" s="10">
        <v>0</v>
      </c>
      <c r="CQ118" s="10">
        <v>7.412501293685389E-2</v>
      </c>
      <c r="CR118" s="10">
        <v>0</v>
      </c>
      <c r="CS118" s="10">
        <v>0</v>
      </c>
      <c r="CT118" s="10">
        <v>0</v>
      </c>
      <c r="CU118" s="10">
        <v>0</v>
      </c>
      <c r="CV118" s="10">
        <v>0</v>
      </c>
      <c r="CW118" s="10">
        <v>0</v>
      </c>
      <c r="CX118" s="10">
        <v>0</v>
      </c>
      <c r="CY118" s="10">
        <v>0</v>
      </c>
      <c r="CZ118" s="10">
        <v>0</v>
      </c>
      <c r="DA118" s="10">
        <v>0</v>
      </c>
      <c r="DB118" s="10">
        <v>0</v>
      </c>
      <c r="DC118" s="10">
        <v>0</v>
      </c>
      <c r="DD118" s="10">
        <v>0</v>
      </c>
      <c r="DE118" s="10">
        <v>0</v>
      </c>
      <c r="DF118" s="10">
        <v>0.54520362485434537</v>
      </c>
      <c r="DG118" s="10">
        <v>0</v>
      </c>
      <c r="DH118" s="10">
        <v>0</v>
      </c>
      <c r="DI118" s="10">
        <v>0</v>
      </c>
      <c r="DJ118" s="10">
        <v>0</v>
      </c>
      <c r="DK118" s="10">
        <v>0</v>
      </c>
      <c r="DL118" s="10">
        <v>0</v>
      </c>
      <c r="DM118" s="10">
        <v>0</v>
      </c>
      <c r="DN118" s="10">
        <v>0</v>
      </c>
      <c r="DO118" s="10">
        <v>0</v>
      </c>
      <c r="DP118" s="10">
        <v>0</v>
      </c>
      <c r="DQ118" s="10">
        <v>0</v>
      </c>
      <c r="DR118" s="10">
        <v>0</v>
      </c>
      <c r="DS118" s="10">
        <v>0</v>
      </c>
      <c r="DT118" s="10">
        <v>0</v>
      </c>
      <c r="DU118" s="10">
        <v>0</v>
      </c>
      <c r="DV118" s="10">
        <v>0</v>
      </c>
      <c r="DW118" s="10">
        <v>0</v>
      </c>
      <c r="DX118" s="10">
        <v>0</v>
      </c>
      <c r="DY118" s="10">
        <v>7.3082351270156998E-2</v>
      </c>
      <c r="DZ118" s="10">
        <v>0</v>
      </c>
      <c r="EA118" s="10">
        <v>0</v>
      </c>
      <c r="EB118" s="10">
        <v>0</v>
      </c>
      <c r="EC118" s="10">
        <v>0</v>
      </c>
      <c r="ED118" s="10">
        <v>0</v>
      </c>
      <c r="EE118" s="10">
        <v>0</v>
      </c>
      <c r="EF118" s="10">
        <v>0</v>
      </c>
      <c r="EG118" s="10">
        <v>0</v>
      </c>
      <c r="EH118" s="10">
        <v>0</v>
      </c>
      <c r="EI118" s="10">
        <v>0</v>
      </c>
      <c r="EJ118" s="10">
        <v>0</v>
      </c>
      <c r="EK118" s="10">
        <v>0</v>
      </c>
      <c r="EL118" s="10">
        <v>0</v>
      </c>
      <c r="EM118" s="10">
        <v>0</v>
      </c>
      <c r="EN118" s="10">
        <v>0</v>
      </c>
      <c r="EO118" s="10">
        <v>0</v>
      </c>
      <c r="EP118" s="10">
        <v>0</v>
      </c>
      <c r="EQ118" s="10">
        <v>0</v>
      </c>
      <c r="ER118" s="10">
        <v>0</v>
      </c>
      <c r="ES118" s="10">
        <v>0</v>
      </c>
      <c r="ET118" s="10">
        <v>0</v>
      </c>
      <c r="EU118" s="10">
        <v>0</v>
      </c>
      <c r="EV118" s="10">
        <v>0</v>
      </c>
      <c r="EW118" s="10">
        <v>0</v>
      </c>
      <c r="EX118" s="10">
        <v>0</v>
      </c>
      <c r="EY118" s="10">
        <v>0</v>
      </c>
      <c r="EZ118" s="10">
        <v>0</v>
      </c>
      <c r="FA118" s="10">
        <v>0</v>
      </c>
      <c r="FB118" s="10">
        <v>0</v>
      </c>
      <c r="FC118" s="10">
        <v>0</v>
      </c>
      <c r="FD118" s="10">
        <v>0</v>
      </c>
      <c r="FE118" s="10">
        <v>0</v>
      </c>
      <c r="FF118" s="10">
        <v>0</v>
      </c>
      <c r="FG118" s="10">
        <v>0</v>
      </c>
      <c r="FH118" s="10">
        <v>0</v>
      </c>
      <c r="FI118" s="10">
        <v>0</v>
      </c>
      <c r="FJ118" s="10">
        <v>0</v>
      </c>
      <c r="FK118" s="10">
        <v>0</v>
      </c>
      <c r="FL118" s="10">
        <v>0</v>
      </c>
      <c r="FM118" s="10">
        <v>0</v>
      </c>
      <c r="FN118" s="10">
        <v>0</v>
      </c>
      <c r="FO118" s="10">
        <v>0</v>
      </c>
      <c r="FP118" s="10">
        <v>0</v>
      </c>
      <c r="FQ118" s="10">
        <v>0</v>
      </c>
      <c r="FR118" s="10">
        <v>0</v>
      </c>
      <c r="FS118" s="10">
        <v>0</v>
      </c>
      <c r="FT118" s="10">
        <v>0</v>
      </c>
      <c r="FU118" s="10">
        <v>0</v>
      </c>
      <c r="FV118" s="10">
        <v>0</v>
      </c>
      <c r="FW118" s="10">
        <v>0</v>
      </c>
      <c r="FX118" s="10">
        <v>0</v>
      </c>
      <c r="FY118" s="10">
        <v>0</v>
      </c>
      <c r="FZ118" s="10">
        <v>0</v>
      </c>
      <c r="GA118" s="10">
        <v>0</v>
      </c>
      <c r="GB118" s="10">
        <v>0</v>
      </c>
      <c r="GC118" s="10">
        <v>0</v>
      </c>
      <c r="GD118" s="10">
        <v>0</v>
      </c>
      <c r="GE118" s="10">
        <v>0</v>
      </c>
      <c r="GF118" s="10">
        <v>0</v>
      </c>
      <c r="GG118" s="10">
        <v>0</v>
      </c>
      <c r="GH118" s="10">
        <v>0</v>
      </c>
      <c r="GI118" s="10">
        <v>0</v>
      </c>
      <c r="GJ118" s="10">
        <v>0</v>
      </c>
      <c r="GK118" s="10">
        <v>0</v>
      </c>
      <c r="GL118" s="10">
        <v>0</v>
      </c>
      <c r="GM118" s="10">
        <v>0</v>
      </c>
      <c r="GN118" s="10">
        <v>0</v>
      </c>
      <c r="GO118" s="10">
        <v>0</v>
      </c>
      <c r="GP118" s="10">
        <v>0</v>
      </c>
      <c r="GQ118" s="10">
        <v>0</v>
      </c>
      <c r="GR118" s="10">
        <v>0</v>
      </c>
      <c r="GS118" s="10">
        <v>0</v>
      </c>
      <c r="GT118" s="10">
        <v>0</v>
      </c>
      <c r="GU118" s="10">
        <v>0</v>
      </c>
      <c r="GV118" s="10">
        <v>0</v>
      </c>
      <c r="GW118" s="10">
        <v>0</v>
      </c>
      <c r="GX118" s="10">
        <v>0</v>
      </c>
      <c r="GY118" s="10">
        <v>0</v>
      </c>
      <c r="GZ118" s="10">
        <v>0</v>
      </c>
      <c r="HA118" s="10">
        <v>0</v>
      </c>
      <c r="HB118" s="10">
        <v>0</v>
      </c>
      <c r="HC118" s="10">
        <v>0</v>
      </c>
      <c r="HD118" s="10">
        <v>0</v>
      </c>
      <c r="HE118" s="10">
        <v>0</v>
      </c>
      <c r="HF118" s="10">
        <v>0</v>
      </c>
      <c r="HG118" s="10">
        <v>0</v>
      </c>
      <c r="HH118" s="10">
        <v>0</v>
      </c>
      <c r="HI118" s="10">
        <v>0</v>
      </c>
      <c r="HJ118" s="10">
        <v>0</v>
      </c>
      <c r="HK118" s="10">
        <v>0</v>
      </c>
      <c r="HL118" s="10">
        <v>0</v>
      </c>
      <c r="HM118" s="10">
        <v>0</v>
      </c>
      <c r="HN118" s="10">
        <v>0</v>
      </c>
      <c r="HO118" s="10">
        <v>0</v>
      </c>
      <c r="HP118" s="10">
        <v>0</v>
      </c>
      <c r="HQ118" s="10">
        <v>0</v>
      </c>
      <c r="HR118" s="10">
        <v>0</v>
      </c>
      <c r="HS118" s="10">
        <v>0</v>
      </c>
      <c r="HT118" s="10">
        <v>0</v>
      </c>
      <c r="HU118" s="10">
        <v>0</v>
      </c>
    </row>
    <row r="119" spans="1:229" x14ac:dyDescent="0.25">
      <c r="A119" s="10">
        <v>0</v>
      </c>
      <c r="B119" s="2" t="s">
        <v>226</v>
      </c>
      <c r="C119" s="2" t="s">
        <v>227</v>
      </c>
      <c r="D119" s="2">
        <v>0.499</v>
      </c>
      <c r="E119" s="2">
        <v>36.159999999999997</v>
      </c>
      <c r="F119" s="2">
        <v>51.98</v>
      </c>
      <c r="G119" s="2">
        <v>0</v>
      </c>
      <c r="H119" s="2">
        <v>51.98</v>
      </c>
      <c r="I119" s="2">
        <v>535</v>
      </c>
      <c r="J119" s="2">
        <v>0.2</v>
      </c>
      <c r="K119" s="2">
        <v>0.03</v>
      </c>
      <c r="L119" s="3"/>
      <c r="M119" s="2" t="str">
        <f t="shared" si="8"/>
        <v>01154</v>
      </c>
      <c r="N119" s="3">
        <v>0.81244207676189784</v>
      </c>
      <c r="O119" s="3">
        <v>1.1875579232381019</v>
      </c>
      <c r="P119" s="17">
        <v>0.81244207676511127</v>
      </c>
      <c r="Q119" s="3">
        <v>1.1875579232381013</v>
      </c>
      <c r="R119" s="3">
        <v>0.19019701430924821</v>
      </c>
      <c r="S119" s="3" t="e">
        <v>#DIV/0!</v>
      </c>
      <c r="T119" s="3">
        <v>4.896918156885656E-2</v>
      </c>
      <c r="U119" s="3">
        <v>0.8124420767618975</v>
      </c>
      <c r="V119" s="3">
        <v>14.191493252076359</v>
      </c>
      <c r="W119" s="3">
        <v>13.88624127619989</v>
      </c>
      <c r="X119" s="3">
        <v>0.40540859630579051</v>
      </c>
      <c r="Y119" s="3">
        <v>42.942094504289734</v>
      </c>
      <c r="Z119" s="3">
        <v>9.8864408037947218</v>
      </c>
      <c r="AA119" s="3">
        <v>0.66519309157577189</v>
      </c>
      <c r="AB119" s="3">
        <v>2.5454180579491639</v>
      </c>
      <c r="AC119" s="3">
        <v>434.65651106761516</v>
      </c>
      <c r="AD119" s="3">
        <v>2.8382986504152719</v>
      </c>
      <c r="AE119" s="3">
        <v>0.4165872382859967</v>
      </c>
      <c r="AF119" s="3">
        <v>0</v>
      </c>
      <c r="AG119" s="3">
        <v>0</v>
      </c>
      <c r="AH119" s="3">
        <v>0</v>
      </c>
      <c r="AI119" s="3">
        <v>0</v>
      </c>
      <c r="AJ119" s="3">
        <v>0</v>
      </c>
      <c r="AK119" s="3">
        <v>0</v>
      </c>
      <c r="AL119" s="3">
        <v>0</v>
      </c>
      <c r="AM119" s="3">
        <v>0</v>
      </c>
      <c r="AN119" s="3">
        <v>0</v>
      </c>
      <c r="AO119" s="3">
        <v>0</v>
      </c>
      <c r="AP119" s="3">
        <v>0</v>
      </c>
      <c r="AQ119" s="3">
        <v>0</v>
      </c>
      <c r="AR119" s="3">
        <v>0</v>
      </c>
      <c r="AS119" s="3">
        <v>0</v>
      </c>
      <c r="AT119" s="3">
        <v>0</v>
      </c>
      <c r="AU119" s="3">
        <v>0</v>
      </c>
      <c r="AV119" s="3">
        <v>0</v>
      </c>
      <c r="AW119" s="3">
        <v>0</v>
      </c>
      <c r="AX119" s="3">
        <v>0</v>
      </c>
      <c r="AY119" s="3">
        <v>0</v>
      </c>
      <c r="AZ119" s="3">
        <v>0</v>
      </c>
      <c r="BA119" s="10">
        <v>0</v>
      </c>
      <c r="BB119" s="10">
        <v>0</v>
      </c>
      <c r="BC119" s="10">
        <v>0</v>
      </c>
      <c r="BD119" s="10">
        <v>0</v>
      </c>
      <c r="BE119" s="10">
        <v>0</v>
      </c>
      <c r="BF119" s="10">
        <v>0</v>
      </c>
      <c r="BG119" s="10">
        <v>0</v>
      </c>
      <c r="BH119" s="10">
        <v>0</v>
      </c>
      <c r="BI119" s="10">
        <v>0</v>
      </c>
      <c r="BJ119" s="10">
        <v>0</v>
      </c>
      <c r="BK119" s="10">
        <v>0</v>
      </c>
      <c r="BL119" s="10">
        <v>0</v>
      </c>
      <c r="BM119" s="10">
        <v>0</v>
      </c>
      <c r="BN119" s="10">
        <v>0</v>
      </c>
      <c r="BO119" s="10">
        <v>0</v>
      </c>
      <c r="BP119" s="10">
        <v>0</v>
      </c>
      <c r="BQ119" s="10">
        <v>0</v>
      </c>
      <c r="BR119" s="10">
        <v>0</v>
      </c>
      <c r="BS119" s="10">
        <v>0</v>
      </c>
      <c r="BT119" s="10">
        <v>0</v>
      </c>
      <c r="BU119" s="10">
        <v>0</v>
      </c>
      <c r="BV119" s="10">
        <v>0</v>
      </c>
      <c r="BW119" s="10">
        <v>0</v>
      </c>
      <c r="BX119" s="10">
        <v>0</v>
      </c>
      <c r="BY119" s="10">
        <v>0</v>
      </c>
      <c r="BZ119" s="10">
        <v>0</v>
      </c>
      <c r="CA119" s="10">
        <v>0</v>
      </c>
      <c r="CB119" s="10">
        <v>0</v>
      </c>
      <c r="CC119" s="10">
        <v>0</v>
      </c>
      <c r="CD119" s="10">
        <v>0</v>
      </c>
      <c r="CE119" s="10">
        <v>0</v>
      </c>
      <c r="CF119" s="10">
        <v>0</v>
      </c>
      <c r="CG119" s="10">
        <v>0</v>
      </c>
      <c r="CH119" s="10">
        <v>0</v>
      </c>
      <c r="CI119" s="10">
        <v>0</v>
      </c>
      <c r="CJ119" s="10">
        <v>0</v>
      </c>
      <c r="CK119" s="10">
        <v>0</v>
      </c>
      <c r="CL119" s="10">
        <v>0</v>
      </c>
      <c r="CM119" s="10">
        <v>0</v>
      </c>
      <c r="CN119" s="10">
        <v>0</v>
      </c>
      <c r="CO119" s="10">
        <v>0</v>
      </c>
      <c r="CP119" s="10">
        <v>0</v>
      </c>
      <c r="CQ119" s="10">
        <v>0</v>
      </c>
      <c r="CR119" s="10">
        <v>0</v>
      </c>
      <c r="CS119" s="10">
        <v>0</v>
      </c>
      <c r="CT119" s="10">
        <v>0</v>
      </c>
      <c r="CU119" s="10">
        <v>0</v>
      </c>
      <c r="CV119" s="10">
        <v>0</v>
      </c>
      <c r="CW119" s="10">
        <v>0</v>
      </c>
      <c r="CX119" s="10">
        <v>0</v>
      </c>
      <c r="CY119" s="10">
        <v>0</v>
      </c>
      <c r="CZ119" s="10">
        <v>0</v>
      </c>
      <c r="DA119" s="10">
        <v>0</v>
      </c>
      <c r="DB119" s="10">
        <v>0</v>
      </c>
      <c r="DC119" s="10">
        <v>0</v>
      </c>
      <c r="DD119" s="10">
        <v>0</v>
      </c>
      <c r="DE119" s="10">
        <v>0</v>
      </c>
      <c r="DF119" s="10">
        <v>0</v>
      </c>
      <c r="DG119" s="10">
        <v>0</v>
      </c>
      <c r="DH119" s="10">
        <v>0</v>
      </c>
      <c r="DI119" s="10">
        <v>0</v>
      </c>
      <c r="DJ119" s="10">
        <v>0</v>
      </c>
      <c r="DK119" s="10">
        <v>0</v>
      </c>
      <c r="DL119" s="10">
        <v>0</v>
      </c>
      <c r="DM119" s="10">
        <v>0</v>
      </c>
      <c r="DN119" s="10">
        <v>0</v>
      </c>
      <c r="DO119" s="10">
        <v>0</v>
      </c>
      <c r="DP119" s="10">
        <v>0</v>
      </c>
      <c r="DQ119" s="10">
        <v>0</v>
      </c>
      <c r="DR119" s="10">
        <v>0</v>
      </c>
      <c r="DS119" s="10">
        <v>0</v>
      </c>
      <c r="DT119" s="10">
        <v>0</v>
      </c>
      <c r="DU119" s="10">
        <v>0</v>
      </c>
      <c r="DV119" s="10">
        <v>0</v>
      </c>
      <c r="DW119" s="10">
        <v>0</v>
      </c>
      <c r="DX119" s="10">
        <v>0</v>
      </c>
      <c r="DY119" s="10">
        <v>0</v>
      </c>
      <c r="DZ119" s="10">
        <v>0.29239361631161392</v>
      </c>
      <c r="EA119" s="10">
        <v>0</v>
      </c>
      <c r="EB119" s="10">
        <v>0</v>
      </c>
      <c r="EC119" s="10">
        <v>0</v>
      </c>
      <c r="ED119" s="10">
        <v>0</v>
      </c>
      <c r="EE119" s="10">
        <v>0</v>
      </c>
      <c r="EF119" s="10">
        <v>0</v>
      </c>
      <c r="EG119" s="10">
        <v>0</v>
      </c>
      <c r="EH119" s="10">
        <v>0</v>
      </c>
      <c r="EI119" s="10">
        <v>0</v>
      </c>
      <c r="EJ119" s="10">
        <v>0</v>
      </c>
      <c r="EK119" s="10">
        <v>0</v>
      </c>
      <c r="EL119" s="10">
        <v>0</v>
      </c>
      <c r="EM119" s="10">
        <v>0</v>
      </c>
      <c r="EN119" s="10">
        <v>0</v>
      </c>
      <c r="EO119" s="10">
        <v>0</v>
      </c>
      <c r="EP119" s="10">
        <v>0</v>
      </c>
      <c r="EQ119" s="10">
        <v>0</v>
      </c>
      <c r="ER119" s="10">
        <v>0</v>
      </c>
      <c r="ES119" s="10">
        <v>0</v>
      </c>
      <c r="ET119" s="10">
        <v>0</v>
      </c>
      <c r="EU119" s="10">
        <v>0</v>
      </c>
      <c r="EV119" s="10">
        <v>0</v>
      </c>
      <c r="EW119" s="10">
        <v>0</v>
      </c>
      <c r="EX119" s="10">
        <v>0</v>
      </c>
      <c r="EY119" s="10">
        <v>0</v>
      </c>
      <c r="EZ119" s="10">
        <v>0</v>
      </c>
      <c r="FA119" s="10">
        <v>0</v>
      </c>
      <c r="FB119" s="10">
        <v>0</v>
      </c>
      <c r="FC119" s="10">
        <v>0</v>
      </c>
      <c r="FD119" s="10">
        <v>0</v>
      </c>
      <c r="FE119" s="10">
        <v>0</v>
      </c>
      <c r="FF119" s="10">
        <v>0</v>
      </c>
      <c r="FG119" s="10">
        <v>0</v>
      </c>
      <c r="FH119" s="10">
        <v>0</v>
      </c>
      <c r="FI119" s="10">
        <v>0</v>
      </c>
      <c r="FJ119" s="10">
        <v>0</v>
      </c>
      <c r="FK119" s="10">
        <v>0</v>
      </c>
      <c r="FL119" s="10">
        <v>0</v>
      </c>
      <c r="FM119" s="10">
        <v>0</v>
      </c>
      <c r="FN119" s="10">
        <v>0</v>
      </c>
      <c r="FO119" s="10">
        <v>0</v>
      </c>
      <c r="FP119" s="10">
        <v>0</v>
      </c>
      <c r="FQ119" s="10">
        <v>0</v>
      </c>
      <c r="FR119" s="10">
        <v>0</v>
      </c>
      <c r="FS119" s="10">
        <v>0</v>
      </c>
      <c r="FT119" s="10">
        <v>0</v>
      </c>
      <c r="FU119" s="10">
        <v>0</v>
      </c>
      <c r="FV119" s="10">
        <v>0</v>
      </c>
      <c r="FW119" s="10">
        <v>0</v>
      </c>
      <c r="FX119" s="10">
        <v>0</v>
      </c>
      <c r="FY119" s="10">
        <v>0</v>
      </c>
      <c r="FZ119" s="10">
        <v>0</v>
      </c>
      <c r="GA119" s="10">
        <v>0</v>
      </c>
      <c r="GB119" s="10">
        <v>0.33259654578788594</v>
      </c>
      <c r="GC119" s="10">
        <v>0</v>
      </c>
      <c r="GD119" s="10">
        <v>0</v>
      </c>
      <c r="GE119" s="10">
        <v>0</v>
      </c>
      <c r="GF119" s="10">
        <v>0</v>
      </c>
      <c r="GG119" s="10">
        <v>0</v>
      </c>
      <c r="GH119" s="10">
        <v>0</v>
      </c>
      <c r="GI119" s="10">
        <v>0</v>
      </c>
      <c r="GJ119" s="10">
        <v>0</v>
      </c>
      <c r="GK119" s="10">
        <v>0</v>
      </c>
      <c r="GL119" s="10">
        <v>0</v>
      </c>
      <c r="GM119" s="10">
        <v>0</v>
      </c>
      <c r="GN119" s="10">
        <v>0</v>
      </c>
      <c r="GO119" s="10">
        <v>0</v>
      </c>
      <c r="GP119" s="10">
        <v>0</v>
      </c>
      <c r="GQ119" s="10">
        <v>0</v>
      </c>
      <c r="GR119" s="10">
        <v>0</v>
      </c>
      <c r="GS119" s="10">
        <v>0</v>
      </c>
      <c r="GT119" s="10">
        <v>0</v>
      </c>
      <c r="GU119" s="10">
        <v>0</v>
      </c>
      <c r="GV119" s="10">
        <v>0.37500983790050002</v>
      </c>
      <c r="GW119" s="10">
        <v>0</v>
      </c>
      <c r="GX119" s="10">
        <v>0</v>
      </c>
      <c r="GY119" s="10">
        <v>0</v>
      </c>
      <c r="GZ119" s="10">
        <v>0</v>
      </c>
      <c r="HA119" s="10">
        <v>0</v>
      </c>
      <c r="HB119" s="10">
        <v>0</v>
      </c>
      <c r="HC119" s="10">
        <v>0</v>
      </c>
      <c r="HD119" s="10">
        <v>0</v>
      </c>
      <c r="HE119" s="10">
        <v>0</v>
      </c>
      <c r="HF119" s="10">
        <v>0</v>
      </c>
      <c r="HG119" s="10">
        <v>0</v>
      </c>
      <c r="HH119" s="10">
        <v>0</v>
      </c>
      <c r="HI119" s="10">
        <v>0</v>
      </c>
      <c r="HJ119" s="10">
        <v>0</v>
      </c>
      <c r="HK119" s="10">
        <v>0</v>
      </c>
      <c r="HL119" s="10">
        <v>0</v>
      </c>
      <c r="HM119" s="10">
        <v>0</v>
      </c>
      <c r="HN119" s="10">
        <v>0</v>
      </c>
      <c r="HO119" s="10">
        <v>0</v>
      </c>
      <c r="HP119" s="10">
        <v>0</v>
      </c>
      <c r="HQ119" s="10">
        <v>0</v>
      </c>
      <c r="HR119" s="10">
        <v>0</v>
      </c>
      <c r="HS119" s="10">
        <v>0</v>
      </c>
      <c r="HT119" s="10">
        <v>0</v>
      </c>
      <c r="HU119" s="10">
        <v>0</v>
      </c>
    </row>
    <row r="120" spans="1:229" x14ac:dyDescent="0.25">
      <c r="A120" s="10">
        <v>0</v>
      </c>
      <c r="B120" s="2" t="s">
        <v>228</v>
      </c>
      <c r="C120" s="2" t="s">
        <v>229</v>
      </c>
      <c r="D120" s="2">
        <v>0.47</v>
      </c>
      <c r="E120" s="2">
        <v>35.1</v>
      </c>
      <c r="F120" s="2">
        <v>52.19</v>
      </c>
      <c r="G120" s="2">
        <v>0</v>
      </c>
      <c r="H120" s="2">
        <v>52.19</v>
      </c>
      <c r="I120" s="2">
        <v>549</v>
      </c>
      <c r="J120" s="2">
        <v>0.19</v>
      </c>
      <c r="K120" s="2">
        <v>0.03</v>
      </c>
      <c r="L120" s="3"/>
      <c r="M120" s="2" t="str">
        <f t="shared" si="8"/>
        <v>01155</v>
      </c>
      <c r="N120" s="3">
        <v>0.79630344334783942</v>
      </c>
      <c r="O120" s="3">
        <v>1.2036965566521611</v>
      </c>
      <c r="P120" s="17">
        <v>0.79630344334901693</v>
      </c>
      <c r="Q120" s="3">
        <v>1.2036965566521596</v>
      </c>
      <c r="R120" s="3">
        <v>0.17854912040869936</v>
      </c>
      <c r="S120" s="3" t="e">
        <v>#DIV/0!</v>
      </c>
      <c r="T120" s="3">
        <v>4.7810437800318982E-2</v>
      </c>
      <c r="U120" s="3">
        <v>0.79630344334783876</v>
      </c>
      <c r="V120" s="3">
        <v>13.556802180674575</v>
      </c>
      <c r="W120" s="3">
        <v>12.610105412778504</v>
      </c>
      <c r="X120" s="3">
        <v>0.37426261837403796</v>
      </c>
      <c r="Y120" s="3">
        <v>42.249749138490806</v>
      </c>
      <c r="Z120" s="3">
        <v>9.3184785941300188</v>
      </c>
      <c r="AA120" s="3">
        <v>0.60295057692014176</v>
      </c>
      <c r="AB120" s="3">
        <v>2.4952267487986477</v>
      </c>
      <c r="AC120" s="3">
        <v>437.17059039796345</v>
      </c>
      <c r="AD120" s="3">
        <v>2.5757924143281694</v>
      </c>
      <c r="AE120" s="3">
        <v>0.3783031623833551</v>
      </c>
      <c r="AF120" s="3">
        <v>0</v>
      </c>
      <c r="AG120" s="3">
        <v>0</v>
      </c>
      <c r="AH120" s="3">
        <v>0</v>
      </c>
      <c r="AI120" s="3">
        <v>0</v>
      </c>
      <c r="AJ120" s="3">
        <v>0</v>
      </c>
      <c r="AK120" s="3">
        <v>0</v>
      </c>
      <c r="AL120" s="3">
        <v>0</v>
      </c>
      <c r="AM120" s="3">
        <v>0</v>
      </c>
      <c r="AN120" s="3">
        <v>0</v>
      </c>
      <c r="AO120" s="3">
        <v>0</v>
      </c>
      <c r="AP120" s="3">
        <v>0</v>
      </c>
      <c r="AQ120" s="3">
        <v>0</v>
      </c>
      <c r="AR120" s="3">
        <v>0</v>
      </c>
      <c r="AS120" s="3">
        <v>0</v>
      </c>
      <c r="AT120" s="3">
        <v>0</v>
      </c>
      <c r="AU120" s="3">
        <v>0</v>
      </c>
      <c r="AV120" s="3">
        <v>0</v>
      </c>
      <c r="AW120" s="3">
        <v>0</v>
      </c>
      <c r="AX120" s="3">
        <v>0</v>
      </c>
      <c r="AY120" s="3">
        <v>0</v>
      </c>
      <c r="AZ120" s="3">
        <v>0</v>
      </c>
      <c r="BA120" s="10">
        <v>0</v>
      </c>
      <c r="BB120" s="10">
        <v>0</v>
      </c>
      <c r="BC120" s="10">
        <v>0</v>
      </c>
      <c r="BD120" s="10">
        <v>0</v>
      </c>
      <c r="BE120" s="10">
        <v>0</v>
      </c>
      <c r="BF120" s="10">
        <v>0</v>
      </c>
      <c r="BG120" s="10">
        <v>0</v>
      </c>
      <c r="BH120" s="10">
        <v>0</v>
      </c>
      <c r="BI120" s="10">
        <v>0</v>
      </c>
      <c r="BJ120" s="10">
        <v>0</v>
      </c>
      <c r="BK120" s="10">
        <v>0</v>
      </c>
      <c r="BL120" s="10">
        <v>0</v>
      </c>
      <c r="BM120" s="10">
        <v>0</v>
      </c>
      <c r="BN120" s="10">
        <v>0</v>
      </c>
      <c r="BO120" s="10">
        <v>0</v>
      </c>
      <c r="BP120" s="10">
        <v>0</v>
      </c>
      <c r="BQ120" s="10">
        <v>0</v>
      </c>
      <c r="BR120" s="10">
        <v>0</v>
      </c>
      <c r="BS120" s="10">
        <v>0</v>
      </c>
      <c r="BT120" s="10">
        <v>0</v>
      </c>
      <c r="BU120" s="10">
        <v>0</v>
      </c>
      <c r="BV120" s="10">
        <v>0</v>
      </c>
      <c r="BW120" s="10">
        <v>0</v>
      </c>
      <c r="BX120" s="10">
        <v>0</v>
      </c>
      <c r="BY120" s="10">
        <v>0</v>
      </c>
      <c r="BZ120" s="10">
        <v>0</v>
      </c>
      <c r="CA120" s="10">
        <v>0</v>
      </c>
      <c r="CB120" s="10">
        <v>0</v>
      </c>
      <c r="CC120" s="10">
        <v>0</v>
      </c>
      <c r="CD120" s="10">
        <v>0</v>
      </c>
      <c r="CE120" s="10">
        <v>0</v>
      </c>
      <c r="CF120" s="10">
        <v>0</v>
      </c>
      <c r="CG120" s="10">
        <v>0</v>
      </c>
      <c r="CH120" s="10">
        <v>0</v>
      </c>
      <c r="CI120" s="10">
        <v>0</v>
      </c>
      <c r="CJ120" s="10">
        <v>0</v>
      </c>
      <c r="CK120" s="10">
        <v>0</v>
      </c>
      <c r="CL120" s="10">
        <v>0</v>
      </c>
      <c r="CM120" s="10">
        <v>0</v>
      </c>
      <c r="CN120" s="10">
        <v>0</v>
      </c>
      <c r="CO120" s="10">
        <v>0</v>
      </c>
      <c r="CP120" s="10">
        <v>0</v>
      </c>
      <c r="CQ120" s="10">
        <v>0</v>
      </c>
      <c r="CR120" s="10">
        <v>0</v>
      </c>
      <c r="CS120" s="10">
        <v>0</v>
      </c>
      <c r="CT120" s="10">
        <v>0</v>
      </c>
      <c r="CU120" s="10">
        <v>0</v>
      </c>
      <c r="CV120" s="10">
        <v>0</v>
      </c>
      <c r="CW120" s="10">
        <v>0</v>
      </c>
      <c r="CX120" s="10">
        <v>0</v>
      </c>
      <c r="CY120" s="10">
        <v>0</v>
      </c>
      <c r="CZ120" s="10">
        <v>0</v>
      </c>
      <c r="DA120" s="10">
        <v>0</v>
      </c>
      <c r="DB120" s="10">
        <v>0</v>
      </c>
      <c r="DC120" s="10">
        <v>0</v>
      </c>
      <c r="DD120" s="10">
        <v>0</v>
      </c>
      <c r="DE120" s="10">
        <v>0</v>
      </c>
      <c r="DF120" s="10">
        <v>0</v>
      </c>
      <c r="DG120" s="10">
        <v>0</v>
      </c>
      <c r="DH120" s="10">
        <v>0</v>
      </c>
      <c r="DI120" s="10">
        <v>0</v>
      </c>
      <c r="DJ120" s="10">
        <v>0</v>
      </c>
      <c r="DK120" s="10">
        <v>0</v>
      </c>
      <c r="DL120" s="10">
        <v>0</v>
      </c>
      <c r="DM120" s="10">
        <v>0</v>
      </c>
      <c r="DN120" s="10">
        <v>0</v>
      </c>
      <c r="DO120" s="10">
        <v>0</v>
      </c>
      <c r="DP120" s="10">
        <v>0</v>
      </c>
      <c r="DQ120" s="10">
        <v>0</v>
      </c>
      <c r="DR120" s="10">
        <v>0</v>
      </c>
      <c r="DS120" s="10">
        <v>0</v>
      </c>
      <c r="DT120" s="10">
        <v>0</v>
      </c>
      <c r="DU120" s="10">
        <v>0</v>
      </c>
      <c r="DV120" s="10">
        <v>0</v>
      </c>
      <c r="DW120" s="10">
        <v>0</v>
      </c>
      <c r="DX120" s="10">
        <v>0</v>
      </c>
      <c r="DY120" s="10">
        <v>0</v>
      </c>
      <c r="DZ120" s="10">
        <v>0.30058471309598955</v>
      </c>
      <c r="EA120" s="10">
        <v>0</v>
      </c>
      <c r="EB120" s="10">
        <v>0</v>
      </c>
      <c r="EC120" s="10">
        <v>0</v>
      </c>
      <c r="ED120" s="10">
        <v>0</v>
      </c>
      <c r="EE120" s="10">
        <v>0</v>
      </c>
      <c r="EF120" s="10">
        <v>0</v>
      </c>
      <c r="EG120" s="10">
        <v>0</v>
      </c>
      <c r="EH120" s="10">
        <v>0</v>
      </c>
      <c r="EI120" s="10">
        <v>0</v>
      </c>
      <c r="EJ120" s="10">
        <v>0</v>
      </c>
      <c r="EK120" s="10">
        <v>0</v>
      </c>
      <c r="EL120" s="10">
        <v>0</v>
      </c>
      <c r="EM120" s="10">
        <v>0</v>
      </c>
      <c r="EN120" s="10">
        <v>0</v>
      </c>
      <c r="EO120" s="10">
        <v>0</v>
      </c>
      <c r="EP120" s="10">
        <v>0</v>
      </c>
      <c r="EQ120" s="10">
        <v>0</v>
      </c>
      <c r="ER120" s="10">
        <v>0</v>
      </c>
      <c r="ES120" s="10">
        <v>0</v>
      </c>
      <c r="ET120" s="10">
        <v>0</v>
      </c>
      <c r="EU120" s="10">
        <v>0</v>
      </c>
      <c r="EV120" s="10">
        <v>0</v>
      </c>
      <c r="EW120" s="10">
        <v>0</v>
      </c>
      <c r="EX120" s="10">
        <v>0</v>
      </c>
      <c r="EY120" s="10">
        <v>0</v>
      </c>
      <c r="EZ120" s="10">
        <v>0</v>
      </c>
      <c r="FA120" s="10">
        <v>0</v>
      </c>
      <c r="FB120" s="10">
        <v>0</v>
      </c>
      <c r="FC120" s="10">
        <v>0</v>
      </c>
      <c r="FD120" s="10">
        <v>0</v>
      </c>
      <c r="FE120" s="10">
        <v>0</v>
      </c>
      <c r="FF120" s="10">
        <v>0</v>
      </c>
      <c r="FG120" s="10">
        <v>0</v>
      </c>
      <c r="FH120" s="10">
        <v>0</v>
      </c>
      <c r="FI120" s="10">
        <v>0</v>
      </c>
      <c r="FJ120" s="10">
        <v>0</v>
      </c>
      <c r="FK120" s="10">
        <v>0</v>
      </c>
      <c r="FL120" s="10">
        <v>0</v>
      </c>
      <c r="FM120" s="10">
        <v>0</v>
      </c>
      <c r="FN120" s="10">
        <v>0</v>
      </c>
      <c r="FO120" s="10">
        <v>0</v>
      </c>
      <c r="FP120" s="10">
        <v>0</v>
      </c>
      <c r="FQ120" s="10">
        <v>0</v>
      </c>
      <c r="FR120" s="10">
        <v>0</v>
      </c>
      <c r="FS120" s="10">
        <v>0</v>
      </c>
      <c r="FT120" s="10">
        <v>0</v>
      </c>
      <c r="FU120" s="10">
        <v>0</v>
      </c>
      <c r="FV120" s="10">
        <v>0</v>
      </c>
      <c r="FW120" s="10">
        <v>0</v>
      </c>
      <c r="FX120" s="10">
        <v>0</v>
      </c>
      <c r="FY120" s="10">
        <v>0</v>
      </c>
      <c r="FZ120" s="10">
        <v>0</v>
      </c>
      <c r="GA120" s="10">
        <v>0</v>
      </c>
      <c r="GB120" s="10">
        <v>0.30147528846007088</v>
      </c>
      <c r="GC120" s="10">
        <v>0</v>
      </c>
      <c r="GD120" s="10">
        <v>0</v>
      </c>
      <c r="GE120" s="10">
        <v>0</v>
      </c>
      <c r="GF120" s="10">
        <v>0</v>
      </c>
      <c r="GG120" s="10">
        <v>0</v>
      </c>
      <c r="GH120" s="10">
        <v>0</v>
      </c>
      <c r="GI120" s="10">
        <v>0</v>
      </c>
      <c r="GJ120" s="10">
        <v>0</v>
      </c>
      <c r="GK120" s="10">
        <v>0</v>
      </c>
      <c r="GL120" s="10">
        <v>0</v>
      </c>
      <c r="GM120" s="10">
        <v>0</v>
      </c>
      <c r="GN120" s="10">
        <v>0</v>
      </c>
      <c r="GO120" s="10">
        <v>0</v>
      </c>
      <c r="GP120" s="10">
        <v>0</v>
      </c>
      <c r="GQ120" s="10">
        <v>0</v>
      </c>
      <c r="GR120" s="10">
        <v>0</v>
      </c>
      <c r="GS120" s="10">
        <v>0</v>
      </c>
      <c r="GT120" s="10">
        <v>0</v>
      </c>
      <c r="GU120" s="10">
        <v>0</v>
      </c>
      <c r="GV120" s="10">
        <v>0.39793999844393962</v>
      </c>
      <c r="GW120" s="10">
        <v>0</v>
      </c>
      <c r="GX120" s="10">
        <v>0</v>
      </c>
      <c r="GY120" s="10">
        <v>0</v>
      </c>
      <c r="GZ120" s="10">
        <v>0</v>
      </c>
      <c r="HA120" s="10">
        <v>0</v>
      </c>
      <c r="HB120" s="10">
        <v>0</v>
      </c>
      <c r="HC120" s="10">
        <v>0</v>
      </c>
      <c r="HD120" s="10">
        <v>0</v>
      </c>
      <c r="HE120" s="10">
        <v>0</v>
      </c>
      <c r="HF120" s="10">
        <v>0</v>
      </c>
      <c r="HG120" s="10">
        <v>0</v>
      </c>
      <c r="HH120" s="10">
        <v>0</v>
      </c>
      <c r="HI120" s="10">
        <v>0</v>
      </c>
      <c r="HJ120" s="10">
        <v>0</v>
      </c>
      <c r="HK120" s="10">
        <v>0</v>
      </c>
      <c r="HL120" s="10">
        <v>0</v>
      </c>
      <c r="HM120" s="10">
        <v>0</v>
      </c>
      <c r="HN120" s="10">
        <v>0</v>
      </c>
      <c r="HO120" s="10">
        <v>0</v>
      </c>
      <c r="HP120" s="10">
        <v>0</v>
      </c>
      <c r="HQ120" s="10">
        <v>0</v>
      </c>
      <c r="HR120" s="10">
        <v>0</v>
      </c>
      <c r="HS120" s="10">
        <v>0</v>
      </c>
      <c r="HT120" s="10">
        <v>0</v>
      </c>
      <c r="HU120" s="10">
        <v>0</v>
      </c>
    </row>
    <row r="121" spans="1:229" x14ac:dyDescent="0.25">
      <c r="A121" s="10">
        <v>0</v>
      </c>
      <c r="B121" s="2" t="s">
        <v>230</v>
      </c>
      <c r="C121" s="2" t="s">
        <v>231</v>
      </c>
      <c r="D121" s="2">
        <v>24.609000000000002</v>
      </c>
      <c r="E121" s="2">
        <v>30.52</v>
      </c>
      <c r="F121" s="2">
        <v>2.17</v>
      </c>
      <c r="G121" s="2">
        <v>0</v>
      </c>
      <c r="H121" s="2">
        <v>2.17</v>
      </c>
      <c r="I121" s="2">
        <v>423</v>
      </c>
      <c r="J121" s="2">
        <v>8.1170000000000009</v>
      </c>
      <c r="K121" s="2">
        <v>0.84499999999999997</v>
      </c>
      <c r="L121" s="3"/>
      <c r="M121" s="2" t="str">
        <f t="shared" si="8"/>
        <v>01156</v>
      </c>
      <c r="N121" s="3">
        <v>0.65235771363016049</v>
      </c>
      <c r="O121" s="3">
        <v>1.3476422863698396</v>
      </c>
      <c r="P121" s="17">
        <v>0.53987927392621216</v>
      </c>
      <c r="Q121" s="3">
        <v>1.3476422863698412</v>
      </c>
      <c r="R121" s="3">
        <v>3.0866051675422685</v>
      </c>
      <c r="S121" s="3" t="e">
        <v>#DIV/0!</v>
      </c>
      <c r="T121" s="3">
        <v>0.65235771363016981</v>
      </c>
      <c r="U121" s="3">
        <v>0.65235771363016037</v>
      </c>
      <c r="V121" s="3">
        <v>1.5106698103345846</v>
      </c>
      <c r="W121" s="3">
        <v>4.9838839347666752</v>
      </c>
      <c r="X121" s="3">
        <v>13.285889052050155</v>
      </c>
      <c r="Y121" s="3">
        <v>41.130042580007554</v>
      </c>
      <c r="Z121" s="3">
        <v>6.6979332135667224</v>
      </c>
      <c r="AA121" s="3">
        <v>0.51018845637899468</v>
      </c>
      <c r="AB121" s="3">
        <v>1.4156162385774684</v>
      </c>
      <c r="AC121" s="3">
        <v>275.94731286555782</v>
      </c>
      <c r="AD121" s="3">
        <v>12.262106850485825</v>
      </c>
      <c r="AE121" s="3">
        <v>4.2113819248778404</v>
      </c>
      <c r="AF121" s="3">
        <v>0</v>
      </c>
      <c r="AG121" s="3">
        <v>0</v>
      </c>
      <c r="AH121" s="3">
        <v>0</v>
      </c>
      <c r="AI121" s="10">
        <v>0</v>
      </c>
      <c r="AJ121" s="3">
        <v>0</v>
      </c>
      <c r="AK121" s="3">
        <v>0</v>
      </c>
      <c r="AL121" s="10">
        <v>0</v>
      </c>
      <c r="AM121" s="10">
        <v>0</v>
      </c>
      <c r="AN121" s="10">
        <v>0</v>
      </c>
      <c r="AO121" s="10">
        <v>0</v>
      </c>
      <c r="AP121" s="10">
        <v>0</v>
      </c>
      <c r="AQ121" s="10">
        <v>0</v>
      </c>
      <c r="AR121" s="10">
        <v>0</v>
      </c>
      <c r="AS121" s="10">
        <v>0</v>
      </c>
      <c r="AT121" s="10">
        <v>0</v>
      </c>
      <c r="AU121" s="10">
        <v>0</v>
      </c>
      <c r="AV121" s="10">
        <v>0</v>
      </c>
      <c r="AW121" s="3">
        <v>0</v>
      </c>
      <c r="AX121" s="3">
        <v>0</v>
      </c>
      <c r="AY121" s="3">
        <v>0</v>
      </c>
      <c r="AZ121" s="3">
        <v>0</v>
      </c>
      <c r="BA121" s="10">
        <v>0</v>
      </c>
      <c r="BB121" s="10">
        <v>0</v>
      </c>
      <c r="BC121" s="10">
        <v>0</v>
      </c>
      <c r="BD121" s="10">
        <v>0</v>
      </c>
      <c r="BE121" s="10">
        <v>0</v>
      </c>
      <c r="BF121" s="10">
        <v>0</v>
      </c>
      <c r="BG121" s="10">
        <v>0</v>
      </c>
      <c r="BH121" s="10">
        <v>0</v>
      </c>
      <c r="BI121" s="10">
        <v>0</v>
      </c>
      <c r="BJ121" s="10">
        <v>0</v>
      </c>
      <c r="BK121" s="10">
        <v>0</v>
      </c>
      <c r="BL121" s="10">
        <v>0</v>
      </c>
      <c r="BM121" s="10">
        <v>0</v>
      </c>
      <c r="BN121" s="10">
        <v>0</v>
      </c>
      <c r="BO121" s="10">
        <v>0</v>
      </c>
      <c r="BP121" s="10">
        <v>0</v>
      </c>
      <c r="BQ121" s="10">
        <v>0</v>
      </c>
      <c r="BR121" s="10">
        <v>0</v>
      </c>
      <c r="BS121" s="10">
        <v>0</v>
      </c>
      <c r="BT121" s="10">
        <v>0</v>
      </c>
      <c r="BU121" s="10">
        <v>0</v>
      </c>
      <c r="BV121" s="10">
        <v>0</v>
      </c>
      <c r="BW121" s="10">
        <v>0</v>
      </c>
      <c r="BX121" s="10">
        <v>0</v>
      </c>
      <c r="BY121" s="10">
        <v>0</v>
      </c>
      <c r="BZ121" s="10">
        <v>0</v>
      </c>
      <c r="CA121" s="10">
        <v>0</v>
      </c>
      <c r="CB121" s="10">
        <v>0</v>
      </c>
      <c r="CC121" s="10">
        <v>0</v>
      </c>
      <c r="CD121" s="10">
        <v>0</v>
      </c>
      <c r="CE121" s="10">
        <v>0</v>
      </c>
      <c r="CF121" s="10">
        <v>0</v>
      </c>
      <c r="CG121" s="10">
        <v>0</v>
      </c>
      <c r="CH121" s="10">
        <v>0</v>
      </c>
      <c r="CI121" s="10">
        <v>0</v>
      </c>
      <c r="CJ121" s="10">
        <v>0</v>
      </c>
      <c r="CK121" s="10">
        <v>0</v>
      </c>
      <c r="CL121" s="10">
        <v>0</v>
      </c>
      <c r="CM121" s="10">
        <v>0</v>
      </c>
      <c r="CN121" s="10">
        <v>0</v>
      </c>
      <c r="CO121" s="10">
        <v>0</v>
      </c>
      <c r="CP121" s="10">
        <v>0</v>
      </c>
      <c r="CQ121" s="10">
        <v>0</v>
      </c>
      <c r="CR121" s="10">
        <v>0</v>
      </c>
      <c r="CS121" s="10">
        <v>0</v>
      </c>
      <c r="CT121" s="10">
        <v>0</v>
      </c>
      <c r="CU121" s="10">
        <v>0</v>
      </c>
      <c r="CV121" s="10">
        <v>0</v>
      </c>
      <c r="CW121" s="10">
        <v>0</v>
      </c>
      <c r="CX121" s="10">
        <v>0</v>
      </c>
      <c r="CY121" s="10">
        <v>0</v>
      </c>
      <c r="CZ121" s="10">
        <v>0</v>
      </c>
      <c r="DA121" s="10">
        <v>0</v>
      </c>
      <c r="DB121" s="10">
        <v>0</v>
      </c>
      <c r="DC121" s="10">
        <v>0</v>
      </c>
      <c r="DD121" s="10">
        <v>0</v>
      </c>
      <c r="DE121" s="10">
        <v>0</v>
      </c>
      <c r="DF121" s="10">
        <v>0</v>
      </c>
      <c r="DG121" s="10">
        <v>0</v>
      </c>
      <c r="DH121" s="10">
        <v>0</v>
      </c>
      <c r="DI121" s="10">
        <v>0</v>
      </c>
      <c r="DJ121" s="10">
        <v>0</v>
      </c>
      <c r="DK121" s="10">
        <v>0</v>
      </c>
      <c r="DL121" s="10">
        <v>0</v>
      </c>
      <c r="DM121" s="10">
        <v>0</v>
      </c>
      <c r="DN121" s="10">
        <v>0</v>
      </c>
      <c r="DO121" s="10">
        <v>0</v>
      </c>
      <c r="DP121" s="10">
        <v>0</v>
      </c>
      <c r="DQ121" s="10">
        <v>0</v>
      </c>
      <c r="DR121" s="10">
        <v>0</v>
      </c>
      <c r="DS121" s="10">
        <v>0</v>
      </c>
      <c r="DT121" s="10">
        <v>0</v>
      </c>
      <c r="DU121" s="10">
        <v>0</v>
      </c>
      <c r="DV121" s="10">
        <v>0</v>
      </c>
      <c r="DW121" s="10">
        <v>0</v>
      </c>
      <c r="DX121" s="10">
        <v>0.43193568046189657</v>
      </c>
      <c r="DY121" s="10">
        <v>0</v>
      </c>
      <c r="DZ121" s="10">
        <v>0</v>
      </c>
      <c r="EA121" s="10">
        <v>0</v>
      </c>
      <c r="EB121" s="10">
        <v>0</v>
      </c>
      <c r="EC121" s="10">
        <v>0</v>
      </c>
      <c r="ED121" s="10">
        <v>0</v>
      </c>
      <c r="EE121" s="10">
        <v>0</v>
      </c>
      <c r="EF121" s="10">
        <v>0</v>
      </c>
      <c r="EG121" s="10">
        <v>0</v>
      </c>
      <c r="EH121" s="10">
        <v>0</v>
      </c>
      <c r="EI121" s="10">
        <v>0</v>
      </c>
      <c r="EJ121" s="10">
        <v>0</v>
      </c>
      <c r="EK121" s="10">
        <v>0</v>
      </c>
      <c r="EL121" s="10">
        <v>0</v>
      </c>
      <c r="EM121" s="10">
        <v>0</v>
      </c>
      <c r="EN121" s="10">
        <v>0</v>
      </c>
      <c r="EO121" s="10">
        <v>0</v>
      </c>
      <c r="EP121" s="10">
        <v>0</v>
      </c>
      <c r="EQ121" s="10">
        <v>0</v>
      </c>
      <c r="ER121" s="10">
        <v>0</v>
      </c>
      <c r="ES121" s="10">
        <v>0</v>
      </c>
      <c r="ET121" s="10">
        <v>0.31297009134860621</v>
      </c>
      <c r="EU121" s="10">
        <v>0</v>
      </c>
      <c r="EV121" s="10">
        <v>0</v>
      </c>
      <c r="EW121" s="10">
        <v>0</v>
      </c>
      <c r="EX121" s="10">
        <v>0</v>
      </c>
      <c r="EY121" s="10">
        <v>0</v>
      </c>
      <c r="EZ121" s="10">
        <v>0</v>
      </c>
      <c r="FA121" s="10">
        <v>0</v>
      </c>
      <c r="FB121" s="10">
        <v>0</v>
      </c>
      <c r="FC121" s="10">
        <v>0</v>
      </c>
      <c r="FD121" s="10">
        <v>0</v>
      </c>
      <c r="FE121" s="10">
        <v>0</v>
      </c>
      <c r="FF121" s="10">
        <v>0</v>
      </c>
      <c r="FG121" s="10">
        <v>0</v>
      </c>
      <c r="FH121" s="10">
        <v>0</v>
      </c>
      <c r="FI121" s="10">
        <v>0</v>
      </c>
      <c r="FJ121" s="10">
        <v>0</v>
      </c>
      <c r="FK121" s="10">
        <v>0</v>
      </c>
      <c r="FL121" s="10">
        <v>0</v>
      </c>
      <c r="FM121" s="10">
        <v>0</v>
      </c>
      <c r="FN121" s="10">
        <v>0</v>
      </c>
      <c r="FO121" s="10">
        <v>0</v>
      </c>
      <c r="FP121" s="10">
        <v>0</v>
      </c>
      <c r="FQ121" s="10">
        <v>0</v>
      </c>
      <c r="FR121" s="10">
        <v>0</v>
      </c>
      <c r="FS121" s="10">
        <v>0</v>
      </c>
      <c r="FT121" s="10">
        <v>0</v>
      </c>
      <c r="FU121" s="10">
        <v>0</v>
      </c>
      <c r="FV121" s="10">
        <v>0</v>
      </c>
      <c r="FW121" s="10">
        <v>0</v>
      </c>
      <c r="FX121" s="10">
        <v>0</v>
      </c>
      <c r="FY121" s="10">
        <v>0</v>
      </c>
      <c r="FZ121" s="10">
        <v>0</v>
      </c>
      <c r="GA121" s="10">
        <v>0</v>
      </c>
      <c r="GB121" s="10">
        <v>0.25509422818949734</v>
      </c>
      <c r="GC121" s="10">
        <v>0</v>
      </c>
      <c r="GD121" s="10">
        <v>0</v>
      </c>
      <c r="GE121" s="10">
        <v>0</v>
      </c>
      <c r="GF121" s="10">
        <v>0</v>
      </c>
      <c r="GG121" s="10">
        <v>0</v>
      </c>
      <c r="GH121" s="10">
        <v>0</v>
      </c>
      <c r="GI121" s="10">
        <v>0</v>
      </c>
      <c r="GJ121" s="10">
        <v>0</v>
      </c>
      <c r="GK121" s="10">
        <v>0</v>
      </c>
      <c r="GL121" s="10">
        <v>0</v>
      </c>
      <c r="GM121" s="10">
        <v>0</v>
      </c>
      <c r="GN121" s="10">
        <v>0</v>
      </c>
      <c r="GO121" s="10">
        <v>0</v>
      </c>
      <c r="GP121" s="10">
        <v>0</v>
      </c>
      <c r="GQ121" s="10">
        <v>0</v>
      </c>
      <c r="GR121" s="10">
        <v>0</v>
      </c>
      <c r="GS121" s="10">
        <v>0</v>
      </c>
      <c r="GT121" s="10">
        <v>0</v>
      </c>
      <c r="GU121" s="10">
        <v>0</v>
      </c>
      <c r="GV121" s="10">
        <v>0</v>
      </c>
      <c r="GW121" s="10">
        <v>0</v>
      </c>
      <c r="GX121" s="10">
        <v>0</v>
      </c>
      <c r="GY121" s="10">
        <v>0</v>
      </c>
      <c r="GZ121" s="10">
        <v>0</v>
      </c>
      <c r="HA121" s="10">
        <v>0</v>
      </c>
      <c r="HB121" s="10">
        <v>0</v>
      </c>
      <c r="HC121" s="10">
        <v>0</v>
      </c>
      <c r="HD121" s="10">
        <v>0</v>
      </c>
      <c r="HE121" s="10">
        <v>0</v>
      </c>
      <c r="HF121" s="10">
        <v>0</v>
      </c>
      <c r="HG121" s="10">
        <v>0</v>
      </c>
      <c r="HH121" s="10">
        <v>0</v>
      </c>
      <c r="HI121" s="10">
        <v>0</v>
      </c>
      <c r="HJ121" s="10">
        <v>0</v>
      </c>
      <c r="HK121" s="10">
        <v>0</v>
      </c>
      <c r="HL121" s="10">
        <v>0</v>
      </c>
      <c r="HM121" s="10">
        <v>0</v>
      </c>
      <c r="HN121" s="10">
        <v>0</v>
      </c>
      <c r="HO121" s="10">
        <v>0</v>
      </c>
      <c r="HP121" s="10">
        <v>0</v>
      </c>
      <c r="HQ121" s="10">
        <v>0</v>
      </c>
      <c r="HR121" s="10">
        <v>0</v>
      </c>
      <c r="HS121" s="10">
        <v>0</v>
      </c>
      <c r="HT121" s="10">
        <v>0</v>
      </c>
      <c r="HU121" s="10">
        <v>0</v>
      </c>
    </row>
    <row r="122" spans="1:229" x14ac:dyDescent="0.25">
      <c r="A122" s="10">
        <v>0</v>
      </c>
      <c r="B122" s="2" t="s">
        <v>232</v>
      </c>
      <c r="C122" s="2" t="s">
        <v>233</v>
      </c>
      <c r="D122" s="2">
        <v>20.638999999999999</v>
      </c>
      <c r="E122" s="2">
        <v>21.58</v>
      </c>
      <c r="F122" s="2">
        <v>0.12</v>
      </c>
      <c r="G122" s="2">
        <v>0</v>
      </c>
      <c r="H122" s="2">
        <v>0.12</v>
      </c>
      <c r="I122" s="2">
        <v>415</v>
      </c>
      <c r="J122" s="2">
        <v>6.8079999999999998</v>
      </c>
      <c r="K122" s="2">
        <v>0.70899999999999996</v>
      </c>
      <c r="L122" s="3"/>
      <c r="M122" s="2" t="str">
        <f t="shared" si="8"/>
        <v>01157</v>
      </c>
      <c r="N122" s="3">
        <v>0.6240525527880888</v>
      </c>
      <c r="O122" s="3">
        <v>1.3759474472119115</v>
      </c>
      <c r="P122" s="17">
        <v>0.62405255278814475</v>
      </c>
      <c r="Q122" s="3">
        <v>1.3759474472119109</v>
      </c>
      <c r="R122" s="3">
        <v>12.744172395208414</v>
      </c>
      <c r="S122" s="3" t="e">
        <v>#DIV/0!</v>
      </c>
      <c r="T122" s="3">
        <v>0.62405255278818883</v>
      </c>
      <c r="U122" s="3">
        <v>0.6240525527880888</v>
      </c>
      <c r="V122" s="3">
        <v>1.7697999594527301</v>
      </c>
      <c r="W122" s="3">
        <v>5.8693535744274588</v>
      </c>
      <c r="X122" s="3">
        <v>12.879820636994518</v>
      </c>
      <c r="Y122" s="3">
        <v>29.692945910833032</v>
      </c>
      <c r="Z122" s="3">
        <v>1.5293006874250097</v>
      </c>
      <c r="AA122" s="3">
        <v>0</v>
      </c>
      <c r="AB122" s="3">
        <v>7.4886306334582653E-2</v>
      </c>
      <c r="AC122" s="3">
        <v>258.98180940705686</v>
      </c>
      <c r="AD122" s="3">
        <v>12.048798123954185</v>
      </c>
      <c r="AE122" s="3">
        <v>4.161371684269068</v>
      </c>
      <c r="AF122" s="3">
        <v>0</v>
      </c>
      <c r="AG122" s="3">
        <v>0</v>
      </c>
      <c r="AH122" s="3">
        <v>0</v>
      </c>
      <c r="AI122" s="3">
        <v>0</v>
      </c>
      <c r="AJ122" s="3">
        <v>0</v>
      </c>
      <c r="AK122" s="3">
        <v>0</v>
      </c>
      <c r="AL122" s="3">
        <v>0</v>
      </c>
      <c r="AM122" s="3">
        <v>0</v>
      </c>
      <c r="AN122" s="3">
        <v>0</v>
      </c>
      <c r="AO122" s="3">
        <v>0</v>
      </c>
      <c r="AP122" s="3">
        <v>0</v>
      </c>
      <c r="AQ122" s="3">
        <v>0</v>
      </c>
      <c r="AR122" s="3">
        <v>0</v>
      </c>
      <c r="AS122" s="3">
        <v>0</v>
      </c>
      <c r="AT122" s="3">
        <v>0</v>
      </c>
      <c r="AU122" s="3">
        <v>0</v>
      </c>
      <c r="AV122" s="3">
        <v>0</v>
      </c>
      <c r="AW122" s="3">
        <v>0</v>
      </c>
      <c r="AX122" s="3">
        <v>0</v>
      </c>
      <c r="AY122" s="3">
        <v>0</v>
      </c>
      <c r="AZ122" s="3">
        <v>0</v>
      </c>
      <c r="BA122" s="10">
        <v>0</v>
      </c>
      <c r="BB122" s="10">
        <v>0</v>
      </c>
      <c r="BC122" s="10">
        <v>0</v>
      </c>
      <c r="BD122" s="10">
        <v>0</v>
      </c>
      <c r="BE122" s="10">
        <v>0</v>
      </c>
      <c r="BF122" s="10">
        <v>0</v>
      </c>
      <c r="BG122" s="10">
        <v>0</v>
      </c>
      <c r="BH122" s="10">
        <v>0</v>
      </c>
      <c r="BI122" s="10">
        <v>0</v>
      </c>
      <c r="BJ122" s="10">
        <v>0</v>
      </c>
      <c r="BK122" s="10">
        <v>0</v>
      </c>
      <c r="BL122" s="10">
        <v>0.24756158135701198</v>
      </c>
      <c r="BM122" s="10">
        <v>0</v>
      </c>
      <c r="BN122" s="10">
        <v>0</v>
      </c>
      <c r="BO122" s="10">
        <v>0</v>
      </c>
      <c r="BP122" s="10">
        <v>0</v>
      </c>
      <c r="BQ122" s="10">
        <v>0</v>
      </c>
      <c r="BR122" s="10">
        <v>0</v>
      </c>
      <c r="BS122" s="10">
        <v>0</v>
      </c>
      <c r="BT122" s="10">
        <v>0</v>
      </c>
      <c r="BU122" s="10">
        <v>0</v>
      </c>
      <c r="BV122" s="10">
        <v>0</v>
      </c>
      <c r="BW122" s="10">
        <v>0</v>
      </c>
      <c r="BX122" s="10">
        <v>0</v>
      </c>
      <c r="BY122" s="10">
        <v>0</v>
      </c>
      <c r="BZ122" s="10">
        <v>0</v>
      </c>
      <c r="CA122" s="10">
        <v>0</v>
      </c>
      <c r="CB122" s="10">
        <v>0</v>
      </c>
      <c r="CC122" s="10">
        <v>0</v>
      </c>
      <c r="CD122" s="10">
        <v>0</v>
      </c>
      <c r="CE122" s="10">
        <v>0</v>
      </c>
      <c r="CF122" s="10">
        <v>0</v>
      </c>
      <c r="CG122" s="10">
        <v>0</v>
      </c>
      <c r="CH122" s="10">
        <v>0</v>
      </c>
      <c r="CI122" s="10">
        <v>0</v>
      </c>
      <c r="CJ122" s="10">
        <v>0</v>
      </c>
      <c r="CK122" s="10">
        <v>0</v>
      </c>
      <c r="CL122" s="10">
        <v>0</v>
      </c>
      <c r="CM122" s="10">
        <v>0</v>
      </c>
      <c r="CN122" s="10">
        <v>0</v>
      </c>
      <c r="CO122" s="10">
        <v>0</v>
      </c>
      <c r="CP122" s="10">
        <v>0</v>
      </c>
      <c r="CQ122" s="10">
        <v>0</v>
      </c>
      <c r="CR122" s="10">
        <v>0</v>
      </c>
      <c r="CS122" s="10">
        <v>0</v>
      </c>
      <c r="CT122" s="10">
        <v>0</v>
      </c>
      <c r="CU122" s="10">
        <v>0</v>
      </c>
      <c r="CV122" s="10">
        <v>0</v>
      </c>
      <c r="CW122" s="10">
        <v>0</v>
      </c>
      <c r="CX122" s="10">
        <v>0</v>
      </c>
      <c r="CY122" s="10">
        <v>0</v>
      </c>
      <c r="CZ122" s="10">
        <v>0</v>
      </c>
      <c r="DA122" s="10">
        <v>0</v>
      </c>
      <c r="DB122" s="10">
        <v>0</v>
      </c>
      <c r="DC122" s="10">
        <v>0</v>
      </c>
      <c r="DD122" s="10">
        <v>0</v>
      </c>
      <c r="DE122" s="10">
        <v>0</v>
      </c>
      <c r="DF122" s="10">
        <v>0</v>
      </c>
      <c r="DG122" s="10">
        <v>0</v>
      </c>
      <c r="DH122" s="10">
        <v>0</v>
      </c>
      <c r="DI122" s="10">
        <v>0</v>
      </c>
      <c r="DJ122" s="10">
        <v>0</v>
      </c>
      <c r="DK122" s="10">
        <v>0</v>
      </c>
      <c r="DL122" s="10">
        <v>0</v>
      </c>
      <c r="DM122" s="10">
        <v>0</v>
      </c>
      <c r="DN122" s="10">
        <v>0</v>
      </c>
      <c r="DO122" s="10">
        <v>0</v>
      </c>
      <c r="DP122" s="10">
        <v>0</v>
      </c>
      <c r="DQ122" s="10">
        <v>0</v>
      </c>
      <c r="DR122" s="10">
        <v>0</v>
      </c>
      <c r="DS122" s="10">
        <v>0</v>
      </c>
      <c r="DT122" s="10">
        <v>0.38556293734541369</v>
      </c>
      <c r="DU122" s="10">
        <v>0</v>
      </c>
      <c r="DV122" s="10">
        <v>0</v>
      </c>
      <c r="DW122" s="10">
        <v>0</v>
      </c>
      <c r="DX122" s="10">
        <v>0</v>
      </c>
      <c r="DY122" s="10">
        <v>0.3399443866867245</v>
      </c>
      <c r="DZ122" s="10">
        <v>0</v>
      </c>
      <c r="EA122" s="10">
        <v>0</v>
      </c>
      <c r="EB122" s="10">
        <v>0</v>
      </c>
      <c r="EC122" s="10">
        <v>0</v>
      </c>
      <c r="ED122" s="10">
        <v>0</v>
      </c>
      <c r="EE122" s="10">
        <v>0</v>
      </c>
      <c r="EF122" s="10">
        <v>0</v>
      </c>
      <c r="EG122" s="10">
        <v>0</v>
      </c>
      <c r="EH122" s="10">
        <v>0</v>
      </c>
      <c r="EI122" s="10">
        <v>0</v>
      </c>
      <c r="EJ122" s="10">
        <v>0</v>
      </c>
      <c r="EK122" s="10">
        <v>0</v>
      </c>
      <c r="EL122" s="10">
        <v>0</v>
      </c>
      <c r="EM122" s="10">
        <v>0</v>
      </c>
      <c r="EN122" s="10">
        <v>0</v>
      </c>
      <c r="EO122" s="10">
        <v>0</v>
      </c>
      <c r="EP122" s="10">
        <v>0</v>
      </c>
      <c r="EQ122" s="10">
        <v>0</v>
      </c>
      <c r="ER122" s="10">
        <v>0</v>
      </c>
      <c r="ES122" s="10">
        <v>0</v>
      </c>
      <c r="ET122" s="10">
        <v>2.6931094610849911E-2</v>
      </c>
      <c r="EU122" s="10">
        <v>0</v>
      </c>
      <c r="EV122" s="10">
        <v>0</v>
      </c>
      <c r="EW122" s="10">
        <v>0</v>
      </c>
      <c r="EX122" s="10">
        <v>0</v>
      </c>
      <c r="EY122" s="10">
        <v>0</v>
      </c>
      <c r="EZ122" s="10">
        <v>0</v>
      </c>
      <c r="FA122" s="10">
        <v>0</v>
      </c>
      <c r="FB122" s="10">
        <v>0</v>
      </c>
      <c r="FC122" s="10">
        <v>0</v>
      </c>
      <c r="FD122" s="10">
        <v>0</v>
      </c>
      <c r="FE122" s="10">
        <v>0</v>
      </c>
      <c r="FF122" s="10">
        <v>0</v>
      </c>
      <c r="FG122" s="10">
        <v>0</v>
      </c>
      <c r="FH122" s="10">
        <v>0</v>
      </c>
      <c r="FI122" s="10">
        <v>0</v>
      </c>
      <c r="FJ122" s="10">
        <v>0</v>
      </c>
      <c r="FK122" s="10">
        <v>0</v>
      </c>
      <c r="FL122" s="10">
        <v>0</v>
      </c>
      <c r="FM122" s="10">
        <v>0</v>
      </c>
      <c r="FN122" s="10">
        <v>0</v>
      </c>
      <c r="FO122" s="10">
        <v>0</v>
      </c>
      <c r="FP122" s="10">
        <v>0</v>
      </c>
      <c r="FQ122" s="10">
        <v>0</v>
      </c>
      <c r="FR122" s="10">
        <v>0</v>
      </c>
      <c r="FS122" s="10">
        <v>0</v>
      </c>
      <c r="FT122" s="10">
        <v>0</v>
      </c>
      <c r="FU122" s="10">
        <v>0</v>
      </c>
      <c r="FV122" s="10">
        <v>0</v>
      </c>
      <c r="FW122" s="10">
        <v>0</v>
      </c>
      <c r="FX122" s="10">
        <v>0</v>
      </c>
      <c r="FY122" s="10">
        <v>0</v>
      </c>
      <c r="FZ122" s="10">
        <v>0</v>
      </c>
      <c r="GA122" s="10">
        <v>0</v>
      </c>
      <c r="GB122" s="10">
        <v>0</v>
      </c>
      <c r="GC122" s="10">
        <v>0</v>
      </c>
      <c r="GD122" s="10">
        <v>0</v>
      </c>
      <c r="GE122" s="10">
        <v>0</v>
      </c>
      <c r="GF122" s="10">
        <v>0</v>
      </c>
      <c r="GG122" s="10">
        <v>0</v>
      </c>
      <c r="GH122" s="10">
        <v>0</v>
      </c>
      <c r="GI122" s="10">
        <v>0</v>
      </c>
      <c r="GJ122" s="10">
        <v>0</v>
      </c>
      <c r="GK122" s="10">
        <v>0</v>
      </c>
      <c r="GL122" s="10">
        <v>0</v>
      </c>
      <c r="GM122" s="10">
        <v>0</v>
      </c>
      <c r="GN122" s="10">
        <v>0</v>
      </c>
      <c r="GO122" s="10">
        <v>0</v>
      </c>
      <c r="GP122" s="10">
        <v>0</v>
      </c>
      <c r="GQ122" s="10">
        <v>0</v>
      </c>
      <c r="GR122" s="10">
        <v>0</v>
      </c>
      <c r="GS122" s="10">
        <v>0</v>
      </c>
      <c r="GT122" s="10">
        <v>0</v>
      </c>
      <c r="GU122" s="10">
        <v>0</v>
      </c>
      <c r="GV122" s="10">
        <v>0</v>
      </c>
      <c r="GW122" s="10">
        <v>0</v>
      </c>
      <c r="GX122" s="10">
        <v>0</v>
      </c>
      <c r="GY122" s="10">
        <v>0</v>
      </c>
      <c r="GZ122" s="10">
        <v>0</v>
      </c>
      <c r="HA122" s="10">
        <v>0</v>
      </c>
      <c r="HB122" s="10">
        <v>0</v>
      </c>
      <c r="HC122" s="10">
        <v>0</v>
      </c>
      <c r="HD122" s="10">
        <v>0</v>
      </c>
      <c r="HE122" s="10">
        <v>0</v>
      </c>
      <c r="HF122" s="10">
        <v>0</v>
      </c>
      <c r="HG122" s="10">
        <v>0</v>
      </c>
      <c r="HH122" s="10">
        <v>0</v>
      </c>
      <c r="HI122" s="10">
        <v>0</v>
      </c>
      <c r="HJ122" s="10">
        <v>0</v>
      </c>
      <c r="HK122" s="10">
        <v>0</v>
      </c>
      <c r="HL122" s="10">
        <v>0</v>
      </c>
      <c r="HM122" s="10">
        <v>0</v>
      </c>
      <c r="HN122" s="10">
        <v>0</v>
      </c>
      <c r="HO122" s="10">
        <v>0</v>
      </c>
      <c r="HP122" s="10">
        <v>0</v>
      </c>
      <c r="HQ122" s="10">
        <v>0</v>
      </c>
      <c r="HR122" s="10">
        <v>0</v>
      </c>
      <c r="HS122" s="10">
        <v>0</v>
      </c>
      <c r="HT122" s="10">
        <v>0</v>
      </c>
      <c r="HU122" s="10">
        <v>0</v>
      </c>
    </row>
    <row r="123" spans="1:229" x14ac:dyDescent="0.25">
      <c r="A123" s="10">
        <v>0</v>
      </c>
      <c r="B123" s="2" t="s">
        <v>234</v>
      </c>
      <c r="C123" s="2" t="s">
        <v>235</v>
      </c>
      <c r="D123" s="2">
        <v>7.1589999999999998</v>
      </c>
      <c r="E123" s="2">
        <v>14.07</v>
      </c>
      <c r="F123" s="2">
        <v>1.77</v>
      </c>
      <c r="G123" s="2">
        <v>0</v>
      </c>
      <c r="H123" s="2">
        <v>7.0000000000000007E-2</v>
      </c>
      <c r="I123" s="2">
        <v>3487</v>
      </c>
      <c r="J123" s="2">
        <v>9.07</v>
      </c>
      <c r="K123" s="2">
        <v>3.7330000000000001</v>
      </c>
      <c r="L123" s="3"/>
      <c r="M123" s="2" t="str">
        <f t="shared" si="8"/>
        <v>01160</v>
      </c>
      <c r="N123" s="3">
        <v>0.9484894023576419</v>
      </c>
      <c r="O123" s="3">
        <v>1.0515105976423578</v>
      </c>
      <c r="P123" s="17">
        <v>0.94848940235908907</v>
      </c>
      <c r="Q123" s="3">
        <v>1.8133956401266467</v>
      </c>
      <c r="R123" s="3">
        <v>2.1233498664336676</v>
      </c>
      <c r="S123" s="3" t="e">
        <v>#DIV/0!</v>
      </c>
      <c r="T123" s="3">
        <v>0.94848940235763635</v>
      </c>
      <c r="U123" s="3">
        <v>8.5370735918783941E-2</v>
      </c>
      <c r="V123" s="3">
        <v>1.0515105976434571</v>
      </c>
      <c r="W123" s="3">
        <v>0.84724071819208624</v>
      </c>
      <c r="X123" s="3">
        <v>6.7902356314887182</v>
      </c>
      <c r="Y123" s="3">
        <v>25.51447665658192</v>
      </c>
      <c r="Z123" s="3">
        <v>3.758329263587592</v>
      </c>
      <c r="AA123" s="3">
        <v>8.2556783357573604E-2</v>
      </c>
      <c r="AB123" s="3">
        <v>6.6394258165034553E-2</v>
      </c>
      <c r="AC123" s="3">
        <v>297.68775614879962</v>
      </c>
      <c r="AD123" s="3">
        <v>9.5372011206261558</v>
      </c>
      <c r="AE123" s="3">
        <v>3.1627496010110581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3">
        <v>0</v>
      </c>
      <c r="AM123" s="3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3">
        <v>0</v>
      </c>
      <c r="AU123" s="3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10">
        <v>0</v>
      </c>
      <c r="BB123" s="10">
        <v>0</v>
      </c>
      <c r="BC123" s="10">
        <v>0</v>
      </c>
      <c r="BD123" s="10">
        <v>0</v>
      </c>
      <c r="BE123" s="10">
        <v>0</v>
      </c>
      <c r="BF123" s="10">
        <v>0</v>
      </c>
      <c r="BG123" s="10">
        <v>0</v>
      </c>
      <c r="BH123" s="10">
        <v>0</v>
      </c>
      <c r="BI123" s="10">
        <v>0</v>
      </c>
      <c r="BJ123" s="10">
        <v>0</v>
      </c>
      <c r="BK123" s="10">
        <v>0</v>
      </c>
      <c r="BL123" s="10">
        <v>0</v>
      </c>
      <c r="BM123" s="10">
        <v>0</v>
      </c>
      <c r="BN123" s="10">
        <v>0</v>
      </c>
      <c r="BO123" s="10">
        <v>0</v>
      </c>
      <c r="BP123" s="10">
        <v>0</v>
      </c>
      <c r="BQ123" s="10">
        <v>0</v>
      </c>
      <c r="BR123" s="10">
        <v>0</v>
      </c>
      <c r="BS123" s="10">
        <v>0</v>
      </c>
      <c r="BT123" s="10">
        <v>0</v>
      </c>
      <c r="BU123" s="10">
        <v>0</v>
      </c>
      <c r="BV123" s="10">
        <v>0</v>
      </c>
      <c r="BW123" s="10">
        <v>0</v>
      </c>
      <c r="BX123" s="10">
        <v>0</v>
      </c>
      <c r="BY123" s="10">
        <v>0</v>
      </c>
      <c r="BZ123" s="10">
        <v>0</v>
      </c>
      <c r="CA123" s="10">
        <v>0.50461461110932337</v>
      </c>
      <c r="CB123" s="10">
        <v>0</v>
      </c>
      <c r="CC123" s="10">
        <v>0</v>
      </c>
      <c r="CD123" s="10">
        <v>0</v>
      </c>
      <c r="CE123" s="10">
        <v>0</v>
      </c>
      <c r="CF123" s="10">
        <v>0</v>
      </c>
      <c r="CG123" s="10">
        <v>0</v>
      </c>
      <c r="CH123" s="10">
        <v>0</v>
      </c>
      <c r="CI123" s="10">
        <v>0</v>
      </c>
      <c r="CJ123" s="10">
        <v>0</v>
      </c>
      <c r="CK123" s="10">
        <v>0</v>
      </c>
      <c r="CL123" s="10">
        <v>0</v>
      </c>
      <c r="CM123" s="10">
        <v>0</v>
      </c>
      <c r="CN123" s="10">
        <v>0</v>
      </c>
      <c r="CO123" s="10">
        <v>0</v>
      </c>
      <c r="CP123" s="10">
        <v>0</v>
      </c>
      <c r="CQ123" s="10">
        <v>0</v>
      </c>
      <c r="CR123" s="10">
        <v>0</v>
      </c>
      <c r="CS123" s="10">
        <v>0</v>
      </c>
      <c r="CT123" s="10">
        <v>0</v>
      </c>
      <c r="CU123" s="10">
        <v>0</v>
      </c>
      <c r="CV123" s="10">
        <v>0</v>
      </c>
      <c r="CW123" s="10">
        <v>0</v>
      </c>
      <c r="CX123" s="10">
        <v>0</v>
      </c>
      <c r="CY123" s="10">
        <v>0</v>
      </c>
      <c r="CZ123" s="10">
        <v>0</v>
      </c>
      <c r="DA123" s="10">
        <v>0</v>
      </c>
      <c r="DB123" s="10">
        <v>0</v>
      </c>
      <c r="DC123" s="10">
        <v>0</v>
      </c>
      <c r="DD123" s="10">
        <v>0</v>
      </c>
      <c r="DE123" s="10">
        <v>0</v>
      </c>
      <c r="DF123" s="10">
        <v>0</v>
      </c>
      <c r="DG123" s="10">
        <v>0</v>
      </c>
      <c r="DH123" s="10">
        <v>0</v>
      </c>
      <c r="DI123" s="10">
        <v>0</v>
      </c>
      <c r="DJ123" s="10">
        <v>0</v>
      </c>
      <c r="DK123" s="10">
        <v>0</v>
      </c>
      <c r="DL123" s="10">
        <v>0</v>
      </c>
      <c r="DM123" s="10">
        <v>0</v>
      </c>
      <c r="DN123" s="10">
        <v>0</v>
      </c>
      <c r="DO123" s="10">
        <v>0</v>
      </c>
      <c r="DP123" s="10">
        <v>0</v>
      </c>
      <c r="DQ123" s="10">
        <v>0</v>
      </c>
      <c r="DR123" s="10">
        <v>0</v>
      </c>
      <c r="DS123" s="10">
        <v>0</v>
      </c>
      <c r="DT123" s="10">
        <v>0</v>
      </c>
      <c r="DU123" s="10">
        <v>0</v>
      </c>
      <c r="DV123" s="10">
        <v>0</v>
      </c>
      <c r="DW123" s="10">
        <v>0</v>
      </c>
      <c r="DX123" s="10">
        <v>0</v>
      </c>
      <c r="DY123" s="10">
        <v>0.4837576729248208</v>
      </c>
      <c r="DZ123" s="10">
        <v>0</v>
      </c>
      <c r="EA123" s="10">
        <v>0</v>
      </c>
      <c r="EB123" s="10">
        <v>0</v>
      </c>
      <c r="EC123" s="10">
        <v>0</v>
      </c>
      <c r="ED123" s="10">
        <v>0</v>
      </c>
      <c r="EE123" s="10">
        <v>0</v>
      </c>
      <c r="EF123" s="10">
        <v>0</v>
      </c>
      <c r="EG123" s="10">
        <v>0</v>
      </c>
      <c r="EH123" s="10">
        <v>0</v>
      </c>
      <c r="EI123" s="10">
        <v>0</v>
      </c>
      <c r="EJ123" s="10">
        <v>0</v>
      </c>
      <c r="EK123" s="10">
        <v>0</v>
      </c>
      <c r="EL123" s="10">
        <v>0</v>
      </c>
      <c r="EM123" s="10">
        <v>0</v>
      </c>
      <c r="EN123" s="10">
        <v>0</v>
      </c>
      <c r="EO123" s="10">
        <v>0</v>
      </c>
      <c r="EP123" s="10">
        <v>0</v>
      </c>
      <c r="EQ123" s="10">
        <v>0</v>
      </c>
      <c r="ER123" s="10">
        <v>0</v>
      </c>
      <c r="ES123" s="10">
        <v>0</v>
      </c>
      <c r="ET123" s="10">
        <v>0</v>
      </c>
      <c r="EU123" s="10">
        <v>0</v>
      </c>
      <c r="EV123" s="10">
        <v>0</v>
      </c>
      <c r="EW123" s="10">
        <v>0</v>
      </c>
      <c r="EX123" s="10">
        <v>0</v>
      </c>
      <c r="EY123" s="10">
        <v>0</v>
      </c>
      <c r="EZ123" s="10">
        <v>0</v>
      </c>
      <c r="FA123" s="10">
        <v>0</v>
      </c>
      <c r="FB123" s="10">
        <v>0</v>
      </c>
      <c r="FC123" s="10">
        <v>0</v>
      </c>
      <c r="FD123" s="10">
        <v>0</v>
      </c>
      <c r="FE123" s="10">
        <v>0</v>
      </c>
      <c r="FF123" s="10">
        <v>0</v>
      </c>
      <c r="FG123" s="10">
        <v>0</v>
      </c>
      <c r="FH123" s="10">
        <v>0</v>
      </c>
      <c r="FI123" s="10">
        <v>0</v>
      </c>
      <c r="FJ123" s="10">
        <v>0</v>
      </c>
      <c r="FK123" s="10">
        <v>0</v>
      </c>
      <c r="FL123" s="10">
        <v>0</v>
      </c>
      <c r="FM123" s="10">
        <v>0</v>
      </c>
      <c r="FN123" s="10">
        <v>0</v>
      </c>
      <c r="FO123" s="10">
        <v>0</v>
      </c>
      <c r="FP123" s="10">
        <v>0</v>
      </c>
      <c r="FQ123" s="10">
        <v>0</v>
      </c>
      <c r="FR123" s="10">
        <v>0</v>
      </c>
      <c r="FS123" s="10">
        <v>0</v>
      </c>
      <c r="FT123" s="10">
        <v>0</v>
      </c>
      <c r="FU123" s="10">
        <v>0</v>
      </c>
      <c r="FV123" s="10">
        <v>0</v>
      </c>
      <c r="FW123" s="10">
        <v>0</v>
      </c>
      <c r="FX123" s="10">
        <v>0</v>
      </c>
      <c r="FY123" s="10">
        <v>0</v>
      </c>
      <c r="FZ123" s="10">
        <v>0</v>
      </c>
      <c r="GA123" s="10">
        <v>1.1627715965855438E-2</v>
      </c>
      <c r="GB123" s="10">
        <v>0</v>
      </c>
      <c r="GC123" s="10">
        <v>0</v>
      </c>
      <c r="GD123" s="10">
        <v>0</v>
      </c>
      <c r="GE123" s="10">
        <v>0</v>
      </c>
      <c r="GF123" s="10">
        <v>0</v>
      </c>
      <c r="GG123" s="10">
        <v>0</v>
      </c>
      <c r="GH123" s="10">
        <v>0</v>
      </c>
      <c r="GI123" s="10">
        <v>0</v>
      </c>
      <c r="GJ123" s="10">
        <v>0</v>
      </c>
      <c r="GK123" s="10">
        <v>0</v>
      </c>
      <c r="GL123" s="10">
        <v>0</v>
      </c>
      <c r="GM123" s="10">
        <v>0</v>
      </c>
      <c r="GN123" s="10">
        <v>0</v>
      </c>
      <c r="GO123" s="10">
        <v>0</v>
      </c>
      <c r="GP123" s="10">
        <v>0</v>
      </c>
      <c r="GQ123" s="10">
        <v>0</v>
      </c>
      <c r="GR123" s="10">
        <v>0</v>
      </c>
      <c r="GS123" s="10">
        <v>0</v>
      </c>
      <c r="GT123" s="10">
        <v>0</v>
      </c>
      <c r="GU123" s="10">
        <v>0</v>
      </c>
      <c r="GV123" s="10">
        <v>0</v>
      </c>
      <c r="GW123" s="10">
        <v>0</v>
      </c>
      <c r="GX123" s="10">
        <v>0</v>
      </c>
      <c r="GY123" s="10">
        <v>0</v>
      </c>
      <c r="GZ123" s="10">
        <v>0</v>
      </c>
      <c r="HA123" s="10">
        <v>0</v>
      </c>
      <c r="HB123" s="10">
        <v>0</v>
      </c>
      <c r="HC123" s="10">
        <v>0</v>
      </c>
      <c r="HD123" s="10">
        <v>0</v>
      </c>
      <c r="HE123" s="10">
        <v>0</v>
      </c>
      <c r="HF123" s="10">
        <v>0</v>
      </c>
      <c r="HG123" s="10">
        <v>0</v>
      </c>
      <c r="HH123" s="10">
        <v>0</v>
      </c>
      <c r="HI123" s="10">
        <v>0</v>
      </c>
      <c r="HJ123" s="10">
        <v>0</v>
      </c>
      <c r="HK123" s="10">
        <v>0</v>
      </c>
      <c r="HL123" s="10">
        <v>0</v>
      </c>
      <c r="HM123" s="10">
        <v>0</v>
      </c>
      <c r="HN123" s="10">
        <v>0</v>
      </c>
      <c r="HO123" s="10">
        <v>0</v>
      </c>
      <c r="HP123" s="10">
        <v>0</v>
      </c>
      <c r="HQ123" s="10">
        <v>0</v>
      </c>
      <c r="HR123" s="10">
        <v>0</v>
      </c>
      <c r="HS123" s="10">
        <v>0</v>
      </c>
      <c r="HT123" s="10">
        <v>0</v>
      </c>
      <c r="HU123" s="10">
        <v>0</v>
      </c>
    </row>
    <row r="124" spans="1:229" x14ac:dyDescent="0.25">
      <c r="A124" s="10">
        <v>0</v>
      </c>
      <c r="B124" s="2" t="s">
        <v>236</v>
      </c>
      <c r="C124" s="2" t="s">
        <v>237</v>
      </c>
      <c r="D124" s="2">
        <v>3.7109999999999999</v>
      </c>
      <c r="E124" s="2">
        <v>11.47</v>
      </c>
      <c r="F124" s="2">
        <v>23.67</v>
      </c>
      <c r="G124" s="2">
        <v>0</v>
      </c>
      <c r="H124" s="2">
        <v>23.67</v>
      </c>
      <c r="I124" s="2">
        <v>685</v>
      </c>
      <c r="J124" s="2">
        <v>6.2430000000000003</v>
      </c>
      <c r="K124" s="2">
        <v>1.738</v>
      </c>
      <c r="L124" s="3"/>
      <c r="M124" s="2" t="str">
        <f t="shared" si="8"/>
        <v>01161</v>
      </c>
      <c r="N124" s="3">
        <v>0.39607808743470035</v>
      </c>
      <c r="O124" s="3">
        <v>1.603921912565299</v>
      </c>
      <c r="P124" s="17">
        <v>0.39607808743467976</v>
      </c>
      <c r="Q124" s="3">
        <v>3.2130539399012203</v>
      </c>
      <c r="R124" s="3">
        <v>0.65801307584488944</v>
      </c>
      <c r="S124" s="3" t="e">
        <v>#DIV/0!</v>
      </c>
      <c r="T124" s="3">
        <v>0.19037144843713238</v>
      </c>
      <c r="U124" s="3">
        <v>0.39607808743470113</v>
      </c>
      <c r="V124" s="3">
        <v>1.6039219125652679</v>
      </c>
      <c r="W124" s="3">
        <v>0.91292799260367097</v>
      </c>
      <c r="X124" s="3">
        <v>1.4698457824700966</v>
      </c>
      <c r="Y124" s="3">
        <v>36.853728690666998</v>
      </c>
      <c r="Z124" s="3">
        <v>15.575169505248535</v>
      </c>
      <c r="AA124" s="3">
        <v>5.5964347670887404</v>
      </c>
      <c r="AB124" s="3">
        <v>4.5060921845069242</v>
      </c>
      <c r="AC124" s="3">
        <v>271.31348989277029</v>
      </c>
      <c r="AD124" s="3">
        <v>10.013284500144968</v>
      </c>
      <c r="AE124" s="3">
        <v>1.5866688511451801</v>
      </c>
      <c r="AF124" s="3">
        <v>0</v>
      </c>
      <c r="AG124" s="3">
        <v>0</v>
      </c>
      <c r="AH124" s="3">
        <v>0</v>
      </c>
      <c r="AI124" s="3">
        <v>0</v>
      </c>
      <c r="AJ124" s="3">
        <v>0</v>
      </c>
      <c r="AK124" s="3">
        <v>0</v>
      </c>
      <c r="AL124" s="3">
        <v>0</v>
      </c>
      <c r="AM124" s="3">
        <v>0</v>
      </c>
      <c r="AN124" s="3">
        <v>0</v>
      </c>
      <c r="AO124" s="3">
        <v>0</v>
      </c>
      <c r="AP124" s="3">
        <v>0</v>
      </c>
      <c r="AQ124" s="3">
        <v>0</v>
      </c>
      <c r="AR124" s="3">
        <v>0</v>
      </c>
      <c r="AS124" s="3">
        <v>0</v>
      </c>
      <c r="AT124" s="3">
        <v>0</v>
      </c>
      <c r="AU124" s="3">
        <v>0</v>
      </c>
      <c r="AV124" s="3">
        <v>0</v>
      </c>
      <c r="AW124" s="3">
        <v>0</v>
      </c>
      <c r="AX124" s="3">
        <v>0</v>
      </c>
      <c r="AY124" s="3">
        <v>0</v>
      </c>
      <c r="AZ124" s="3">
        <v>0</v>
      </c>
      <c r="BA124" s="10">
        <v>0</v>
      </c>
      <c r="BB124" s="10">
        <v>0</v>
      </c>
      <c r="BC124" s="10">
        <v>0</v>
      </c>
      <c r="BD124" s="10">
        <v>0</v>
      </c>
      <c r="BE124" s="10">
        <v>0</v>
      </c>
      <c r="BF124" s="10">
        <v>0</v>
      </c>
      <c r="BG124" s="10">
        <v>0</v>
      </c>
      <c r="BH124" s="10">
        <v>0</v>
      </c>
      <c r="BI124" s="10">
        <v>0</v>
      </c>
      <c r="BJ124" s="10">
        <v>0</v>
      </c>
      <c r="BK124" s="10">
        <v>0</v>
      </c>
      <c r="BL124" s="10">
        <v>0</v>
      </c>
      <c r="BM124" s="10">
        <v>0</v>
      </c>
      <c r="BN124" s="10">
        <v>0</v>
      </c>
      <c r="BO124" s="10">
        <v>0</v>
      </c>
      <c r="BP124" s="10">
        <v>0</v>
      </c>
      <c r="BQ124" s="10">
        <v>0</v>
      </c>
      <c r="BR124" s="10">
        <v>0</v>
      </c>
      <c r="BS124" s="10">
        <v>0</v>
      </c>
      <c r="BT124" s="10">
        <v>0</v>
      </c>
      <c r="BU124" s="10">
        <v>0</v>
      </c>
      <c r="BV124" s="10">
        <v>0</v>
      </c>
      <c r="BW124" s="10">
        <v>0</v>
      </c>
      <c r="BX124" s="10">
        <v>0</v>
      </c>
      <c r="BY124" s="10">
        <v>0</v>
      </c>
      <c r="BZ124" s="10">
        <v>0</v>
      </c>
      <c r="CA124" s="10">
        <v>0.20230999509754821</v>
      </c>
      <c r="CB124" s="10">
        <v>0</v>
      </c>
      <c r="CC124" s="10">
        <v>0</v>
      </c>
      <c r="CD124" s="10">
        <v>0</v>
      </c>
      <c r="CE124" s="10">
        <v>0</v>
      </c>
      <c r="CF124" s="10">
        <v>0</v>
      </c>
      <c r="CG124" s="10">
        <v>0</v>
      </c>
      <c r="CH124" s="10">
        <v>0</v>
      </c>
      <c r="CI124" s="10">
        <v>0</v>
      </c>
      <c r="CJ124" s="10">
        <v>0</v>
      </c>
      <c r="CK124" s="10">
        <v>0</v>
      </c>
      <c r="CL124" s="10">
        <v>0</v>
      </c>
      <c r="CM124" s="10">
        <v>0</v>
      </c>
      <c r="CN124" s="10">
        <v>0</v>
      </c>
      <c r="CO124" s="10">
        <v>0</v>
      </c>
      <c r="CP124" s="10">
        <v>0</v>
      </c>
      <c r="CQ124" s="10">
        <v>0</v>
      </c>
      <c r="CR124" s="10">
        <v>0</v>
      </c>
      <c r="CS124" s="10">
        <v>0</v>
      </c>
      <c r="CT124" s="10">
        <v>0</v>
      </c>
      <c r="CU124" s="10">
        <v>0</v>
      </c>
      <c r="CV124" s="10">
        <v>0</v>
      </c>
      <c r="CW124" s="10">
        <v>0</v>
      </c>
      <c r="CX124" s="10">
        <v>0</v>
      </c>
      <c r="CY124" s="10">
        <v>0</v>
      </c>
      <c r="CZ124" s="10">
        <v>0</v>
      </c>
      <c r="DA124" s="10">
        <v>0</v>
      </c>
      <c r="DB124" s="10">
        <v>0</v>
      </c>
      <c r="DC124" s="10">
        <v>0</v>
      </c>
      <c r="DD124" s="10">
        <v>0</v>
      </c>
      <c r="DE124" s="10">
        <v>0</v>
      </c>
      <c r="DF124" s="10">
        <v>0</v>
      </c>
      <c r="DG124" s="10">
        <v>0</v>
      </c>
      <c r="DH124" s="10">
        <v>0</v>
      </c>
      <c r="DI124" s="10">
        <v>0</v>
      </c>
      <c r="DJ124" s="10">
        <v>0</v>
      </c>
      <c r="DK124" s="10">
        <v>0</v>
      </c>
      <c r="DL124" s="10">
        <v>0</v>
      </c>
      <c r="DM124" s="10">
        <v>0</v>
      </c>
      <c r="DN124" s="10">
        <v>0</v>
      </c>
      <c r="DO124" s="10">
        <v>0</v>
      </c>
      <c r="DP124" s="10">
        <v>0</v>
      </c>
      <c r="DQ124" s="10">
        <v>0</v>
      </c>
      <c r="DR124" s="10">
        <v>0</v>
      </c>
      <c r="DS124" s="10">
        <v>9.4597560167132468E-3</v>
      </c>
      <c r="DT124" s="10">
        <v>0</v>
      </c>
      <c r="DU124" s="10">
        <v>0</v>
      </c>
      <c r="DV124" s="10">
        <v>0</v>
      </c>
      <c r="DW124" s="10">
        <v>0</v>
      </c>
      <c r="DX124" s="10">
        <v>0</v>
      </c>
      <c r="DY124" s="10">
        <v>0</v>
      </c>
      <c r="DZ124" s="10">
        <v>0</v>
      </c>
      <c r="EA124" s="10">
        <v>0</v>
      </c>
      <c r="EB124" s="10">
        <v>0</v>
      </c>
      <c r="EC124" s="10">
        <v>0</v>
      </c>
      <c r="ED124" s="10">
        <v>0</v>
      </c>
      <c r="EE124" s="10">
        <v>0</v>
      </c>
      <c r="EF124" s="10">
        <v>0</v>
      </c>
      <c r="EG124" s="10">
        <v>0</v>
      </c>
      <c r="EH124" s="10">
        <v>0</v>
      </c>
      <c r="EI124" s="10">
        <v>0</v>
      </c>
      <c r="EJ124" s="10">
        <v>0</v>
      </c>
      <c r="EK124" s="10">
        <v>0</v>
      </c>
      <c r="EL124" s="10">
        <v>0</v>
      </c>
      <c r="EM124" s="10">
        <v>0</v>
      </c>
      <c r="EN124" s="10">
        <v>0</v>
      </c>
      <c r="EO124" s="10">
        <v>0</v>
      </c>
      <c r="EP124" s="10">
        <v>0</v>
      </c>
      <c r="EQ124" s="10">
        <v>0</v>
      </c>
      <c r="ER124" s="10">
        <v>0</v>
      </c>
      <c r="ES124" s="10">
        <v>0</v>
      </c>
      <c r="ET124" s="10">
        <v>0</v>
      </c>
      <c r="EU124" s="10">
        <v>0</v>
      </c>
      <c r="EV124" s="10">
        <v>0</v>
      </c>
      <c r="EW124" s="10">
        <v>0</v>
      </c>
      <c r="EX124" s="10">
        <v>0</v>
      </c>
      <c r="EY124" s="10">
        <v>0</v>
      </c>
      <c r="EZ124" s="10">
        <v>0</v>
      </c>
      <c r="FA124" s="10">
        <v>0</v>
      </c>
      <c r="FB124" s="10">
        <v>0</v>
      </c>
      <c r="FC124" s="10">
        <v>0</v>
      </c>
      <c r="FD124" s="10">
        <v>0</v>
      </c>
      <c r="FE124" s="10">
        <v>0</v>
      </c>
      <c r="FF124" s="10">
        <v>0</v>
      </c>
      <c r="FG124" s="10">
        <v>0</v>
      </c>
      <c r="FH124" s="10">
        <v>0</v>
      </c>
      <c r="FI124" s="10">
        <v>0</v>
      </c>
      <c r="FJ124" s="10">
        <v>0</v>
      </c>
      <c r="FK124" s="10">
        <v>0</v>
      </c>
      <c r="FL124" s="10">
        <v>0</v>
      </c>
      <c r="FM124" s="10">
        <v>0</v>
      </c>
      <c r="FN124" s="10">
        <v>0</v>
      </c>
      <c r="FO124" s="10">
        <v>0</v>
      </c>
      <c r="FP124" s="10">
        <v>0</v>
      </c>
      <c r="FQ124" s="10">
        <v>0</v>
      </c>
      <c r="FR124" s="10">
        <v>0</v>
      </c>
      <c r="FS124" s="10">
        <v>0</v>
      </c>
      <c r="FT124" s="10">
        <v>0</v>
      </c>
      <c r="FU124" s="10">
        <v>0</v>
      </c>
      <c r="FV124" s="10">
        <v>0</v>
      </c>
      <c r="FW124" s="10">
        <v>0</v>
      </c>
      <c r="FX124" s="10">
        <v>0</v>
      </c>
      <c r="FY124" s="10">
        <v>0</v>
      </c>
      <c r="FZ124" s="10">
        <v>0</v>
      </c>
      <c r="GA124" s="10">
        <v>0.78823024888573812</v>
      </c>
      <c r="GB124" s="10">
        <v>0</v>
      </c>
      <c r="GC124" s="10">
        <v>0</v>
      </c>
      <c r="GD124" s="10">
        <v>0</v>
      </c>
      <c r="GE124" s="10">
        <v>0</v>
      </c>
      <c r="GF124" s="10">
        <v>0</v>
      </c>
      <c r="GG124" s="10">
        <v>0</v>
      </c>
      <c r="GH124" s="10">
        <v>0</v>
      </c>
      <c r="GI124" s="10">
        <v>0</v>
      </c>
      <c r="GJ124" s="10">
        <v>0</v>
      </c>
      <c r="GK124" s="10">
        <v>0</v>
      </c>
      <c r="GL124" s="10">
        <v>0</v>
      </c>
      <c r="GM124" s="10">
        <v>0</v>
      </c>
      <c r="GN124" s="10">
        <v>0</v>
      </c>
      <c r="GO124" s="10">
        <v>0</v>
      </c>
      <c r="GP124" s="10">
        <v>0</v>
      </c>
      <c r="GQ124" s="10">
        <v>0</v>
      </c>
      <c r="GR124" s="10">
        <v>0</v>
      </c>
      <c r="GS124" s="10">
        <v>0</v>
      </c>
      <c r="GT124" s="10">
        <v>0</v>
      </c>
      <c r="GU124" s="10">
        <v>0</v>
      </c>
      <c r="GV124" s="10">
        <v>0</v>
      </c>
      <c r="GW124" s="10">
        <v>0</v>
      </c>
      <c r="GX124" s="10">
        <v>0</v>
      </c>
      <c r="GY124" s="10">
        <v>0</v>
      </c>
      <c r="GZ124" s="10">
        <v>0</v>
      </c>
      <c r="HA124" s="10">
        <v>0</v>
      </c>
      <c r="HB124" s="10">
        <v>0</v>
      </c>
      <c r="HC124" s="10">
        <v>0</v>
      </c>
      <c r="HD124" s="10">
        <v>0</v>
      </c>
      <c r="HE124" s="10">
        <v>0</v>
      </c>
      <c r="HF124" s="10">
        <v>0</v>
      </c>
      <c r="HG124" s="10">
        <v>0</v>
      </c>
      <c r="HH124" s="10">
        <v>0</v>
      </c>
      <c r="HI124" s="10">
        <v>0</v>
      </c>
      <c r="HJ124" s="10">
        <v>0</v>
      </c>
      <c r="HK124" s="10">
        <v>0</v>
      </c>
      <c r="HL124" s="10">
        <v>0</v>
      </c>
      <c r="HM124" s="10">
        <v>0</v>
      </c>
      <c r="HN124" s="10">
        <v>0</v>
      </c>
      <c r="HO124" s="10">
        <v>0</v>
      </c>
      <c r="HP124" s="10">
        <v>0</v>
      </c>
      <c r="HQ124" s="10">
        <v>0</v>
      </c>
      <c r="HR124" s="10">
        <v>0</v>
      </c>
      <c r="HS124" s="10">
        <v>0</v>
      </c>
      <c r="HT124" s="10">
        <v>0</v>
      </c>
      <c r="HU124" s="10">
        <v>0</v>
      </c>
    </row>
    <row r="125" spans="1:229" x14ac:dyDescent="0.25">
      <c r="A125" s="10">
        <v>0</v>
      </c>
      <c r="B125" s="2" t="s">
        <v>238</v>
      </c>
      <c r="C125" s="2" t="s">
        <v>239</v>
      </c>
      <c r="D125" s="2">
        <v>8.0340000000000007</v>
      </c>
      <c r="E125" s="2">
        <v>10.33</v>
      </c>
      <c r="F125" s="2">
        <v>5.48</v>
      </c>
      <c r="G125" s="2">
        <v>0.1</v>
      </c>
      <c r="H125" s="2">
        <v>0.19</v>
      </c>
      <c r="I125" s="2">
        <v>493</v>
      </c>
      <c r="J125" s="2">
        <v>4.7350000000000003</v>
      </c>
      <c r="K125" s="2">
        <v>1.397</v>
      </c>
      <c r="L125" s="3"/>
      <c r="M125" s="2" t="str">
        <f t="shared" si="8"/>
        <v>01164</v>
      </c>
      <c r="N125" s="3">
        <v>0.56818233967702747</v>
      </c>
      <c r="O125" s="3">
        <v>1.4318176603229729</v>
      </c>
      <c r="P125" s="17">
        <v>0.56818233967707432</v>
      </c>
      <c r="Q125" s="3">
        <v>1.7206395174691205</v>
      </c>
      <c r="R125" s="3">
        <v>0.78140499782595296</v>
      </c>
      <c r="S125" s="3">
        <v>1.3423432158043884</v>
      </c>
      <c r="T125" s="3">
        <v>0.56818233967702436</v>
      </c>
      <c r="U125" s="3">
        <v>0.42907406641058343</v>
      </c>
      <c r="V125" s="3">
        <v>1.4318176603229755</v>
      </c>
      <c r="W125" s="3">
        <v>1.6315821372687489</v>
      </c>
      <c r="X125" s="3">
        <v>4.5647769169656156</v>
      </c>
      <c r="Y125" s="3">
        <v>17.774206215456015</v>
      </c>
      <c r="Z125" s="3">
        <v>4.2820993880862224</v>
      </c>
      <c r="AA125" s="3">
        <v>0.13423432158043885</v>
      </c>
      <c r="AB125" s="3">
        <v>0.10795464453863463</v>
      </c>
      <c r="AC125" s="3">
        <v>211.53351474041764</v>
      </c>
      <c r="AD125" s="3">
        <v>6.7796566216292895</v>
      </c>
      <c r="AE125" s="3">
        <v>2.2793202457644424</v>
      </c>
      <c r="AF125" s="3">
        <v>0</v>
      </c>
      <c r="AG125" s="3">
        <v>0</v>
      </c>
      <c r="AH125" s="3">
        <v>0</v>
      </c>
      <c r="AI125" s="3">
        <v>0</v>
      </c>
      <c r="AJ125" s="3">
        <v>0</v>
      </c>
      <c r="AK125" s="3">
        <v>0</v>
      </c>
      <c r="AL125" s="3">
        <v>0</v>
      </c>
      <c r="AM125" s="3">
        <v>0</v>
      </c>
      <c r="AN125" s="3">
        <v>0</v>
      </c>
      <c r="AO125" s="3">
        <v>0</v>
      </c>
      <c r="AP125" s="3">
        <v>0</v>
      </c>
      <c r="AQ125" s="3">
        <v>0</v>
      </c>
      <c r="AR125" s="3">
        <v>0</v>
      </c>
      <c r="AS125" s="3">
        <v>0</v>
      </c>
      <c r="AT125" s="3">
        <v>0</v>
      </c>
      <c r="AU125" s="3">
        <v>0</v>
      </c>
      <c r="AV125" s="3">
        <v>0</v>
      </c>
      <c r="AW125" s="3">
        <v>0</v>
      </c>
      <c r="AX125" s="3">
        <v>0</v>
      </c>
      <c r="AY125" s="3">
        <v>0</v>
      </c>
      <c r="AZ125" s="3">
        <v>0</v>
      </c>
      <c r="BA125" s="10">
        <v>0</v>
      </c>
      <c r="BB125" s="10">
        <v>0</v>
      </c>
      <c r="BC125" s="10">
        <v>0</v>
      </c>
      <c r="BD125" s="10">
        <v>0</v>
      </c>
      <c r="BE125" s="10">
        <v>0</v>
      </c>
      <c r="BF125" s="10">
        <v>0</v>
      </c>
      <c r="BG125" s="10">
        <v>0</v>
      </c>
      <c r="BH125" s="10">
        <v>0</v>
      </c>
      <c r="BI125" s="10">
        <v>0</v>
      </c>
      <c r="BJ125" s="10">
        <v>0</v>
      </c>
      <c r="BK125" s="10">
        <v>0</v>
      </c>
      <c r="BL125" s="10">
        <v>0</v>
      </c>
      <c r="BM125" s="10">
        <v>0</v>
      </c>
      <c r="BN125" s="10">
        <v>0</v>
      </c>
      <c r="BO125" s="10">
        <v>0</v>
      </c>
      <c r="BP125" s="10">
        <v>0</v>
      </c>
      <c r="BQ125" s="10">
        <v>0</v>
      </c>
      <c r="BR125" s="10">
        <v>0</v>
      </c>
      <c r="BS125" s="10">
        <v>0</v>
      </c>
      <c r="BT125" s="10">
        <v>0</v>
      </c>
      <c r="BU125" s="10">
        <v>0</v>
      </c>
      <c r="BV125" s="10">
        <v>0</v>
      </c>
      <c r="BW125" s="10">
        <v>0</v>
      </c>
      <c r="BX125" s="10">
        <v>0</v>
      </c>
      <c r="BY125" s="10">
        <v>0</v>
      </c>
      <c r="BZ125" s="10">
        <v>0</v>
      </c>
      <c r="CA125" s="10">
        <v>0.67683506753016842</v>
      </c>
      <c r="CB125" s="10">
        <v>0</v>
      </c>
      <c r="CC125" s="10">
        <v>0</v>
      </c>
      <c r="CD125" s="10">
        <v>0</v>
      </c>
      <c r="CE125" s="10">
        <v>0</v>
      </c>
      <c r="CF125" s="10">
        <v>0</v>
      </c>
      <c r="CG125" s="10">
        <v>0</v>
      </c>
      <c r="CH125" s="10">
        <v>0</v>
      </c>
      <c r="CI125" s="10">
        <v>0</v>
      </c>
      <c r="CJ125" s="10">
        <v>0</v>
      </c>
      <c r="CK125" s="10">
        <v>0</v>
      </c>
      <c r="CL125" s="10">
        <v>0</v>
      </c>
      <c r="CM125" s="10">
        <v>0</v>
      </c>
      <c r="CN125" s="10">
        <v>0</v>
      </c>
      <c r="CO125" s="10">
        <v>0</v>
      </c>
      <c r="CP125" s="10">
        <v>0</v>
      </c>
      <c r="CQ125" s="10">
        <v>0</v>
      </c>
      <c r="CR125" s="10">
        <v>0</v>
      </c>
      <c r="CS125" s="10">
        <v>0</v>
      </c>
      <c r="CT125" s="10">
        <v>0</v>
      </c>
      <c r="CU125" s="10">
        <v>0</v>
      </c>
      <c r="CV125" s="10">
        <v>0</v>
      </c>
      <c r="CW125" s="10">
        <v>0</v>
      </c>
      <c r="CX125" s="10">
        <v>0</v>
      </c>
      <c r="CY125" s="10">
        <v>0</v>
      </c>
      <c r="CZ125" s="10">
        <v>0</v>
      </c>
      <c r="DA125" s="10">
        <v>0</v>
      </c>
      <c r="DB125" s="10">
        <v>0</v>
      </c>
      <c r="DC125" s="10">
        <v>0</v>
      </c>
      <c r="DD125" s="10">
        <v>0</v>
      </c>
      <c r="DE125" s="10">
        <v>0</v>
      </c>
      <c r="DF125" s="10">
        <v>0</v>
      </c>
      <c r="DG125" s="10">
        <v>0</v>
      </c>
      <c r="DH125" s="10">
        <v>0</v>
      </c>
      <c r="DI125" s="10">
        <v>0</v>
      </c>
      <c r="DJ125" s="10">
        <v>0</v>
      </c>
      <c r="DK125" s="10">
        <v>0</v>
      </c>
      <c r="DL125" s="10">
        <v>0</v>
      </c>
      <c r="DM125" s="10">
        <v>0</v>
      </c>
      <c r="DN125" s="10">
        <v>0</v>
      </c>
      <c r="DO125" s="10">
        <v>0</v>
      </c>
      <c r="DP125" s="10">
        <v>0</v>
      </c>
      <c r="DQ125" s="10">
        <v>0</v>
      </c>
      <c r="DR125" s="10">
        <v>0</v>
      </c>
      <c r="DS125" s="10">
        <v>0</v>
      </c>
      <c r="DT125" s="10">
        <v>0</v>
      </c>
      <c r="DU125" s="10">
        <v>0</v>
      </c>
      <c r="DV125" s="10">
        <v>0</v>
      </c>
      <c r="DW125" s="10">
        <v>0</v>
      </c>
      <c r="DX125" s="10">
        <v>0</v>
      </c>
      <c r="DY125" s="10">
        <v>0.3042586899937138</v>
      </c>
      <c r="DZ125" s="10">
        <v>0</v>
      </c>
      <c r="EA125" s="10">
        <v>0</v>
      </c>
      <c r="EB125" s="10">
        <v>0</v>
      </c>
      <c r="EC125" s="10">
        <v>0</v>
      </c>
      <c r="ED125" s="10">
        <v>0</v>
      </c>
      <c r="EE125" s="10">
        <v>0</v>
      </c>
      <c r="EF125" s="10">
        <v>0</v>
      </c>
      <c r="EG125" s="10">
        <v>0</v>
      </c>
      <c r="EH125" s="10">
        <v>0</v>
      </c>
      <c r="EI125" s="10">
        <v>0</v>
      </c>
      <c r="EJ125" s="10">
        <v>0</v>
      </c>
      <c r="EK125" s="10">
        <v>0</v>
      </c>
      <c r="EL125" s="10">
        <v>0</v>
      </c>
      <c r="EM125" s="10">
        <v>0</v>
      </c>
      <c r="EN125" s="10">
        <v>0</v>
      </c>
      <c r="EO125" s="10">
        <v>0</v>
      </c>
      <c r="EP125" s="10">
        <v>0</v>
      </c>
      <c r="EQ125" s="10">
        <v>0</v>
      </c>
      <c r="ER125" s="10">
        <v>0</v>
      </c>
      <c r="ES125" s="10">
        <v>0</v>
      </c>
      <c r="ET125" s="10">
        <v>0</v>
      </c>
      <c r="EU125" s="10">
        <v>0</v>
      </c>
      <c r="EV125" s="10">
        <v>0</v>
      </c>
      <c r="EW125" s="10">
        <v>0</v>
      </c>
      <c r="EX125" s="10">
        <v>0</v>
      </c>
      <c r="EY125" s="10">
        <v>0</v>
      </c>
      <c r="EZ125" s="10">
        <v>0</v>
      </c>
      <c r="FA125" s="10">
        <v>0</v>
      </c>
      <c r="FB125" s="10">
        <v>0</v>
      </c>
      <c r="FC125" s="10">
        <v>0</v>
      </c>
      <c r="FD125" s="10">
        <v>0</v>
      </c>
      <c r="FE125" s="10">
        <v>0</v>
      </c>
      <c r="FF125" s="10">
        <v>0</v>
      </c>
      <c r="FG125" s="10">
        <v>0</v>
      </c>
      <c r="FH125" s="10">
        <v>0</v>
      </c>
      <c r="FI125" s="10">
        <v>0</v>
      </c>
      <c r="FJ125" s="10">
        <v>0</v>
      </c>
      <c r="FK125" s="10">
        <v>0</v>
      </c>
      <c r="FL125" s="10">
        <v>0</v>
      </c>
      <c r="FM125" s="10">
        <v>0</v>
      </c>
      <c r="FN125" s="10">
        <v>0</v>
      </c>
      <c r="FO125" s="10">
        <v>0</v>
      </c>
      <c r="FP125" s="10">
        <v>0</v>
      </c>
      <c r="FQ125" s="10">
        <v>0</v>
      </c>
      <c r="FR125" s="10">
        <v>0</v>
      </c>
      <c r="FS125" s="10">
        <v>0</v>
      </c>
      <c r="FT125" s="10">
        <v>0</v>
      </c>
      <c r="FU125" s="10">
        <v>0</v>
      </c>
      <c r="FV125" s="10">
        <v>0</v>
      </c>
      <c r="FW125" s="10">
        <v>0</v>
      </c>
      <c r="FX125" s="10">
        <v>0</v>
      </c>
      <c r="FY125" s="10">
        <v>0</v>
      </c>
      <c r="FZ125" s="10">
        <v>0</v>
      </c>
      <c r="GA125" s="10">
        <v>1.8906242476118149E-2</v>
      </c>
      <c r="GB125" s="10">
        <v>0</v>
      </c>
      <c r="GC125" s="10">
        <v>0</v>
      </c>
      <c r="GD125" s="10">
        <v>0</v>
      </c>
      <c r="GE125" s="10">
        <v>0</v>
      </c>
      <c r="GF125" s="10">
        <v>0</v>
      </c>
      <c r="GG125" s="10">
        <v>0</v>
      </c>
      <c r="GH125" s="10">
        <v>0</v>
      </c>
      <c r="GI125" s="10">
        <v>0</v>
      </c>
      <c r="GJ125" s="10">
        <v>0</v>
      </c>
      <c r="GK125" s="10">
        <v>0</v>
      </c>
      <c r="GL125" s="10">
        <v>0</v>
      </c>
      <c r="GM125" s="10">
        <v>0</v>
      </c>
      <c r="GN125" s="10">
        <v>0</v>
      </c>
      <c r="GO125" s="10">
        <v>0</v>
      </c>
      <c r="GP125" s="10">
        <v>0</v>
      </c>
      <c r="GQ125" s="10">
        <v>0</v>
      </c>
      <c r="GR125" s="10">
        <v>0</v>
      </c>
      <c r="GS125" s="10">
        <v>0</v>
      </c>
      <c r="GT125" s="10">
        <v>0</v>
      </c>
      <c r="GU125" s="10">
        <v>0</v>
      </c>
      <c r="GV125" s="10">
        <v>0</v>
      </c>
      <c r="GW125" s="10">
        <v>0</v>
      </c>
      <c r="GX125" s="10">
        <v>0</v>
      </c>
      <c r="GY125" s="10">
        <v>0</v>
      </c>
      <c r="GZ125" s="10">
        <v>0</v>
      </c>
      <c r="HA125" s="10">
        <v>0</v>
      </c>
      <c r="HB125" s="10">
        <v>0</v>
      </c>
      <c r="HC125" s="10">
        <v>0</v>
      </c>
      <c r="HD125" s="10">
        <v>0</v>
      </c>
      <c r="HE125" s="10">
        <v>0</v>
      </c>
      <c r="HF125" s="10">
        <v>0</v>
      </c>
      <c r="HG125" s="10">
        <v>0</v>
      </c>
      <c r="HH125" s="10">
        <v>0</v>
      </c>
      <c r="HI125" s="10">
        <v>0</v>
      </c>
      <c r="HJ125" s="10">
        <v>0</v>
      </c>
      <c r="HK125" s="10">
        <v>0</v>
      </c>
      <c r="HL125" s="10">
        <v>0</v>
      </c>
      <c r="HM125" s="10">
        <v>0</v>
      </c>
      <c r="HN125" s="10">
        <v>0</v>
      </c>
      <c r="HO125" s="10">
        <v>0</v>
      </c>
      <c r="HP125" s="10">
        <v>0</v>
      </c>
      <c r="HQ125" s="10">
        <v>0</v>
      </c>
      <c r="HR125" s="10">
        <v>0</v>
      </c>
      <c r="HS125" s="10">
        <v>0</v>
      </c>
      <c r="HT125" s="10">
        <v>0</v>
      </c>
      <c r="HU125" s="10">
        <v>0</v>
      </c>
    </row>
    <row r="126" spans="1:229" x14ac:dyDescent="0.25">
      <c r="A126" s="10">
        <v>0</v>
      </c>
      <c r="B126" s="2" t="s">
        <v>240</v>
      </c>
      <c r="C126" s="2" t="s">
        <v>241</v>
      </c>
      <c r="D126" s="2">
        <v>19.033000000000001</v>
      </c>
      <c r="E126" s="2">
        <v>21.44</v>
      </c>
      <c r="F126" s="2">
        <v>4.63</v>
      </c>
      <c r="G126" s="2">
        <v>0</v>
      </c>
      <c r="H126" s="2">
        <v>4.63</v>
      </c>
      <c r="I126" s="2">
        <v>1131</v>
      </c>
      <c r="J126" s="2">
        <v>8.5280000000000005</v>
      </c>
      <c r="K126" s="2">
        <v>0.90100000000000002</v>
      </c>
      <c r="L126" s="3"/>
      <c r="M126" s="2" t="str">
        <f t="shared" si="8"/>
        <v>01165</v>
      </c>
      <c r="N126" s="3">
        <v>0.40364148329369298</v>
      </c>
      <c r="O126" s="3">
        <v>1.5963585167063079</v>
      </c>
      <c r="P126" s="17">
        <v>0.40364148329366795</v>
      </c>
      <c r="Q126" s="3">
        <v>1.9224520125986857</v>
      </c>
      <c r="R126" s="3">
        <v>1.7234477055368491</v>
      </c>
      <c r="S126" s="3" t="e">
        <v>#DIV/0!</v>
      </c>
      <c r="T126" s="3">
        <v>0.40364148329369093</v>
      </c>
      <c r="U126" s="3">
        <v>0.36163306043837079</v>
      </c>
      <c r="V126" s="3">
        <v>1.5963585167061047</v>
      </c>
      <c r="W126" s="3">
        <v>4.1532229215692213</v>
      </c>
      <c r="X126" s="3">
        <v>7.6825083515283827</v>
      </c>
      <c r="Y126" s="3">
        <v>41.217371150115824</v>
      </c>
      <c r="Z126" s="3">
        <v>7.9795628766356117</v>
      </c>
      <c r="AA126" s="3">
        <v>2.323801485168739</v>
      </c>
      <c r="AB126" s="3">
        <v>1.8688600676497888</v>
      </c>
      <c r="AC126" s="3">
        <v>409.00699135579737</v>
      </c>
      <c r="AD126" s="3">
        <v>13.613745430469661</v>
      </c>
      <c r="AE126" s="3">
        <v>3.7420538523338682</v>
      </c>
      <c r="AF126" s="3">
        <v>0</v>
      </c>
      <c r="AG126" s="3">
        <v>0</v>
      </c>
      <c r="AH126" s="3">
        <v>0</v>
      </c>
      <c r="AI126" s="3">
        <v>0</v>
      </c>
      <c r="AJ126" s="3">
        <v>0</v>
      </c>
      <c r="AK126" s="3">
        <v>0</v>
      </c>
      <c r="AL126" s="3">
        <v>0</v>
      </c>
      <c r="AM126" s="3">
        <v>0</v>
      </c>
      <c r="AN126" s="3">
        <v>0</v>
      </c>
      <c r="AO126" s="3">
        <v>0</v>
      </c>
      <c r="AP126" s="3">
        <v>0</v>
      </c>
      <c r="AQ126" s="3">
        <v>0</v>
      </c>
      <c r="AR126" s="3">
        <v>0</v>
      </c>
      <c r="AS126" s="3">
        <v>0</v>
      </c>
      <c r="AT126" s="3">
        <v>0</v>
      </c>
      <c r="AU126" s="3">
        <v>0</v>
      </c>
      <c r="AV126" s="3">
        <v>0</v>
      </c>
      <c r="AW126" s="3">
        <v>0</v>
      </c>
      <c r="AX126" s="3">
        <v>0</v>
      </c>
      <c r="AY126" s="3">
        <v>0</v>
      </c>
      <c r="AZ126" s="3">
        <v>0</v>
      </c>
      <c r="BA126" s="10">
        <v>0</v>
      </c>
      <c r="BB126" s="10">
        <v>0</v>
      </c>
      <c r="BC126" s="10">
        <v>0</v>
      </c>
      <c r="BD126" s="10">
        <v>0</v>
      </c>
      <c r="BE126" s="10">
        <v>0</v>
      </c>
      <c r="BF126" s="10">
        <v>0</v>
      </c>
      <c r="BG126" s="10">
        <v>0</v>
      </c>
      <c r="BH126" s="10">
        <v>0</v>
      </c>
      <c r="BI126" s="10">
        <v>0</v>
      </c>
      <c r="BJ126" s="10">
        <v>0</v>
      </c>
      <c r="BK126" s="10">
        <v>0</v>
      </c>
      <c r="BL126" s="10">
        <v>0</v>
      </c>
      <c r="BM126" s="10">
        <v>0</v>
      </c>
      <c r="BN126" s="10">
        <v>0</v>
      </c>
      <c r="BO126" s="10">
        <v>0</v>
      </c>
      <c r="BP126" s="10">
        <v>0</v>
      </c>
      <c r="BQ126" s="10">
        <v>0</v>
      </c>
      <c r="BR126" s="10">
        <v>0</v>
      </c>
      <c r="BS126" s="10">
        <v>0</v>
      </c>
      <c r="BT126" s="10">
        <v>0</v>
      </c>
      <c r="BU126" s="10">
        <v>0</v>
      </c>
      <c r="BV126" s="10">
        <v>0</v>
      </c>
      <c r="BW126" s="10">
        <v>0</v>
      </c>
      <c r="BX126" s="10">
        <v>0</v>
      </c>
      <c r="BY126" s="10">
        <v>0</v>
      </c>
      <c r="BZ126" s="10">
        <v>0</v>
      </c>
      <c r="CA126" s="10">
        <v>0.13709814294537889</v>
      </c>
      <c r="CB126" s="10">
        <v>0</v>
      </c>
      <c r="CC126" s="10">
        <v>0</v>
      </c>
      <c r="CD126" s="10">
        <v>0</v>
      </c>
      <c r="CE126" s="10">
        <v>0</v>
      </c>
      <c r="CF126" s="10">
        <v>0</v>
      </c>
      <c r="CG126" s="10">
        <v>0</v>
      </c>
      <c r="CH126" s="10">
        <v>0</v>
      </c>
      <c r="CI126" s="10">
        <v>0</v>
      </c>
      <c r="CJ126" s="10">
        <v>0</v>
      </c>
      <c r="CK126" s="10">
        <v>0</v>
      </c>
      <c r="CL126" s="10">
        <v>0</v>
      </c>
      <c r="CM126" s="10">
        <v>0</v>
      </c>
      <c r="CN126" s="10">
        <v>0</v>
      </c>
      <c r="CO126" s="10">
        <v>0</v>
      </c>
      <c r="CP126" s="10">
        <v>0</v>
      </c>
      <c r="CQ126" s="10">
        <v>0</v>
      </c>
      <c r="CR126" s="10">
        <v>0</v>
      </c>
      <c r="CS126" s="10">
        <v>0</v>
      </c>
      <c r="CT126" s="10">
        <v>0</v>
      </c>
      <c r="CU126" s="10">
        <v>0</v>
      </c>
      <c r="CV126" s="10">
        <v>0</v>
      </c>
      <c r="CW126" s="10">
        <v>0</v>
      </c>
      <c r="CX126" s="10">
        <v>0</v>
      </c>
      <c r="CY126" s="10">
        <v>0</v>
      </c>
      <c r="CZ126" s="10">
        <v>0</v>
      </c>
      <c r="DA126" s="10">
        <v>0</v>
      </c>
      <c r="DB126" s="10">
        <v>0</v>
      </c>
      <c r="DC126" s="10">
        <v>0</v>
      </c>
      <c r="DD126" s="10">
        <v>0</v>
      </c>
      <c r="DE126" s="10">
        <v>0</v>
      </c>
      <c r="DF126" s="10">
        <v>0</v>
      </c>
      <c r="DG126" s="10">
        <v>0</v>
      </c>
      <c r="DH126" s="10">
        <v>0</v>
      </c>
      <c r="DI126" s="10">
        <v>0</v>
      </c>
      <c r="DJ126" s="10">
        <v>0</v>
      </c>
      <c r="DK126" s="10">
        <v>0</v>
      </c>
      <c r="DL126" s="10">
        <v>0</v>
      </c>
      <c r="DM126" s="10">
        <v>0</v>
      </c>
      <c r="DN126" s="10">
        <v>0</v>
      </c>
      <c r="DO126" s="10">
        <v>0</v>
      </c>
      <c r="DP126" s="10">
        <v>0</v>
      </c>
      <c r="DQ126" s="10">
        <v>0</v>
      </c>
      <c r="DR126" s="10">
        <v>0</v>
      </c>
      <c r="DS126" s="10">
        <v>0</v>
      </c>
      <c r="DT126" s="10">
        <v>0</v>
      </c>
      <c r="DU126" s="10">
        <v>0</v>
      </c>
      <c r="DV126" s="10">
        <v>0</v>
      </c>
      <c r="DW126" s="10">
        <v>0</v>
      </c>
      <c r="DX126" s="10">
        <v>0</v>
      </c>
      <c r="DY126" s="10">
        <v>0.53560587322803821</v>
      </c>
      <c r="DZ126" s="10">
        <v>0</v>
      </c>
      <c r="EA126" s="10">
        <v>0</v>
      </c>
      <c r="EB126" s="10">
        <v>0</v>
      </c>
      <c r="EC126" s="10">
        <v>0</v>
      </c>
      <c r="ED126" s="10">
        <v>0</v>
      </c>
      <c r="EE126" s="10">
        <v>0</v>
      </c>
      <c r="EF126" s="10">
        <v>0</v>
      </c>
      <c r="EG126" s="10">
        <v>0</v>
      </c>
      <c r="EH126" s="10">
        <v>0</v>
      </c>
      <c r="EI126" s="10">
        <v>0</v>
      </c>
      <c r="EJ126" s="10">
        <v>0</v>
      </c>
      <c r="EK126" s="10">
        <v>0</v>
      </c>
      <c r="EL126" s="10">
        <v>0</v>
      </c>
      <c r="EM126" s="10">
        <v>0</v>
      </c>
      <c r="EN126" s="10">
        <v>0</v>
      </c>
      <c r="EO126" s="10">
        <v>0</v>
      </c>
      <c r="EP126" s="10">
        <v>0</v>
      </c>
      <c r="EQ126" s="10">
        <v>0</v>
      </c>
      <c r="ER126" s="10">
        <v>0</v>
      </c>
      <c r="ES126" s="10">
        <v>0</v>
      </c>
      <c r="ET126" s="10">
        <v>0</v>
      </c>
      <c r="EU126" s="10">
        <v>0</v>
      </c>
      <c r="EV126" s="10">
        <v>0</v>
      </c>
      <c r="EW126" s="10">
        <v>0</v>
      </c>
      <c r="EX126" s="10">
        <v>0</v>
      </c>
      <c r="EY126" s="10">
        <v>0</v>
      </c>
      <c r="EZ126" s="10">
        <v>0</v>
      </c>
      <c r="FA126" s="10">
        <v>0</v>
      </c>
      <c r="FB126" s="10">
        <v>0</v>
      </c>
      <c r="FC126" s="10">
        <v>0</v>
      </c>
      <c r="FD126" s="10">
        <v>0</v>
      </c>
      <c r="FE126" s="10">
        <v>0</v>
      </c>
      <c r="FF126" s="10">
        <v>0</v>
      </c>
      <c r="FG126" s="10">
        <v>0</v>
      </c>
      <c r="FH126" s="10">
        <v>0</v>
      </c>
      <c r="FI126" s="10">
        <v>0</v>
      </c>
      <c r="FJ126" s="10">
        <v>0</v>
      </c>
      <c r="FK126" s="10">
        <v>0</v>
      </c>
      <c r="FL126" s="10">
        <v>0</v>
      </c>
      <c r="FM126" s="10">
        <v>0</v>
      </c>
      <c r="FN126" s="10">
        <v>0</v>
      </c>
      <c r="FO126" s="10">
        <v>0</v>
      </c>
      <c r="FP126" s="10">
        <v>0</v>
      </c>
      <c r="FQ126" s="10">
        <v>0</v>
      </c>
      <c r="FR126" s="10">
        <v>0</v>
      </c>
      <c r="FS126" s="10">
        <v>0</v>
      </c>
      <c r="FT126" s="10">
        <v>0</v>
      </c>
      <c r="FU126" s="10">
        <v>0</v>
      </c>
      <c r="FV126" s="10">
        <v>0</v>
      </c>
      <c r="FW126" s="10">
        <v>0</v>
      </c>
      <c r="FX126" s="10">
        <v>0</v>
      </c>
      <c r="FY126" s="10">
        <v>0</v>
      </c>
      <c r="FZ126" s="10">
        <v>0</v>
      </c>
      <c r="GA126" s="10">
        <v>0.32729598382658298</v>
      </c>
      <c r="GB126" s="10">
        <v>0</v>
      </c>
      <c r="GC126" s="10">
        <v>0</v>
      </c>
      <c r="GD126" s="10">
        <v>0</v>
      </c>
      <c r="GE126" s="10">
        <v>0</v>
      </c>
      <c r="GF126" s="10">
        <v>0</v>
      </c>
      <c r="GG126" s="10">
        <v>0</v>
      </c>
      <c r="GH126" s="10">
        <v>0</v>
      </c>
      <c r="GI126" s="10">
        <v>0</v>
      </c>
      <c r="GJ126" s="10">
        <v>0</v>
      </c>
      <c r="GK126" s="10">
        <v>0</v>
      </c>
      <c r="GL126" s="10">
        <v>0</v>
      </c>
      <c r="GM126" s="10">
        <v>0</v>
      </c>
      <c r="GN126" s="10">
        <v>0</v>
      </c>
      <c r="GO126" s="10">
        <v>0</v>
      </c>
      <c r="GP126" s="10">
        <v>0</v>
      </c>
      <c r="GQ126" s="10">
        <v>0</v>
      </c>
      <c r="GR126" s="10">
        <v>0</v>
      </c>
      <c r="GS126" s="10">
        <v>0</v>
      </c>
      <c r="GT126" s="10">
        <v>0</v>
      </c>
      <c r="GU126" s="10">
        <v>0</v>
      </c>
      <c r="GV126" s="10">
        <v>0</v>
      </c>
      <c r="GW126" s="10">
        <v>0</v>
      </c>
      <c r="GX126" s="10">
        <v>0</v>
      </c>
      <c r="GY126" s="10">
        <v>0</v>
      </c>
      <c r="GZ126" s="10">
        <v>0</v>
      </c>
      <c r="HA126" s="10">
        <v>0</v>
      </c>
      <c r="HB126" s="10">
        <v>0</v>
      </c>
      <c r="HC126" s="10">
        <v>0</v>
      </c>
      <c r="HD126" s="10">
        <v>0</v>
      </c>
      <c r="HE126" s="10">
        <v>0</v>
      </c>
      <c r="HF126" s="10">
        <v>0</v>
      </c>
      <c r="HG126" s="10">
        <v>0</v>
      </c>
      <c r="HH126" s="10">
        <v>0</v>
      </c>
      <c r="HI126" s="10">
        <v>0</v>
      </c>
      <c r="HJ126" s="10">
        <v>0</v>
      </c>
      <c r="HK126" s="10">
        <v>0</v>
      </c>
      <c r="HL126" s="10">
        <v>0</v>
      </c>
      <c r="HM126" s="10">
        <v>0</v>
      </c>
      <c r="HN126" s="10">
        <v>0</v>
      </c>
      <c r="HO126" s="10">
        <v>0</v>
      </c>
      <c r="HP126" s="10">
        <v>0</v>
      </c>
      <c r="HQ126" s="10">
        <v>0</v>
      </c>
      <c r="HR126" s="10">
        <v>0</v>
      </c>
      <c r="HS126" s="10">
        <v>0</v>
      </c>
      <c r="HT126" s="10">
        <v>0</v>
      </c>
      <c r="HU126" s="10">
        <v>0</v>
      </c>
    </row>
    <row r="127" spans="1:229" x14ac:dyDescent="0.25">
      <c r="A127" s="10">
        <v>0</v>
      </c>
      <c r="B127" s="2" t="s">
        <v>242</v>
      </c>
      <c r="C127" s="2" t="s">
        <v>243</v>
      </c>
      <c r="D127" s="2">
        <v>17.939</v>
      </c>
      <c r="E127" s="2">
        <v>22.6</v>
      </c>
      <c r="F127" s="2">
        <v>2.87</v>
      </c>
      <c r="G127" s="2">
        <v>0</v>
      </c>
      <c r="H127" s="2">
        <v>2.87</v>
      </c>
      <c r="I127" s="2">
        <v>705</v>
      </c>
      <c r="J127" s="2">
        <v>8.0380000000000003</v>
      </c>
      <c r="K127" s="2">
        <v>0.85</v>
      </c>
      <c r="L127" s="3"/>
      <c r="M127" s="2" t="str">
        <f t="shared" si="8"/>
        <v>01166</v>
      </c>
      <c r="N127" s="3">
        <v>0.44396978741220788</v>
      </c>
      <c r="O127" s="3">
        <v>1.5560302125877927</v>
      </c>
      <c r="P127" s="17">
        <v>0.44396978741216875</v>
      </c>
      <c r="Q127" s="3">
        <v>1.5560302125877912</v>
      </c>
      <c r="R127" s="3">
        <v>2.5052174433621968</v>
      </c>
      <c r="S127" s="3" t="e">
        <v>#DIV/0!</v>
      </c>
      <c r="T127" s="3">
        <v>0.44396978741221055</v>
      </c>
      <c r="U127" s="3">
        <v>0.44396978741220827</v>
      </c>
      <c r="V127" s="3">
        <v>1.5560302125876939</v>
      </c>
      <c r="W127" s="3">
        <v>4.3980672101040987</v>
      </c>
      <c r="X127" s="3">
        <v>7.9643740163868957</v>
      </c>
      <c r="Y127" s="3">
        <v>35.166282804484084</v>
      </c>
      <c r="Z127" s="3">
        <v>7.1899740624495045</v>
      </c>
      <c r="AA127" s="3">
        <v>1.0787011729062188</v>
      </c>
      <c r="AB127" s="3">
        <v>1.2741932898730444</v>
      </c>
      <c r="AC127" s="3">
        <v>312.99870012560683</v>
      </c>
      <c r="AD127" s="3">
        <v>12.507370848779884</v>
      </c>
      <c r="AE127" s="3">
        <v>3.738357128588484</v>
      </c>
      <c r="AF127" s="3">
        <v>0</v>
      </c>
      <c r="AG127" s="3">
        <v>0</v>
      </c>
      <c r="AH127" s="3">
        <v>0</v>
      </c>
      <c r="AI127" s="3">
        <v>0</v>
      </c>
      <c r="AJ127" s="3">
        <v>0</v>
      </c>
      <c r="AK127" s="3">
        <v>0</v>
      </c>
      <c r="AL127" s="3">
        <v>0</v>
      </c>
      <c r="AM127" s="3">
        <v>0</v>
      </c>
      <c r="AN127" s="3">
        <v>0</v>
      </c>
      <c r="AO127" s="3">
        <v>0</v>
      </c>
      <c r="AP127" s="3">
        <v>0</v>
      </c>
      <c r="AQ127" s="3">
        <v>0</v>
      </c>
      <c r="AR127" s="3">
        <v>0</v>
      </c>
      <c r="AS127" s="3">
        <v>0</v>
      </c>
      <c r="AT127" s="3">
        <v>0</v>
      </c>
      <c r="AU127" s="3">
        <v>0</v>
      </c>
      <c r="AV127" s="3">
        <v>0</v>
      </c>
      <c r="AW127" s="3">
        <v>0</v>
      </c>
      <c r="AX127" s="3">
        <v>0</v>
      </c>
      <c r="AY127" s="3">
        <v>0</v>
      </c>
      <c r="AZ127" s="3">
        <v>0</v>
      </c>
      <c r="BA127" s="10">
        <v>0</v>
      </c>
      <c r="BB127" s="10">
        <v>0</v>
      </c>
      <c r="BC127" s="10">
        <v>0</v>
      </c>
      <c r="BD127" s="10">
        <v>0</v>
      </c>
      <c r="BE127" s="10">
        <v>0</v>
      </c>
      <c r="BF127" s="10">
        <v>0</v>
      </c>
      <c r="BG127" s="10">
        <v>0</v>
      </c>
      <c r="BH127" s="10">
        <v>0</v>
      </c>
      <c r="BI127" s="10">
        <v>0</v>
      </c>
      <c r="BJ127" s="10">
        <v>0</v>
      </c>
      <c r="BK127" s="10">
        <v>0</v>
      </c>
      <c r="BL127" s="10">
        <v>0</v>
      </c>
      <c r="BM127" s="10">
        <v>0</v>
      </c>
      <c r="BN127" s="10">
        <v>0</v>
      </c>
      <c r="BO127" s="10">
        <v>0</v>
      </c>
      <c r="BP127" s="10">
        <v>0</v>
      </c>
      <c r="BQ127" s="10">
        <v>0</v>
      </c>
      <c r="BR127" s="10">
        <v>0</v>
      </c>
      <c r="BS127" s="10">
        <v>0</v>
      </c>
      <c r="BT127" s="10">
        <v>0</v>
      </c>
      <c r="BU127" s="10">
        <v>0</v>
      </c>
      <c r="BV127" s="10">
        <v>0</v>
      </c>
      <c r="BW127" s="10">
        <v>0</v>
      </c>
      <c r="BX127" s="10">
        <v>0</v>
      </c>
      <c r="BY127" s="10">
        <v>0</v>
      </c>
      <c r="BZ127" s="10">
        <v>0</v>
      </c>
      <c r="CA127" s="10">
        <v>0.1299850238864301</v>
      </c>
      <c r="CB127" s="10">
        <v>0</v>
      </c>
      <c r="CC127" s="10">
        <v>0</v>
      </c>
      <c r="CD127" s="10">
        <v>0</v>
      </c>
      <c r="CE127" s="10">
        <v>0</v>
      </c>
      <c r="CF127" s="10">
        <v>0</v>
      </c>
      <c r="CG127" s="10">
        <v>0</v>
      </c>
      <c r="CH127" s="10">
        <v>0</v>
      </c>
      <c r="CI127" s="10">
        <v>0</v>
      </c>
      <c r="CJ127" s="10">
        <v>0</v>
      </c>
      <c r="CK127" s="10">
        <v>0</v>
      </c>
      <c r="CL127" s="10">
        <v>0</v>
      </c>
      <c r="CM127" s="10">
        <v>0</v>
      </c>
      <c r="CN127" s="10">
        <v>0</v>
      </c>
      <c r="CO127" s="10">
        <v>0</v>
      </c>
      <c r="CP127" s="10">
        <v>0</v>
      </c>
      <c r="CQ127" s="10">
        <v>0</v>
      </c>
      <c r="CR127" s="10">
        <v>0</v>
      </c>
      <c r="CS127" s="10">
        <v>0</v>
      </c>
      <c r="CT127" s="10">
        <v>0</v>
      </c>
      <c r="CU127" s="10">
        <v>0</v>
      </c>
      <c r="CV127" s="10">
        <v>0</v>
      </c>
      <c r="CW127" s="10">
        <v>0</v>
      </c>
      <c r="CX127" s="10">
        <v>0</v>
      </c>
      <c r="CY127" s="10">
        <v>0</v>
      </c>
      <c r="CZ127" s="10">
        <v>0</v>
      </c>
      <c r="DA127" s="10">
        <v>0</v>
      </c>
      <c r="DB127" s="10">
        <v>0</v>
      </c>
      <c r="DC127" s="10">
        <v>0</v>
      </c>
      <c r="DD127" s="10">
        <v>0</v>
      </c>
      <c r="DE127" s="10">
        <v>0</v>
      </c>
      <c r="DF127" s="10">
        <v>0</v>
      </c>
      <c r="DG127" s="10">
        <v>0</v>
      </c>
      <c r="DH127" s="10">
        <v>0</v>
      </c>
      <c r="DI127" s="10">
        <v>0</v>
      </c>
      <c r="DJ127" s="10">
        <v>0</v>
      </c>
      <c r="DK127" s="10">
        <v>0</v>
      </c>
      <c r="DL127" s="10">
        <v>0</v>
      </c>
      <c r="DM127" s="10">
        <v>0</v>
      </c>
      <c r="DN127" s="10">
        <v>0</v>
      </c>
      <c r="DO127" s="10">
        <v>0</v>
      </c>
      <c r="DP127" s="10">
        <v>0</v>
      </c>
      <c r="DQ127" s="10">
        <v>0</v>
      </c>
      <c r="DR127" s="10">
        <v>0</v>
      </c>
      <c r="DS127" s="10">
        <v>0.21976572241173103</v>
      </c>
      <c r="DT127" s="10">
        <v>0</v>
      </c>
      <c r="DU127" s="10">
        <v>0</v>
      </c>
      <c r="DV127" s="10">
        <v>0</v>
      </c>
      <c r="DW127" s="10">
        <v>0</v>
      </c>
      <c r="DX127" s="10">
        <v>0</v>
      </c>
      <c r="DY127" s="10">
        <v>0.41313760061143906</v>
      </c>
      <c r="DZ127" s="10">
        <v>0</v>
      </c>
      <c r="EA127" s="10">
        <v>0</v>
      </c>
      <c r="EB127" s="10">
        <v>0</v>
      </c>
      <c r="EC127" s="10">
        <v>0</v>
      </c>
      <c r="ED127" s="10">
        <v>0</v>
      </c>
      <c r="EE127" s="10">
        <v>0</v>
      </c>
      <c r="EF127" s="10">
        <v>0</v>
      </c>
      <c r="EG127" s="10">
        <v>0</v>
      </c>
      <c r="EH127" s="10">
        <v>0</v>
      </c>
      <c r="EI127" s="10">
        <v>0</v>
      </c>
      <c r="EJ127" s="10">
        <v>0</v>
      </c>
      <c r="EK127" s="10">
        <v>0</v>
      </c>
      <c r="EL127" s="10">
        <v>0</v>
      </c>
      <c r="EM127" s="10">
        <v>0</v>
      </c>
      <c r="EN127" s="10">
        <v>0</v>
      </c>
      <c r="EO127" s="10">
        <v>0</v>
      </c>
      <c r="EP127" s="10">
        <v>0</v>
      </c>
      <c r="EQ127" s="10">
        <v>0</v>
      </c>
      <c r="ER127" s="10">
        <v>0</v>
      </c>
      <c r="ES127" s="10">
        <v>0</v>
      </c>
      <c r="ET127" s="10">
        <v>0</v>
      </c>
      <c r="EU127" s="10">
        <v>0</v>
      </c>
      <c r="EV127" s="10">
        <v>0</v>
      </c>
      <c r="EW127" s="10">
        <v>0</v>
      </c>
      <c r="EX127" s="10">
        <v>0</v>
      </c>
      <c r="EY127" s="10">
        <v>0</v>
      </c>
      <c r="EZ127" s="10">
        <v>0</v>
      </c>
      <c r="FA127" s="10">
        <v>0</v>
      </c>
      <c r="FB127" s="10">
        <v>0</v>
      </c>
      <c r="FC127" s="10">
        <v>0</v>
      </c>
      <c r="FD127" s="10">
        <v>0</v>
      </c>
      <c r="FE127" s="10">
        <v>0</v>
      </c>
      <c r="FF127" s="10">
        <v>0</v>
      </c>
      <c r="FG127" s="10">
        <v>0</v>
      </c>
      <c r="FH127" s="10">
        <v>0</v>
      </c>
      <c r="FI127" s="10">
        <v>0</v>
      </c>
      <c r="FJ127" s="10">
        <v>0</v>
      </c>
      <c r="FK127" s="10">
        <v>0</v>
      </c>
      <c r="FL127" s="10">
        <v>0</v>
      </c>
      <c r="FM127" s="10">
        <v>0</v>
      </c>
      <c r="FN127" s="10">
        <v>0</v>
      </c>
      <c r="FO127" s="10">
        <v>0</v>
      </c>
      <c r="FP127" s="10">
        <v>0</v>
      </c>
      <c r="FQ127" s="10">
        <v>0</v>
      </c>
      <c r="FR127" s="10">
        <v>0</v>
      </c>
      <c r="FS127" s="10">
        <v>0</v>
      </c>
      <c r="FT127" s="10">
        <v>0</v>
      </c>
      <c r="FU127" s="10">
        <v>0</v>
      </c>
      <c r="FV127" s="10">
        <v>0</v>
      </c>
      <c r="FW127" s="10">
        <v>0</v>
      </c>
      <c r="FX127" s="10">
        <v>0</v>
      </c>
      <c r="FY127" s="10">
        <v>0</v>
      </c>
      <c r="FZ127" s="10">
        <v>0</v>
      </c>
      <c r="GA127" s="10">
        <v>0.11852507190694497</v>
      </c>
      <c r="GB127" s="10">
        <v>0.11858658118345479</v>
      </c>
      <c r="GC127" s="10">
        <v>0</v>
      </c>
      <c r="GD127" s="10">
        <v>0</v>
      </c>
      <c r="GE127" s="10">
        <v>0</v>
      </c>
      <c r="GF127" s="10">
        <v>0</v>
      </c>
      <c r="GG127" s="10">
        <v>0</v>
      </c>
      <c r="GH127" s="10">
        <v>0</v>
      </c>
      <c r="GI127" s="10">
        <v>0</v>
      </c>
      <c r="GJ127" s="10">
        <v>0</v>
      </c>
      <c r="GK127" s="10">
        <v>0</v>
      </c>
      <c r="GL127" s="10">
        <v>0</v>
      </c>
      <c r="GM127" s="10">
        <v>0</v>
      </c>
      <c r="GN127" s="10">
        <v>0</v>
      </c>
      <c r="GO127" s="10">
        <v>0</v>
      </c>
      <c r="GP127" s="10">
        <v>0</v>
      </c>
      <c r="GQ127" s="10">
        <v>0</v>
      </c>
      <c r="GR127" s="10">
        <v>0</v>
      </c>
      <c r="GS127" s="10">
        <v>0</v>
      </c>
      <c r="GT127" s="10">
        <v>0</v>
      </c>
      <c r="GU127" s="10">
        <v>0</v>
      </c>
      <c r="GV127" s="10">
        <v>0</v>
      </c>
      <c r="GW127" s="10">
        <v>0</v>
      </c>
      <c r="GX127" s="10">
        <v>0</v>
      </c>
      <c r="GY127" s="10">
        <v>0</v>
      </c>
      <c r="GZ127" s="10">
        <v>0</v>
      </c>
      <c r="HA127" s="10">
        <v>0</v>
      </c>
      <c r="HB127" s="10">
        <v>0</v>
      </c>
      <c r="HC127" s="10">
        <v>0</v>
      </c>
      <c r="HD127" s="10">
        <v>0</v>
      </c>
      <c r="HE127" s="10">
        <v>0</v>
      </c>
      <c r="HF127" s="10">
        <v>0</v>
      </c>
      <c r="HG127" s="10">
        <v>0</v>
      </c>
      <c r="HH127" s="10">
        <v>0</v>
      </c>
      <c r="HI127" s="10">
        <v>0</v>
      </c>
      <c r="HJ127" s="10">
        <v>0</v>
      </c>
      <c r="HK127" s="10">
        <v>0</v>
      </c>
      <c r="HL127" s="10">
        <v>0</v>
      </c>
      <c r="HM127" s="10">
        <v>0</v>
      </c>
      <c r="HN127" s="10">
        <v>0</v>
      </c>
      <c r="HO127" s="10">
        <v>0</v>
      </c>
      <c r="HP127" s="10">
        <v>0</v>
      </c>
      <c r="HQ127" s="10">
        <v>0</v>
      </c>
      <c r="HR127" s="10">
        <v>0</v>
      </c>
      <c r="HS127" s="10">
        <v>0</v>
      </c>
      <c r="HT127" s="10">
        <v>0</v>
      </c>
      <c r="HU127" s="10">
        <v>0</v>
      </c>
    </row>
    <row r="128" spans="1:229" x14ac:dyDescent="0.25">
      <c r="A128" s="10">
        <v>0</v>
      </c>
      <c r="B128" s="2" t="s">
        <v>244</v>
      </c>
      <c r="C128" s="2" t="s">
        <v>245</v>
      </c>
      <c r="D128" s="2">
        <v>4.3419999999999996</v>
      </c>
      <c r="E128" s="2">
        <v>24.35</v>
      </c>
      <c r="F128" s="2">
        <v>1.91</v>
      </c>
      <c r="G128" s="2">
        <v>0</v>
      </c>
      <c r="H128" s="2">
        <v>0.52</v>
      </c>
      <c r="I128" s="2">
        <v>873</v>
      </c>
      <c r="J128" s="2">
        <v>2.0819999999999999</v>
      </c>
      <c r="K128" s="2">
        <v>0.222</v>
      </c>
      <c r="L128" s="3"/>
      <c r="M128" s="2" t="str">
        <f t="shared" si="8"/>
        <v>01168</v>
      </c>
      <c r="N128" s="3">
        <v>0.53249505601462166</v>
      </c>
      <c r="O128" s="3">
        <v>1.4675049439853778</v>
      </c>
      <c r="P128" s="17">
        <v>0.53249505601448299</v>
      </c>
      <c r="Q128" s="3">
        <v>1.4675049439853765</v>
      </c>
      <c r="R128" s="3">
        <v>2.5251433001867785</v>
      </c>
      <c r="S128" s="3" t="e">
        <v>#DIV/0!</v>
      </c>
      <c r="T128" s="3">
        <v>0.53249505601463731</v>
      </c>
      <c r="U128" s="3">
        <v>0.53249505601462166</v>
      </c>
      <c r="V128" s="3">
        <v>1.4687586667730328</v>
      </c>
      <c r="W128" s="3">
        <v>5.8820212777717451</v>
      </c>
      <c r="X128" s="3">
        <v>2.3120935332148851</v>
      </c>
      <c r="Y128" s="3">
        <v>35.733745386043921</v>
      </c>
      <c r="Z128" s="3">
        <v>4.8230237033567462</v>
      </c>
      <c r="AA128" s="3">
        <v>0.11806818515316955</v>
      </c>
      <c r="AB128" s="3">
        <v>0.27689742912761139</v>
      </c>
      <c r="AC128" s="3">
        <v>464.86818390076473</v>
      </c>
      <c r="AD128" s="3">
        <v>3.0579555442214539</v>
      </c>
      <c r="AE128" s="3">
        <v>1.3058087236653275</v>
      </c>
      <c r="AF128" s="3">
        <v>0</v>
      </c>
      <c r="AG128" s="3">
        <v>0</v>
      </c>
      <c r="AH128" s="3">
        <v>0</v>
      </c>
      <c r="AI128" s="3">
        <v>0</v>
      </c>
      <c r="AJ128" s="3">
        <v>0</v>
      </c>
      <c r="AK128" s="3">
        <v>0</v>
      </c>
      <c r="AL128" s="3">
        <v>0</v>
      </c>
      <c r="AM128" s="3">
        <v>0</v>
      </c>
      <c r="AN128" s="3">
        <v>0</v>
      </c>
      <c r="AO128" s="3">
        <v>0</v>
      </c>
      <c r="AP128" s="3">
        <v>0</v>
      </c>
      <c r="AQ128" s="3">
        <v>0</v>
      </c>
      <c r="AR128" s="3">
        <v>0</v>
      </c>
      <c r="AS128" s="3">
        <v>0</v>
      </c>
      <c r="AT128" s="3">
        <v>0</v>
      </c>
      <c r="AU128" s="3">
        <v>0</v>
      </c>
      <c r="AV128" s="3">
        <v>0</v>
      </c>
      <c r="AW128" s="3">
        <v>0</v>
      </c>
      <c r="AX128" s="3">
        <v>0</v>
      </c>
      <c r="AY128" s="3">
        <v>0</v>
      </c>
      <c r="AZ128" s="3">
        <v>0</v>
      </c>
      <c r="BA128" s="10">
        <v>0</v>
      </c>
      <c r="BB128" s="10">
        <v>0</v>
      </c>
      <c r="BC128" s="10">
        <v>0</v>
      </c>
      <c r="BD128" s="10">
        <v>0</v>
      </c>
      <c r="BE128" s="10">
        <v>0</v>
      </c>
      <c r="BF128" s="10">
        <v>0</v>
      </c>
      <c r="BG128" s="10">
        <v>0</v>
      </c>
      <c r="BH128" s="10">
        <v>0</v>
      </c>
      <c r="BI128" s="10">
        <v>0</v>
      </c>
      <c r="BJ128" s="10">
        <v>0</v>
      </c>
      <c r="BK128" s="10">
        <v>0</v>
      </c>
      <c r="BL128" s="10">
        <v>0</v>
      </c>
      <c r="BM128" s="10">
        <v>0</v>
      </c>
      <c r="BN128" s="10">
        <v>0</v>
      </c>
      <c r="BO128" s="10">
        <v>0</v>
      </c>
      <c r="BP128" s="10">
        <v>0</v>
      </c>
      <c r="BQ128" s="10">
        <v>0</v>
      </c>
      <c r="BR128" s="10">
        <v>0</v>
      </c>
      <c r="BS128" s="10">
        <v>0</v>
      </c>
      <c r="BT128" s="10">
        <v>0</v>
      </c>
      <c r="BU128" s="10">
        <v>0</v>
      </c>
      <c r="BV128" s="10">
        <v>0</v>
      </c>
      <c r="BW128" s="10">
        <v>0</v>
      </c>
      <c r="BX128" s="10">
        <v>0</v>
      </c>
      <c r="BY128" s="10">
        <v>0</v>
      </c>
      <c r="BZ128" s="10">
        <v>0</v>
      </c>
      <c r="CA128" s="10">
        <v>0</v>
      </c>
      <c r="CB128" s="10">
        <v>0</v>
      </c>
      <c r="CC128" s="10">
        <v>0</v>
      </c>
      <c r="CD128" s="10">
        <v>0</v>
      </c>
      <c r="CE128" s="10">
        <v>0</v>
      </c>
      <c r="CF128" s="10">
        <v>0</v>
      </c>
      <c r="CG128" s="10">
        <v>0</v>
      </c>
      <c r="CH128" s="10">
        <v>0</v>
      </c>
      <c r="CI128" s="10">
        <v>0</v>
      </c>
      <c r="CJ128" s="10">
        <v>0</v>
      </c>
      <c r="CK128" s="10">
        <v>0</v>
      </c>
      <c r="CL128" s="10">
        <v>0</v>
      </c>
      <c r="CM128" s="10">
        <v>0</v>
      </c>
      <c r="CN128" s="10">
        <v>0</v>
      </c>
      <c r="CO128" s="10">
        <v>0</v>
      </c>
      <c r="CP128" s="10">
        <v>0</v>
      </c>
      <c r="CQ128" s="10">
        <v>0.32836551652011381</v>
      </c>
      <c r="CR128" s="10">
        <v>0</v>
      </c>
      <c r="CS128" s="10">
        <v>0</v>
      </c>
      <c r="CT128" s="10">
        <v>0</v>
      </c>
      <c r="CU128" s="10">
        <v>0</v>
      </c>
      <c r="CV128" s="10">
        <v>0</v>
      </c>
      <c r="CW128" s="10">
        <v>0</v>
      </c>
      <c r="CX128" s="10">
        <v>0</v>
      </c>
      <c r="CY128" s="10">
        <v>0</v>
      </c>
      <c r="CZ128" s="10">
        <v>0</v>
      </c>
      <c r="DA128" s="10">
        <v>0</v>
      </c>
      <c r="DB128" s="10">
        <v>0</v>
      </c>
      <c r="DC128" s="10">
        <v>0</v>
      </c>
      <c r="DD128" s="10">
        <v>0</v>
      </c>
      <c r="DE128" s="10">
        <v>0</v>
      </c>
      <c r="DF128" s="10">
        <v>0</v>
      </c>
      <c r="DG128" s="10">
        <v>0</v>
      </c>
      <c r="DH128" s="10">
        <v>0</v>
      </c>
      <c r="DI128" s="10">
        <v>0</v>
      </c>
      <c r="DJ128" s="10">
        <v>0</v>
      </c>
      <c r="DK128" s="10">
        <v>0</v>
      </c>
      <c r="DL128" s="10">
        <v>0</v>
      </c>
      <c r="DM128" s="10">
        <v>0</v>
      </c>
      <c r="DN128" s="10">
        <v>0</v>
      </c>
      <c r="DO128" s="10">
        <v>0</v>
      </c>
      <c r="DP128" s="10">
        <v>0</v>
      </c>
      <c r="DQ128" s="10">
        <v>0</v>
      </c>
      <c r="DR128" s="10">
        <v>0</v>
      </c>
      <c r="DS128" s="10">
        <v>0</v>
      </c>
      <c r="DT128" s="10">
        <v>0.25475661763295171</v>
      </c>
      <c r="DU128" s="10">
        <v>0</v>
      </c>
      <c r="DV128" s="10">
        <v>0</v>
      </c>
      <c r="DW128" s="10">
        <v>0</v>
      </c>
      <c r="DX128" s="10">
        <v>0</v>
      </c>
      <c r="DY128" s="10">
        <v>0</v>
      </c>
      <c r="DZ128" s="10">
        <v>0.35784377327034955</v>
      </c>
      <c r="EA128" s="10">
        <v>0</v>
      </c>
      <c r="EB128" s="10">
        <v>0</v>
      </c>
      <c r="EC128" s="10">
        <v>0</v>
      </c>
      <c r="ED128" s="10">
        <v>0</v>
      </c>
      <c r="EE128" s="10">
        <v>0</v>
      </c>
      <c r="EF128" s="10">
        <v>0</v>
      </c>
      <c r="EG128" s="10">
        <v>0</v>
      </c>
      <c r="EH128" s="10">
        <v>0</v>
      </c>
      <c r="EI128" s="10">
        <v>0</v>
      </c>
      <c r="EJ128" s="10">
        <v>0</v>
      </c>
      <c r="EK128" s="10">
        <v>0</v>
      </c>
      <c r="EL128" s="10">
        <v>0</v>
      </c>
      <c r="EM128" s="10">
        <v>0</v>
      </c>
      <c r="EN128" s="10">
        <v>0</v>
      </c>
      <c r="EO128" s="10">
        <v>0</v>
      </c>
      <c r="EP128" s="10">
        <v>0</v>
      </c>
      <c r="EQ128" s="10">
        <v>0</v>
      </c>
      <c r="ER128" s="10">
        <v>0</v>
      </c>
      <c r="ES128" s="10">
        <v>0</v>
      </c>
      <c r="ET128" s="10">
        <v>0</v>
      </c>
      <c r="EU128" s="10">
        <v>0</v>
      </c>
      <c r="EV128" s="10">
        <v>0</v>
      </c>
      <c r="EW128" s="10">
        <v>0</v>
      </c>
      <c r="EX128" s="10">
        <v>0</v>
      </c>
      <c r="EY128" s="10">
        <v>0</v>
      </c>
      <c r="EZ128" s="10">
        <v>0</v>
      </c>
      <c r="FA128" s="10">
        <v>0</v>
      </c>
      <c r="FB128" s="10">
        <v>0</v>
      </c>
      <c r="FC128" s="10">
        <v>0</v>
      </c>
      <c r="FD128" s="10">
        <v>0</v>
      </c>
      <c r="FE128" s="10">
        <v>0</v>
      </c>
      <c r="FF128" s="10">
        <v>0</v>
      </c>
      <c r="FG128" s="10">
        <v>0</v>
      </c>
      <c r="FH128" s="10">
        <v>0</v>
      </c>
      <c r="FI128" s="10">
        <v>0</v>
      </c>
      <c r="FJ128" s="10">
        <v>0</v>
      </c>
      <c r="FK128" s="10">
        <v>0</v>
      </c>
      <c r="FL128" s="10">
        <v>0</v>
      </c>
      <c r="FM128" s="10">
        <v>0</v>
      </c>
      <c r="FN128" s="10">
        <v>0</v>
      </c>
      <c r="FO128" s="10">
        <v>0</v>
      </c>
      <c r="FP128" s="10">
        <v>0</v>
      </c>
      <c r="FQ128" s="10">
        <v>0</v>
      </c>
      <c r="FR128" s="10">
        <v>0</v>
      </c>
      <c r="FS128" s="10">
        <v>0</v>
      </c>
      <c r="FT128" s="10">
        <v>0</v>
      </c>
      <c r="FU128" s="10">
        <v>0</v>
      </c>
      <c r="FV128" s="10">
        <v>0</v>
      </c>
      <c r="FW128" s="10">
        <v>0</v>
      </c>
      <c r="FX128" s="10">
        <v>0</v>
      </c>
      <c r="FY128" s="10">
        <v>0</v>
      </c>
      <c r="FZ128" s="10">
        <v>0</v>
      </c>
      <c r="GA128" s="10">
        <v>0</v>
      </c>
      <c r="GB128" s="10">
        <v>5.9034092576584776E-2</v>
      </c>
      <c r="GC128" s="10">
        <v>0</v>
      </c>
      <c r="GD128" s="10">
        <v>0</v>
      </c>
      <c r="GE128" s="10">
        <v>0</v>
      </c>
      <c r="GF128" s="10">
        <v>0</v>
      </c>
      <c r="GG128" s="10">
        <v>0</v>
      </c>
      <c r="GH128" s="10">
        <v>0</v>
      </c>
      <c r="GI128" s="10">
        <v>0</v>
      </c>
      <c r="GJ128" s="10">
        <v>0</v>
      </c>
      <c r="GK128" s="10">
        <v>0</v>
      </c>
      <c r="GL128" s="10">
        <v>0</v>
      </c>
      <c r="GM128" s="10">
        <v>0</v>
      </c>
      <c r="GN128" s="10">
        <v>0</v>
      </c>
      <c r="GO128" s="10">
        <v>0</v>
      </c>
      <c r="GP128" s="10">
        <v>0</v>
      </c>
      <c r="GQ128" s="10">
        <v>0</v>
      </c>
      <c r="GR128" s="10">
        <v>0</v>
      </c>
      <c r="GS128" s="10">
        <v>0</v>
      </c>
      <c r="GT128" s="10">
        <v>0</v>
      </c>
      <c r="GU128" s="10">
        <v>0</v>
      </c>
      <c r="GV128" s="10">
        <v>0</v>
      </c>
      <c r="GW128" s="10">
        <v>0</v>
      </c>
      <c r="GX128" s="10">
        <v>0</v>
      </c>
      <c r="GY128" s="10">
        <v>0</v>
      </c>
      <c r="GZ128" s="10">
        <v>0</v>
      </c>
      <c r="HA128" s="10">
        <v>0</v>
      </c>
      <c r="HB128" s="10">
        <v>0</v>
      </c>
      <c r="HC128" s="10">
        <v>0</v>
      </c>
      <c r="HD128" s="10">
        <v>0</v>
      </c>
      <c r="HE128" s="10">
        <v>0</v>
      </c>
      <c r="HF128" s="10">
        <v>0</v>
      </c>
      <c r="HG128" s="10">
        <v>0</v>
      </c>
      <c r="HH128" s="10">
        <v>0</v>
      </c>
      <c r="HI128" s="10">
        <v>0</v>
      </c>
      <c r="HJ128" s="10">
        <v>0</v>
      </c>
      <c r="HK128" s="10">
        <v>0</v>
      </c>
      <c r="HL128" s="10">
        <v>0</v>
      </c>
      <c r="HM128" s="10">
        <v>0</v>
      </c>
      <c r="HN128" s="10">
        <v>0</v>
      </c>
      <c r="HO128" s="10">
        <v>0</v>
      </c>
      <c r="HP128" s="10">
        <v>0</v>
      </c>
      <c r="HQ128" s="10">
        <v>0</v>
      </c>
      <c r="HR128" s="10">
        <v>0</v>
      </c>
      <c r="HS128" s="10">
        <v>0</v>
      </c>
      <c r="HT128" s="10">
        <v>0</v>
      </c>
      <c r="HU128" s="10">
        <v>0</v>
      </c>
    </row>
    <row r="129" spans="1:229" x14ac:dyDescent="0.25">
      <c r="A129" s="10">
        <v>0</v>
      </c>
      <c r="B129" s="2" t="s">
        <v>246</v>
      </c>
      <c r="C129" s="2" t="s">
        <v>247</v>
      </c>
      <c r="D129" s="2">
        <v>20.768000000000001</v>
      </c>
      <c r="E129" s="2">
        <v>24.35</v>
      </c>
      <c r="F129" s="2">
        <v>1.91</v>
      </c>
      <c r="G129" s="2">
        <v>0</v>
      </c>
      <c r="H129" s="2">
        <v>0.49</v>
      </c>
      <c r="I129" s="2">
        <v>21</v>
      </c>
      <c r="J129" s="2">
        <v>9.1890000000000001</v>
      </c>
      <c r="K129" s="2">
        <v>0.97199999999999998</v>
      </c>
      <c r="L129" s="3"/>
      <c r="M129" s="2" t="str">
        <f t="shared" si="8"/>
        <v>01169</v>
      </c>
      <c r="N129" s="3">
        <v>1.0000000000000473</v>
      </c>
      <c r="O129" s="3">
        <v>0.9999999999999527</v>
      </c>
      <c r="P129" s="17">
        <v>1.0000000000000899</v>
      </c>
      <c r="Q129" s="3">
        <v>0.99999999999993883</v>
      </c>
      <c r="R129" s="3">
        <v>0.99999999999993827</v>
      </c>
      <c r="S129" s="3" t="e">
        <v>#DIV/0!</v>
      </c>
      <c r="T129" s="3">
        <v>0.99999999999993816</v>
      </c>
      <c r="U129" s="3">
        <v>0.99999999999994416</v>
      </c>
      <c r="V129" s="3">
        <v>1.0000000000000975</v>
      </c>
      <c r="W129" s="3">
        <v>1.0000000000001317</v>
      </c>
      <c r="X129" s="3">
        <v>20.768000000001869</v>
      </c>
      <c r="Y129" s="3">
        <v>24.349999999998513</v>
      </c>
      <c r="Z129" s="3">
        <v>1.909999999999882</v>
      </c>
      <c r="AA129" s="3">
        <v>0</v>
      </c>
      <c r="AB129" s="3">
        <v>0.48999999999996968</v>
      </c>
      <c r="AC129" s="3">
        <v>20.999999999998828</v>
      </c>
      <c r="AD129" s="3">
        <v>9.1890000000008953</v>
      </c>
      <c r="AE129" s="3">
        <v>0.97200000000012798</v>
      </c>
      <c r="AF129" s="3">
        <v>0</v>
      </c>
      <c r="AG129" s="3">
        <v>0</v>
      </c>
      <c r="AH129" s="3">
        <v>5.0877468910870236E-14</v>
      </c>
      <c r="AI129" s="3">
        <v>0</v>
      </c>
      <c r="AJ129" s="3">
        <v>0</v>
      </c>
      <c r="AK129" s="3">
        <v>0</v>
      </c>
      <c r="AL129" s="3">
        <v>0</v>
      </c>
      <c r="AM129" s="3">
        <v>0</v>
      </c>
      <c r="AN129" s="3">
        <v>0</v>
      </c>
      <c r="AO129" s="3">
        <v>0</v>
      </c>
      <c r="AP129" s="3">
        <v>0</v>
      </c>
      <c r="AQ129" s="3">
        <v>0</v>
      </c>
      <c r="AR129" s="3">
        <v>0</v>
      </c>
      <c r="AS129" s="3">
        <v>0</v>
      </c>
      <c r="AT129" s="3">
        <v>0</v>
      </c>
      <c r="AU129" s="3">
        <v>0</v>
      </c>
      <c r="AV129" s="3">
        <v>0</v>
      </c>
      <c r="AW129" s="3">
        <v>0</v>
      </c>
      <c r="AX129" s="3">
        <v>0</v>
      </c>
      <c r="AY129" s="3">
        <v>0</v>
      </c>
      <c r="AZ129" s="3">
        <v>0</v>
      </c>
      <c r="BA129" s="10">
        <v>0</v>
      </c>
      <c r="BB129" s="10">
        <v>0</v>
      </c>
      <c r="BC129" s="10">
        <v>0</v>
      </c>
      <c r="BD129" s="10">
        <v>0</v>
      </c>
      <c r="BE129" s="10">
        <v>0</v>
      </c>
      <c r="BF129" s="10">
        <v>0</v>
      </c>
      <c r="BG129" s="10">
        <v>0</v>
      </c>
      <c r="BH129" s="10">
        <v>0</v>
      </c>
      <c r="BI129" s="10">
        <v>0</v>
      </c>
      <c r="BJ129" s="10">
        <v>0</v>
      </c>
      <c r="BK129" s="10">
        <v>0</v>
      </c>
      <c r="BL129" s="10">
        <v>1.3434804803478566E-16</v>
      </c>
      <c r="BM129" s="10">
        <v>0</v>
      </c>
      <c r="BN129" s="10">
        <v>0</v>
      </c>
      <c r="BO129" s="10">
        <v>0</v>
      </c>
      <c r="BP129" s="10">
        <v>0</v>
      </c>
      <c r="BQ129" s="10">
        <v>0</v>
      </c>
      <c r="BR129" s="10">
        <v>0</v>
      </c>
      <c r="BS129" s="10">
        <v>0</v>
      </c>
      <c r="BT129" s="10">
        <v>0</v>
      </c>
      <c r="BU129" s="10">
        <v>0</v>
      </c>
      <c r="BV129" s="10">
        <v>0</v>
      </c>
      <c r="BW129" s="10">
        <v>0</v>
      </c>
      <c r="BX129" s="10">
        <v>0</v>
      </c>
      <c r="BY129" s="10">
        <v>0</v>
      </c>
      <c r="BZ129" s="10">
        <v>0</v>
      </c>
      <c r="CA129" s="10">
        <v>0</v>
      </c>
      <c r="CB129" s="10">
        <v>0</v>
      </c>
      <c r="CC129" s="10">
        <v>0</v>
      </c>
      <c r="CD129" s="10">
        <v>0</v>
      </c>
      <c r="CE129" s="10">
        <v>0</v>
      </c>
      <c r="CF129" s="10">
        <v>0</v>
      </c>
      <c r="CG129" s="10">
        <v>0</v>
      </c>
      <c r="CH129" s="10">
        <v>0</v>
      </c>
      <c r="CI129" s="10">
        <v>0</v>
      </c>
      <c r="CJ129" s="10">
        <v>0</v>
      </c>
      <c r="CK129" s="10">
        <v>0</v>
      </c>
      <c r="CL129" s="10">
        <v>0</v>
      </c>
      <c r="CM129" s="10">
        <v>0</v>
      </c>
      <c r="CN129" s="10">
        <v>0</v>
      </c>
      <c r="CO129" s="10">
        <v>0</v>
      </c>
      <c r="CP129" s="10">
        <v>0</v>
      </c>
      <c r="CQ129" s="10">
        <v>0</v>
      </c>
      <c r="CR129" s="10">
        <v>0</v>
      </c>
      <c r="CS129" s="10">
        <v>0</v>
      </c>
      <c r="CT129" s="10">
        <v>0</v>
      </c>
      <c r="CU129" s="10">
        <v>0</v>
      </c>
      <c r="CV129" s="10">
        <v>0</v>
      </c>
      <c r="CW129" s="10">
        <v>0</v>
      </c>
      <c r="CX129" s="10">
        <v>0</v>
      </c>
      <c r="CY129" s="10">
        <v>0</v>
      </c>
      <c r="CZ129" s="10">
        <v>0</v>
      </c>
      <c r="DA129" s="10">
        <v>0</v>
      </c>
      <c r="DB129" s="10">
        <v>0</v>
      </c>
      <c r="DC129" s="10">
        <v>0</v>
      </c>
      <c r="DD129" s="10">
        <v>0</v>
      </c>
      <c r="DE129" s="10">
        <v>0</v>
      </c>
      <c r="DF129" s="10">
        <v>0</v>
      </c>
      <c r="DG129" s="10">
        <v>0</v>
      </c>
      <c r="DH129" s="10">
        <v>0</v>
      </c>
      <c r="DI129" s="10">
        <v>0</v>
      </c>
      <c r="DJ129" s="10">
        <v>0</v>
      </c>
      <c r="DK129" s="10">
        <v>0</v>
      </c>
      <c r="DL129" s="10">
        <v>0</v>
      </c>
      <c r="DM129" s="10">
        <v>0</v>
      </c>
      <c r="DN129" s="10">
        <v>0</v>
      </c>
      <c r="DO129" s="10">
        <v>0</v>
      </c>
      <c r="DP129" s="10">
        <v>0</v>
      </c>
      <c r="DQ129" s="10">
        <v>0</v>
      </c>
      <c r="DR129" s="10">
        <v>0</v>
      </c>
      <c r="DS129" s="10">
        <v>0</v>
      </c>
      <c r="DT129" s="10">
        <v>0</v>
      </c>
      <c r="DU129" s="10">
        <v>0</v>
      </c>
      <c r="DV129" s="10">
        <v>0</v>
      </c>
      <c r="DW129" s="10">
        <v>0</v>
      </c>
      <c r="DX129" s="10">
        <v>0</v>
      </c>
      <c r="DY129" s="10">
        <v>0</v>
      </c>
      <c r="DZ129" s="10">
        <v>0</v>
      </c>
      <c r="EA129" s="10">
        <v>0</v>
      </c>
      <c r="EB129" s="10">
        <v>0</v>
      </c>
      <c r="EC129" s="10">
        <v>0</v>
      </c>
      <c r="ED129" s="10">
        <v>0</v>
      </c>
      <c r="EE129" s="10">
        <v>0</v>
      </c>
      <c r="EF129" s="10">
        <v>0</v>
      </c>
      <c r="EG129" s="10">
        <v>0</v>
      </c>
      <c r="EH129" s="10">
        <v>0</v>
      </c>
      <c r="EI129" s="10">
        <v>0</v>
      </c>
      <c r="EJ129" s="10">
        <v>0</v>
      </c>
      <c r="EK129" s="10">
        <v>0</v>
      </c>
      <c r="EL129" s="10">
        <v>0</v>
      </c>
      <c r="EM129" s="10">
        <v>0</v>
      </c>
      <c r="EN129" s="10">
        <v>0</v>
      </c>
      <c r="EO129" s="10">
        <v>0</v>
      </c>
      <c r="EP129" s="10">
        <v>0</v>
      </c>
      <c r="EQ129" s="10">
        <v>0</v>
      </c>
      <c r="ER129" s="10">
        <v>0</v>
      </c>
      <c r="ES129" s="10">
        <v>0</v>
      </c>
      <c r="ET129" s="10">
        <v>0.99999999999993816</v>
      </c>
      <c r="EU129" s="10">
        <v>0</v>
      </c>
      <c r="EV129" s="10">
        <v>0</v>
      </c>
      <c r="EW129" s="10">
        <v>0</v>
      </c>
      <c r="EX129" s="10">
        <v>0</v>
      </c>
      <c r="EY129" s="10">
        <v>0</v>
      </c>
      <c r="EZ129" s="10">
        <v>0</v>
      </c>
      <c r="FA129" s="10">
        <v>0</v>
      </c>
      <c r="FB129" s="10">
        <v>0</v>
      </c>
      <c r="FC129" s="10">
        <v>0</v>
      </c>
      <c r="FD129" s="10">
        <v>0</v>
      </c>
      <c r="FE129" s="10">
        <v>0</v>
      </c>
      <c r="FF129" s="10">
        <v>0</v>
      </c>
      <c r="FG129" s="10">
        <v>0</v>
      </c>
      <c r="FH129" s="10">
        <v>0</v>
      </c>
      <c r="FI129" s="10">
        <v>0</v>
      </c>
      <c r="FJ129" s="10">
        <v>0</v>
      </c>
      <c r="FK129" s="10">
        <v>0</v>
      </c>
      <c r="FL129" s="10">
        <v>0</v>
      </c>
      <c r="FM129" s="10">
        <v>0</v>
      </c>
      <c r="FN129" s="10">
        <v>0</v>
      </c>
      <c r="FO129" s="10">
        <v>0</v>
      </c>
      <c r="FP129" s="10">
        <v>0</v>
      </c>
      <c r="FQ129" s="10">
        <v>0</v>
      </c>
      <c r="FR129" s="10">
        <v>0</v>
      </c>
      <c r="FS129" s="10">
        <v>0</v>
      </c>
      <c r="FT129" s="10">
        <v>0</v>
      </c>
      <c r="FU129" s="10">
        <v>0</v>
      </c>
      <c r="FV129" s="10">
        <v>0</v>
      </c>
      <c r="FW129" s="10">
        <v>0</v>
      </c>
      <c r="FX129" s="10">
        <v>0</v>
      </c>
      <c r="FY129" s="10">
        <v>0</v>
      </c>
      <c r="FZ129" s="10">
        <v>0</v>
      </c>
      <c r="GA129" s="10">
        <v>0</v>
      </c>
      <c r="GB129" s="10">
        <v>0</v>
      </c>
      <c r="GC129" s="10">
        <v>0</v>
      </c>
      <c r="GD129" s="10">
        <v>0</v>
      </c>
      <c r="GE129" s="10">
        <v>0</v>
      </c>
      <c r="GF129" s="10">
        <v>0</v>
      </c>
      <c r="GG129" s="10">
        <v>0</v>
      </c>
      <c r="GH129" s="10">
        <v>0</v>
      </c>
      <c r="GI129" s="10">
        <v>0</v>
      </c>
      <c r="GJ129" s="10">
        <v>0</v>
      </c>
      <c r="GK129" s="10">
        <v>0</v>
      </c>
      <c r="GL129" s="10">
        <v>0</v>
      </c>
      <c r="GM129" s="10">
        <v>0</v>
      </c>
      <c r="GN129" s="10">
        <v>0</v>
      </c>
      <c r="GO129" s="10">
        <v>0</v>
      </c>
      <c r="GP129" s="10">
        <v>0</v>
      </c>
      <c r="GQ129" s="10">
        <v>0</v>
      </c>
      <c r="GR129" s="10">
        <v>0</v>
      </c>
      <c r="GS129" s="10">
        <v>0</v>
      </c>
      <c r="GT129" s="10">
        <v>0</v>
      </c>
      <c r="GU129" s="10">
        <v>0</v>
      </c>
      <c r="GV129" s="10">
        <v>0</v>
      </c>
      <c r="GW129" s="10">
        <v>0</v>
      </c>
      <c r="GX129" s="10">
        <v>0</v>
      </c>
      <c r="GY129" s="10">
        <v>0</v>
      </c>
      <c r="GZ129" s="10">
        <v>0</v>
      </c>
      <c r="HA129" s="10">
        <v>0</v>
      </c>
      <c r="HB129" s="10">
        <v>0</v>
      </c>
      <c r="HC129" s="10">
        <v>0</v>
      </c>
      <c r="HD129" s="10">
        <v>0</v>
      </c>
      <c r="HE129" s="10">
        <v>0</v>
      </c>
      <c r="HF129" s="10">
        <v>0</v>
      </c>
      <c r="HG129" s="10">
        <v>0</v>
      </c>
      <c r="HH129" s="10">
        <v>0</v>
      </c>
      <c r="HI129" s="10">
        <v>0</v>
      </c>
      <c r="HJ129" s="10">
        <v>0</v>
      </c>
      <c r="HK129" s="10">
        <v>0</v>
      </c>
      <c r="HL129" s="10">
        <v>0</v>
      </c>
      <c r="HM129" s="10">
        <v>0</v>
      </c>
      <c r="HN129" s="10">
        <v>0</v>
      </c>
      <c r="HO129" s="10">
        <v>0</v>
      </c>
      <c r="HP129" s="10">
        <v>0</v>
      </c>
      <c r="HQ129" s="10">
        <v>0</v>
      </c>
      <c r="HR129" s="10">
        <v>0</v>
      </c>
      <c r="HS129" s="10">
        <v>0</v>
      </c>
      <c r="HT129" s="10">
        <v>0</v>
      </c>
      <c r="HU129" s="10">
        <v>0</v>
      </c>
    </row>
    <row r="130" spans="1:229" x14ac:dyDescent="0.25">
      <c r="A130" s="10">
        <v>0</v>
      </c>
      <c r="B130" s="2" t="s">
        <v>248</v>
      </c>
      <c r="C130" s="2" t="s">
        <v>249</v>
      </c>
      <c r="D130" s="2">
        <v>3.3820000000000001</v>
      </c>
      <c r="E130" s="2">
        <v>12.33</v>
      </c>
      <c r="F130" s="2">
        <v>1.01</v>
      </c>
      <c r="G130" s="2">
        <v>0</v>
      </c>
      <c r="H130" s="2">
        <v>0.25</v>
      </c>
      <c r="I130" s="2">
        <v>128</v>
      </c>
      <c r="J130" s="2">
        <v>3.9049999999999998</v>
      </c>
      <c r="K130" s="2">
        <v>1.8919999999999999</v>
      </c>
      <c r="L130" s="3"/>
      <c r="M130" s="2" t="str">
        <f t="shared" si="8"/>
        <v>01171</v>
      </c>
      <c r="N130" s="3">
        <v>0.93706093846551597</v>
      </c>
      <c r="O130" s="3">
        <v>1.0629390615344843</v>
      </c>
      <c r="P130" s="17">
        <v>0.93706093846562089</v>
      </c>
      <c r="Q130" s="3">
        <v>1.0629390615344827</v>
      </c>
      <c r="R130" s="3">
        <v>4.4146587894320337</v>
      </c>
      <c r="S130" s="3" t="e">
        <v>#DIV/0!</v>
      </c>
      <c r="T130" s="3">
        <v>0.93706093846556282</v>
      </c>
      <c r="U130" s="3">
        <v>0.93706093846551497</v>
      </c>
      <c r="V130" s="3">
        <v>1.0629390615345247</v>
      </c>
      <c r="W130" s="3">
        <v>0.97723801095044094</v>
      </c>
      <c r="X130" s="3">
        <v>3.1691400938907299</v>
      </c>
      <c r="Y130" s="3">
        <v>13.106038628720173</v>
      </c>
      <c r="Z130" s="3">
        <v>4.4588053773263541</v>
      </c>
      <c r="AA130" s="3">
        <v>9.0308641691191224E-2</v>
      </c>
      <c r="AB130" s="3">
        <v>0.23426523461639071</v>
      </c>
      <c r="AC130" s="3">
        <v>119.94380012358592</v>
      </c>
      <c r="AD130" s="3">
        <v>4.150777035292319</v>
      </c>
      <c r="AE130" s="3">
        <v>1.8489343167182342</v>
      </c>
      <c r="AF130" s="3">
        <v>0</v>
      </c>
      <c r="AG130" s="3">
        <v>0</v>
      </c>
      <c r="AH130" s="3">
        <v>0</v>
      </c>
      <c r="AI130" s="3">
        <v>0</v>
      </c>
      <c r="AJ130" s="3">
        <v>0</v>
      </c>
      <c r="AK130" s="3">
        <v>0</v>
      </c>
      <c r="AL130" s="3">
        <v>0</v>
      </c>
      <c r="AM130" s="3">
        <v>0</v>
      </c>
      <c r="AN130" s="3">
        <v>0</v>
      </c>
      <c r="AO130" s="3">
        <v>0</v>
      </c>
      <c r="AP130" s="3">
        <v>0</v>
      </c>
      <c r="AQ130" s="3">
        <v>0</v>
      </c>
      <c r="AR130" s="3">
        <v>0</v>
      </c>
      <c r="AS130" s="3">
        <v>0</v>
      </c>
      <c r="AT130" s="3">
        <v>0</v>
      </c>
      <c r="AU130" s="3">
        <v>0</v>
      </c>
      <c r="AV130" s="3">
        <v>0</v>
      </c>
      <c r="AW130" s="3">
        <v>0</v>
      </c>
      <c r="AX130" s="3">
        <v>0</v>
      </c>
      <c r="AY130" s="3">
        <v>0</v>
      </c>
      <c r="AZ130" s="3">
        <v>0</v>
      </c>
      <c r="BA130" s="10">
        <v>0</v>
      </c>
      <c r="BB130" s="10">
        <v>0</v>
      </c>
      <c r="BC130" s="10">
        <v>0</v>
      </c>
      <c r="BD130" s="10">
        <v>0</v>
      </c>
      <c r="BE130" s="10">
        <v>0</v>
      </c>
      <c r="BF130" s="10">
        <v>0</v>
      </c>
      <c r="BG130" s="10">
        <v>0</v>
      </c>
      <c r="BH130" s="10">
        <v>0</v>
      </c>
      <c r="BI130" s="10">
        <v>0</v>
      </c>
      <c r="BJ130" s="10">
        <v>0</v>
      </c>
      <c r="BK130" s="10">
        <v>0</v>
      </c>
      <c r="BL130" s="10">
        <v>0</v>
      </c>
      <c r="BM130" s="10">
        <v>0</v>
      </c>
      <c r="BN130" s="10">
        <v>0</v>
      </c>
      <c r="BO130" s="10">
        <v>0</v>
      </c>
      <c r="BP130" s="10">
        <v>0</v>
      </c>
      <c r="BQ130" s="10">
        <v>0</v>
      </c>
      <c r="BR130" s="10">
        <v>0</v>
      </c>
      <c r="BS130" s="10">
        <v>0</v>
      </c>
      <c r="BT130" s="10">
        <v>0</v>
      </c>
      <c r="BU130" s="10">
        <v>0</v>
      </c>
      <c r="BV130" s="10">
        <v>0</v>
      </c>
      <c r="BW130" s="10">
        <v>0</v>
      </c>
      <c r="BX130" s="10">
        <v>0</v>
      </c>
      <c r="BY130" s="10">
        <v>0</v>
      </c>
      <c r="BZ130" s="10">
        <v>0</v>
      </c>
      <c r="CA130" s="10">
        <v>0.22851761281154187</v>
      </c>
      <c r="CB130" s="10">
        <v>0</v>
      </c>
      <c r="CC130" s="10">
        <v>0</v>
      </c>
      <c r="CD130" s="10">
        <v>0</v>
      </c>
      <c r="CE130" s="10">
        <v>0</v>
      </c>
      <c r="CF130" s="10">
        <v>0</v>
      </c>
      <c r="CG130" s="10">
        <v>0</v>
      </c>
      <c r="CH130" s="10">
        <v>0</v>
      </c>
      <c r="CI130" s="10">
        <v>0</v>
      </c>
      <c r="CJ130" s="10">
        <v>0</v>
      </c>
      <c r="CK130" s="10">
        <v>0</v>
      </c>
      <c r="CL130" s="10">
        <v>0</v>
      </c>
      <c r="CM130" s="10">
        <v>0</v>
      </c>
      <c r="CN130" s="10">
        <v>0</v>
      </c>
      <c r="CO130" s="10">
        <v>0</v>
      </c>
      <c r="CP130" s="10">
        <v>0</v>
      </c>
      <c r="CQ130" s="10">
        <v>0.34536386565537963</v>
      </c>
      <c r="CR130" s="10">
        <v>0</v>
      </c>
      <c r="CS130" s="10">
        <v>0</v>
      </c>
      <c r="CT130" s="10">
        <v>0</v>
      </c>
      <c r="CU130" s="10">
        <v>0</v>
      </c>
      <c r="CV130" s="10">
        <v>0</v>
      </c>
      <c r="CW130" s="10">
        <v>0</v>
      </c>
      <c r="CX130" s="10">
        <v>0</v>
      </c>
      <c r="CY130" s="10">
        <v>0</v>
      </c>
      <c r="CZ130" s="10">
        <v>0</v>
      </c>
      <c r="DA130" s="10">
        <v>0</v>
      </c>
      <c r="DB130" s="10">
        <v>0</v>
      </c>
      <c r="DC130" s="10">
        <v>0</v>
      </c>
      <c r="DD130" s="10">
        <v>0</v>
      </c>
      <c r="DE130" s="10">
        <v>0</v>
      </c>
      <c r="DF130" s="10">
        <v>0</v>
      </c>
      <c r="DG130" s="10">
        <v>0</v>
      </c>
      <c r="DH130" s="10">
        <v>0</v>
      </c>
      <c r="DI130" s="10">
        <v>0</v>
      </c>
      <c r="DJ130" s="10">
        <v>0</v>
      </c>
      <c r="DK130" s="10">
        <v>0</v>
      </c>
      <c r="DL130" s="10">
        <v>0</v>
      </c>
      <c r="DM130" s="10">
        <v>0</v>
      </c>
      <c r="DN130" s="10">
        <v>0</v>
      </c>
      <c r="DO130" s="10">
        <v>0</v>
      </c>
      <c r="DP130" s="10">
        <v>0</v>
      </c>
      <c r="DQ130" s="10">
        <v>0</v>
      </c>
      <c r="DR130" s="10">
        <v>0</v>
      </c>
      <c r="DS130" s="10">
        <v>0</v>
      </c>
      <c r="DT130" s="10">
        <v>0.33529969521255154</v>
      </c>
      <c r="DU130" s="10">
        <v>0</v>
      </c>
      <c r="DV130" s="10">
        <v>0</v>
      </c>
      <c r="DW130" s="10">
        <v>0</v>
      </c>
      <c r="DX130" s="10">
        <v>0</v>
      </c>
      <c r="DY130" s="10">
        <v>0</v>
      </c>
      <c r="DZ130" s="10">
        <v>4.566450547493147E-2</v>
      </c>
      <c r="EA130" s="10">
        <v>0</v>
      </c>
      <c r="EB130" s="10">
        <v>0</v>
      </c>
      <c r="EC130" s="10">
        <v>0</v>
      </c>
      <c r="ED130" s="10">
        <v>0</v>
      </c>
      <c r="EE130" s="10">
        <v>0</v>
      </c>
      <c r="EF130" s="10">
        <v>0</v>
      </c>
      <c r="EG130" s="10">
        <v>0</v>
      </c>
      <c r="EH130" s="10">
        <v>0</v>
      </c>
      <c r="EI130" s="10">
        <v>0</v>
      </c>
      <c r="EJ130" s="10">
        <v>0</v>
      </c>
      <c r="EK130" s="10">
        <v>0</v>
      </c>
      <c r="EL130" s="10">
        <v>0</v>
      </c>
      <c r="EM130" s="10">
        <v>0</v>
      </c>
      <c r="EN130" s="10">
        <v>0</v>
      </c>
      <c r="EO130" s="10">
        <v>0</v>
      </c>
      <c r="EP130" s="10">
        <v>0</v>
      </c>
      <c r="EQ130" s="10">
        <v>0</v>
      </c>
      <c r="ER130" s="10">
        <v>0</v>
      </c>
      <c r="ES130" s="10">
        <v>0</v>
      </c>
      <c r="ET130" s="10">
        <v>0</v>
      </c>
      <c r="EU130" s="10">
        <v>0</v>
      </c>
      <c r="EV130" s="10">
        <v>0</v>
      </c>
      <c r="EW130" s="10">
        <v>0</v>
      </c>
      <c r="EX130" s="10">
        <v>0</v>
      </c>
      <c r="EY130" s="10">
        <v>0</v>
      </c>
      <c r="EZ130" s="10">
        <v>0</v>
      </c>
      <c r="FA130" s="10">
        <v>0</v>
      </c>
      <c r="FB130" s="10">
        <v>0</v>
      </c>
      <c r="FC130" s="10">
        <v>0</v>
      </c>
      <c r="FD130" s="10">
        <v>0</v>
      </c>
      <c r="FE130" s="10">
        <v>0</v>
      </c>
      <c r="FF130" s="10">
        <v>0</v>
      </c>
      <c r="FG130" s="10">
        <v>0</v>
      </c>
      <c r="FH130" s="10">
        <v>0</v>
      </c>
      <c r="FI130" s="10">
        <v>0</v>
      </c>
      <c r="FJ130" s="10">
        <v>0</v>
      </c>
      <c r="FK130" s="10">
        <v>0</v>
      </c>
      <c r="FL130" s="10">
        <v>0</v>
      </c>
      <c r="FM130" s="10">
        <v>0</v>
      </c>
      <c r="FN130" s="10">
        <v>0</v>
      </c>
      <c r="FO130" s="10">
        <v>0</v>
      </c>
      <c r="FP130" s="10">
        <v>0</v>
      </c>
      <c r="FQ130" s="10">
        <v>0</v>
      </c>
      <c r="FR130" s="10">
        <v>0</v>
      </c>
      <c r="FS130" s="10">
        <v>0</v>
      </c>
      <c r="FT130" s="10">
        <v>0</v>
      </c>
      <c r="FU130" s="10">
        <v>0</v>
      </c>
      <c r="FV130" s="10">
        <v>0</v>
      </c>
      <c r="FW130" s="10">
        <v>0</v>
      </c>
      <c r="FX130" s="10">
        <v>0</v>
      </c>
      <c r="FY130" s="10">
        <v>0</v>
      </c>
      <c r="FZ130" s="10">
        <v>0</v>
      </c>
      <c r="GA130" s="10">
        <v>0</v>
      </c>
      <c r="GB130" s="10">
        <v>4.5154320845595612E-2</v>
      </c>
      <c r="GC130" s="10">
        <v>0</v>
      </c>
      <c r="GD130" s="10">
        <v>0</v>
      </c>
      <c r="GE130" s="10">
        <v>0</v>
      </c>
      <c r="GF130" s="10">
        <v>0</v>
      </c>
      <c r="GG130" s="10">
        <v>0</v>
      </c>
      <c r="GH130" s="10">
        <v>0</v>
      </c>
      <c r="GI130" s="10">
        <v>0</v>
      </c>
      <c r="GJ130" s="10">
        <v>0</v>
      </c>
      <c r="GK130" s="10">
        <v>0</v>
      </c>
      <c r="GL130" s="10">
        <v>0</v>
      </c>
      <c r="GM130" s="10">
        <v>0</v>
      </c>
      <c r="GN130" s="10">
        <v>0</v>
      </c>
      <c r="GO130" s="10">
        <v>0</v>
      </c>
      <c r="GP130" s="10">
        <v>0</v>
      </c>
      <c r="GQ130" s="10">
        <v>0</v>
      </c>
      <c r="GR130" s="10">
        <v>0</v>
      </c>
      <c r="GS130" s="10">
        <v>0</v>
      </c>
      <c r="GT130" s="10">
        <v>0</v>
      </c>
      <c r="GU130" s="10">
        <v>0</v>
      </c>
      <c r="GV130" s="10">
        <v>0</v>
      </c>
      <c r="GW130" s="10">
        <v>0</v>
      </c>
      <c r="GX130" s="10">
        <v>0</v>
      </c>
      <c r="GY130" s="10">
        <v>0</v>
      </c>
      <c r="GZ130" s="10">
        <v>0</v>
      </c>
      <c r="HA130" s="10">
        <v>0</v>
      </c>
      <c r="HB130" s="10">
        <v>0</v>
      </c>
      <c r="HC130" s="10">
        <v>0</v>
      </c>
      <c r="HD130" s="10">
        <v>0</v>
      </c>
      <c r="HE130" s="10">
        <v>0</v>
      </c>
      <c r="HF130" s="10">
        <v>0</v>
      </c>
      <c r="HG130" s="10">
        <v>0</v>
      </c>
      <c r="HH130" s="10">
        <v>0</v>
      </c>
      <c r="HI130" s="10">
        <v>0</v>
      </c>
      <c r="HJ130" s="10">
        <v>0</v>
      </c>
      <c r="HK130" s="10">
        <v>0</v>
      </c>
      <c r="HL130" s="10">
        <v>0</v>
      </c>
      <c r="HM130" s="10">
        <v>0</v>
      </c>
      <c r="HN130" s="10">
        <v>0</v>
      </c>
      <c r="HO130" s="10">
        <v>0</v>
      </c>
      <c r="HP130" s="10">
        <v>0</v>
      </c>
      <c r="HQ130" s="10">
        <v>0</v>
      </c>
      <c r="HR130" s="10">
        <v>0</v>
      </c>
      <c r="HS130" s="10">
        <v>0</v>
      </c>
      <c r="HT130" s="10">
        <v>0</v>
      </c>
      <c r="HU130" s="10">
        <v>0</v>
      </c>
    </row>
    <row r="131" spans="1:229" x14ac:dyDescent="0.25">
      <c r="A131" s="10">
        <v>0</v>
      </c>
      <c r="B131" s="2" t="s">
        <v>250</v>
      </c>
      <c r="C131" s="2" t="s">
        <v>251</v>
      </c>
      <c r="D131" s="2">
        <v>8.6999999999999993</v>
      </c>
      <c r="E131" s="2">
        <v>7</v>
      </c>
      <c r="F131" s="2">
        <v>7</v>
      </c>
      <c r="G131" s="2">
        <v>0</v>
      </c>
      <c r="H131" s="2">
        <v>0.3</v>
      </c>
      <c r="I131" s="2">
        <v>70</v>
      </c>
      <c r="J131" s="2">
        <v>4.0999999999999996</v>
      </c>
      <c r="K131" s="2">
        <v>0.5</v>
      </c>
      <c r="L131" s="3"/>
      <c r="M131" s="2" t="str">
        <f t="shared" si="8"/>
        <v>01178</v>
      </c>
      <c r="N131" s="3">
        <v>0.6778763728368038</v>
      </c>
      <c r="O131" s="3">
        <v>1.322123627163196</v>
      </c>
      <c r="P131" s="17">
        <v>0.67787637283679492</v>
      </c>
      <c r="Q131" s="3">
        <v>1.3221236271631995</v>
      </c>
      <c r="R131" s="3">
        <v>0.65634207581536319</v>
      </c>
      <c r="S131" s="3" t="e">
        <v>#DIV/0!</v>
      </c>
      <c r="T131" s="3">
        <v>0.67787637283686286</v>
      </c>
      <c r="U131" s="3">
        <v>0.67787637283680335</v>
      </c>
      <c r="V131" s="3">
        <v>1.3221236271631849</v>
      </c>
      <c r="W131" s="3">
        <v>3.6297004870930776</v>
      </c>
      <c r="X131" s="3">
        <v>5.8975244436801155</v>
      </c>
      <c r="Y131" s="3">
        <v>9.2548653901423972</v>
      </c>
      <c r="Z131" s="3">
        <v>4.5943945307075422</v>
      </c>
      <c r="AA131" s="3">
        <v>0</v>
      </c>
      <c r="AB131" s="3">
        <v>0.20336291185105884</v>
      </c>
      <c r="AC131" s="3">
        <v>47.451346098576238</v>
      </c>
      <c r="AD131" s="3">
        <v>5.4207068713690578</v>
      </c>
      <c r="AE131" s="3">
        <v>1.8148502435465388</v>
      </c>
      <c r="AF131" s="3">
        <v>0</v>
      </c>
      <c r="AG131" s="3">
        <v>0</v>
      </c>
      <c r="AH131" s="3">
        <v>1.9365187476847248E-4</v>
      </c>
      <c r="AI131" s="3">
        <v>0</v>
      </c>
      <c r="AJ131" s="3">
        <v>0</v>
      </c>
      <c r="AK131" s="3">
        <v>0</v>
      </c>
      <c r="AL131" s="3">
        <v>0</v>
      </c>
      <c r="AM131" s="3">
        <v>0</v>
      </c>
      <c r="AN131" s="3">
        <v>0</v>
      </c>
      <c r="AO131" s="3">
        <v>0</v>
      </c>
      <c r="AP131" s="3">
        <v>0</v>
      </c>
      <c r="AQ131" s="3">
        <v>0</v>
      </c>
      <c r="AR131" s="3">
        <v>0</v>
      </c>
      <c r="AS131" s="3">
        <v>0</v>
      </c>
      <c r="AT131" s="3">
        <v>0</v>
      </c>
      <c r="AU131" s="3">
        <v>0</v>
      </c>
      <c r="AV131" s="3">
        <v>0</v>
      </c>
      <c r="AW131" s="3">
        <v>0</v>
      </c>
      <c r="AX131" s="3">
        <v>0</v>
      </c>
      <c r="AY131" s="3">
        <v>0</v>
      </c>
      <c r="AZ131" s="3">
        <v>0</v>
      </c>
      <c r="BA131" s="10">
        <v>0</v>
      </c>
      <c r="BB131" s="10">
        <v>0</v>
      </c>
      <c r="BC131" s="10">
        <v>0</v>
      </c>
      <c r="BD131" s="10">
        <v>0</v>
      </c>
      <c r="BE131" s="10">
        <v>0</v>
      </c>
      <c r="BF131" s="10">
        <v>0</v>
      </c>
      <c r="BG131" s="10">
        <v>0</v>
      </c>
      <c r="BH131" s="10">
        <v>0</v>
      </c>
      <c r="BI131" s="10">
        <v>0</v>
      </c>
      <c r="BJ131" s="10">
        <v>0</v>
      </c>
      <c r="BK131" s="10">
        <v>0</v>
      </c>
      <c r="BL131" s="10">
        <v>0</v>
      </c>
      <c r="BM131" s="10">
        <v>0</v>
      </c>
      <c r="BN131" s="10">
        <v>0</v>
      </c>
      <c r="BO131" s="10">
        <v>0</v>
      </c>
      <c r="BP131" s="10">
        <v>0</v>
      </c>
      <c r="BQ131" s="10">
        <v>0</v>
      </c>
      <c r="BR131" s="10">
        <v>0</v>
      </c>
      <c r="BS131" s="10">
        <v>0</v>
      </c>
      <c r="BT131" s="10">
        <v>0</v>
      </c>
      <c r="BU131" s="10">
        <v>0</v>
      </c>
      <c r="BV131" s="10">
        <v>0</v>
      </c>
      <c r="BW131" s="10">
        <v>0</v>
      </c>
      <c r="BX131" s="10">
        <v>0</v>
      </c>
      <c r="BY131" s="10">
        <v>0</v>
      </c>
      <c r="BZ131" s="10">
        <v>0</v>
      </c>
      <c r="CA131" s="10">
        <v>0.13976745818587955</v>
      </c>
      <c r="CB131" s="10">
        <v>0</v>
      </c>
      <c r="CC131" s="10">
        <v>0</v>
      </c>
      <c r="CD131" s="10">
        <v>0</v>
      </c>
      <c r="CE131" s="10">
        <v>0</v>
      </c>
      <c r="CF131" s="10">
        <v>0</v>
      </c>
      <c r="CG131" s="10">
        <v>0</v>
      </c>
      <c r="CH131" s="10">
        <v>0</v>
      </c>
      <c r="CI131" s="10">
        <v>0</v>
      </c>
      <c r="CJ131" s="10">
        <v>0</v>
      </c>
      <c r="CK131" s="10">
        <v>0</v>
      </c>
      <c r="CL131" s="10">
        <v>0</v>
      </c>
      <c r="CM131" s="10">
        <v>0</v>
      </c>
      <c r="CN131" s="10">
        <v>0</v>
      </c>
      <c r="CO131" s="10">
        <v>0</v>
      </c>
      <c r="CP131" s="10">
        <v>0</v>
      </c>
      <c r="CQ131" s="10">
        <v>0</v>
      </c>
      <c r="CR131" s="10">
        <v>0</v>
      </c>
      <c r="CS131" s="10">
        <v>0</v>
      </c>
      <c r="CT131" s="10">
        <v>0</v>
      </c>
      <c r="CU131" s="10">
        <v>0</v>
      </c>
      <c r="CV131" s="10">
        <v>0</v>
      </c>
      <c r="CW131" s="10">
        <v>0</v>
      </c>
      <c r="CX131" s="10">
        <v>0</v>
      </c>
      <c r="CY131" s="10">
        <v>0</v>
      </c>
      <c r="CZ131" s="10">
        <v>0</v>
      </c>
      <c r="DA131" s="10">
        <v>0</v>
      </c>
      <c r="DB131" s="10">
        <v>0</v>
      </c>
      <c r="DC131" s="10">
        <v>0</v>
      </c>
      <c r="DD131" s="10">
        <v>0</v>
      </c>
      <c r="DE131" s="10">
        <v>0</v>
      </c>
      <c r="DF131" s="10">
        <v>0.49068461432414312</v>
      </c>
      <c r="DG131" s="10">
        <v>0</v>
      </c>
      <c r="DH131" s="10">
        <v>0</v>
      </c>
      <c r="DI131" s="10">
        <v>0</v>
      </c>
      <c r="DJ131" s="10">
        <v>0</v>
      </c>
      <c r="DK131" s="10">
        <v>0</v>
      </c>
      <c r="DL131" s="10">
        <v>0</v>
      </c>
      <c r="DM131" s="10">
        <v>0</v>
      </c>
      <c r="DN131" s="10">
        <v>0</v>
      </c>
      <c r="DO131" s="10">
        <v>0</v>
      </c>
      <c r="DP131" s="10">
        <v>0</v>
      </c>
      <c r="DQ131" s="10">
        <v>0</v>
      </c>
      <c r="DR131" s="10">
        <v>0</v>
      </c>
      <c r="DS131" s="10">
        <v>0.36066556938156358</v>
      </c>
      <c r="DT131" s="10">
        <v>8.6887062336451111E-3</v>
      </c>
      <c r="DU131" s="10">
        <v>0</v>
      </c>
      <c r="DV131" s="10">
        <v>0</v>
      </c>
      <c r="DW131" s="10">
        <v>0</v>
      </c>
      <c r="DX131" s="10">
        <v>0</v>
      </c>
      <c r="DY131" s="10">
        <v>0</v>
      </c>
      <c r="DZ131" s="10">
        <v>0</v>
      </c>
      <c r="EA131" s="10">
        <v>0</v>
      </c>
      <c r="EB131" s="10">
        <v>0</v>
      </c>
      <c r="EC131" s="10">
        <v>0</v>
      </c>
      <c r="ED131" s="10">
        <v>0</v>
      </c>
      <c r="EE131" s="10">
        <v>0</v>
      </c>
      <c r="EF131" s="10">
        <v>0</v>
      </c>
      <c r="EG131" s="10">
        <v>0</v>
      </c>
      <c r="EH131" s="10">
        <v>0</v>
      </c>
      <c r="EI131" s="10">
        <v>0</v>
      </c>
      <c r="EJ131" s="10">
        <v>0</v>
      </c>
      <c r="EK131" s="10">
        <v>0</v>
      </c>
      <c r="EL131" s="10">
        <v>0</v>
      </c>
      <c r="EM131" s="10">
        <v>0</v>
      </c>
      <c r="EN131" s="10">
        <v>0</v>
      </c>
      <c r="EO131" s="10">
        <v>0</v>
      </c>
      <c r="EP131" s="10">
        <v>0</v>
      </c>
      <c r="EQ131" s="10">
        <v>0</v>
      </c>
      <c r="ER131" s="10">
        <v>0</v>
      </c>
      <c r="ES131" s="10">
        <v>0</v>
      </c>
      <c r="ET131" s="10">
        <v>0</v>
      </c>
      <c r="EU131" s="10">
        <v>0</v>
      </c>
      <c r="EV131" s="10">
        <v>0</v>
      </c>
      <c r="EW131" s="10">
        <v>0</v>
      </c>
      <c r="EX131" s="10">
        <v>0</v>
      </c>
      <c r="EY131" s="10">
        <v>0</v>
      </c>
      <c r="EZ131" s="10">
        <v>0</v>
      </c>
      <c r="FA131" s="10">
        <v>0</v>
      </c>
      <c r="FB131" s="10">
        <v>0</v>
      </c>
      <c r="FC131" s="10">
        <v>0</v>
      </c>
      <c r="FD131" s="10">
        <v>0</v>
      </c>
      <c r="FE131" s="10">
        <v>0</v>
      </c>
      <c r="FF131" s="10">
        <v>0</v>
      </c>
      <c r="FG131" s="10">
        <v>0</v>
      </c>
      <c r="FH131" s="10">
        <v>0</v>
      </c>
      <c r="FI131" s="10">
        <v>0</v>
      </c>
      <c r="FJ131" s="10">
        <v>0</v>
      </c>
      <c r="FK131" s="10">
        <v>0</v>
      </c>
      <c r="FL131" s="10">
        <v>0</v>
      </c>
      <c r="FM131" s="10">
        <v>0</v>
      </c>
      <c r="FN131" s="10">
        <v>0</v>
      </c>
      <c r="FO131" s="10">
        <v>0</v>
      </c>
      <c r="FP131" s="10">
        <v>0</v>
      </c>
      <c r="FQ131" s="10">
        <v>0</v>
      </c>
      <c r="FR131" s="10">
        <v>0</v>
      </c>
      <c r="FS131" s="10">
        <v>0</v>
      </c>
      <c r="FT131" s="10">
        <v>0</v>
      </c>
      <c r="FU131" s="10">
        <v>0</v>
      </c>
      <c r="FV131" s="10">
        <v>0</v>
      </c>
      <c r="FW131" s="10">
        <v>0</v>
      </c>
      <c r="FX131" s="10">
        <v>0</v>
      </c>
      <c r="FY131" s="10">
        <v>0</v>
      </c>
      <c r="FZ131" s="10">
        <v>0</v>
      </c>
      <c r="GA131" s="10">
        <v>0</v>
      </c>
      <c r="GB131" s="10">
        <v>0</v>
      </c>
      <c r="GC131" s="10">
        <v>0</v>
      </c>
      <c r="GD131" s="10">
        <v>0</v>
      </c>
      <c r="GE131" s="10">
        <v>0</v>
      </c>
      <c r="GF131" s="10">
        <v>0</v>
      </c>
      <c r="GG131" s="10">
        <v>0</v>
      </c>
      <c r="GH131" s="10">
        <v>0</v>
      </c>
      <c r="GI131" s="10">
        <v>0</v>
      </c>
      <c r="GJ131" s="10">
        <v>0</v>
      </c>
      <c r="GK131" s="10">
        <v>0</v>
      </c>
      <c r="GL131" s="10">
        <v>0</v>
      </c>
      <c r="GM131" s="10">
        <v>0</v>
      </c>
      <c r="GN131" s="10">
        <v>0</v>
      </c>
      <c r="GO131" s="10">
        <v>0</v>
      </c>
      <c r="GP131" s="10">
        <v>0</v>
      </c>
      <c r="GQ131" s="10">
        <v>0</v>
      </c>
      <c r="GR131" s="10">
        <v>0</v>
      </c>
      <c r="GS131" s="10">
        <v>0</v>
      </c>
      <c r="GT131" s="10">
        <v>0</v>
      </c>
      <c r="GU131" s="10">
        <v>0</v>
      </c>
      <c r="GV131" s="10">
        <v>0</v>
      </c>
      <c r="GW131" s="10">
        <v>0</v>
      </c>
      <c r="GX131" s="10">
        <v>0</v>
      </c>
      <c r="GY131" s="10">
        <v>0</v>
      </c>
      <c r="GZ131" s="10">
        <v>0</v>
      </c>
      <c r="HA131" s="10">
        <v>0</v>
      </c>
      <c r="HB131" s="10">
        <v>0</v>
      </c>
      <c r="HC131" s="10">
        <v>0</v>
      </c>
      <c r="HD131" s="10">
        <v>0</v>
      </c>
      <c r="HE131" s="10">
        <v>0</v>
      </c>
      <c r="HF131" s="10">
        <v>0</v>
      </c>
      <c r="HG131" s="10">
        <v>0</v>
      </c>
      <c r="HH131" s="10">
        <v>0</v>
      </c>
      <c r="HI131" s="10">
        <v>0</v>
      </c>
      <c r="HJ131" s="10">
        <v>0</v>
      </c>
      <c r="HK131" s="10">
        <v>0</v>
      </c>
      <c r="HL131" s="10">
        <v>0</v>
      </c>
      <c r="HM131" s="10">
        <v>0</v>
      </c>
      <c r="HN131" s="10">
        <v>0</v>
      </c>
      <c r="HO131" s="10">
        <v>0</v>
      </c>
      <c r="HP131" s="10">
        <v>0</v>
      </c>
      <c r="HQ131" s="10">
        <v>0</v>
      </c>
      <c r="HR131" s="10">
        <v>0</v>
      </c>
      <c r="HS131" s="10">
        <v>0</v>
      </c>
      <c r="HT131" s="10">
        <v>0</v>
      </c>
      <c r="HU131" s="10">
        <v>0</v>
      </c>
    </row>
    <row r="132" spans="1:229" x14ac:dyDescent="0.25">
      <c r="A132" s="10">
        <v>0</v>
      </c>
      <c r="B132" s="2" t="s">
        <v>252</v>
      </c>
      <c r="C132" s="2" t="s">
        <v>253</v>
      </c>
      <c r="D132" s="2">
        <v>6.6</v>
      </c>
      <c r="E132" s="2">
        <v>3.5</v>
      </c>
      <c r="F132" s="2">
        <v>7.1</v>
      </c>
      <c r="G132" s="2">
        <v>0</v>
      </c>
      <c r="H132" s="2">
        <v>0.22</v>
      </c>
      <c r="I132" s="2">
        <v>83</v>
      </c>
      <c r="J132" s="2">
        <v>3.1</v>
      </c>
      <c r="K132" s="2">
        <v>0.4</v>
      </c>
      <c r="L132" s="3"/>
      <c r="M132" s="2" t="str">
        <f t="shared" si="8"/>
        <v>01179</v>
      </c>
      <c r="N132" s="3">
        <v>0.61863229931617658</v>
      </c>
      <c r="O132" s="3">
        <v>1.3813677006838228</v>
      </c>
      <c r="P132" s="17">
        <v>0.61863229931613706</v>
      </c>
      <c r="Q132" s="3">
        <v>2.0090518279723817</v>
      </c>
      <c r="R132" s="3">
        <v>0.64788043942974394</v>
      </c>
      <c r="S132" s="3" t="e">
        <v>#DIV/0!</v>
      </c>
      <c r="T132" s="3">
        <v>0.61863229931624009</v>
      </c>
      <c r="U132" s="3">
        <v>0.61863229931617703</v>
      </c>
      <c r="V132" s="3">
        <v>1.3813677006838307</v>
      </c>
      <c r="W132" s="3">
        <v>3.7212583931978038</v>
      </c>
      <c r="X132" s="3">
        <v>4.0829731754865044</v>
      </c>
      <c r="Y132" s="3">
        <v>7.0316813979033359</v>
      </c>
      <c r="Z132" s="3">
        <v>4.5999511199511813</v>
      </c>
      <c r="AA132" s="3">
        <v>0</v>
      </c>
      <c r="AB132" s="3">
        <v>0.13609910584957283</v>
      </c>
      <c r="AC132" s="3">
        <v>51.346480843242695</v>
      </c>
      <c r="AD132" s="3">
        <v>4.2822398721198756</v>
      </c>
      <c r="AE132" s="3">
        <v>1.4885033572791215</v>
      </c>
      <c r="AF132" s="3">
        <v>0</v>
      </c>
      <c r="AG132" s="3">
        <v>0</v>
      </c>
      <c r="AH132" s="3">
        <v>3.5136531940225028E-3</v>
      </c>
      <c r="AI132" s="3">
        <v>0</v>
      </c>
      <c r="AJ132" s="3">
        <v>0</v>
      </c>
      <c r="AK132" s="3">
        <v>0</v>
      </c>
      <c r="AL132" s="3">
        <v>0</v>
      </c>
      <c r="AM132" s="3">
        <v>0</v>
      </c>
      <c r="AN132" s="3">
        <v>0</v>
      </c>
      <c r="AO132" s="3">
        <v>0</v>
      </c>
      <c r="AP132" s="3">
        <v>0</v>
      </c>
      <c r="AQ132" s="3">
        <v>0</v>
      </c>
      <c r="AR132" s="3">
        <v>0</v>
      </c>
      <c r="AS132" s="3">
        <v>0</v>
      </c>
      <c r="AT132" s="3">
        <v>0</v>
      </c>
      <c r="AU132" s="3">
        <v>0</v>
      </c>
      <c r="AV132" s="3">
        <v>0</v>
      </c>
      <c r="AW132" s="3">
        <v>0</v>
      </c>
      <c r="AX132" s="3">
        <v>0</v>
      </c>
      <c r="AY132" s="3">
        <v>0</v>
      </c>
      <c r="AZ132" s="3">
        <v>0</v>
      </c>
      <c r="BA132" s="10">
        <v>0</v>
      </c>
      <c r="BB132" s="10">
        <v>0</v>
      </c>
      <c r="BC132" s="10">
        <v>0</v>
      </c>
      <c r="BD132" s="10">
        <v>0</v>
      </c>
      <c r="BE132" s="10">
        <v>0</v>
      </c>
      <c r="BF132" s="10">
        <v>0</v>
      </c>
      <c r="BG132" s="10">
        <v>0</v>
      </c>
      <c r="BH132" s="10">
        <v>0</v>
      </c>
      <c r="BI132" s="10">
        <v>0</v>
      </c>
      <c r="BJ132" s="10">
        <v>0</v>
      </c>
      <c r="BK132" s="10">
        <v>0</v>
      </c>
      <c r="BL132" s="10">
        <v>0</v>
      </c>
      <c r="BM132" s="10">
        <v>0</v>
      </c>
      <c r="BN132" s="10">
        <v>0</v>
      </c>
      <c r="BO132" s="10">
        <v>0</v>
      </c>
      <c r="BP132" s="10">
        <v>0</v>
      </c>
      <c r="BQ132" s="10">
        <v>0</v>
      </c>
      <c r="BR132" s="10">
        <v>0</v>
      </c>
      <c r="BS132" s="10">
        <v>0</v>
      </c>
      <c r="BT132" s="10">
        <v>0</v>
      </c>
      <c r="BU132" s="10">
        <v>0</v>
      </c>
      <c r="BV132" s="10">
        <v>0</v>
      </c>
      <c r="BW132" s="10">
        <v>0</v>
      </c>
      <c r="BX132" s="10">
        <v>0</v>
      </c>
      <c r="BY132" s="10">
        <v>0</v>
      </c>
      <c r="BZ132" s="10">
        <v>0</v>
      </c>
      <c r="CA132" s="10">
        <v>0.50168598515673346</v>
      </c>
      <c r="CB132" s="10">
        <v>0</v>
      </c>
      <c r="CC132" s="10">
        <v>0</v>
      </c>
      <c r="CD132" s="10">
        <v>0</v>
      </c>
      <c r="CE132" s="10">
        <v>0</v>
      </c>
      <c r="CF132" s="10">
        <v>0</v>
      </c>
      <c r="CG132" s="10">
        <v>0</v>
      </c>
      <c r="CH132" s="10">
        <v>0</v>
      </c>
      <c r="CI132" s="10">
        <v>0</v>
      </c>
      <c r="CJ132" s="10">
        <v>0</v>
      </c>
      <c r="CK132" s="10">
        <v>0</v>
      </c>
      <c r="CL132" s="10">
        <v>0</v>
      </c>
      <c r="CM132" s="10">
        <v>0</v>
      </c>
      <c r="CN132" s="10">
        <v>0</v>
      </c>
      <c r="CO132" s="10">
        <v>0</v>
      </c>
      <c r="CP132" s="10">
        <v>0</v>
      </c>
      <c r="CQ132" s="10">
        <v>0</v>
      </c>
      <c r="CR132" s="10">
        <v>0</v>
      </c>
      <c r="CS132" s="10">
        <v>0</v>
      </c>
      <c r="CT132" s="10">
        <v>0</v>
      </c>
      <c r="CU132" s="10">
        <v>0</v>
      </c>
      <c r="CV132" s="10">
        <v>0</v>
      </c>
      <c r="CW132" s="10">
        <v>0</v>
      </c>
      <c r="CX132" s="10">
        <v>0</v>
      </c>
      <c r="CY132" s="10">
        <v>0</v>
      </c>
      <c r="CZ132" s="10">
        <v>0</v>
      </c>
      <c r="DA132" s="10">
        <v>0</v>
      </c>
      <c r="DB132" s="10">
        <v>0</v>
      </c>
      <c r="DC132" s="10">
        <v>0</v>
      </c>
      <c r="DD132" s="10">
        <v>0</v>
      </c>
      <c r="DE132" s="10">
        <v>0</v>
      </c>
      <c r="DF132" s="10">
        <v>0.25176624406072151</v>
      </c>
      <c r="DG132" s="10">
        <v>0</v>
      </c>
      <c r="DH132" s="10">
        <v>0</v>
      </c>
      <c r="DI132" s="10">
        <v>0</v>
      </c>
      <c r="DJ132" s="10">
        <v>0</v>
      </c>
      <c r="DK132" s="10">
        <v>0</v>
      </c>
      <c r="DL132" s="10">
        <v>0</v>
      </c>
      <c r="DM132" s="10">
        <v>0</v>
      </c>
      <c r="DN132" s="10">
        <v>0</v>
      </c>
      <c r="DO132" s="10">
        <v>0</v>
      </c>
      <c r="DP132" s="10">
        <v>0</v>
      </c>
      <c r="DQ132" s="10">
        <v>0</v>
      </c>
      <c r="DR132" s="10">
        <v>0</v>
      </c>
      <c r="DS132" s="10">
        <v>0.24303411758852286</v>
      </c>
      <c r="DT132" s="10">
        <v>0</v>
      </c>
      <c r="DU132" s="10">
        <v>0</v>
      </c>
      <c r="DV132" s="10">
        <v>0</v>
      </c>
      <c r="DW132" s="10">
        <v>0</v>
      </c>
      <c r="DX132" s="10">
        <v>0</v>
      </c>
      <c r="DY132" s="10">
        <v>0</v>
      </c>
      <c r="DZ132" s="10">
        <v>0</v>
      </c>
      <c r="EA132" s="10">
        <v>0</v>
      </c>
      <c r="EB132" s="10">
        <v>0</v>
      </c>
      <c r="EC132" s="10">
        <v>0</v>
      </c>
      <c r="ED132" s="10">
        <v>0</v>
      </c>
      <c r="EE132" s="10">
        <v>0</v>
      </c>
      <c r="EF132" s="10">
        <v>0</v>
      </c>
      <c r="EG132" s="10">
        <v>0</v>
      </c>
      <c r="EH132" s="10">
        <v>0</v>
      </c>
      <c r="EI132" s="10">
        <v>0</v>
      </c>
      <c r="EJ132" s="10">
        <v>0</v>
      </c>
      <c r="EK132" s="10">
        <v>0</v>
      </c>
      <c r="EL132" s="10">
        <v>0</v>
      </c>
      <c r="EM132" s="10">
        <v>0</v>
      </c>
      <c r="EN132" s="10">
        <v>0</v>
      </c>
      <c r="EO132" s="10">
        <v>0</v>
      </c>
      <c r="EP132" s="10">
        <v>0</v>
      </c>
      <c r="EQ132" s="10">
        <v>0</v>
      </c>
      <c r="ER132" s="10">
        <v>0</v>
      </c>
      <c r="ES132" s="10">
        <v>0</v>
      </c>
      <c r="ET132" s="10">
        <v>0</v>
      </c>
      <c r="EU132" s="10">
        <v>0</v>
      </c>
      <c r="EV132" s="10">
        <v>0</v>
      </c>
      <c r="EW132" s="10">
        <v>0</v>
      </c>
      <c r="EX132" s="10">
        <v>0</v>
      </c>
      <c r="EY132" s="10">
        <v>0</v>
      </c>
      <c r="EZ132" s="10">
        <v>0</v>
      </c>
      <c r="FA132" s="10">
        <v>0</v>
      </c>
      <c r="FB132" s="10">
        <v>0</v>
      </c>
      <c r="FC132" s="10">
        <v>0</v>
      </c>
      <c r="FD132" s="10">
        <v>0</v>
      </c>
      <c r="FE132" s="10">
        <v>0</v>
      </c>
      <c r="FF132" s="10">
        <v>0</v>
      </c>
      <c r="FG132" s="10">
        <v>0</v>
      </c>
      <c r="FH132" s="10">
        <v>0</v>
      </c>
      <c r="FI132" s="10">
        <v>0</v>
      </c>
      <c r="FJ132" s="10">
        <v>0</v>
      </c>
      <c r="FK132" s="10">
        <v>0</v>
      </c>
      <c r="FL132" s="10">
        <v>0</v>
      </c>
      <c r="FM132" s="10">
        <v>0</v>
      </c>
      <c r="FN132" s="10">
        <v>0</v>
      </c>
      <c r="FO132" s="10">
        <v>0</v>
      </c>
      <c r="FP132" s="10">
        <v>0</v>
      </c>
      <c r="FQ132" s="10">
        <v>0</v>
      </c>
      <c r="FR132" s="10">
        <v>0</v>
      </c>
      <c r="FS132" s="10">
        <v>0</v>
      </c>
      <c r="FT132" s="10">
        <v>0</v>
      </c>
      <c r="FU132" s="10">
        <v>0</v>
      </c>
      <c r="FV132" s="10">
        <v>0</v>
      </c>
      <c r="FW132" s="10">
        <v>0</v>
      </c>
      <c r="FX132" s="10">
        <v>0</v>
      </c>
      <c r="FY132" s="10">
        <v>0</v>
      </c>
      <c r="FZ132" s="10">
        <v>0</v>
      </c>
      <c r="GA132" s="10">
        <v>0</v>
      </c>
      <c r="GB132" s="10">
        <v>0</v>
      </c>
      <c r="GC132" s="10">
        <v>0</v>
      </c>
      <c r="GD132" s="10">
        <v>0</v>
      </c>
      <c r="GE132" s="10">
        <v>0</v>
      </c>
      <c r="GF132" s="10">
        <v>0</v>
      </c>
      <c r="GG132" s="10">
        <v>0</v>
      </c>
      <c r="GH132" s="10">
        <v>0</v>
      </c>
      <c r="GI132" s="10">
        <v>0</v>
      </c>
      <c r="GJ132" s="10">
        <v>0</v>
      </c>
      <c r="GK132" s="10">
        <v>0</v>
      </c>
      <c r="GL132" s="10">
        <v>0</v>
      </c>
      <c r="GM132" s="10">
        <v>0</v>
      </c>
      <c r="GN132" s="10">
        <v>0</v>
      </c>
      <c r="GO132" s="10">
        <v>0</v>
      </c>
      <c r="GP132" s="10">
        <v>0</v>
      </c>
      <c r="GQ132" s="10">
        <v>0</v>
      </c>
      <c r="GR132" s="10">
        <v>0</v>
      </c>
      <c r="GS132" s="10">
        <v>0</v>
      </c>
      <c r="GT132" s="10">
        <v>0</v>
      </c>
      <c r="GU132" s="10">
        <v>0</v>
      </c>
      <c r="GV132" s="10">
        <v>0</v>
      </c>
      <c r="GW132" s="10">
        <v>0</v>
      </c>
      <c r="GX132" s="10">
        <v>0</v>
      </c>
      <c r="GY132" s="10">
        <v>0</v>
      </c>
      <c r="GZ132" s="10">
        <v>0</v>
      </c>
      <c r="HA132" s="10">
        <v>0</v>
      </c>
      <c r="HB132" s="10">
        <v>0</v>
      </c>
      <c r="HC132" s="10">
        <v>0</v>
      </c>
      <c r="HD132" s="10">
        <v>0</v>
      </c>
      <c r="HE132" s="10">
        <v>0</v>
      </c>
      <c r="HF132" s="10">
        <v>0</v>
      </c>
      <c r="HG132" s="10">
        <v>0</v>
      </c>
      <c r="HH132" s="10">
        <v>0</v>
      </c>
      <c r="HI132" s="10">
        <v>0</v>
      </c>
      <c r="HJ132" s="10">
        <v>0</v>
      </c>
      <c r="HK132" s="10">
        <v>0</v>
      </c>
      <c r="HL132" s="10">
        <v>0</v>
      </c>
      <c r="HM132" s="10">
        <v>0</v>
      </c>
      <c r="HN132" s="10">
        <v>0</v>
      </c>
      <c r="HO132" s="10">
        <v>0</v>
      </c>
      <c r="HP132" s="10">
        <v>0</v>
      </c>
      <c r="HQ132" s="10">
        <v>0</v>
      </c>
      <c r="HR132" s="10">
        <v>0</v>
      </c>
      <c r="HS132" s="10">
        <v>0</v>
      </c>
      <c r="HT132" s="10">
        <v>0</v>
      </c>
      <c r="HU132" s="10">
        <v>0</v>
      </c>
    </row>
    <row r="133" spans="1:229" x14ac:dyDescent="0.25">
      <c r="A133" s="10">
        <v>0</v>
      </c>
      <c r="B133" s="2" t="s">
        <v>254</v>
      </c>
      <c r="C133" s="2" t="s">
        <v>255</v>
      </c>
      <c r="D133" s="2">
        <v>0</v>
      </c>
      <c r="E133" s="2">
        <v>3.1</v>
      </c>
      <c r="F133" s="2">
        <v>15.6</v>
      </c>
      <c r="G133" s="2">
        <v>0</v>
      </c>
      <c r="H133" s="2">
        <v>0.39</v>
      </c>
      <c r="I133" s="2">
        <v>141</v>
      </c>
      <c r="J133" s="2">
        <v>0</v>
      </c>
      <c r="K133" s="2">
        <v>0</v>
      </c>
      <c r="L133" s="3"/>
      <c r="M133" s="2" t="str">
        <f t="shared" si="8"/>
        <v>01180</v>
      </c>
      <c r="N133" s="3">
        <v>1.0000000000025486</v>
      </c>
      <c r="O133" s="3">
        <v>0.99999999999745115</v>
      </c>
      <c r="P133" s="17" t="e">
        <v>#DIV/0!</v>
      </c>
      <c r="Q133" s="3">
        <v>1.0000000000007094</v>
      </c>
      <c r="R133" s="3">
        <v>1.0000000000016795</v>
      </c>
      <c r="S133" s="3" t="e">
        <v>#DIV/0!</v>
      </c>
      <c r="T133" s="3">
        <v>1.0000000000025839</v>
      </c>
      <c r="U133" s="3">
        <v>1.0000000000025491</v>
      </c>
      <c r="V133" s="3" t="e">
        <v>#DIV/0!</v>
      </c>
      <c r="W133" s="3" t="e">
        <v>#DIV/0!</v>
      </c>
      <c r="X133" s="3">
        <v>-4.4368420049198519E-13</v>
      </c>
      <c r="Y133" s="3">
        <v>3.1000000000021997</v>
      </c>
      <c r="Z133" s="3">
        <v>15.600000000026201</v>
      </c>
      <c r="AA133" s="3">
        <v>0</v>
      </c>
      <c r="AB133" s="3">
        <v>0.39000000000100776</v>
      </c>
      <c r="AC133" s="3">
        <v>141.00000000035942</v>
      </c>
      <c r="AD133" s="3">
        <v>-1.780214384690064E-13</v>
      </c>
      <c r="AE133" s="3">
        <v>-2.4649122249554732E-14</v>
      </c>
      <c r="AF133" s="3">
        <v>0</v>
      </c>
      <c r="AG133" s="3">
        <v>0</v>
      </c>
      <c r="AH133" s="3">
        <v>0</v>
      </c>
      <c r="AI133" s="10">
        <v>0</v>
      </c>
      <c r="AJ133" s="3">
        <v>0</v>
      </c>
      <c r="AK133" s="3">
        <v>0</v>
      </c>
      <c r="AL133" s="3">
        <v>0</v>
      </c>
      <c r="AM133" s="3">
        <v>0</v>
      </c>
      <c r="AN133" s="10">
        <v>0</v>
      </c>
      <c r="AO133" s="10">
        <v>0</v>
      </c>
      <c r="AP133" s="10">
        <v>0</v>
      </c>
      <c r="AQ133" s="10">
        <v>0</v>
      </c>
      <c r="AR133" s="10">
        <v>0</v>
      </c>
      <c r="AS133" s="10">
        <v>0</v>
      </c>
      <c r="AT133" s="10">
        <v>0</v>
      </c>
      <c r="AU133" s="10">
        <v>0</v>
      </c>
      <c r="AV133" s="10">
        <v>0</v>
      </c>
      <c r="AW133" s="3">
        <v>0</v>
      </c>
      <c r="AX133" s="3">
        <v>0</v>
      </c>
      <c r="AY133" s="3">
        <v>0</v>
      </c>
      <c r="AZ133" s="3">
        <v>0</v>
      </c>
      <c r="BA133" s="10">
        <v>0</v>
      </c>
      <c r="BB133" s="10">
        <v>0</v>
      </c>
      <c r="BC133" s="10">
        <v>0</v>
      </c>
      <c r="BD133" s="10">
        <v>0</v>
      </c>
      <c r="BE133" s="10">
        <v>0</v>
      </c>
      <c r="BF133" s="10">
        <v>0</v>
      </c>
      <c r="BG133" s="10">
        <v>0</v>
      </c>
      <c r="BH133" s="10">
        <v>0</v>
      </c>
      <c r="BI133" s="10">
        <v>0</v>
      </c>
      <c r="BJ133" s="10">
        <v>0</v>
      </c>
      <c r="BK133" s="10">
        <v>0</v>
      </c>
      <c r="BL133" s="10">
        <v>0</v>
      </c>
      <c r="BM133" s="10">
        <v>0</v>
      </c>
      <c r="BN133" s="10">
        <v>0</v>
      </c>
      <c r="BO133" s="10">
        <v>0</v>
      </c>
      <c r="BP133" s="10">
        <v>0</v>
      </c>
      <c r="BQ133" s="10">
        <v>0</v>
      </c>
      <c r="BR133" s="10">
        <v>0</v>
      </c>
      <c r="BS133" s="10">
        <v>0</v>
      </c>
      <c r="BT133" s="10">
        <v>0</v>
      </c>
      <c r="BU133" s="10">
        <v>0</v>
      </c>
      <c r="BV133" s="10">
        <v>0</v>
      </c>
      <c r="BW133" s="10">
        <v>0</v>
      </c>
      <c r="BX133" s="10">
        <v>0</v>
      </c>
      <c r="BY133" s="10">
        <v>0</v>
      </c>
      <c r="BZ133" s="10">
        <v>0</v>
      </c>
      <c r="CA133" s="10">
        <v>0</v>
      </c>
      <c r="CB133" s="10">
        <v>0</v>
      </c>
      <c r="CC133" s="10">
        <v>0</v>
      </c>
      <c r="CD133" s="10">
        <v>0</v>
      </c>
      <c r="CE133" s="10">
        <v>0</v>
      </c>
      <c r="CF133" s="10">
        <v>0</v>
      </c>
      <c r="CG133" s="10">
        <v>0</v>
      </c>
      <c r="CH133" s="10">
        <v>0</v>
      </c>
      <c r="CI133" s="10">
        <v>0</v>
      </c>
      <c r="CJ133" s="10">
        <v>0</v>
      </c>
      <c r="CK133" s="10">
        <v>0</v>
      </c>
      <c r="CL133" s="10">
        <v>0</v>
      </c>
      <c r="CM133" s="10">
        <v>0</v>
      </c>
      <c r="CN133" s="10">
        <v>0</v>
      </c>
      <c r="CO133" s="10">
        <v>0</v>
      </c>
      <c r="CP133" s="10">
        <v>0</v>
      </c>
      <c r="CQ133" s="10">
        <v>-2.738791361061637E-12</v>
      </c>
      <c r="CR133" s="10">
        <v>0</v>
      </c>
      <c r="CS133" s="10">
        <v>0</v>
      </c>
      <c r="CT133" s="10">
        <v>0</v>
      </c>
      <c r="CU133" s="10">
        <v>0</v>
      </c>
      <c r="CV133" s="10">
        <v>0</v>
      </c>
      <c r="CW133" s="10">
        <v>0</v>
      </c>
      <c r="CX133" s="10">
        <v>0</v>
      </c>
      <c r="CY133" s="10">
        <v>0</v>
      </c>
      <c r="CZ133" s="10">
        <v>0</v>
      </c>
      <c r="DA133" s="10">
        <v>0</v>
      </c>
      <c r="DB133" s="10">
        <v>0</v>
      </c>
      <c r="DC133" s="10">
        <v>0</v>
      </c>
      <c r="DD133" s="10">
        <v>0</v>
      </c>
      <c r="DE133" s="10">
        <v>0</v>
      </c>
      <c r="DF133" s="10">
        <v>0</v>
      </c>
      <c r="DG133" s="10">
        <v>0</v>
      </c>
      <c r="DH133" s="10">
        <v>0</v>
      </c>
      <c r="DI133" s="10">
        <v>0</v>
      </c>
      <c r="DJ133" s="10">
        <v>0</v>
      </c>
      <c r="DK133" s="10">
        <v>0</v>
      </c>
      <c r="DL133" s="10">
        <v>0</v>
      </c>
      <c r="DM133" s="10">
        <v>0</v>
      </c>
      <c r="DN133" s="10">
        <v>0</v>
      </c>
      <c r="DO133" s="10">
        <v>0</v>
      </c>
      <c r="DP133" s="10">
        <v>0</v>
      </c>
      <c r="DQ133" s="10">
        <v>0</v>
      </c>
      <c r="DR133" s="10">
        <v>0</v>
      </c>
      <c r="DS133" s="10">
        <v>0</v>
      </c>
      <c r="DT133" s="10">
        <v>0</v>
      </c>
      <c r="DU133" s="10">
        <v>0</v>
      </c>
      <c r="DV133" s="10">
        <v>0</v>
      </c>
      <c r="DW133" s="10">
        <v>0</v>
      </c>
      <c r="DX133" s="10">
        <v>0</v>
      </c>
      <c r="DY133" s="10">
        <v>0</v>
      </c>
      <c r="DZ133" s="10">
        <v>0</v>
      </c>
      <c r="EA133" s="10">
        <v>0</v>
      </c>
      <c r="EB133" s="10">
        <v>0</v>
      </c>
      <c r="EC133" s="10">
        <v>0</v>
      </c>
      <c r="ED133" s="10">
        <v>0</v>
      </c>
      <c r="EE133" s="10">
        <v>0</v>
      </c>
      <c r="EF133" s="10">
        <v>0</v>
      </c>
      <c r="EG133" s="10">
        <v>0</v>
      </c>
      <c r="EH133" s="10">
        <v>0</v>
      </c>
      <c r="EI133" s="10">
        <v>0</v>
      </c>
      <c r="EJ133" s="10">
        <v>0</v>
      </c>
      <c r="EK133" s="10">
        <v>0</v>
      </c>
      <c r="EL133" s="10">
        <v>0</v>
      </c>
      <c r="EM133" s="10">
        <v>0</v>
      </c>
      <c r="EN133" s="10">
        <v>0</v>
      </c>
      <c r="EO133" s="10">
        <v>0</v>
      </c>
      <c r="EP133" s="10">
        <v>0</v>
      </c>
      <c r="EQ133" s="10">
        <v>0</v>
      </c>
      <c r="ER133" s="10">
        <v>0</v>
      </c>
      <c r="ES133" s="10">
        <v>0</v>
      </c>
      <c r="ET133" s="10">
        <v>0</v>
      </c>
      <c r="EU133" s="10">
        <v>0</v>
      </c>
      <c r="EV133" s="10">
        <v>0</v>
      </c>
      <c r="EW133" s="10">
        <v>0</v>
      </c>
      <c r="EX133" s="10">
        <v>1.0000000000025839</v>
      </c>
      <c r="EY133" s="10">
        <v>0</v>
      </c>
      <c r="EZ133" s="10">
        <v>0</v>
      </c>
      <c r="FA133" s="10">
        <v>0</v>
      </c>
      <c r="FB133" s="10">
        <v>0</v>
      </c>
      <c r="FC133" s="10">
        <v>0</v>
      </c>
      <c r="FD133" s="10">
        <v>0</v>
      </c>
      <c r="FE133" s="10">
        <v>0</v>
      </c>
      <c r="FF133" s="10">
        <v>0</v>
      </c>
      <c r="FG133" s="10">
        <v>0</v>
      </c>
      <c r="FH133" s="10">
        <v>0</v>
      </c>
      <c r="FI133" s="10">
        <v>0</v>
      </c>
      <c r="FJ133" s="10">
        <v>0</v>
      </c>
      <c r="FK133" s="10">
        <v>0</v>
      </c>
      <c r="FL133" s="10">
        <v>0</v>
      </c>
      <c r="FM133" s="10">
        <v>0</v>
      </c>
      <c r="FN133" s="10">
        <v>0</v>
      </c>
      <c r="FO133" s="10">
        <v>0</v>
      </c>
      <c r="FP133" s="10">
        <v>0</v>
      </c>
      <c r="FQ133" s="10">
        <v>0</v>
      </c>
      <c r="FR133" s="10">
        <v>0</v>
      </c>
      <c r="FS133" s="10">
        <v>0</v>
      </c>
      <c r="FT133" s="10">
        <v>0</v>
      </c>
      <c r="FU133" s="10">
        <v>0</v>
      </c>
      <c r="FV133" s="10">
        <v>0</v>
      </c>
      <c r="FW133" s="10">
        <v>0</v>
      </c>
      <c r="FX133" s="10">
        <v>0</v>
      </c>
      <c r="FY133" s="10">
        <v>0</v>
      </c>
      <c r="FZ133" s="10">
        <v>0</v>
      </c>
      <c r="GA133" s="10">
        <v>0</v>
      </c>
      <c r="GB133" s="10">
        <v>0</v>
      </c>
      <c r="GC133" s="10">
        <v>0</v>
      </c>
      <c r="GD133" s="10">
        <v>0</v>
      </c>
      <c r="GE133" s="10">
        <v>0</v>
      </c>
      <c r="GF133" s="10">
        <v>0</v>
      </c>
      <c r="GG133" s="10">
        <v>0</v>
      </c>
      <c r="GH133" s="10">
        <v>0</v>
      </c>
      <c r="GI133" s="10">
        <v>0</v>
      </c>
      <c r="GJ133" s="10">
        <v>0</v>
      </c>
      <c r="GK133" s="10">
        <v>0</v>
      </c>
      <c r="GL133" s="10">
        <v>0</v>
      </c>
      <c r="GM133" s="10">
        <v>0</v>
      </c>
      <c r="GN133" s="10">
        <v>0</v>
      </c>
      <c r="GO133" s="10">
        <v>0</v>
      </c>
      <c r="GP133" s="10">
        <v>0</v>
      </c>
      <c r="GQ133" s="10">
        <v>0</v>
      </c>
      <c r="GR133" s="10">
        <v>0</v>
      </c>
      <c r="GS133" s="10">
        <v>0</v>
      </c>
      <c r="GT133" s="10">
        <v>0</v>
      </c>
      <c r="GU133" s="10">
        <v>0</v>
      </c>
      <c r="GV133" s="10">
        <v>0</v>
      </c>
      <c r="GW133" s="10">
        <v>0</v>
      </c>
      <c r="GX133" s="10">
        <v>0</v>
      </c>
      <c r="GY133" s="10">
        <v>0</v>
      </c>
      <c r="GZ133" s="10">
        <v>0</v>
      </c>
      <c r="HA133" s="10">
        <v>0</v>
      </c>
      <c r="HB133" s="10">
        <v>1.5666046238026381E-13</v>
      </c>
      <c r="HC133" s="10">
        <v>0</v>
      </c>
      <c r="HD133" s="10">
        <v>0</v>
      </c>
      <c r="HE133" s="10">
        <v>0</v>
      </c>
      <c r="HF133" s="10">
        <v>0</v>
      </c>
      <c r="HG133" s="10">
        <v>0</v>
      </c>
      <c r="HH133" s="10">
        <v>0</v>
      </c>
      <c r="HI133" s="10">
        <v>0</v>
      </c>
      <c r="HJ133" s="10">
        <v>0</v>
      </c>
      <c r="HK133" s="10">
        <v>0</v>
      </c>
      <c r="HL133" s="10">
        <v>0</v>
      </c>
      <c r="HM133" s="10">
        <v>0</v>
      </c>
      <c r="HN133" s="10">
        <v>0</v>
      </c>
      <c r="HO133" s="10">
        <v>0</v>
      </c>
      <c r="HP133" s="10">
        <v>0</v>
      </c>
      <c r="HQ133" s="10">
        <v>0</v>
      </c>
      <c r="HR133" s="10">
        <v>0</v>
      </c>
      <c r="HS133" s="10">
        <v>0</v>
      </c>
      <c r="HT133" s="10">
        <v>0</v>
      </c>
      <c r="HU133" s="10">
        <v>0</v>
      </c>
    </row>
    <row r="134" spans="1:229" x14ac:dyDescent="0.25">
      <c r="A134" s="10">
        <v>0</v>
      </c>
      <c r="B134" s="2" t="s">
        <v>256</v>
      </c>
      <c r="C134" s="2" t="s">
        <v>257</v>
      </c>
      <c r="D134" s="2">
        <v>11.58</v>
      </c>
      <c r="E134" s="2">
        <v>27.2</v>
      </c>
      <c r="F134" s="2">
        <v>2</v>
      </c>
      <c r="G134" s="2">
        <v>0</v>
      </c>
      <c r="H134" s="2">
        <v>0.57999999999999996</v>
      </c>
      <c r="I134" s="2">
        <v>725</v>
      </c>
      <c r="J134" s="2">
        <v>5.0199999999999996</v>
      </c>
      <c r="K134" s="2">
        <v>0.75</v>
      </c>
      <c r="L134" s="3"/>
      <c r="M134" s="2" t="str">
        <f t="shared" si="8"/>
        <v>01182</v>
      </c>
      <c r="N134" s="3">
        <v>0.58913124700728037</v>
      </c>
      <c r="O134" s="3">
        <v>1.4108687529927193</v>
      </c>
      <c r="P134" s="17">
        <v>0.58913124700731234</v>
      </c>
      <c r="Q134" s="3">
        <v>1.4108687529927195</v>
      </c>
      <c r="R134" s="3">
        <v>1.5771913297467322</v>
      </c>
      <c r="S134" s="3" t="e">
        <v>#DIV/0!</v>
      </c>
      <c r="T134" s="3">
        <v>0.58913124700730723</v>
      </c>
      <c r="U134" s="3">
        <v>0.58913124700727992</v>
      </c>
      <c r="V134" s="3">
        <v>1.4108687529926307</v>
      </c>
      <c r="W134" s="3">
        <v>3.8058306444454701</v>
      </c>
      <c r="X134" s="3">
        <v>6.8221398403446765</v>
      </c>
      <c r="Y134" s="3">
        <v>38.375630081401972</v>
      </c>
      <c r="Z134" s="3">
        <v>3.1543826594934643</v>
      </c>
      <c r="AA134" s="3">
        <v>0.10872343942085957</v>
      </c>
      <c r="AB134" s="3">
        <v>0.34169612326423815</v>
      </c>
      <c r="AC134" s="3">
        <v>427.12015408027793</v>
      </c>
      <c r="AD134" s="3">
        <v>7.0825611400230057</v>
      </c>
      <c r="AE134" s="3">
        <v>2.8543729833341027</v>
      </c>
      <c r="AF134" s="3">
        <v>0</v>
      </c>
      <c r="AG134" s="3">
        <v>0</v>
      </c>
      <c r="AH134" s="3">
        <v>0</v>
      </c>
      <c r="AI134" s="3">
        <v>0</v>
      </c>
      <c r="AJ134" s="3">
        <v>0</v>
      </c>
      <c r="AK134" s="3">
        <v>0</v>
      </c>
      <c r="AL134" s="3">
        <v>0</v>
      </c>
      <c r="AM134" s="3">
        <v>0</v>
      </c>
      <c r="AN134" s="3">
        <v>0</v>
      </c>
      <c r="AO134" s="3">
        <v>0</v>
      </c>
      <c r="AP134" s="3">
        <v>0</v>
      </c>
      <c r="AQ134" s="3">
        <v>0</v>
      </c>
      <c r="AR134" s="3">
        <v>0</v>
      </c>
      <c r="AS134" s="3">
        <v>0</v>
      </c>
      <c r="AT134" s="3">
        <v>0</v>
      </c>
      <c r="AU134" s="3">
        <v>0</v>
      </c>
      <c r="AV134" s="3">
        <v>0</v>
      </c>
      <c r="AW134" s="3">
        <v>0</v>
      </c>
      <c r="AX134" s="3">
        <v>0</v>
      </c>
      <c r="AY134" s="3">
        <v>0</v>
      </c>
      <c r="AZ134" s="3">
        <v>0</v>
      </c>
      <c r="BA134" s="10">
        <v>0</v>
      </c>
      <c r="BB134" s="10">
        <v>0</v>
      </c>
      <c r="BC134" s="10">
        <v>0</v>
      </c>
      <c r="BD134" s="10">
        <v>0</v>
      </c>
      <c r="BE134" s="10">
        <v>0</v>
      </c>
      <c r="BF134" s="10">
        <v>0</v>
      </c>
      <c r="BG134" s="10">
        <v>0</v>
      </c>
      <c r="BH134" s="10">
        <v>0</v>
      </c>
      <c r="BI134" s="10">
        <v>0</v>
      </c>
      <c r="BJ134" s="10">
        <v>0</v>
      </c>
      <c r="BK134" s="10">
        <v>0</v>
      </c>
      <c r="BL134" s="10">
        <v>0</v>
      </c>
      <c r="BM134" s="10">
        <v>0</v>
      </c>
      <c r="BN134" s="10">
        <v>0</v>
      </c>
      <c r="BO134" s="10">
        <v>0</v>
      </c>
      <c r="BP134" s="10">
        <v>0</v>
      </c>
      <c r="BQ134" s="10">
        <v>0</v>
      </c>
      <c r="BR134" s="10">
        <v>0</v>
      </c>
      <c r="BS134" s="10">
        <v>0</v>
      </c>
      <c r="BT134" s="10">
        <v>0</v>
      </c>
      <c r="BU134" s="10">
        <v>0</v>
      </c>
      <c r="BV134" s="10">
        <v>0</v>
      </c>
      <c r="BW134" s="10">
        <v>0</v>
      </c>
      <c r="BX134" s="10">
        <v>0</v>
      </c>
      <c r="BY134" s="10">
        <v>0</v>
      </c>
      <c r="BZ134" s="10">
        <v>0</v>
      </c>
      <c r="CA134" s="10">
        <v>0</v>
      </c>
      <c r="CB134" s="10">
        <v>0</v>
      </c>
      <c r="CC134" s="10">
        <v>0</v>
      </c>
      <c r="CD134" s="10">
        <v>0</v>
      </c>
      <c r="CE134" s="10">
        <v>0</v>
      </c>
      <c r="CF134" s="10">
        <v>0</v>
      </c>
      <c r="CG134" s="10">
        <v>0</v>
      </c>
      <c r="CH134" s="10">
        <v>0</v>
      </c>
      <c r="CI134" s="10">
        <v>0</v>
      </c>
      <c r="CJ134" s="10">
        <v>0</v>
      </c>
      <c r="CK134" s="10">
        <v>0</v>
      </c>
      <c r="CL134" s="10">
        <v>0</v>
      </c>
      <c r="CM134" s="10">
        <v>0</v>
      </c>
      <c r="CN134" s="10">
        <v>0</v>
      </c>
      <c r="CO134" s="10">
        <v>0</v>
      </c>
      <c r="CP134" s="10">
        <v>0</v>
      </c>
      <c r="CQ134" s="10">
        <v>0</v>
      </c>
      <c r="CR134" s="10">
        <v>0</v>
      </c>
      <c r="CS134" s="10">
        <v>0</v>
      </c>
      <c r="CT134" s="10">
        <v>0</v>
      </c>
      <c r="CU134" s="10">
        <v>0</v>
      </c>
      <c r="CV134" s="10">
        <v>0</v>
      </c>
      <c r="CW134" s="10">
        <v>0</v>
      </c>
      <c r="CX134" s="10">
        <v>0</v>
      </c>
      <c r="CY134" s="10">
        <v>0</v>
      </c>
      <c r="CZ134" s="10">
        <v>0</v>
      </c>
      <c r="DA134" s="10">
        <v>0</v>
      </c>
      <c r="DB134" s="10">
        <v>0</v>
      </c>
      <c r="DC134" s="10">
        <v>0</v>
      </c>
      <c r="DD134" s="10">
        <v>0</v>
      </c>
      <c r="DE134" s="10">
        <v>0</v>
      </c>
      <c r="DF134" s="10">
        <v>0</v>
      </c>
      <c r="DG134" s="10">
        <v>0</v>
      </c>
      <c r="DH134" s="10">
        <v>0</v>
      </c>
      <c r="DI134" s="10">
        <v>0</v>
      </c>
      <c r="DJ134" s="10">
        <v>0</v>
      </c>
      <c r="DK134" s="10">
        <v>0</v>
      </c>
      <c r="DL134" s="10">
        <v>0</v>
      </c>
      <c r="DM134" s="10">
        <v>0</v>
      </c>
      <c r="DN134" s="10">
        <v>0</v>
      </c>
      <c r="DO134" s="10">
        <v>0</v>
      </c>
      <c r="DP134" s="10">
        <v>0</v>
      </c>
      <c r="DQ134" s="10">
        <v>0</v>
      </c>
      <c r="DR134" s="10">
        <v>0</v>
      </c>
      <c r="DS134" s="10">
        <v>0</v>
      </c>
      <c r="DT134" s="10">
        <v>0.50932057711988998</v>
      </c>
      <c r="DU134" s="10">
        <v>0</v>
      </c>
      <c r="DV134" s="10">
        <v>0</v>
      </c>
      <c r="DW134" s="10">
        <v>0</v>
      </c>
      <c r="DX134" s="10">
        <v>0</v>
      </c>
      <c r="DY134" s="10">
        <v>4.2658948311238176E-2</v>
      </c>
      <c r="DZ134" s="10">
        <v>0.30639762815775512</v>
      </c>
      <c r="EA134" s="10">
        <v>0</v>
      </c>
      <c r="EB134" s="10">
        <v>0</v>
      </c>
      <c r="EC134" s="10">
        <v>0</v>
      </c>
      <c r="ED134" s="10">
        <v>0</v>
      </c>
      <c r="EE134" s="10">
        <v>0</v>
      </c>
      <c r="EF134" s="10">
        <v>0</v>
      </c>
      <c r="EG134" s="10">
        <v>0</v>
      </c>
      <c r="EH134" s="10">
        <v>0</v>
      </c>
      <c r="EI134" s="10">
        <v>0</v>
      </c>
      <c r="EJ134" s="10">
        <v>0</v>
      </c>
      <c r="EK134" s="10">
        <v>0</v>
      </c>
      <c r="EL134" s="10">
        <v>0</v>
      </c>
      <c r="EM134" s="10">
        <v>0</v>
      </c>
      <c r="EN134" s="10">
        <v>0</v>
      </c>
      <c r="EO134" s="10">
        <v>0</v>
      </c>
      <c r="EP134" s="10">
        <v>0</v>
      </c>
      <c r="EQ134" s="10">
        <v>0</v>
      </c>
      <c r="ER134" s="10">
        <v>0</v>
      </c>
      <c r="ES134" s="10">
        <v>0</v>
      </c>
      <c r="ET134" s="10">
        <v>8.726112670068692E-2</v>
      </c>
      <c r="EU134" s="10">
        <v>0</v>
      </c>
      <c r="EV134" s="10">
        <v>0</v>
      </c>
      <c r="EW134" s="10">
        <v>0</v>
      </c>
      <c r="EX134" s="10">
        <v>0</v>
      </c>
      <c r="EY134" s="10">
        <v>0</v>
      </c>
      <c r="EZ134" s="10">
        <v>0</v>
      </c>
      <c r="FA134" s="10">
        <v>0</v>
      </c>
      <c r="FB134" s="10">
        <v>0</v>
      </c>
      <c r="FC134" s="10">
        <v>0</v>
      </c>
      <c r="FD134" s="10">
        <v>0</v>
      </c>
      <c r="FE134" s="10">
        <v>0</v>
      </c>
      <c r="FF134" s="10">
        <v>0</v>
      </c>
      <c r="FG134" s="10">
        <v>0</v>
      </c>
      <c r="FH134" s="10">
        <v>0</v>
      </c>
      <c r="FI134" s="10">
        <v>0</v>
      </c>
      <c r="FJ134" s="10">
        <v>0</v>
      </c>
      <c r="FK134" s="10">
        <v>0</v>
      </c>
      <c r="FL134" s="10">
        <v>0</v>
      </c>
      <c r="FM134" s="10">
        <v>0</v>
      </c>
      <c r="FN134" s="10">
        <v>0</v>
      </c>
      <c r="FO134" s="10">
        <v>0</v>
      </c>
      <c r="FP134" s="10">
        <v>0</v>
      </c>
      <c r="FQ134" s="10">
        <v>0</v>
      </c>
      <c r="FR134" s="10">
        <v>0</v>
      </c>
      <c r="FS134" s="10">
        <v>0</v>
      </c>
      <c r="FT134" s="10">
        <v>0</v>
      </c>
      <c r="FU134" s="10">
        <v>0</v>
      </c>
      <c r="FV134" s="10">
        <v>0</v>
      </c>
      <c r="FW134" s="10">
        <v>0</v>
      </c>
      <c r="FX134" s="10">
        <v>0</v>
      </c>
      <c r="FY134" s="10">
        <v>0</v>
      </c>
      <c r="FZ134" s="10">
        <v>0</v>
      </c>
      <c r="GA134" s="10">
        <v>0</v>
      </c>
      <c r="GB134" s="10">
        <v>5.4361719710429787E-2</v>
      </c>
      <c r="GC134" s="10">
        <v>0</v>
      </c>
      <c r="GD134" s="10">
        <v>0</v>
      </c>
      <c r="GE134" s="10">
        <v>0</v>
      </c>
      <c r="GF134" s="10">
        <v>0</v>
      </c>
      <c r="GG134" s="10">
        <v>0</v>
      </c>
      <c r="GH134" s="10">
        <v>0</v>
      </c>
      <c r="GI134" s="10">
        <v>0</v>
      </c>
      <c r="GJ134" s="10">
        <v>0</v>
      </c>
      <c r="GK134" s="10">
        <v>0</v>
      </c>
      <c r="GL134" s="10">
        <v>0</v>
      </c>
      <c r="GM134" s="10">
        <v>0</v>
      </c>
      <c r="GN134" s="10">
        <v>0</v>
      </c>
      <c r="GO134" s="10">
        <v>0</v>
      </c>
      <c r="GP134" s="10">
        <v>0</v>
      </c>
      <c r="GQ134" s="10">
        <v>0</v>
      </c>
      <c r="GR134" s="10">
        <v>0</v>
      </c>
      <c r="GS134" s="10">
        <v>0</v>
      </c>
      <c r="GT134" s="10">
        <v>0</v>
      </c>
      <c r="GU134" s="10">
        <v>0</v>
      </c>
      <c r="GV134" s="10">
        <v>0</v>
      </c>
      <c r="GW134" s="10">
        <v>0</v>
      </c>
      <c r="GX134" s="10">
        <v>0</v>
      </c>
      <c r="GY134" s="10">
        <v>0</v>
      </c>
      <c r="GZ134" s="10">
        <v>0</v>
      </c>
      <c r="HA134" s="10">
        <v>0</v>
      </c>
      <c r="HB134" s="10">
        <v>0</v>
      </c>
      <c r="HC134" s="10">
        <v>0</v>
      </c>
      <c r="HD134" s="10">
        <v>0</v>
      </c>
      <c r="HE134" s="10">
        <v>0</v>
      </c>
      <c r="HF134" s="10">
        <v>0</v>
      </c>
      <c r="HG134" s="10">
        <v>0</v>
      </c>
      <c r="HH134" s="10">
        <v>0</v>
      </c>
      <c r="HI134" s="10">
        <v>0</v>
      </c>
      <c r="HJ134" s="10">
        <v>0</v>
      </c>
      <c r="HK134" s="10">
        <v>0</v>
      </c>
      <c r="HL134" s="10">
        <v>0</v>
      </c>
      <c r="HM134" s="10">
        <v>0</v>
      </c>
      <c r="HN134" s="10">
        <v>0</v>
      </c>
      <c r="HO134" s="10">
        <v>0</v>
      </c>
      <c r="HP134" s="10">
        <v>0</v>
      </c>
      <c r="HQ134" s="10">
        <v>0</v>
      </c>
      <c r="HR134" s="10">
        <v>0</v>
      </c>
      <c r="HS134" s="10">
        <v>0</v>
      </c>
      <c r="HT134" s="10">
        <v>0</v>
      </c>
      <c r="HU134" s="10">
        <v>0</v>
      </c>
    </row>
    <row r="135" spans="1:229" x14ac:dyDescent="0.25">
      <c r="A135" s="10">
        <v>0</v>
      </c>
      <c r="B135" s="2" t="s">
        <v>258</v>
      </c>
      <c r="C135" s="2" t="s">
        <v>259</v>
      </c>
      <c r="D135" s="2">
        <v>0.11600000000000001</v>
      </c>
      <c r="E135" s="2">
        <v>3.86</v>
      </c>
      <c r="F135" s="2">
        <v>7.5</v>
      </c>
      <c r="G135" s="2">
        <v>0</v>
      </c>
      <c r="H135" s="2">
        <v>7.5</v>
      </c>
      <c r="I135" s="2">
        <v>59</v>
      </c>
      <c r="J135" s="2">
        <v>4.9000000000000002E-2</v>
      </c>
      <c r="K135" s="2">
        <v>5.0000000000000001E-3</v>
      </c>
      <c r="L135" s="3"/>
      <c r="M135" s="2" t="str">
        <f t="shared" si="8"/>
        <v>01184</v>
      </c>
      <c r="N135" s="3">
        <v>0.67814252678825437</v>
      </c>
      <c r="O135" s="3">
        <v>1.3218574732117456</v>
      </c>
      <c r="P135" s="17">
        <v>0.67814252678755671</v>
      </c>
      <c r="Q135" s="3">
        <v>1.9323128795998208</v>
      </c>
      <c r="R135" s="3">
        <v>1.2201493830620973</v>
      </c>
      <c r="S135" s="3" t="e">
        <v>#DIV/0!</v>
      </c>
      <c r="T135" s="3">
        <v>0.67814252678825104</v>
      </c>
      <c r="U135" s="3">
        <v>0.67814252678825426</v>
      </c>
      <c r="V135" s="3">
        <v>1.3218574732069865</v>
      </c>
      <c r="W135" s="3">
        <v>2.6755249686151603</v>
      </c>
      <c r="X135" s="3">
        <v>7.8664533107356577E-2</v>
      </c>
      <c r="Y135" s="3">
        <v>7.458727715255308</v>
      </c>
      <c r="Z135" s="3">
        <v>9.15112037296573</v>
      </c>
      <c r="AA135" s="3">
        <v>0.12315246766188159</v>
      </c>
      <c r="AB135" s="3">
        <v>5.0860689509118826</v>
      </c>
      <c r="AC135" s="3">
        <v>40.010409080507003</v>
      </c>
      <c r="AD135" s="3">
        <v>6.4771016187142344E-2</v>
      </c>
      <c r="AE135" s="3">
        <v>1.3377624843075801E-2</v>
      </c>
      <c r="AF135" s="3">
        <v>0</v>
      </c>
      <c r="AG135" s="3">
        <v>0</v>
      </c>
      <c r="AH135" s="3">
        <v>0</v>
      </c>
      <c r="AI135" s="3">
        <v>0</v>
      </c>
      <c r="AJ135" s="3">
        <v>0</v>
      </c>
      <c r="AK135" s="3">
        <v>0</v>
      </c>
      <c r="AL135" s="3">
        <v>0</v>
      </c>
      <c r="AM135" s="3">
        <v>0</v>
      </c>
      <c r="AN135" s="3">
        <v>0</v>
      </c>
      <c r="AO135" s="3">
        <v>0</v>
      </c>
      <c r="AP135" s="3">
        <v>0</v>
      </c>
      <c r="AQ135" s="3">
        <v>0</v>
      </c>
      <c r="AR135" s="3">
        <v>0</v>
      </c>
      <c r="AS135" s="3">
        <v>0</v>
      </c>
      <c r="AT135" s="3">
        <v>0</v>
      </c>
      <c r="AU135" s="3">
        <v>0</v>
      </c>
      <c r="AV135" s="3">
        <v>0</v>
      </c>
      <c r="AW135" s="3">
        <v>0</v>
      </c>
      <c r="AX135" s="3">
        <v>0</v>
      </c>
      <c r="AY135" s="3">
        <v>0</v>
      </c>
      <c r="AZ135" s="3">
        <v>0</v>
      </c>
      <c r="BA135" s="10">
        <v>0</v>
      </c>
      <c r="BB135" s="10">
        <v>0</v>
      </c>
      <c r="BC135" s="10">
        <v>0</v>
      </c>
      <c r="BD135" s="10">
        <v>0</v>
      </c>
      <c r="BE135" s="10">
        <v>0</v>
      </c>
      <c r="BF135" s="10">
        <v>0</v>
      </c>
      <c r="BG135" s="10">
        <v>0</v>
      </c>
      <c r="BH135" s="10">
        <v>0</v>
      </c>
      <c r="BI135" s="10">
        <v>0</v>
      </c>
      <c r="BJ135" s="10">
        <v>0</v>
      </c>
      <c r="BK135" s="10">
        <v>0</v>
      </c>
      <c r="BL135" s="10">
        <v>0</v>
      </c>
      <c r="BM135" s="10">
        <v>0</v>
      </c>
      <c r="BN135" s="10">
        <v>0</v>
      </c>
      <c r="BO135" s="10">
        <v>0</v>
      </c>
      <c r="BP135" s="10">
        <v>0</v>
      </c>
      <c r="BQ135" s="10">
        <v>0</v>
      </c>
      <c r="BR135" s="10">
        <v>0</v>
      </c>
      <c r="BS135" s="10">
        <v>0</v>
      </c>
      <c r="BT135" s="10">
        <v>0</v>
      </c>
      <c r="BU135" s="10">
        <v>0</v>
      </c>
      <c r="BV135" s="10">
        <v>0</v>
      </c>
      <c r="BW135" s="10">
        <v>0</v>
      </c>
      <c r="BX135" s="10">
        <v>0</v>
      </c>
      <c r="BY135" s="10">
        <v>0</v>
      </c>
      <c r="BZ135" s="10">
        <v>0</v>
      </c>
      <c r="CA135" s="10">
        <v>0</v>
      </c>
      <c r="CB135" s="10">
        <v>0</v>
      </c>
      <c r="CC135" s="10">
        <v>0</v>
      </c>
      <c r="CD135" s="10">
        <v>0</v>
      </c>
      <c r="CE135" s="10">
        <v>0</v>
      </c>
      <c r="CF135" s="10">
        <v>0</v>
      </c>
      <c r="CG135" s="10">
        <v>0</v>
      </c>
      <c r="CH135" s="10">
        <v>0</v>
      </c>
      <c r="CI135" s="10">
        <v>0</v>
      </c>
      <c r="CJ135" s="10">
        <v>0</v>
      </c>
      <c r="CK135" s="10">
        <v>0</v>
      </c>
      <c r="CL135" s="10">
        <v>0</v>
      </c>
      <c r="CM135" s="10">
        <v>0</v>
      </c>
      <c r="CN135" s="10">
        <v>0</v>
      </c>
      <c r="CO135" s="10">
        <v>0</v>
      </c>
      <c r="CP135" s="10">
        <v>0</v>
      </c>
      <c r="CQ135" s="10">
        <v>0</v>
      </c>
      <c r="CR135" s="10">
        <v>0</v>
      </c>
      <c r="CS135" s="10">
        <v>0</v>
      </c>
      <c r="CT135" s="10">
        <v>0</v>
      </c>
      <c r="CU135" s="10">
        <v>0</v>
      </c>
      <c r="CV135" s="10">
        <v>0</v>
      </c>
      <c r="CW135" s="10">
        <v>0</v>
      </c>
      <c r="CX135" s="10">
        <v>0</v>
      </c>
      <c r="CY135" s="10">
        <v>0</v>
      </c>
      <c r="CZ135" s="10">
        <v>0</v>
      </c>
      <c r="DA135" s="10">
        <v>0</v>
      </c>
      <c r="DB135" s="10">
        <v>0</v>
      </c>
      <c r="DC135" s="10">
        <v>0</v>
      </c>
      <c r="DD135" s="10">
        <v>0</v>
      </c>
      <c r="DE135" s="10">
        <v>0</v>
      </c>
      <c r="DF135" s="10">
        <v>0</v>
      </c>
      <c r="DG135" s="10">
        <v>0</v>
      </c>
      <c r="DH135" s="10">
        <v>0</v>
      </c>
      <c r="DI135" s="10">
        <v>0</v>
      </c>
      <c r="DJ135" s="10">
        <v>0</v>
      </c>
      <c r="DK135" s="10">
        <v>0</v>
      </c>
      <c r="DL135" s="10">
        <v>0</v>
      </c>
      <c r="DM135" s="10">
        <v>0</v>
      </c>
      <c r="DN135" s="10">
        <v>0</v>
      </c>
      <c r="DO135" s="10">
        <v>0</v>
      </c>
      <c r="DP135" s="10">
        <v>0</v>
      </c>
      <c r="DQ135" s="10">
        <v>0</v>
      </c>
      <c r="DR135" s="10">
        <v>0</v>
      </c>
      <c r="DS135" s="10">
        <v>0</v>
      </c>
      <c r="DT135" s="10">
        <v>0</v>
      </c>
      <c r="DU135" s="10">
        <v>0</v>
      </c>
      <c r="DV135" s="10">
        <v>0</v>
      </c>
      <c r="DW135" s="10">
        <v>0</v>
      </c>
      <c r="DX135" s="10">
        <v>0</v>
      </c>
      <c r="DY135" s="10">
        <v>0</v>
      </c>
      <c r="DZ135" s="10">
        <v>0</v>
      </c>
      <c r="EA135" s="10">
        <v>0</v>
      </c>
      <c r="EB135" s="10">
        <v>0</v>
      </c>
      <c r="EC135" s="10">
        <v>0</v>
      </c>
      <c r="ED135" s="10">
        <v>0</v>
      </c>
      <c r="EE135" s="10">
        <v>0</v>
      </c>
      <c r="EF135" s="10">
        <v>0</v>
      </c>
      <c r="EG135" s="10">
        <v>0</v>
      </c>
      <c r="EH135" s="10">
        <v>0</v>
      </c>
      <c r="EI135" s="10">
        <v>0</v>
      </c>
      <c r="EJ135" s="10">
        <v>0</v>
      </c>
      <c r="EK135" s="10">
        <v>0</v>
      </c>
      <c r="EL135" s="10">
        <v>0</v>
      </c>
      <c r="EM135" s="10">
        <v>0</v>
      </c>
      <c r="EN135" s="10">
        <v>0</v>
      </c>
      <c r="EO135" s="10">
        <v>0</v>
      </c>
      <c r="EP135" s="10">
        <v>0</v>
      </c>
      <c r="EQ135" s="10">
        <v>0</v>
      </c>
      <c r="ER135" s="10">
        <v>0</v>
      </c>
      <c r="ES135" s="10">
        <v>0</v>
      </c>
      <c r="ET135" s="10">
        <v>0</v>
      </c>
      <c r="EU135" s="10">
        <v>0</v>
      </c>
      <c r="EV135" s="10">
        <v>0</v>
      </c>
      <c r="EW135" s="10">
        <v>0</v>
      </c>
      <c r="EX135" s="10">
        <v>0</v>
      </c>
      <c r="EY135" s="10">
        <v>0</v>
      </c>
      <c r="EZ135" s="10">
        <v>0</v>
      </c>
      <c r="FA135" s="10">
        <v>0</v>
      </c>
      <c r="FB135" s="10">
        <v>0</v>
      </c>
      <c r="FC135" s="10">
        <v>0</v>
      </c>
      <c r="FD135" s="10">
        <v>0</v>
      </c>
      <c r="FE135" s="10">
        <v>0</v>
      </c>
      <c r="FF135" s="10">
        <v>0</v>
      </c>
      <c r="FG135" s="10">
        <v>0</v>
      </c>
      <c r="FH135" s="10">
        <v>0</v>
      </c>
      <c r="FI135" s="10">
        <v>0</v>
      </c>
      <c r="FJ135" s="10">
        <v>0</v>
      </c>
      <c r="FK135" s="10">
        <v>0</v>
      </c>
      <c r="FL135" s="10">
        <v>0</v>
      </c>
      <c r="FM135" s="10">
        <v>0</v>
      </c>
      <c r="FN135" s="10">
        <v>0</v>
      </c>
      <c r="FO135" s="10">
        <v>0</v>
      </c>
      <c r="FP135" s="10">
        <v>0</v>
      </c>
      <c r="FQ135" s="10">
        <v>0</v>
      </c>
      <c r="FR135" s="10">
        <v>0</v>
      </c>
      <c r="FS135" s="10">
        <v>0</v>
      </c>
      <c r="FT135" s="10">
        <v>0</v>
      </c>
      <c r="FU135" s="10">
        <v>0</v>
      </c>
      <c r="FV135" s="10">
        <v>0</v>
      </c>
      <c r="FW135" s="10">
        <v>0</v>
      </c>
      <c r="FX135" s="10">
        <v>0</v>
      </c>
      <c r="FY135" s="10">
        <v>0</v>
      </c>
      <c r="FZ135" s="10">
        <v>0</v>
      </c>
      <c r="GA135" s="10">
        <v>0</v>
      </c>
      <c r="GB135" s="10">
        <v>0</v>
      </c>
      <c r="GC135" s="10">
        <v>0</v>
      </c>
      <c r="GD135" s="10">
        <v>0</v>
      </c>
      <c r="GE135" s="10">
        <v>0</v>
      </c>
      <c r="GF135" s="10">
        <v>0</v>
      </c>
      <c r="GG135" s="10">
        <v>0</v>
      </c>
      <c r="GH135" s="10">
        <v>0</v>
      </c>
      <c r="GI135" s="10">
        <v>0</v>
      </c>
      <c r="GJ135" s="10">
        <v>0</v>
      </c>
      <c r="GK135" s="10">
        <v>0</v>
      </c>
      <c r="GL135" s="10">
        <v>0</v>
      </c>
      <c r="GM135" s="10">
        <v>0</v>
      </c>
      <c r="GN135" s="10">
        <v>0</v>
      </c>
      <c r="GO135" s="10">
        <v>0</v>
      </c>
      <c r="GP135" s="10">
        <v>0</v>
      </c>
      <c r="GQ135" s="10">
        <v>1.4501421074210381E-2</v>
      </c>
      <c r="GR135" s="10">
        <v>0</v>
      </c>
      <c r="GS135" s="10">
        <v>0</v>
      </c>
      <c r="GT135" s="10">
        <v>0</v>
      </c>
      <c r="GU135" s="10">
        <v>0</v>
      </c>
      <c r="GV135" s="10">
        <v>0.528833458350917</v>
      </c>
      <c r="GW135" s="10">
        <v>0</v>
      </c>
      <c r="GX135" s="10">
        <v>0</v>
      </c>
      <c r="GY135" s="10">
        <v>0</v>
      </c>
      <c r="GZ135" s="10">
        <v>0</v>
      </c>
      <c r="HA135" s="10">
        <v>0</v>
      </c>
      <c r="HB135" s="10">
        <v>0</v>
      </c>
      <c r="HC135" s="10">
        <v>0</v>
      </c>
      <c r="HD135" s="10">
        <v>0</v>
      </c>
      <c r="HE135" s="10">
        <v>0</v>
      </c>
      <c r="HF135" s="10">
        <v>0</v>
      </c>
      <c r="HG135" s="10">
        <v>0.13035620185516966</v>
      </c>
      <c r="HH135" s="10">
        <v>0</v>
      </c>
      <c r="HI135" s="10">
        <v>0</v>
      </c>
      <c r="HJ135" s="10">
        <v>0</v>
      </c>
      <c r="HK135" s="10">
        <v>0</v>
      </c>
      <c r="HL135" s="10">
        <v>0</v>
      </c>
      <c r="HM135" s="10">
        <v>0</v>
      </c>
      <c r="HN135" s="10">
        <v>0</v>
      </c>
      <c r="HO135" s="10">
        <v>0</v>
      </c>
      <c r="HP135" s="10">
        <v>0.32630891871970297</v>
      </c>
      <c r="HQ135" s="10">
        <v>0</v>
      </c>
      <c r="HR135" s="10">
        <v>0</v>
      </c>
      <c r="HS135" s="10">
        <v>0</v>
      </c>
      <c r="HT135" s="10">
        <v>0</v>
      </c>
      <c r="HU135" s="10">
        <v>0</v>
      </c>
    </row>
    <row r="136" spans="1:229" x14ac:dyDescent="0.25">
      <c r="A136" s="10">
        <v>0</v>
      </c>
      <c r="B136" s="2" t="s">
        <v>260</v>
      </c>
      <c r="C136" s="2" t="s">
        <v>261</v>
      </c>
      <c r="D136" s="2">
        <v>3.11</v>
      </c>
      <c r="E136" s="2">
        <v>40</v>
      </c>
      <c r="F136" s="2">
        <v>40</v>
      </c>
      <c r="G136" s="2">
        <v>0</v>
      </c>
      <c r="H136" s="2">
        <v>1.5</v>
      </c>
      <c r="I136" s="2">
        <v>1150</v>
      </c>
      <c r="J136" s="2">
        <v>1.446</v>
      </c>
      <c r="K136" s="2">
        <v>0.186</v>
      </c>
      <c r="L136" s="3"/>
      <c r="M136" s="2" t="str">
        <f t="shared" si="8"/>
        <v>01185</v>
      </c>
      <c r="N136" s="3">
        <v>0.60564566505827688</v>
      </c>
      <c r="O136" s="3">
        <v>1.3943543349417238</v>
      </c>
      <c r="P136" s="17">
        <v>0.60564566505823492</v>
      </c>
      <c r="Q136" s="3">
        <v>1.3943543349417225</v>
      </c>
      <c r="R136" s="3">
        <v>0.18783872525377018</v>
      </c>
      <c r="S136" s="3" t="e">
        <v>#DIV/0!</v>
      </c>
      <c r="T136" s="3">
        <v>0.60564566505827988</v>
      </c>
      <c r="U136" s="3">
        <v>0.60564566505827666</v>
      </c>
      <c r="V136" s="3">
        <v>2.5969523483471315</v>
      </c>
      <c r="W136" s="3">
        <v>6.3959320480326083</v>
      </c>
      <c r="X136" s="3">
        <v>1.8835580183311105</v>
      </c>
      <c r="Y136" s="3">
        <v>55.774173397668896</v>
      </c>
      <c r="Z136" s="3">
        <v>7.5135490101508076</v>
      </c>
      <c r="AA136" s="3">
        <v>0.43903272294651036</v>
      </c>
      <c r="AB136" s="3">
        <v>0.90846849758741988</v>
      </c>
      <c r="AC136" s="3">
        <v>696.4925148170181</v>
      </c>
      <c r="AD136" s="3">
        <v>3.7551930957099522</v>
      </c>
      <c r="AE136" s="3">
        <v>1.1896433609340651</v>
      </c>
      <c r="AF136" s="3">
        <v>0</v>
      </c>
      <c r="AG136" s="3">
        <v>0</v>
      </c>
      <c r="AH136" s="3">
        <v>0</v>
      </c>
      <c r="AI136" s="3">
        <v>0</v>
      </c>
      <c r="AJ136" s="3">
        <v>0</v>
      </c>
      <c r="AK136" s="3">
        <v>0</v>
      </c>
      <c r="AL136" s="3">
        <v>0</v>
      </c>
      <c r="AM136" s="3">
        <v>0</v>
      </c>
      <c r="AN136" s="3">
        <v>0</v>
      </c>
      <c r="AO136" s="3">
        <v>0</v>
      </c>
      <c r="AP136" s="3">
        <v>0</v>
      </c>
      <c r="AQ136" s="3">
        <v>0</v>
      </c>
      <c r="AR136" s="3">
        <v>0</v>
      </c>
      <c r="AS136" s="3">
        <v>0</v>
      </c>
      <c r="AT136" s="3">
        <v>0</v>
      </c>
      <c r="AU136" s="3">
        <v>0</v>
      </c>
      <c r="AV136" s="3">
        <v>0</v>
      </c>
      <c r="AW136" s="3">
        <v>0</v>
      </c>
      <c r="AX136" s="3">
        <v>0</v>
      </c>
      <c r="AY136" s="3">
        <v>0</v>
      </c>
      <c r="AZ136" s="3">
        <v>0</v>
      </c>
      <c r="BA136" s="10">
        <v>0</v>
      </c>
      <c r="BB136" s="10">
        <v>0</v>
      </c>
      <c r="BC136" s="10">
        <v>0</v>
      </c>
      <c r="BD136" s="10">
        <v>0</v>
      </c>
      <c r="BE136" s="10">
        <v>0</v>
      </c>
      <c r="BF136" s="10">
        <v>0</v>
      </c>
      <c r="BG136" s="10">
        <v>0</v>
      </c>
      <c r="BH136" s="10">
        <v>0</v>
      </c>
      <c r="BI136" s="10">
        <v>0</v>
      </c>
      <c r="BJ136" s="10">
        <v>0</v>
      </c>
      <c r="BK136" s="10">
        <v>0</v>
      </c>
      <c r="BL136" s="10">
        <v>0</v>
      </c>
      <c r="BM136" s="10">
        <v>0</v>
      </c>
      <c r="BN136" s="10">
        <v>0</v>
      </c>
      <c r="BO136" s="10">
        <v>0</v>
      </c>
      <c r="BP136" s="10">
        <v>0</v>
      </c>
      <c r="BQ136" s="10">
        <v>0</v>
      </c>
      <c r="BR136" s="10">
        <v>0</v>
      </c>
      <c r="BS136" s="10">
        <v>0</v>
      </c>
      <c r="BT136" s="10">
        <v>0</v>
      </c>
      <c r="BU136" s="10">
        <v>0</v>
      </c>
      <c r="BV136" s="10">
        <v>0</v>
      </c>
      <c r="BW136" s="10">
        <v>0</v>
      </c>
      <c r="BX136" s="10">
        <v>0</v>
      </c>
      <c r="BY136" s="10">
        <v>0</v>
      </c>
      <c r="BZ136" s="10">
        <v>0</v>
      </c>
      <c r="CA136" s="10">
        <v>0</v>
      </c>
      <c r="CB136" s="10">
        <v>0</v>
      </c>
      <c r="CC136" s="10">
        <v>0</v>
      </c>
      <c r="CD136" s="10">
        <v>0</v>
      </c>
      <c r="CE136" s="10">
        <v>0</v>
      </c>
      <c r="CF136" s="10">
        <v>0</v>
      </c>
      <c r="CG136" s="10">
        <v>0</v>
      </c>
      <c r="CH136" s="10">
        <v>0</v>
      </c>
      <c r="CI136" s="10">
        <v>0</v>
      </c>
      <c r="CJ136" s="10">
        <v>0</v>
      </c>
      <c r="CK136" s="10">
        <v>0</v>
      </c>
      <c r="CL136" s="10">
        <v>0</v>
      </c>
      <c r="CM136" s="10">
        <v>0</v>
      </c>
      <c r="CN136" s="10">
        <v>0</v>
      </c>
      <c r="CO136" s="10">
        <v>0</v>
      </c>
      <c r="CP136" s="10">
        <v>0</v>
      </c>
      <c r="CQ136" s="10">
        <v>4.8947029255431755E-2</v>
      </c>
      <c r="CR136" s="10">
        <v>0</v>
      </c>
      <c r="CS136" s="10">
        <v>0</v>
      </c>
      <c r="CT136" s="10">
        <v>0</v>
      </c>
      <c r="CU136" s="10">
        <v>0</v>
      </c>
      <c r="CV136" s="10">
        <v>0</v>
      </c>
      <c r="CW136" s="10">
        <v>0</v>
      </c>
      <c r="CX136" s="10">
        <v>0</v>
      </c>
      <c r="CY136" s="10">
        <v>0</v>
      </c>
      <c r="CZ136" s="10">
        <v>0</v>
      </c>
      <c r="DA136" s="10">
        <v>0</v>
      </c>
      <c r="DB136" s="10">
        <v>0</v>
      </c>
      <c r="DC136" s="10">
        <v>0</v>
      </c>
      <c r="DD136" s="10">
        <v>0</v>
      </c>
      <c r="DE136" s="10">
        <v>0</v>
      </c>
      <c r="DF136" s="10">
        <v>0</v>
      </c>
      <c r="DG136" s="10">
        <v>0</v>
      </c>
      <c r="DH136" s="10">
        <v>0</v>
      </c>
      <c r="DI136" s="10">
        <v>0</v>
      </c>
      <c r="DJ136" s="10">
        <v>0</v>
      </c>
      <c r="DK136" s="10">
        <v>0</v>
      </c>
      <c r="DL136" s="10">
        <v>0</v>
      </c>
      <c r="DM136" s="10">
        <v>0</v>
      </c>
      <c r="DN136" s="10">
        <v>0</v>
      </c>
      <c r="DO136" s="10">
        <v>0</v>
      </c>
      <c r="DP136" s="10">
        <v>0</v>
      </c>
      <c r="DQ136" s="10">
        <v>0</v>
      </c>
      <c r="DR136" s="10">
        <v>0</v>
      </c>
      <c r="DS136" s="10">
        <v>0</v>
      </c>
      <c r="DT136" s="10">
        <v>0.19001907308999444</v>
      </c>
      <c r="DU136" s="10">
        <v>0</v>
      </c>
      <c r="DV136" s="10">
        <v>0</v>
      </c>
      <c r="DW136" s="10">
        <v>0</v>
      </c>
      <c r="DX136" s="10">
        <v>0</v>
      </c>
      <c r="DY136" s="10">
        <v>0</v>
      </c>
      <c r="DZ136" s="10">
        <v>0.54151753618131848</v>
      </c>
      <c r="EA136" s="10">
        <v>0</v>
      </c>
      <c r="EB136" s="10">
        <v>0</v>
      </c>
      <c r="EC136" s="10">
        <v>0</v>
      </c>
      <c r="ED136" s="10">
        <v>0</v>
      </c>
      <c r="EE136" s="10">
        <v>0</v>
      </c>
      <c r="EF136" s="10">
        <v>0</v>
      </c>
      <c r="EG136" s="10">
        <v>0</v>
      </c>
      <c r="EH136" s="10">
        <v>0</v>
      </c>
      <c r="EI136" s="10">
        <v>0</v>
      </c>
      <c r="EJ136" s="10">
        <v>0</v>
      </c>
      <c r="EK136" s="10">
        <v>0</v>
      </c>
      <c r="EL136" s="10">
        <v>0</v>
      </c>
      <c r="EM136" s="10">
        <v>0</v>
      </c>
      <c r="EN136" s="10">
        <v>0</v>
      </c>
      <c r="EO136" s="10">
        <v>0</v>
      </c>
      <c r="EP136" s="10">
        <v>0</v>
      </c>
      <c r="EQ136" s="10">
        <v>0</v>
      </c>
      <c r="ER136" s="10">
        <v>0</v>
      </c>
      <c r="ES136" s="10">
        <v>0</v>
      </c>
      <c r="ET136" s="10">
        <v>0</v>
      </c>
      <c r="EU136" s="10">
        <v>0</v>
      </c>
      <c r="EV136" s="10">
        <v>0</v>
      </c>
      <c r="EW136" s="10">
        <v>0</v>
      </c>
      <c r="EX136" s="10">
        <v>0</v>
      </c>
      <c r="EY136" s="10">
        <v>0</v>
      </c>
      <c r="EZ136" s="10">
        <v>0</v>
      </c>
      <c r="FA136" s="10">
        <v>0</v>
      </c>
      <c r="FB136" s="10">
        <v>0</v>
      </c>
      <c r="FC136" s="10">
        <v>0</v>
      </c>
      <c r="FD136" s="10">
        <v>0</v>
      </c>
      <c r="FE136" s="10">
        <v>0</v>
      </c>
      <c r="FF136" s="10">
        <v>0</v>
      </c>
      <c r="FG136" s="10">
        <v>0</v>
      </c>
      <c r="FH136" s="10">
        <v>0</v>
      </c>
      <c r="FI136" s="10">
        <v>0</v>
      </c>
      <c r="FJ136" s="10">
        <v>0</v>
      </c>
      <c r="FK136" s="10">
        <v>0</v>
      </c>
      <c r="FL136" s="10">
        <v>0</v>
      </c>
      <c r="FM136" s="10">
        <v>0</v>
      </c>
      <c r="FN136" s="10">
        <v>0</v>
      </c>
      <c r="FO136" s="10">
        <v>0</v>
      </c>
      <c r="FP136" s="10">
        <v>0</v>
      </c>
      <c r="FQ136" s="10">
        <v>0</v>
      </c>
      <c r="FR136" s="10">
        <v>0</v>
      </c>
      <c r="FS136" s="10">
        <v>0</v>
      </c>
      <c r="FT136" s="10">
        <v>0</v>
      </c>
      <c r="FU136" s="10">
        <v>0</v>
      </c>
      <c r="FV136" s="10">
        <v>0</v>
      </c>
      <c r="FW136" s="10">
        <v>0</v>
      </c>
      <c r="FX136" s="10">
        <v>0</v>
      </c>
      <c r="FY136" s="10">
        <v>0</v>
      </c>
      <c r="FZ136" s="10">
        <v>0</v>
      </c>
      <c r="GA136" s="10">
        <v>0</v>
      </c>
      <c r="GB136" s="10">
        <v>0.21951636147325518</v>
      </c>
      <c r="GC136" s="10">
        <v>0</v>
      </c>
      <c r="GD136" s="10">
        <v>0</v>
      </c>
      <c r="GE136" s="10">
        <v>0</v>
      </c>
      <c r="GF136" s="10">
        <v>0</v>
      </c>
      <c r="GG136" s="10">
        <v>0</v>
      </c>
      <c r="GH136" s="10">
        <v>0</v>
      </c>
      <c r="GI136" s="10">
        <v>0</v>
      </c>
      <c r="GJ136" s="10">
        <v>0</v>
      </c>
      <c r="GK136" s="10">
        <v>0</v>
      </c>
      <c r="GL136" s="10">
        <v>0</v>
      </c>
      <c r="GM136" s="10">
        <v>0</v>
      </c>
      <c r="GN136" s="10">
        <v>0</v>
      </c>
      <c r="GO136" s="10">
        <v>0</v>
      </c>
      <c r="GP136" s="10">
        <v>0</v>
      </c>
      <c r="GQ136" s="10">
        <v>0</v>
      </c>
      <c r="GR136" s="10">
        <v>0</v>
      </c>
      <c r="GS136" s="10">
        <v>0</v>
      </c>
      <c r="GT136" s="10">
        <v>0</v>
      </c>
      <c r="GU136" s="10">
        <v>0</v>
      </c>
      <c r="GV136" s="10">
        <v>0</v>
      </c>
      <c r="GW136" s="10">
        <v>0</v>
      </c>
      <c r="GX136" s="10">
        <v>0</v>
      </c>
      <c r="GY136" s="10">
        <v>0</v>
      </c>
      <c r="GZ136" s="10">
        <v>0</v>
      </c>
      <c r="HA136" s="10">
        <v>0</v>
      </c>
      <c r="HB136" s="10">
        <v>0</v>
      </c>
      <c r="HC136" s="10">
        <v>0</v>
      </c>
      <c r="HD136" s="10">
        <v>0</v>
      </c>
      <c r="HE136" s="10">
        <v>0</v>
      </c>
      <c r="HF136" s="10">
        <v>0</v>
      </c>
      <c r="HG136" s="10">
        <v>0</v>
      </c>
      <c r="HH136" s="10">
        <v>0</v>
      </c>
      <c r="HI136" s="10">
        <v>0</v>
      </c>
      <c r="HJ136" s="10">
        <v>0</v>
      </c>
      <c r="HK136" s="10">
        <v>0</v>
      </c>
      <c r="HL136" s="10">
        <v>0</v>
      </c>
      <c r="HM136" s="10">
        <v>0</v>
      </c>
      <c r="HN136" s="10">
        <v>0</v>
      </c>
      <c r="HO136" s="10">
        <v>0</v>
      </c>
      <c r="HP136" s="10">
        <v>0</v>
      </c>
      <c r="HQ136" s="10">
        <v>0</v>
      </c>
      <c r="HR136" s="10">
        <v>0</v>
      </c>
      <c r="HS136" s="10">
        <v>0</v>
      </c>
      <c r="HT136" s="10">
        <v>0</v>
      </c>
      <c r="HU136" s="10">
        <v>0</v>
      </c>
    </row>
    <row r="137" spans="1:229" x14ac:dyDescent="0.25">
      <c r="A137" s="10">
        <v>0</v>
      </c>
      <c r="B137" s="2" t="s">
        <v>262</v>
      </c>
      <c r="C137" s="2" t="s">
        <v>263</v>
      </c>
      <c r="D137" s="2">
        <v>0.64400000000000002</v>
      </c>
      <c r="E137" s="2">
        <v>15.69</v>
      </c>
      <c r="F137" s="2">
        <v>7.66</v>
      </c>
      <c r="G137" s="2">
        <v>0</v>
      </c>
      <c r="H137" s="2">
        <v>5.48</v>
      </c>
      <c r="I137" s="2">
        <v>702</v>
      </c>
      <c r="J137" s="2">
        <v>0.25</v>
      </c>
      <c r="K137" s="2">
        <v>5.7000000000000002E-2</v>
      </c>
      <c r="L137" s="3"/>
      <c r="M137" s="2" t="str">
        <f t="shared" si="8"/>
        <v>01186</v>
      </c>
      <c r="N137" s="3">
        <v>0.3722445190451818</v>
      </c>
      <c r="O137" s="3">
        <v>1.627755480954818</v>
      </c>
      <c r="P137" s="17">
        <v>0.37224451904808165</v>
      </c>
      <c r="Q137" s="3">
        <v>1.6277554809548154</v>
      </c>
      <c r="R137" s="3">
        <v>0.86943813175995222</v>
      </c>
      <c r="S137" s="3" t="e">
        <v>#DIV/0!</v>
      </c>
      <c r="T137" s="3">
        <v>0.3722445190451808</v>
      </c>
      <c r="U137" s="3">
        <v>0.37224451904518197</v>
      </c>
      <c r="V137" s="3">
        <v>4.778387051283425</v>
      </c>
      <c r="W137" s="3">
        <v>3.0966384147339232</v>
      </c>
      <c r="X137" s="3">
        <v>0.23972547026696459</v>
      </c>
      <c r="Y137" s="3">
        <v>25.539483496181052</v>
      </c>
      <c r="Z137" s="3">
        <v>6.6598960892812338</v>
      </c>
      <c r="AA137" s="3">
        <v>0.27261419020780436</v>
      </c>
      <c r="AB137" s="3">
        <v>2.0398999643675908</v>
      </c>
      <c r="AC137" s="3">
        <v>261.31565236971772</v>
      </c>
      <c r="AD137" s="3">
        <v>1.1945967628208563</v>
      </c>
      <c r="AE137" s="3">
        <v>0.17650838963983362</v>
      </c>
      <c r="AF137" s="3">
        <v>0</v>
      </c>
      <c r="AG137" s="3">
        <v>0</v>
      </c>
      <c r="AH137" s="3">
        <v>0</v>
      </c>
      <c r="AI137" s="3">
        <v>0</v>
      </c>
      <c r="AJ137" s="3">
        <v>0</v>
      </c>
      <c r="AK137" s="3">
        <v>0</v>
      </c>
      <c r="AL137" s="3">
        <v>0</v>
      </c>
      <c r="AM137" s="3">
        <v>0</v>
      </c>
      <c r="AN137" s="3">
        <v>0</v>
      </c>
      <c r="AO137" s="3">
        <v>0</v>
      </c>
      <c r="AP137" s="3">
        <v>0</v>
      </c>
      <c r="AQ137" s="3">
        <v>0</v>
      </c>
      <c r="AR137" s="3">
        <v>0</v>
      </c>
      <c r="AS137" s="3">
        <v>0</v>
      </c>
      <c r="AT137" s="3">
        <v>0</v>
      </c>
      <c r="AU137" s="3">
        <v>0</v>
      </c>
      <c r="AV137" s="3">
        <v>0</v>
      </c>
      <c r="AW137" s="3">
        <v>0</v>
      </c>
      <c r="AX137" s="3">
        <v>0</v>
      </c>
      <c r="AY137" s="3">
        <v>0</v>
      </c>
      <c r="AZ137" s="3">
        <v>0</v>
      </c>
      <c r="BA137" s="10">
        <v>0</v>
      </c>
      <c r="BB137" s="10">
        <v>0</v>
      </c>
      <c r="BC137" s="10">
        <v>0</v>
      </c>
      <c r="BD137" s="10">
        <v>0</v>
      </c>
      <c r="BE137" s="10">
        <v>0</v>
      </c>
      <c r="BF137" s="10">
        <v>0</v>
      </c>
      <c r="BG137" s="10">
        <v>0</v>
      </c>
      <c r="BH137" s="10">
        <v>0</v>
      </c>
      <c r="BI137" s="10">
        <v>0</v>
      </c>
      <c r="BJ137" s="10">
        <v>0</v>
      </c>
      <c r="BK137" s="10">
        <v>0</v>
      </c>
      <c r="BL137" s="10">
        <v>0</v>
      </c>
      <c r="BM137" s="10">
        <v>0</v>
      </c>
      <c r="BN137" s="10">
        <v>0</v>
      </c>
      <c r="BO137" s="10">
        <v>0</v>
      </c>
      <c r="BP137" s="10">
        <v>0</v>
      </c>
      <c r="BQ137" s="10">
        <v>0</v>
      </c>
      <c r="BR137" s="10">
        <v>0</v>
      </c>
      <c r="BS137" s="10">
        <v>0</v>
      </c>
      <c r="BT137" s="10">
        <v>0</v>
      </c>
      <c r="BU137" s="10">
        <v>0</v>
      </c>
      <c r="BV137" s="10">
        <v>0</v>
      </c>
      <c r="BW137" s="10">
        <v>0</v>
      </c>
      <c r="BX137" s="10">
        <v>0</v>
      </c>
      <c r="BY137" s="10">
        <v>0</v>
      </c>
      <c r="BZ137" s="10">
        <v>0</v>
      </c>
      <c r="CA137" s="10">
        <v>0</v>
      </c>
      <c r="CB137" s="10">
        <v>0</v>
      </c>
      <c r="CC137" s="10">
        <v>0</v>
      </c>
      <c r="CD137" s="10">
        <v>0</v>
      </c>
      <c r="CE137" s="10">
        <v>0</v>
      </c>
      <c r="CF137" s="10">
        <v>0</v>
      </c>
      <c r="CG137" s="10">
        <v>0</v>
      </c>
      <c r="CH137" s="10">
        <v>0</v>
      </c>
      <c r="CI137" s="10">
        <v>0</v>
      </c>
      <c r="CJ137" s="10">
        <v>0</v>
      </c>
      <c r="CK137" s="10">
        <v>0</v>
      </c>
      <c r="CL137" s="10">
        <v>0</v>
      </c>
      <c r="CM137" s="10">
        <v>0</v>
      </c>
      <c r="CN137" s="10">
        <v>0</v>
      </c>
      <c r="CO137" s="10">
        <v>0</v>
      </c>
      <c r="CP137" s="10">
        <v>0</v>
      </c>
      <c r="CQ137" s="10">
        <v>0.23200868053279292</v>
      </c>
      <c r="CR137" s="10">
        <v>0</v>
      </c>
      <c r="CS137" s="10">
        <v>0</v>
      </c>
      <c r="CT137" s="10">
        <v>0</v>
      </c>
      <c r="CU137" s="10">
        <v>0</v>
      </c>
      <c r="CV137" s="10">
        <v>0</v>
      </c>
      <c r="CW137" s="10">
        <v>0</v>
      </c>
      <c r="CX137" s="10">
        <v>0</v>
      </c>
      <c r="CY137" s="10">
        <v>0</v>
      </c>
      <c r="CZ137" s="10">
        <v>0</v>
      </c>
      <c r="DA137" s="10">
        <v>0</v>
      </c>
      <c r="DB137" s="10">
        <v>0</v>
      </c>
      <c r="DC137" s="10">
        <v>0</v>
      </c>
      <c r="DD137" s="10">
        <v>0</v>
      </c>
      <c r="DE137" s="10">
        <v>0</v>
      </c>
      <c r="DF137" s="10">
        <v>0</v>
      </c>
      <c r="DG137" s="10">
        <v>0</v>
      </c>
      <c r="DH137" s="10">
        <v>0</v>
      </c>
      <c r="DI137" s="10">
        <v>0</v>
      </c>
      <c r="DJ137" s="10">
        <v>0</v>
      </c>
      <c r="DK137" s="10">
        <v>0</v>
      </c>
      <c r="DL137" s="10">
        <v>0</v>
      </c>
      <c r="DM137" s="10">
        <v>0</v>
      </c>
      <c r="DN137" s="10">
        <v>0</v>
      </c>
      <c r="DO137" s="10">
        <v>0</v>
      </c>
      <c r="DP137" s="10">
        <v>0</v>
      </c>
      <c r="DQ137" s="10">
        <v>0</v>
      </c>
      <c r="DR137" s="10">
        <v>0</v>
      </c>
      <c r="DS137" s="10">
        <v>0</v>
      </c>
      <c r="DT137" s="10">
        <v>0</v>
      </c>
      <c r="DU137" s="10">
        <v>0</v>
      </c>
      <c r="DV137" s="10">
        <v>0</v>
      </c>
      <c r="DW137" s="10">
        <v>0</v>
      </c>
      <c r="DX137" s="10">
        <v>0</v>
      </c>
      <c r="DY137" s="10">
        <v>0</v>
      </c>
      <c r="DZ137" s="10">
        <v>0.17036583425466822</v>
      </c>
      <c r="EA137" s="10">
        <v>0</v>
      </c>
      <c r="EB137" s="10">
        <v>0</v>
      </c>
      <c r="EC137" s="10">
        <v>0</v>
      </c>
      <c r="ED137" s="10">
        <v>0</v>
      </c>
      <c r="EE137" s="10">
        <v>0</v>
      </c>
      <c r="EF137" s="10">
        <v>0</v>
      </c>
      <c r="EG137" s="10">
        <v>0</v>
      </c>
      <c r="EH137" s="10">
        <v>0</v>
      </c>
      <c r="EI137" s="10">
        <v>0</v>
      </c>
      <c r="EJ137" s="10">
        <v>0</v>
      </c>
      <c r="EK137" s="10">
        <v>0</v>
      </c>
      <c r="EL137" s="10">
        <v>0</v>
      </c>
      <c r="EM137" s="10">
        <v>0</v>
      </c>
      <c r="EN137" s="10">
        <v>0</v>
      </c>
      <c r="EO137" s="10">
        <v>0</v>
      </c>
      <c r="EP137" s="10">
        <v>0</v>
      </c>
      <c r="EQ137" s="10">
        <v>0</v>
      </c>
      <c r="ER137" s="10">
        <v>0</v>
      </c>
      <c r="ES137" s="10">
        <v>0</v>
      </c>
      <c r="ET137" s="10">
        <v>0</v>
      </c>
      <c r="EU137" s="10">
        <v>0</v>
      </c>
      <c r="EV137" s="10">
        <v>0</v>
      </c>
      <c r="EW137" s="10">
        <v>0</v>
      </c>
      <c r="EX137" s="10">
        <v>0</v>
      </c>
      <c r="EY137" s="10">
        <v>0</v>
      </c>
      <c r="EZ137" s="10">
        <v>0</v>
      </c>
      <c r="FA137" s="10">
        <v>0</v>
      </c>
      <c r="FB137" s="10">
        <v>0</v>
      </c>
      <c r="FC137" s="10">
        <v>0</v>
      </c>
      <c r="FD137" s="10">
        <v>0</v>
      </c>
      <c r="FE137" s="10">
        <v>0</v>
      </c>
      <c r="FF137" s="10">
        <v>0</v>
      </c>
      <c r="FG137" s="10">
        <v>0</v>
      </c>
      <c r="FH137" s="10">
        <v>0</v>
      </c>
      <c r="FI137" s="10">
        <v>0</v>
      </c>
      <c r="FJ137" s="10">
        <v>0</v>
      </c>
      <c r="FK137" s="10">
        <v>0</v>
      </c>
      <c r="FL137" s="10">
        <v>0</v>
      </c>
      <c r="FM137" s="10">
        <v>0</v>
      </c>
      <c r="FN137" s="10">
        <v>0</v>
      </c>
      <c r="FO137" s="10">
        <v>0</v>
      </c>
      <c r="FP137" s="10">
        <v>0</v>
      </c>
      <c r="FQ137" s="10">
        <v>0</v>
      </c>
      <c r="FR137" s="10">
        <v>0</v>
      </c>
      <c r="FS137" s="10">
        <v>0</v>
      </c>
      <c r="FT137" s="10">
        <v>0</v>
      </c>
      <c r="FU137" s="10">
        <v>0</v>
      </c>
      <c r="FV137" s="10">
        <v>0</v>
      </c>
      <c r="FW137" s="10">
        <v>0</v>
      </c>
      <c r="FX137" s="10">
        <v>0</v>
      </c>
      <c r="FY137" s="10">
        <v>0</v>
      </c>
      <c r="FZ137" s="10">
        <v>0</v>
      </c>
      <c r="GA137" s="10">
        <v>0</v>
      </c>
      <c r="GB137" s="10">
        <v>0.13630709510390218</v>
      </c>
      <c r="GC137" s="10">
        <v>0</v>
      </c>
      <c r="GD137" s="10">
        <v>0</v>
      </c>
      <c r="GE137" s="10">
        <v>0</v>
      </c>
      <c r="GF137" s="10">
        <v>0</v>
      </c>
      <c r="GG137" s="10">
        <v>0</v>
      </c>
      <c r="GH137" s="10">
        <v>0</v>
      </c>
      <c r="GI137" s="10">
        <v>0</v>
      </c>
      <c r="GJ137" s="10">
        <v>0</v>
      </c>
      <c r="GK137" s="10">
        <v>0</v>
      </c>
      <c r="GL137" s="10">
        <v>0</v>
      </c>
      <c r="GM137" s="10">
        <v>0</v>
      </c>
      <c r="GN137" s="10">
        <v>0</v>
      </c>
      <c r="GO137" s="10">
        <v>0</v>
      </c>
      <c r="GP137" s="10">
        <v>0</v>
      </c>
      <c r="GQ137" s="10">
        <v>0</v>
      </c>
      <c r="GR137" s="10">
        <v>0</v>
      </c>
      <c r="GS137" s="10">
        <v>0</v>
      </c>
      <c r="GT137" s="10">
        <v>0</v>
      </c>
      <c r="GU137" s="10">
        <v>0</v>
      </c>
      <c r="GV137" s="10">
        <v>0.4613183901086364</v>
      </c>
      <c r="GW137" s="10">
        <v>0</v>
      </c>
      <c r="GX137" s="10">
        <v>0</v>
      </c>
      <c r="GY137" s="10">
        <v>0</v>
      </c>
      <c r="GZ137" s="10">
        <v>0</v>
      </c>
      <c r="HA137" s="10">
        <v>0</v>
      </c>
      <c r="HB137" s="10">
        <v>0</v>
      </c>
      <c r="HC137" s="10">
        <v>0</v>
      </c>
      <c r="HD137" s="10">
        <v>0</v>
      </c>
      <c r="HE137" s="10">
        <v>0</v>
      </c>
      <c r="HF137" s="10">
        <v>0</v>
      </c>
      <c r="HG137" s="10">
        <v>0</v>
      </c>
      <c r="HH137" s="10">
        <v>0</v>
      </c>
      <c r="HI137" s="10">
        <v>0</v>
      </c>
      <c r="HJ137" s="10">
        <v>0</v>
      </c>
      <c r="HK137" s="10">
        <v>0</v>
      </c>
      <c r="HL137" s="10">
        <v>0</v>
      </c>
      <c r="HM137" s="10">
        <v>0</v>
      </c>
      <c r="HN137" s="10">
        <v>0</v>
      </c>
      <c r="HO137" s="10">
        <v>0</v>
      </c>
      <c r="HP137" s="10">
        <v>0</v>
      </c>
      <c r="HQ137" s="10">
        <v>0</v>
      </c>
      <c r="HR137" s="10">
        <v>0</v>
      </c>
      <c r="HS137" s="10">
        <v>0</v>
      </c>
      <c r="HT137" s="10">
        <v>0</v>
      </c>
      <c r="HU137" s="10">
        <v>0</v>
      </c>
    </row>
    <row r="138" spans="1:229" x14ac:dyDescent="0.25">
      <c r="A138" s="10">
        <v>0</v>
      </c>
      <c r="B138" s="2" t="s">
        <v>264</v>
      </c>
      <c r="C138" s="2" t="s">
        <v>265</v>
      </c>
      <c r="D138" s="2">
        <v>0</v>
      </c>
      <c r="E138" s="2">
        <v>3.53</v>
      </c>
      <c r="F138" s="2">
        <v>23.53</v>
      </c>
      <c r="G138" s="2">
        <v>1.2</v>
      </c>
      <c r="H138" s="2">
        <v>14.97</v>
      </c>
      <c r="I138" s="2">
        <v>135</v>
      </c>
      <c r="J138" s="2">
        <v>0</v>
      </c>
      <c r="K138" s="2">
        <v>0</v>
      </c>
      <c r="L138" s="3"/>
      <c r="M138" s="2" t="str">
        <f t="shared" si="8"/>
        <v>01187</v>
      </c>
      <c r="N138" s="3">
        <v>0.57877280146081034</v>
      </c>
      <c r="O138" s="3">
        <v>1.4212271985391893</v>
      </c>
      <c r="P138" s="17" t="e">
        <v>#DIV/0!</v>
      </c>
      <c r="Q138" s="3">
        <v>1.421227198539174</v>
      </c>
      <c r="R138" s="3">
        <v>0.70882637387144465</v>
      </c>
      <c r="S138" s="3">
        <v>0</v>
      </c>
      <c r="T138" s="3">
        <v>0.38175841615312966</v>
      </c>
      <c r="U138" s="3">
        <v>0.57877280146081045</v>
      </c>
      <c r="V138" s="3" t="e">
        <v>#DIV/0!</v>
      </c>
      <c r="W138" s="3" t="e">
        <v>#DIV/0!</v>
      </c>
      <c r="X138" s="3">
        <v>-5.7488216719592944E-14</v>
      </c>
      <c r="Y138" s="3">
        <v>5.0169320108432842</v>
      </c>
      <c r="Z138" s="3">
        <v>16.678684577195092</v>
      </c>
      <c r="AA138" s="3">
        <v>0</v>
      </c>
      <c r="AB138" s="3">
        <v>5.7149234898123513</v>
      </c>
      <c r="AC138" s="3">
        <v>78.134328197209413</v>
      </c>
      <c r="AD138" s="3">
        <v>-2.6041670821695948E-14</v>
      </c>
      <c r="AE138" s="3">
        <v>-5.8962273558556865E-15</v>
      </c>
      <c r="AF138" s="3">
        <v>0</v>
      </c>
      <c r="AG138" s="3">
        <v>0</v>
      </c>
      <c r="AH138" s="3">
        <v>0</v>
      </c>
      <c r="AI138" s="3">
        <v>0</v>
      </c>
      <c r="AJ138" s="3">
        <v>0</v>
      </c>
      <c r="AK138" s="3">
        <v>0</v>
      </c>
      <c r="AL138" s="3">
        <v>0</v>
      </c>
      <c r="AM138" s="3">
        <v>0</v>
      </c>
      <c r="AN138" s="3">
        <v>0</v>
      </c>
      <c r="AO138" s="3">
        <v>0</v>
      </c>
      <c r="AP138" s="3">
        <v>0</v>
      </c>
      <c r="AQ138" s="3">
        <v>0</v>
      </c>
      <c r="AR138" s="3">
        <v>0</v>
      </c>
      <c r="AS138" s="3">
        <v>0</v>
      </c>
      <c r="AT138" s="3">
        <v>0</v>
      </c>
      <c r="AU138" s="3">
        <v>0</v>
      </c>
      <c r="AV138" s="3">
        <v>0</v>
      </c>
      <c r="AW138" s="3">
        <v>0</v>
      </c>
      <c r="AX138" s="3">
        <v>0</v>
      </c>
      <c r="AY138" s="3">
        <v>0</v>
      </c>
      <c r="AZ138" s="3">
        <v>0</v>
      </c>
      <c r="BA138" s="10">
        <v>0</v>
      </c>
      <c r="BB138" s="10">
        <v>0</v>
      </c>
      <c r="BC138" s="10">
        <v>0</v>
      </c>
      <c r="BD138" s="10">
        <v>0</v>
      </c>
      <c r="BE138" s="10">
        <v>0</v>
      </c>
      <c r="BF138" s="10">
        <v>0</v>
      </c>
      <c r="BG138" s="10">
        <v>0</v>
      </c>
      <c r="BH138" s="10">
        <v>0</v>
      </c>
      <c r="BI138" s="10">
        <v>0</v>
      </c>
      <c r="BJ138" s="10">
        <v>0</v>
      </c>
      <c r="BK138" s="10">
        <v>0</v>
      </c>
      <c r="BL138" s="10">
        <v>0</v>
      </c>
      <c r="BM138" s="10">
        <v>0</v>
      </c>
      <c r="BN138" s="10">
        <v>0</v>
      </c>
      <c r="BO138" s="10">
        <v>0</v>
      </c>
      <c r="BP138" s="10">
        <v>0</v>
      </c>
      <c r="BQ138" s="10">
        <v>0</v>
      </c>
      <c r="BR138" s="10">
        <v>0</v>
      </c>
      <c r="BS138" s="10">
        <v>0</v>
      </c>
      <c r="BT138" s="10">
        <v>0</v>
      </c>
      <c r="BU138" s="10">
        <v>0</v>
      </c>
      <c r="BV138" s="10">
        <v>0</v>
      </c>
      <c r="BW138" s="10">
        <v>0</v>
      </c>
      <c r="BX138" s="10">
        <v>0</v>
      </c>
      <c r="BY138" s="10">
        <v>0</v>
      </c>
      <c r="BZ138" s="10">
        <v>0</v>
      </c>
      <c r="CA138" s="10">
        <v>0</v>
      </c>
      <c r="CB138" s="10">
        <v>0</v>
      </c>
      <c r="CC138" s="10">
        <v>0</v>
      </c>
      <c r="CD138" s="10">
        <v>0</v>
      </c>
      <c r="CE138" s="10">
        <v>0</v>
      </c>
      <c r="CF138" s="10">
        <v>0</v>
      </c>
      <c r="CG138" s="10">
        <v>0</v>
      </c>
      <c r="CH138" s="10">
        <v>0</v>
      </c>
      <c r="CI138" s="10">
        <v>0</v>
      </c>
      <c r="CJ138" s="10">
        <v>0</v>
      </c>
      <c r="CK138" s="10">
        <v>0</v>
      </c>
      <c r="CL138" s="10">
        <v>0</v>
      </c>
      <c r="CM138" s="10">
        <v>0</v>
      </c>
      <c r="CN138" s="10">
        <v>0</v>
      </c>
      <c r="CO138" s="10">
        <v>0</v>
      </c>
      <c r="CP138" s="10">
        <v>0</v>
      </c>
      <c r="CQ138" s="10">
        <v>0</v>
      </c>
      <c r="CR138" s="10">
        <v>0</v>
      </c>
      <c r="CS138" s="10">
        <v>0</v>
      </c>
      <c r="CT138" s="10">
        <v>0</v>
      </c>
      <c r="CU138" s="10">
        <v>0</v>
      </c>
      <c r="CV138" s="10">
        <v>0</v>
      </c>
      <c r="CW138" s="10">
        <v>0</v>
      </c>
      <c r="CX138" s="10">
        <v>0</v>
      </c>
      <c r="CY138" s="10">
        <v>0</v>
      </c>
      <c r="CZ138" s="10">
        <v>0</v>
      </c>
      <c r="DA138" s="10">
        <v>0</v>
      </c>
      <c r="DB138" s="10">
        <v>0</v>
      </c>
      <c r="DC138" s="10">
        <v>0</v>
      </c>
      <c r="DD138" s="10">
        <v>0</v>
      </c>
      <c r="DE138" s="10">
        <v>0</v>
      </c>
      <c r="DF138" s="10">
        <v>0</v>
      </c>
      <c r="DG138" s="10">
        <v>0</v>
      </c>
      <c r="DH138" s="10">
        <v>0</v>
      </c>
      <c r="DI138" s="10">
        <v>0</v>
      </c>
      <c r="DJ138" s="10">
        <v>0</v>
      </c>
      <c r="DK138" s="10">
        <v>0</v>
      </c>
      <c r="DL138" s="10">
        <v>0</v>
      </c>
      <c r="DM138" s="10">
        <v>0</v>
      </c>
      <c r="DN138" s="10">
        <v>0</v>
      </c>
      <c r="DO138" s="10">
        <v>0</v>
      </c>
      <c r="DP138" s="10">
        <v>0</v>
      </c>
      <c r="DQ138" s="10">
        <v>0</v>
      </c>
      <c r="DR138" s="10">
        <v>0</v>
      </c>
      <c r="DS138" s="10">
        <v>0</v>
      </c>
      <c r="DT138" s="10">
        <v>0</v>
      </c>
      <c r="DU138" s="10">
        <v>0</v>
      </c>
      <c r="DV138" s="10">
        <v>0</v>
      </c>
      <c r="DW138" s="10">
        <v>0</v>
      </c>
      <c r="DX138" s="10">
        <v>0</v>
      </c>
      <c r="DY138" s="10">
        <v>0</v>
      </c>
      <c r="DZ138" s="10">
        <v>2.8074236426694217E-2</v>
      </c>
      <c r="EA138" s="10">
        <v>0</v>
      </c>
      <c r="EB138" s="10">
        <v>0</v>
      </c>
      <c r="EC138" s="10">
        <v>0</v>
      </c>
      <c r="ED138" s="10">
        <v>0</v>
      </c>
      <c r="EE138" s="10">
        <v>0</v>
      </c>
      <c r="EF138" s="10">
        <v>0</v>
      </c>
      <c r="EG138" s="10">
        <v>0</v>
      </c>
      <c r="EH138" s="10">
        <v>0</v>
      </c>
      <c r="EI138" s="10">
        <v>0</v>
      </c>
      <c r="EJ138" s="10">
        <v>0</v>
      </c>
      <c r="EK138" s="10">
        <v>0</v>
      </c>
      <c r="EL138" s="10">
        <v>0</v>
      </c>
      <c r="EM138" s="10">
        <v>0</v>
      </c>
      <c r="EN138" s="10">
        <v>0</v>
      </c>
      <c r="EO138" s="10">
        <v>0</v>
      </c>
      <c r="EP138" s="10">
        <v>0</v>
      </c>
      <c r="EQ138" s="10">
        <v>0</v>
      </c>
      <c r="ER138" s="10">
        <v>0</v>
      </c>
      <c r="ES138" s="10">
        <v>0</v>
      </c>
      <c r="ET138" s="10">
        <v>0</v>
      </c>
      <c r="EU138" s="10">
        <v>0</v>
      </c>
      <c r="EV138" s="10">
        <v>0</v>
      </c>
      <c r="EW138" s="10">
        <v>0</v>
      </c>
      <c r="EX138" s="10">
        <v>0</v>
      </c>
      <c r="EY138" s="10">
        <v>0</v>
      </c>
      <c r="EZ138" s="10">
        <v>0</v>
      </c>
      <c r="FA138" s="10">
        <v>0</v>
      </c>
      <c r="FB138" s="10">
        <v>0</v>
      </c>
      <c r="FC138" s="10">
        <v>0</v>
      </c>
      <c r="FD138" s="10">
        <v>0</v>
      </c>
      <c r="FE138" s="10">
        <v>0</v>
      </c>
      <c r="FF138" s="10">
        <v>0</v>
      </c>
      <c r="FG138" s="10">
        <v>0</v>
      </c>
      <c r="FH138" s="10">
        <v>0</v>
      </c>
      <c r="FI138" s="10">
        <v>0</v>
      </c>
      <c r="FJ138" s="10">
        <v>0</v>
      </c>
      <c r="FK138" s="10">
        <v>0</v>
      </c>
      <c r="FL138" s="10">
        <v>0</v>
      </c>
      <c r="FM138" s="10">
        <v>0</v>
      </c>
      <c r="FN138" s="10">
        <v>0</v>
      </c>
      <c r="FO138" s="10">
        <v>0</v>
      </c>
      <c r="FP138" s="10">
        <v>0</v>
      </c>
      <c r="FQ138" s="10">
        <v>0</v>
      </c>
      <c r="FR138" s="10">
        <v>0</v>
      </c>
      <c r="FS138" s="10">
        <v>0</v>
      </c>
      <c r="FT138" s="10">
        <v>0</v>
      </c>
      <c r="FU138" s="10">
        <v>0</v>
      </c>
      <c r="FV138" s="10">
        <v>0</v>
      </c>
      <c r="FW138" s="10">
        <v>0</v>
      </c>
      <c r="FX138" s="10">
        <v>0</v>
      </c>
      <c r="FY138" s="10">
        <v>0</v>
      </c>
      <c r="FZ138" s="10">
        <v>0</v>
      </c>
      <c r="GA138" s="10">
        <v>0</v>
      </c>
      <c r="GB138" s="10">
        <v>0</v>
      </c>
      <c r="GC138" s="10">
        <v>0</v>
      </c>
      <c r="GD138" s="10">
        <v>0</v>
      </c>
      <c r="GE138" s="10">
        <v>0</v>
      </c>
      <c r="GF138" s="10">
        <v>0</v>
      </c>
      <c r="GG138" s="10">
        <v>0</v>
      </c>
      <c r="GH138" s="10">
        <v>0</v>
      </c>
      <c r="GI138" s="10">
        <v>0</v>
      </c>
      <c r="GJ138" s="10">
        <v>0</v>
      </c>
      <c r="GK138" s="10">
        <v>0</v>
      </c>
      <c r="GL138" s="10">
        <v>0</v>
      </c>
      <c r="GM138" s="10">
        <v>0</v>
      </c>
      <c r="GN138" s="10">
        <v>0</v>
      </c>
      <c r="GO138" s="10">
        <v>0</v>
      </c>
      <c r="GP138" s="10">
        <v>0</v>
      </c>
      <c r="GQ138" s="10">
        <v>0</v>
      </c>
      <c r="GR138" s="10">
        <v>0</v>
      </c>
      <c r="GS138" s="10">
        <v>0</v>
      </c>
      <c r="GT138" s="10">
        <v>0</v>
      </c>
      <c r="GU138" s="10">
        <v>0</v>
      </c>
      <c r="GV138" s="10">
        <v>-4.9135227965464055E-13</v>
      </c>
      <c r="GW138" s="10">
        <v>0</v>
      </c>
      <c r="GX138" s="10">
        <v>0</v>
      </c>
      <c r="GY138" s="10">
        <v>0</v>
      </c>
      <c r="GZ138" s="10">
        <v>0</v>
      </c>
      <c r="HA138" s="10">
        <v>0</v>
      </c>
      <c r="HB138" s="10">
        <v>0</v>
      </c>
      <c r="HC138" s="10">
        <v>0</v>
      </c>
      <c r="HD138" s="10">
        <v>0</v>
      </c>
      <c r="HE138" s="10">
        <v>0</v>
      </c>
      <c r="HF138" s="10">
        <v>0</v>
      </c>
      <c r="HG138" s="10">
        <v>0</v>
      </c>
      <c r="HH138" s="10">
        <v>0</v>
      </c>
      <c r="HI138" s="10">
        <v>0</v>
      </c>
      <c r="HJ138" s="10">
        <v>0</v>
      </c>
      <c r="HK138" s="10">
        <v>0</v>
      </c>
      <c r="HL138" s="10">
        <v>0</v>
      </c>
      <c r="HM138" s="10">
        <v>0</v>
      </c>
      <c r="HN138" s="10">
        <v>0</v>
      </c>
      <c r="HO138" s="10">
        <v>0</v>
      </c>
      <c r="HP138" s="10">
        <v>0.97192576357379978</v>
      </c>
      <c r="HQ138" s="10">
        <v>0</v>
      </c>
      <c r="HR138" s="10">
        <v>0</v>
      </c>
      <c r="HS138" s="10">
        <v>0</v>
      </c>
      <c r="HT138" s="10">
        <v>0</v>
      </c>
      <c r="HU138" s="10">
        <v>0</v>
      </c>
    </row>
    <row r="139" spans="1:229" x14ac:dyDescent="0.25">
      <c r="A139" s="10">
        <v>0</v>
      </c>
      <c r="B139" s="2" t="s">
        <v>266</v>
      </c>
      <c r="C139" s="2" t="s">
        <v>267</v>
      </c>
      <c r="D139" s="2">
        <v>13.1</v>
      </c>
      <c r="E139" s="2">
        <v>12</v>
      </c>
      <c r="F139" s="2">
        <v>9.1999999999999993</v>
      </c>
      <c r="G139" s="2">
        <v>0.3</v>
      </c>
      <c r="H139" s="2">
        <v>6.7</v>
      </c>
      <c r="I139" s="2">
        <v>1638</v>
      </c>
      <c r="J139" s="2"/>
      <c r="K139" s="2"/>
      <c r="L139" s="3"/>
      <c r="M139" s="2" t="str">
        <f t="shared" si="8"/>
        <v>01188</v>
      </c>
      <c r="N139" s="3">
        <v>0.12694610494208497</v>
      </c>
      <c r="O139" s="3">
        <v>1.873053895057915</v>
      </c>
      <c r="P139" s="17">
        <v>0.12694610494205039</v>
      </c>
      <c r="Q139" s="3">
        <v>1.8730538950579128</v>
      </c>
      <c r="R139" s="3">
        <v>0.87719449659018622</v>
      </c>
      <c r="S139" s="3">
        <v>1.3757303840301125</v>
      </c>
      <c r="T139" s="3">
        <v>0.12694610494208594</v>
      </c>
      <c r="U139" s="3">
        <v>0.126946104942085</v>
      </c>
      <c r="V139" s="3" t="e">
        <v>#DIV/0!</v>
      </c>
      <c r="W139" s="3" t="e">
        <v>#DIV/0!</v>
      </c>
      <c r="X139" s="3">
        <v>1.66299397474086</v>
      </c>
      <c r="Y139" s="3">
        <v>22.476646740694953</v>
      </c>
      <c r="Z139" s="3">
        <v>8.0701893686297126</v>
      </c>
      <c r="AA139" s="3">
        <v>0.4127191152090337</v>
      </c>
      <c r="AB139" s="3">
        <v>0.85053890311197577</v>
      </c>
      <c r="AC139" s="3">
        <v>207.93771989513522</v>
      </c>
      <c r="AD139" s="3">
        <v>3.3455545789452845</v>
      </c>
      <c r="AE139" s="3">
        <v>1.0177780106653518</v>
      </c>
      <c r="AF139" s="3">
        <v>0</v>
      </c>
      <c r="AG139" s="3">
        <v>0</v>
      </c>
      <c r="AH139" s="3">
        <v>0</v>
      </c>
      <c r="AI139" s="3">
        <v>0</v>
      </c>
      <c r="AJ139" s="3">
        <v>0</v>
      </c>
      <c r="AK139" s="3">
        <v>0</v>
      </c>
      <c r="AL139" s="3">
        <v>0</v>
      </c>
      <c r="AM139" s="3">
        <v>0</v>
      </c>
      <c r="AN139" s="3">
        <v>0</v>
      </c>
      <c r="AO139" s="3">
        <v>0</v>
      </c>
      <c r="AP139" s="3">
        <v>0</v>
      </c>
      <c r="AQ139" s="3">
        <v>0</v>
      </c>
      <c r="AR139" s="3">
        <v>0</v>
      </c>
      <c r="AS139" s="3">
        <v>0</v>
      </c>
      <c r="AT139" s="3">
        <v>0</v>
      </c>
      <c r="AU139" s="3">
        <v>0</v>
      </c>
      <c r="AV139" s="3">
        <v>0</v>
      </c>
      <c r="AW139" s="3">
        <v>0</v>
      </c>
      <c r="AX139" s="3">
        <v>0</v>
      </c>
      <c r="AY139" s="3">
        <v>0</v>
      </c>
      <c r="AZ139" s="3">
        <v>0</v>
      </c>
      <c r="BA139" s="10">
        <v>0</v>
      </c>
      <c r="BB139" s="10">
        <v>0</v>
      </c>
      <c r="BC139" s="10">
        <v>0</v>
      </c>
      <c r="BD139" s="10">
        <v>0</v>
      </c>
      <c r="BE139" s="10">
        <v>0</v>
      </c>
      <c r="BF139" s="10">
        <v>0</v>
      </c>
      <c r="BG139" s="10">
        <v>0</v>
      </c>
      <c r="BH139" s="10">
        <v>0</v>
      </c>
      <c r="BI139" s="10">
        <v>0</v>
      </c>
      <c r="BJ139" s="10">
        <v>0</v>
      </c>
      <c r="BK139" s="10">
        <v>0</v>
      </c>
      <c r="BL139" s="10">
        <v>0</v>
      </c>
      <c r="BM139" s="10">
        <v>0</v>
      </c>
      <c r="BN139" s="10">
        <v>0</v>
      </c>
      <c r="BO139" s="10">
        <v>0</v>
      </c>
      <c r="BP139" s="10">
        <v>0</v>
      </c>
      <c r="BQ139" s="10">
        <v>0</v>
      </c>
      <c r="BR139" s="10">
        <v>0</v>
      </c>
      <c r="BS139" s="10">
        <v>0</v>
      </c>
      <c r="BT139" s="10">
        <v>0</v>
      </c>
      <c r="BU139" s="10">
        <v>0</v>
      </c>
      <c r="BV139" s="10">
        <v>0</v>
      </c>
      <c r="BW139" s="10">
        <v>0</v>
      </c>
      <c r="BX139" s="10">
        <v>0</v>
      </c>
      <c r="BY139" s="10">
        <v>0</v>
      </c>
      <c r="BZ139" s="10">
        <v>0</v>
      </c>
      <c r="CA139" s="10">
        <v>0</v>
      </c>
      <c r="CB139" s="10">
        <v>0</v>
      </c>
      <c r="CC139" s="10">
        <v>0</v>
      </c>
      <c r="CD139" s="10">
        <v>0</v>
      </c>
      <c r="CE139" s="10">
        <v>0</v>
      </c>
      <c r="CF139" s="10">
        <v>0</v>
      </c>
      <c r="CG139" s="10">
        <v>0</v>
      </c>
      <c r="CH139" s="10">
        <v>0</v>
      </c>
      <c r="CI139" s="10">
        <v>0</v>
      </c>
      <c r="CJ139" s="10">
        <v>0</v>
      </c>
      <c r="CK139" s="10">
        <v>0</v>
      </c>
      <c r="CL139" s="10">
        <v>0</v>
      </c>
      <c r="CM139" s="10">
        <v>0</v>
      </c>
      <c r="CN139" s="10">
        <v>0</v>
      </c>
      <c r="CO139" s="10">
        <v>0</v>
      </c>
      <c r="CP139" s="10">
        <v>0</v>
      </c>
      <c r="CQ139" s="10">
        <v>0.53806660655629746</v>
      </c>
      <c r="CR139" s="10">
        <v>0</v>
      </c>
      <c r="CS139" s="10">
        <v>0</v>
      </c>
      <c r="CT139" s="10">
        <v>0</v>
      </c>
      <c r="CU139" s="10">
        <v>0</v>
      </c>
      <c r="CV139" s="10">
        <v>0</v>
      </c>
      <c r="CW139" s="10">
        <v>0</v>
      </c>
      <c r="CX139" s="10">
        <v>0</v>
      </c>
      <c r="CY139" s="10">
        <v>0</v>
      </c>
      <c r="CZ139" s="10">
        <v>0</v>
      </c>
      <c r="DA139" s="10">
        <v>0</v>
      </c>
      <c r="DB139" s="10">
        <v>0</v>
      </c>
      <c r="DC139" s="10">
        <v>0</v>
      </c>
      <c r="DD139" s="10">
        <v>0</v>
      </c>
      <c r="DE139" s="10">
        <v>0</v>
      </c>
      <c r="DF139" s="10">
        <v>0</v>
      </c>
      <c r="DG139" s="10">
        <v>0</v>
      </c>
      <c r="DH139" s="10">
        <v>0</v>
      </c>
      <c r="DI139" s="10">
        <v>0</v>
      </c>
      <c r="DJ139" s="10">
        <v>0</v>
      </c>
      <c r="DK139" s="10">
        <v>0</v>
      </c>
      <c r="DL139" s="10">
        <v>0</v>
      </c>
      <c r="DM139" s="10">
        <v>0</v>
      </c>
      <c r="DN139" s="10">
        <v>0</v>
      </c>
      <c r="DO139" s="10">
        <v>0</v>
      </c>
      <c r="DP139" s="10">
        <v>0</v>
      </c>
      <c r="DQ139" s="10">
        <v>0</v>
      </c>
      <c r="DR139" s="10">
        <v>0</v>
      </c>
      <c r="DS139" s="10">
        <v>0</v>
      </c>
      <c r="DT139" s="10">
        <v>0.15687920433692745</v>
      </c>
      <c r="DU139" s="10">
        <v>0</v>
      </c>
      <c r="DV139" s="10">
        <v>0</v>
      </c>
      <c r="DW139" s="10">
        <v>0</v>
      </c>
      <c r="DX139" s="10">
        <v>0</v>
      </c>
      <c r="DY139" s="10">
        <v>0</v>
      </c>
      <c r="DZ139" s="10">
        <v>9.8694631502258059E-2</v>
      </c>
      <c r="EA139" s="10">
        <v>0</v>
      </c>
      <c r="EB139" s="10">
        <v>0</v>
      </c>
      <c r="EC139" s="10">
        <v>0</v>
      </c>
      <c r="ED139" s="10">
        <v>0</v>
      </c>
      <c r="EE139" s="10">
        <v>0</v>
      </c>
      <c r="EF139" s="10">
        <v>0</v>
      </c>
      <c r="EG139" s="10">
        <v>0</v>
      </c>
      <c r="EH139" s="10">
        <v>0</v>
      </c>
      <c r="EI139" s="10">
        <v>0</v>
      </c>
      <c r="EJ139" s="10">
        <v>0</v>
      </c>
      <c r="EK139" s="10">
        <v>0</v>
      </c>
      <c r="EL139" s="10">
        <v>0</v>
      </c>
      <c r="EM139" s="10">
        <v>0</v>
      </c>
      <c r="EN139" s="10">
        <v>0</v>
      </c>
      <c r="EO139" s="10">
        <v>0</v>
      </c>
      <c r="EP139" s="10">
        <v>0</v>
      </c>
      <c r="EQ139" s="10">
        <v>0</v>
      </c>
      <c r="ER139" s="10">
        <v>0</v>
      </c>
      <c r="ES139" s="10">
        <v>0</v>
      </c>
      <c r="ET139" s="10">
        <v>0</v>
      </c>
      <c r="EU139" s="10">
        <v>0</v>
      </c>
      <c r="EV139" s="10">
        <v>0</v>
      </c>
      <c r="EW139" s="10">
        <v>0</v>
      </c>
      <c r="EX139" s="10">
        <v>0</v>
      </c>
      <c r="EY139" s="10">
        <v>0</v>
      </c>
      <c r="EZ139" s="10">
        <v>0</v>
      </c>
      <c r="FA139" s="10">
        <v>0</v>
      </c>
      <c r="FB139" s="10">
        <v>0</v>
      </c>
      <c r="FC139" s="10">
        <v>0</v>
      </c>
      <c r="FD139" s="10">
        <v>0</v>
      </c>
      <c r="FE139" s="10">
        <v>0</v>
      </c>
      <c r="FF139" s="10">
        <v>0</v>
      </c>
      <c r="FG139" s="10">
        <v>0</v>
      </c>
      <c r="FH139" s="10">
        <v>0</v>
      </c>
      <c r="FI139" s="10">
        <v>0</v>
      </c>
      <c r="FJ139" s="10">
        <v>0</v>
      </c>
      <c r="FK139" s="10">
        <v>0</v>
      </c>
      <c r="FL139" s="10">
        <v>0</v>
      </c>
      <c r="FM139" s="10">
        <v>0</v>
      </c>
      <c r="FN139" s="10">
        <v>0</v>
      </c>
      <c r="FO139" s="10">
        <v>0</v>
      </c>
      <c r="FP139" s="10">
        <v>0</v>
      </c>
      <c r="FQ139" s="10">
        <v>0</v>
      </c>
      <c r="FR139" s="10">
        <v>0</v>
      </c>
      <c r="FS139" s="10">
        <v>0</v>
      </c>
      <c r="FT139" s="10">
        <v>0</v>
      </c>
      <c r="FU139" s="10">
        <v>0</v>
      </c>
      <c r="FV139" s="10">
        <v>0</v>
      </c>
      <c r="FW139" s="10">
        <v>0</v>
      </c>
      <c r="FX139" s="10">
        <v>0</v>
      </c>
      <c r="FY139" s="10">
        <v>0</v>
      </c>
      <c r="FZ139" s="10">
        <v>0</v>
      </c>
      <c r="GA139" s="10">
        <v>0</v>
      </c>
      <c r="GB139" s="10">
        <v>0.20635955760451685</v>
      </c>
      <c r="GC139" s="10">
        <v>0</v>
      </c>
      <c r="GD139" s="10">
        <v>0</v>
      </c>
      <c r="GE139" s="10">
        <v>0</v>
      </c>
      <c r="GF139" s="10">
        <v>0</v>
      </c>
      <c r="GG139" s="10">
        <v>0</v>
      </c>
      <c r="GH139" s="10">
        <v>0</v>
      </c>
      <c r="GI139" s="10">
        <v>0</v>
      </c>
      <c r="GJ139" s="10">
        <v>0</v>
      </c>
      <c r="GK139" s="10">
        <v>0</v>
      </c>
      <c r="GL139" s="10">
        <v>0</v>
      </c>
      <c r="GM139" s="10">
        <v>0</v>
      </c>
      <c r="GN139" s="10">
        <v>0</v>
      </c>
      <c r="GO139" s="10">
        <v>0</v>
      </c>
      <c r="GP139" s="10">
        <v>0</v>
      </c>
      <c r="GQ139" s="10">
        <v>0</v>
      </c>
      <c r="GR139" s="10">
        <v>0</v>
      </c>
      <c r="GS139" s="10">
        <v>0</v>
      </c>
      <c r="GT139" s="10">
        <v>0</v>
      </c>
      <c r="GU139" s="10">
        <v>0</v>
      </c>
      <c r="GV139" s="10">
        <v>0</v>
      </c>
      <c r="GW139" s="10">
        <v>0</v>
      </c>
      <c r="GX139" s="10">
        <v>0</v>
      </c>
      <c r="GY139" s="10">
        <v>0</v>
      </c>
      <c r="GZ139" s="10">
        <v>0</v>
      </c>
      <c r="HA139" s="10">
        <v>0</v>
      </c>
      <c r="HB139" s="10">
        <v>0</v>
      </c>
      <c r="HC139" s="10">
        <v>0</v>
      </c>
      <c r="HD139" s="10">
        <v>0</v>
      </c>
      <c r="HE139" s="10">
        <v>0</v>
      </c>
      <c r="HF139" s="10">
        <v>0</v>
      </c>
      <c r="HG139" s="10">
        <v>0</v>
      </c>
      <c r="HH139" s="10">
        <v>0</v>
      </c>
      <c r="HI139" s="10">
        <v>0</v>
      </c>
      <c r="HJ139" s="10">
        <v>0</v>
      </c>
      <c r="HK139" s="10">
        <v>0</v>
      </c>
      <c r="HL139" s="10">
        <v>0</v>
      </c>
      <c r="HM139" s="10">
        <v>0</v>
      </c>
      <c r="HN139" s="10">
        <v>0</v>
      </c>
      <c r="HO139" s="10">
        <v>0</v>
      </c>
      <c r="HP139" s="10">
        <v>0</v>
      </c>
      <c r="HQ139" s="10">
        <v>0</v>
      </c>
      <c r="HR139" s="10">
        <v>0</v>
      </c>
      <c r="HS139" s="10">
        <v>0</v>
      </c>
      <c r="HT139" s="10">
        <v>0</v>
      </c>
      <c r="HU139" s="10">
        <v>0</v>
      </c>
    </row>
    <row r="140" spans="1:229" x14ac:dyDescent="0.25">
      <c r="A140" s="10">
        <v>0</v>
      </c>
      <c r="B140" s="2" t="s">
        <v>268</v>
      </c>
      <c r="C140" s="2" t="s">
        <v>269</v>
      </c>
      <c r="D140" s="2">
        <v>6.4</v>
      </c>
      <c r="E140" s="2">
        <v>16.3</v>
      </c>
      <c r="F140" s="2">
        <v>16.2</v>
      </c>
      <c r="G140" s="2">
        <v>0.2</v>
      </c>
      <c r="H140" s="2">
        <v>8.1999999999999993</v>
      </c>
      <c r="I140" s="2">
        <v>1705</v>
      </c>
      <c r="J140" s="2"/>
      <c r="K140" s="2"/>
      <c r="L140" s="3"/>
      <c r="M140" s="2" t="str">
        <f t="shared" ref="M140:M203" si="9">B140</f>
        <v>01189</v>
      </c>
      <c r="N140" s="3">
        <v>0.16102287643504448</v>
      </c>
      <c r="O140" s="3">
        <v>1.8389771235649557</v>
      </c>
      <c r="P140" s="17">
        <v>0.16102287643515631</v>
      </c>
      <c r="Q140" s="3">
        <v>1.8389771235649539</v>
      </c>
      <c r="R140" s="3">
        <v>0.64304010141727841</v>
      </c>
      <c r="S140" s="3">
        <v>3.2731304248418747</v>
      </c>
      <c r="T140" s="3">
        <v>0.16102287643504462</v>
      </c>
      <c r="U140" s="3">
        <v>0.16102287643504451</v>
      </c>
      <c r="V140" s="3" t="e">
        <v>#DIV/0!</v>
      </c>
      <c r="W140" s="3" t="e">
        <v>#DIV/0!</v>
      </c>
      <c r="X140" s="3">
        <v>1.0305464091850005</v>
      </c>
      <c r="Y140" s="3">
        <v>29.975327114108751</v>
      </c>
      <c r="Z140" s="3">
        <v>10.417249642959909</v>
      </c>
      <c r="AA140" s="3">
        <v>0.65462608496837493</v>
      </c>
      <c r="AB140" s="3">
        <v>1.3203875867673658</v>
      </c>
      <c r="AC140" s="3">
        <v>274.54400432175089</v>
      </c>
      <c r="AD140" s="3">
        <v>3.4967186675184809</v>
      </c>
      <c r="AE140" s="3">
        <v>0.74565938459273129</v>
      </c>
      <c r="AF140" s="3">
        <v>0</v>
      </c>
      <c r="AG140" s="3">
        <v>0</v>
      </c>
      <c r="AH140" s="3">
        <v>0</v>
      </c>
      <c r="AI140" s="10">
        <v>0</v>
      </c>
      <c r="AJ140" s="3">
        <v>0</v>
      </c>
      <c r="AK140" s="3">
        <v>0</v>
      </c>
      <c r="AL140" s="3">
        <v>0</v>
      </c>
      <c r="AM140" s="3">
        <v>0</v>
      </c>
      <c r="AN140" s="10">
        <v>0</v>
      </c>
      <c r="AO140" s="10">
        <v>0</v>
      </c>
      <c r="AP140" s="10">
        <v>0</v>
      </c>
      <c r="AQ140" s="10">
        <v>0</v>
      </c>
      <c r="AR140" s="10">
        <v>0</v>
      </c>
      <c r="AS140" s="10">
        <v>0</v>
      </c>
      <c r="AT140" s="10">
        <v>0</v>
      </c>
      <c r="AU140" s="10">
        <v>0</v>
      </c>
      <c r="AV140" s="10">
        <v>0</v>
      </c>
      <c r="AW140" s="3">
        <v>0</v>
      </c>
      <c r="AX140" s="3">
        <v>0</v>
      </c>
      <c r="AY140" s="3">
        <v>0</v>
      </c>
      <c r="AZ140" s="3">
        <v>0</v>
      </c>
      <c r="BA140" s="10">
        <v>0</v>
      </c>
      <c r="BB140" s="10">
        <v>0</v>
      </c>
      <c r="BC140" s="10">
        <v>0</v>
      </c>
      <c r="BD140" s="10">
        <v>0</v>
      </c>
      <c r="BE140" s="10">
        <v>0</v>
      </c>
      <c r="BF140" s="10">
        <v>0</v>
      </c>
      <c r="BG140" s="10">
        <v>0</v>
      </c>
      <c r="BH140" s="10">
        <v>0</v>
      </c>
      <c r="BI140" s="10">
        <v>0</v>
      </c>
      <c r="BJ140" s="10">
        <v>0</v>
      </c>
      <c r="BK140" s="10">
        <v>0</v>
      </c>
      <c r="BL140" s="10">
        <v>0</v>
      </c>
      <c r="BM140" s="10">
        <v>0</v>
      </c>
      <c r="BN140" s="10">
        <v>0</v>
      </c>
      <c r="BO140" s="10">
        <v>0</v>
      </c>
      <c r="BP140" s="10">
        <v>0</v>
      </c>
      <c r="BQ140" s="10">
        <v>0</v>
      </c>
      <c r="BR140" s="10">
        <v>0</v>
      </c>
      <c r="BS140" s="10">
        <v>0</v>
      </c>
      <c r="BT140" s="10">
        <v>0</v>
      </c>
      <c r="BU140" s="10">
        <v>0</v>
      </c>
      <c r="BV140" s="10">
        <v>0</v>
      </c>
      <c r="BW140" s="10">
        <v>0</v>
      </c>
      <c r="BX140" s="10">
        <v>0</v>
      </c>
      <c r="BY140" s="10">
        <v>0</v>
      </c>
      <c r="BZ140" s="10">
        <v>0</v>
      </c>
      <c r="CA140" s="10">
        <v>0</v>
      </c>
      <c r="CB140" s="10">
        <v>0</v>
      </c>
      <c r="CC140" s="10">
        <v>0</v>
      </c>
      <c r="CD140" s="10">
        <v>0</v>
      </c>
      <c r="CE140" s="10">
        <v>0</v>
      </c>
      <c r="CF140" s="10">
        <v>0</v>
      </c>
      <c r="CG140" s="10">
        <v>0</v>
      </c>
      <c r="CH140" s="10">
        <v>0</v>
      </c>
      <c r="CI140" s="10">
        <v>0</v>
      </c>
      <c r="CJ140" s="10">
        <v>0</v>
      </c>
      <c r="CK140" s="10">
        <v>0</v>
      </c>
      <c r="CL140" s="10">
        <v>0</v>
      </c>
      <c r="CM140" s="10">
        <v>0</v>
      </c>
      <c r="CN140" s="10">
        <v>0</v>
      </c>
      <c r="CO140" s="10">
        <v>0</v>
      </c>
      <c r="CP140" s="10">
        <v>0</v>
      </c>
      <c r="CQ140" s="10">
        <v>0.4641020495753832</v>
      </c>
      <c r="CR140" s="10">
        <v>0</v>
      </c>
      <c r="CS140" s="10">
        <v>0</v>
      </c>
      <c r="CT140" s="10">
        <v>0</v>
      </c>
      <c r="CU140" s="10">
        <v>0</v>
      </c>
      <c r="CV140" s="10">
        <v>0</v>
      </c>
      <c r="CW140" s="10">
        <v>0</v>
      </c>
      <c r="CX140" s="10">
        <v>0</v>
      </c>
      <c r="CY140" s="10">
        <v>0</v>
      </c>
      <c r="CZ140" s="10">
        <v>0</v>
      </c>
      <c r="DA140" s="10">
        <v>0</v>
      </c>
      <c r="DB140" s="10">
        <v>0</v>
      </c>
      <c r="DC140" s="10">
        <v>0</v>
      </c>
      <c r="DD140" s="10">
        <v>0</v>
      </c>
      <c r="DE140" s="10">
        <v>0</v>
      </c>
      <c r="DF140" s="10">
        <v>0</v>
      </c>
      <c r="DG140" s="10">
        <v>0</v>
      </c>
      <c r="DH140" s="10">
        <v>0</v>
      </c>
      <c r="DI140" s="10">
        <v>0</v>
      </c>
      <c r="DJ140" s="10">
        <v>0</v>
      </c>
      <c r="DK140" s="10">
        <v>0</v>
      </c>
      <c r="DL140" s="10">
        <v>0</v>
      </c>
      <c r="DM140" s="10">
        <v>0</v>
      </c>
      <c r="DN140" s="10">
        <v>0</v>
      </c>
      <c r="DO140" s="10">
        <v>0</v>
      </c>
      <c r="DP140" s="10">
        <v>0</v>
      </c>
      <c r="DQ140" s="10">
        <v>0</v>
      </c>
      <c r="DR140" s="10">
        <v>0</v>
      </c>
      <c r="DS140" s="10">
        <v>0</v>
      </c>
      <c r="DT140" s="10">
        <v>6.9596355191349588E-2</v>
      </c>
      <c r="DU140" s="10">
        <v>0</v>
      </c>
      <c r="DV140" s="10">
        <v>0</v>
      </c>
      <c r="DW140" s="10">
        <v>0</v>
      </c>
      <c r="DX140" s="10">
        <v>0</v>
      </c>
      <c r="DY140" s="10">
        <v>0</v>
      </c>
      <c r="DZ140" s="10">
        <v>0.13898855274907956</v>
      </c>
      <c r="EA140" s="10">
        <v>0</v>
      </c>
      <c r="EB140" s="10">
        <v>0</v>
      </c>
      <c r="EC140" s="10">
        <v>0</v>
      </c>
      <c r="ED140" s="10">
        <v>0</v>
      </c>
      <c r="EE140" s="10">
        <v>0</v>
      </c>
      <c r="EF140" s="10">
        <v>0</v>
      </c>
      <c r="EG140" s="10">
        <v>0</v>
      </c>
      <c r="EH140" s="10">
        <v>0</v>
      </c>
      <c r="EI140" s="10">
        <v>0</v>
      </c>
      <c r="EJ140" s="10">
        <v>0</v>
      </c>
      <c r="EK140" s="10">
        <v>0</v>
      </c>
      <c r="EL140" s="10">
        <v>0</v>
      </c>
      <c r="EM140" s="10">
        <v>0</v>
      </c>
      <c r="EN140" s="10">
        <v>0</v>
      </c>
      <c r="EO140" s="10">
        <v>0</v>
      </c>
      <c r="EP140" s="10">
        <v>0</v>
      </c>
      <c r="EQ140" s="10">
        <v>0</v>
      </c>
      <c r="ER140" s="10">
        <v>0</v>
      </c>
      <c r="ES140" s="10">
        <v>0</v>
      </c>
      <c r="ET140" s="10">
        <v>0</v>
      </c>
      <c r="EU140" s="10">
        <v>0</v>
      </c>
      <c r="EV140" s="10">
        <v>0</v>
      </c>
      <c r="EW140" s="10">
        <v>0</v>
      </c>
      <c r="EX140" s="10">
        <v>0</v>
      </c>
      <c r="EY140" s="10">
        <v>0</v>
      </c>
      <c r="EZ140" s="10">
        <v>0</v>
      </c>
      <c r="FA140" s="10">
        <v>0</v>
      </c>
      <c r="FB140" s="10">
        <v>0</v>
      </c>
      <c r="FC140" s="10">
        <v>0</v>
      </c>
      <c r="FD140" s="10">
        <v>0</v>
      </c>
      <c r="FE140" s="10">
        <v>0</v>
      </c>
      <c r="FF140" s="10">
        <v>0</v>
      </c>
      <c r="FG140" s="10">
        <v>0</v>
      </c>
      <c r="FH140" s="10">
        <v>0</v>
      </c>
      <c r="FI140" s="10">
        <v>0</v>
      </c>
      <c r="FJ140" s="10">
        <v>0</v>
      </c>
      <c r="FK140" s="10">
        <v>0</v>
      </c>
      <c r="FL140" s="10">
        <v>0</v>
      </c>
      <c r="FM140" s="10">
        <v>0</v>
      </c>
      <c r="FN140" s="10">
        <v>0</v>
      </c>
      <c r="FO140" s="10">
        <v>0</v>
      </c>
      <c r="FP140" s="10">
        <v>0</v>
      </c>
      <c r="FQ140" s="10">
        <v>0</v>
      </c>
      <c r="FR140" s="10">
        <v>0</v>
      </c>
      <c r="FS140" s="10">
        <v>0</v>
      </c>
      <c r="FT140" s="10">
        <v>0</v>
      </c>
      <c r="FU140" s="10">
        <v>0</v>
      </c>
      <c r="FV140" s="10">
        <v>0</v>
      </c>
      <c r="FW140" s="10">
        <v>0</v>
      </c>
      <c r="FX140" s="10">
        <v>0</v>
      </c>
      <c r="FY140" s="10">
        <v>0</v>
      </c>
      <c r="FZ140" s="10">
        <v>0</v>
      </c>
      <c r="GA140" s="10">
        <v>0</v>
      </c>
      <c r="GB140" s="10">
        <v>0.32731304248418747</v>
      </c>
      <c r="GC140" s="10">
        <v>0</v>
      </c>
      <c r="GD140" s="10">
        <v>0</v>
      </c>
      <c r="GE140" s="10">
        <v>0</v>
      </c>
      <c r="GF140" s="10">
        <v>0</v>
      </c>
      <c r="GG140" s="10">
        <v>0</v>
      </c>
      <c r="GH140" s="10">
        <v>0</v>
      </c>
      <c r="GI140" s="10">
        <v>0</v>
      </c>
      <c r="GJ140" s="10">
        <v>0</v>
      </c>
      <c r="GK140" s="10">
        <v>0</v>
      </c>
      <c r="GL140" s="10">
        <v>0</v>
      </c>
      <c r="GM140" s="10">
        <v>0</v>
      </c>
      <c r="GN140" s="10">
        <v>0</v>
      </c>
      <c r="GO140" s="10">
        <v>0</v>
      </c>
      <c r="GP140" s="10">
        <v>0</v>
      </c>
      <c r="GQ140" s="10">
        <v>0</v>
      </c>
      <c r="GR140" s="10">
        <v>0</v>
      </c>
      <c r="GS140" s="10">
        <v>0</v>
      </c>
      <c r="GT140" s="10">
        <v>0</v>
      </c>
      <c r="GU140" s="10">
        <v>0</v>
      </c>
      <c r="GV140" s="10">
        <v>0</v>
      </c>
      <c r="GW140" s="10">
        <v>0</v>
      </c>
      <c r="GX140" s="10">
        <v>0</v>
      </c>
      <c r="GY140" s="10">
        <v>0</v>
      </c>
      <c r="GZ140" s="10">
        <v>0</v>
      </c>
      <c r="HA140" s="10">
        <v>0</v>
      </c>
      <c r="HB140" s="10">
        <v>0</v>
      </c>
      <c r="HC140" s="10">
        <v>0</v>
      </c>
      <c r="HD140" s="10">
        <v>0</v>
      </c>
      <c r="HE140" s="10">
        <v>0</v>
      </c>
      <c r="HF140" s="10">
        <v>0</v>
      </c>
      <c r="HG140" s="10">
        <v>0</v>
      </c>
      <c r="HH140" s="10">
        <v>0</v>
      </c>
      <c r="HI140" s="10">
        <v>0</v>
      </c>
      <c r="HJ140" s="10">
        <v>0</v>
      </c>
      <c r="HK140" s="10">
        <v>0</v>
      </c>
      <c r="HL140" s="10">
        <v>0</v>
      </c>
      <c r="HM140" s="10">
        <v>0</v>
      </c>
      <c r="HN140" s="10">
        <v>0</v>
      </c>
      <c r="HO140" s="10">
        <v>0</v>
      </c>
      <c r="HP140" s="10">
        <v>0</v>
      </c>
      <c r="HQ140" s="10">
        <v>0</v>
      </c>
      <c r="HR140" s="10">
        <v>0</v>
      </c>
      <c r="HS140" s="10">
        <v>0</v>
      </c>
      <c r="HT140" s="10">
        <v>0</v>
      </c>
      <c r="HU140" s="10">
        <v>0</v>
      </c>
    </row>
    <row r="141" spans="1:229" x14ac:dyDescent="0.25">
      <c r="A141" s="10">
        <v>0</v>
      </c>
      <c r="B141" s="2" t="s">
        <v>270</v>
      </c>
      <c r="C141" s="2" t="s">
        <v>271</v>
      </c>
      <c r="D141" s="2">
        <v>0.7</v>
      </c>
      <c r="E141" s="2">
        <v>22.7</v>
      </c>
      <c r="F141" s="2">
        <v>11.7</v>
      </c>
      <c r="G141" s="2">
        <v>0.2</v>
      </c>
      <c r="H141" s="2">
        <v>6.7</v>
      </c>
      <c r="I141" s="2">
        <v>1298</v>
      </c>
      <c r="J141" s="2"/>
      <c r="K141" s="2"/>
      <c r="L141" s="3"/>
      <c r="M141" s="2" t="str">
        <f t="shared" si="9"/>
        <v>01190</v>
      </c>
      <c r="N141" s="3">
        <v>0.33281384235178835</v>
      </c>
      <c r="O141" s="3">
        <v>1.6671861576482119</v>
      </c>
      <c r="P141" s="17">
        <v>0.33281384235132605</v>
      </c>
      <c r="Q141" s="3">
        <v>1.6671861576482088</v>
      </c>
      <c r="R141" s="3">
        <v>0.57514337412553962</v>
      </c>
      <c r="S141" s="3">
        <v>1.5732120898373796</v>
      </c>
      <c r="T141" s="3">
        <v>0.33281384235178774</v>
      </c>
      <c r="U141" s="3">
        <v>0.33281384235178862</v>
      </c>
      <c r="V141" s="3" t="e">
        <v>#DIV/0!</v>
      </c>
      <c r="W141" s="3" t="e">
        <v>#DIV/0!</v>
      </c>
      <c r="X141" s="3">
        <v>0.23296968964592824</v>
      </c>
      <c r="Y141" s="3">
        <v>37.845125778614339</v>
      </c>
      <c r="Z141" s="3">
        <v>6.7291774772688129</v>
      </c>
      <c r="AA141" s="3">
        <v>0.31464241796747594</v>
      </c>
      <c r="AB141" s="3">
        <v>2.229852743756978</v>
      </c>
      <c r="AC141" s="3">
        <v>431.99236737262163</v>
      </c>
      <c r="AD141" s="3">
        <v>1.3609924940674063</v>
      </c>
      <c r="AE141" s="3">
        <v>0.20108029888132359</v>
      </c>
      <c r="AF141" s="3">
        <v>0</v>
      </c>
      <c r="AG141" s="3">
        <v>0</v>
      </c>
      <c r="AH141" s="3">
        <v>0</v>
      </c>
      <c r="AI141" s="3">
        <v>0</v>
      </c>
      <c r="AJ141" s="3">
        <v>0</v>
      </c>
      <c r="AK141" s="3">
        <v>0</v>
      </c>
      <c r="AL141" s="3">
        <v>0</v>
      </c>
      <c r="AM141" s="3">
        <v>0</v>
      </c>
      <c r="AN141" s="3">
        <v>0</v>
      </c>
      <c r="AO141" s="3">
        <v>0</v>
      </c>
      <c r="AP141" s="3">
        <v>0</v>
      </c>
      <c r="AQ141" s="3">
        <v>0</v>
      </c>
      <c r="AR141" s="3">
        <v>0</v>
      </c>
      <c r="AS141" s="3">
        <v>0</v>
      </c>
      <c r="AT141" s="3">
        <v>0</v>
      </c>
      <c r="AU141" s="3">
        <v>0</v>
      </c>
      <c r="AV141" s="3">
        <v>0</v>
      </c>
      <c r="AW141" s="3">
        <v>0</v>
      </c>
      <c r="AX141" s="3">
        <v>0</v>
      </c>
      <c r="AY141" s="3">
        <v>0</v>
      </c>
      <c r="AZ141" s="3">
        <v>0</v>
      </c>
      <c r="BA141" s="10">
        <v>0</v>
      </c>
      <c r="BB141" s="10">
        <v>0</v>
      </c>
      <c r="BC141" s="10">
        <v>0</v>
      </c>
      <c r="BD141" s="10">
        <v>0</v>
      </c>
      <c r="BE141" s="10">
        <v>0</v>
      </c>
      <c r="BF141" s="10">
        <v>0</v>
      </c>
      <c r="BG141" s="10">
        <v>0</v>
      </c>
      <c r="BH141" s="10">
        <v>0</v>
      </c>
      <c r="BI141" s="10">
        <v>0</v>
      </c>
      <c r="BJ141" s="10">
        <v>0</v>
      </c>
      <c r="BK141" s="10">
        <v>0</v>
      </c>
      <c r="BL141" s="10">
        <v>0</v>
      </c>
      <c r="BM141" s="10">
        <v>0</v>
      </c>
      <c r="BN141" s="10">
        <v>0</v>
      </c>
      <c r="BO141" s="10">
        <v>0</v>
      </c>
      <c r="BP141" s="10">
        <v>0</v>
      </c>
      <c r="BQ141" s="10">
        <v>0</v>
      </c>
      <c r="BR141" s="10">
        <v>0</v>
      </c>
      <c r="BS141" s="10">
        <v>0</v>
      </c>
      <c r="BT141" s="10">
        <v>0</v>
      </c>
      <c r="BU141" s="10">
        <v>0</v>
      </c>
      <c r="BV141" s="10">
        <v>0</v>
      </c>
      <c r="BW141" s="10">
        <v>0</v>
      </c>
      <c r="BX141" s="10">
        <v>0</v>
      </c>
      <c r="BY141" s="10">
        <v>0</v>
      </c>
      <c r="BZ141" s="10">
        <v>0</v>
      </c>
      <c r="CA141" s="10">
        <v>0</v>
      </c>
      <c r="CB141" s="10">
        <v>0</v>
      </c>
      <c r="CC141" s="10">
        <v>0</v>
      </c>
      <c r="CD141" s="10">
        <v>0</v>
      </c>
      <c r="CE141" s="10">
        <v>0</v>
      </c>
      <c r="CF141" s="10">
        <v>0</v>
      </c>
      <c r="CG141" s="10">
        <v>0</v>
      </c>
      <c r="CH141" s="10">
        <v>0</v>
      </c>
      <c r="CI141" s="10">
        <v>0</v>
      </c>
      <c r="CJ141" s="10">
        <v>0</v>
      </c>
      <c r="CK141" s="10">
        <v>0</v>
      </c>
      <c r="CL141" s="10">
        <v>0</v>
      </c>
      <c r="CM141" s="10">
        <v>0</v>
      </c>
      <c r="CN141" s="10">
        <v>0</v>
      </c>
      <c r="CO141" s="10">
        <v>0</v>
      </c>
      <c r="CP141" s="10">
        <v>0</v>
      </c>
      <c r="CQ141" s="10">
        <v>2.5699073582501494E-2</v>
      </c>
      <c r="CR141" s="10">
        <v>0</v>
      </c>
      <c r="CS141" s="10">
        <v>0</v>
      </c>
      <c r="CT141" s="10">
        <v>0</v>
      </c>
      <c r="CU141" s="10">
        <v>0</v>
      </c>
      <c r="CV141" s="10">
        <v>0</v>
      </c>
      <c r="CW141" s="10">
        <v>0</v>
      </c>
      <c r="CX141" s="10">
        <v>0</v>
      </c>
      <c r="CY141" s="10">
        <v>0</v>
      </c>
      <c r="CZ141" s="10">
        <v>0</v>
      </c>
      <c r="DA141" s="10">
        <v>0</v>
      </c>
      <c r="DB141" s="10">
        <v>0</v>
      </c>
      <c r="DC141" s="10">
        <v>0</v>
      </c>
      <c r="DD141" s="10">
        <v>0</v>
      </c>
      <c r="DE141" s="10">
        <v>0</v>
      </c>
      <c r="DF141" s="10">
        <v>0</v>
      </c>
      <c r="DG141" s="10">
        <v>0</v>
      </c>
      <c r="DH141" s="10">
        <v>0</v>
      </c>
      <c r="DI141" s="10">
        <v>0</v>
      </c>
      <c r="DJ141" s="10">
        <v>0</v>
      </c>
      <c r="DK141" s="10">
        <v>0</v>
      </c>
      <c r="DL141" s="10">
        <v>0</v>
      </c>
      <c r="DM141" s="10">
        <v>0</v>
      </c>
      <c r="DN141" s="10">
        <v>0</v>
      </c>
      <c r="DO141" s="10">
        <v>0</v>
      </c>
      <c r="DP141" s="10">
        <v>0</v>
      </c>
      <c r="DQ141" s="10">
        <v>0</v>
      </c>
      <c r="DR141" s="10">
        <v>0</v>
      </c>
      <c r="DS141" s="10">
        <v>0</v>
      </c>
      <c r="DT141" s="10">
        <v>0</v>
      </c>
      <c r="DU141" s="10">
        <v>0</v>
      </c>
      <c r="DV141" s="10">
        <v>0</v>
      </c>
      <c r="DW141" s="10">
        <v>0</v>
      </c>
      <c r="DX141" s="10">
        <v>0</v>
      </c>
      <c r="DY141" s="10">
        <v>0</v>
      </c>
      <c r="DZ141" s="10">
        <v>0.32297727674795013</v>
      </c>
      <c r="EA141" s="10">
        <v>0</v>
      </c>
      <c r="EB141" s="10">
        <v>0</v>
      </c>
      <c r="EC141" s="10">
        <v>0</v>
      </c>
      <c r="ED141" s="10">
        <v>0</v>
      </c>
      <c r="EE141" s="10">
        <v>0</v>
      </c>
      <c r="EF141" s="10">
        <v>0</v>
      </c>
      <c r="EG141" s="10">
        <v>0</v>
      </c>
      <c r="EH141" s="10">
        <v>0</v>
      </c>
      <c r="EI141" s="10">
        <v>0</v>
      </c>
      <c r="EJ141" s="10">
        <v>0</v>
      </c>
      <c r="EK141" s="10">
        <v>0</v>
      </c>
      <c r="EL141" s="10">
        <v>0</v>
      </c>
      <c r="EM141" s="10">
        <v>0</v>
      </c>
      <c r="EN141" s="10">
        <v>0</v>
      </c>
      <c r="EO141" s="10">
        <v>0</v>
      </c>
      <c r="EP141" s="10">
        <v>0</v>
      </c>
      <c r="EQ141" s="10">
        <v>0</v>
      </c>
      <c r="ER141" s="10">
        <v>0</v>
      </c>
      <c r="ES141" s="10">
        <v>0</v>
      </c>
      <c r="ET141" s="10">
        <v>0</v>
      </c>
      <c r="EU141" s="10">
        <v>0</v>
      </c>
      <c r="EV141" s="10">
        <v>0</v>
      </c>
      <c r="EW141" s="10">
        <v>0</v>
      </c>
      <c r="EX141" s="10">
        <v>0</v>
      </c>
      <c r="EY141" s="10">
        <v>0</v>
      </c>
      <c r="EZ141" s="10">
        <v>0</v>
      </c>
      <c r="FA141" s="10">
        <v>0</v>
      </c>
      <c r="FB141" s="10">
        <v>0</v>
      </c>
      <c r="FC141" s="10">
        <v>0</v>
      </c>
      <c r="FD141" s="10">
        <v>0</v>
      </c>
      <c r="FE141" s="10">
        <v>0</v>
      </c>
      <c r="FF141" s="10">
        <v>0</v>
      </c>
      <c r="FG141" s="10">
        <v>0</v>
      </c>
      <c r="FH141" s="10">
        <v>0</v>
      </c>
      <c r="FI141" s="10">
        <v>0</v>
      </c>
      <c r="FJ141" s="10">
        <v>0</v>
      </c>
      <c r="FK141" s="10">
        <v>0</v>
      </c>
      <c r="FL141" s="10">
        <v>0</v>
      </c>
      <c r="FM141" s="10">
        <v>0</v>
      </c>
      <c r="FN141" s="10">
        <v>0</v>
      </c>
      <c r="FO141" s="10">
        <v>0</v>
      </c>
      <c r="FP141" s="10">
        <v>0</v>
      </c>
      <c r="FQ141" s="10">
        <v>0</v>
      </c>
      <c r="FR141" s="10">
        <v>0</v>
      </c>
      <c r="FS141" s="10">
        <v>0</v>
      </c>
      <c r="FT141" s="10">
        <v>0</v>
      </c>
      <c r="FU141" s="10">
        <v>0</v>
      </c>
      <c r="FV141" s="10">
        <v>0</v>
      </c>
      <c r="FW141" s="10">
        <v>0</v>
      </c>
      <c r="FX141" s="10">
        <v>0</v>
      </c>
      <c r="FY141" s="10">
        <v>0</v>
      </c>
      <c r="FZ141" s="10">
        <v>0</v>
      </c>
      <c r="GA141" s="10">
        <v>0</v>
      </c>
      <c r="GB141" s="10">
        <v>0.15732120898373797</v>
      </c>
      <c r="GC141" s="10">
        <v>0</v>
      </c>
      <c r="GD141" s="10">
        <v>0</v>
      </c>
      <c r="GE141" s="10">
        <v>0</v>
      </c>
      <c r="GF141" s="10">
        <v>0</v>
      </c>
      <c r="GG141" s="10">
        <v>0</v>
      </c>
      <c r="GH141" s="10">
        <v>0</v>
      </c>
      <c r="GI141" s="10">
        <v>0</v>
      </c>
      <c r="GJ141" s="10">
        <v>0</v>
      </c>
      <c r="GK141" s="10">
        <v>0</v>
      </c>
      <c r="GL141" s="10">
        <v>0</v>
      </c>
      <c r="GM141" s="10">
        <v>0</v>
      </c>
      <c r="GN141" s="10">
        <v>0</v>
      </c>
      <c r="GO141" s="10">
        <v>0</v>
      </c>
      <c r="GP141" s="10">
        <v>0</v>
      </c>
      <c r="GQ141" s="10">
        <v>0</v>
      </c>
      <c r="GR141" s="10">
        <v>0</v>
      </c>
      <c r="GS141" s="10">
        <v>0</v>
      </c>
      <c r="GT141" s="10">
        <v>0</v>
      </c>
      <c r="GU141" s="10">
        <v>0</v>
      </c>
      <c r="GV141" s="10">
        <v>0.49400244068581051</v>
      </c>
      <c r="GW141" s="10">
        <v>0</v>
      </c>
      <c r="GX141" s="10">
        <v>0</v>
      </c>
      <c r="GY141" s="10">
        <v>0</v>
      </c>
      <c r="GZ141" s="10">
        <v>0</v>
      </c>
      <c r="HA141" s="10">
        <v>0</v>
      </c>
      <c r="HB141" s="10">
        <v>0</v>
      </c>
      <c r="HC141" s="10">
        <v>0</v>
      </c>
      <c r="HD141" s="10">
        <v>0</v>
      </c>
      <c r="HE141" s="10">
        <v>0</v>
      </c>
      <c r="HF141" s="10">
        <v>0</v>
      </c>
      <c r="HG141" s="10">
        <v>0</v>
      </c>
      <c r="HH141" s="10">
        <v>0</v>
      </c>
      <c r="HI141" s="10">
        <v>0</v>
      </c>
      <c r="HJ141" s="10">
        <v>0</v>
      </c>
      <c r="HK141" s="10">
        <v>0</v>
      </c>
      <c r="HL141" s="10">
        <v>0</v>
      </c>
      <c r="HM141" s="10">
        <v>0</v>
      </c>
      <c r="HN141" s="10">
        <v>0</v>
      </c>
      <c r="HO141" s="10">
        <v>0</v>
      </c>
      <c r="HP141" s="10">
        <v>0</v>
      </c>
      <c r="HQ141" s="10">
        <v>0</v>
      </c>
      <c r="HR141" s="10">
        <v>0</v>
      </c>
      <c r="HS141" s="10">
        <v>0</v>
      </c>
      <c r="HT141" s="10">
        <v>0</v>
      </c>
      <c r="HU141" s="10">
        <v>0</v>
      </c>
    </row>
    <row r="142" spans="1:229" x14ac:dyDescent="0.25">
      <c r="A142" s="10">
        <v>0</v>
      </c>
      <c r="B142" s="2" t="s">
        <v>272</v>
      </c>
      <c r="C142" s="2" t="s">
        <v>273</v>
      </c>
      <c r="D142" s="2">
        <v>14.4</v>
      </c>
      <c r="E142" s="2">
        <v>16.3</v>
      </c>
      <c r="F142" s="2">
        <v>9.8000000000000007</v>
      </c>
      <c r="G142" s="2">
        <v>0</v>
      </c>
      <c r="H142" s="2">
        <v>8.1</v>
      </c>
      <c r="I142" s="2">
        <v>1499</v>
      </c>
      <c r="J142" s="2"/>
      <c r="K142" s="2"/>
      <c r="L142" s="3"/>
      <c r="M142" s="2" t="str">
        <f t="shared" si="9"/>
        <v>01191</v>
      </c>
      <c r="N142" s="3">
        <v>0.16534398411235018</v>
      </c>
      <c r="O142" s="3">
        <v>1.8346560158876499</v>
      </c>
      <c r="P142" s="17">
        <v>0.16534398411230936</v>
      </c>
      <c r="Q142" s="3">
        <v>1.834656015887649</v>
      </c>
      <c r="R142" s="3">
        <v>0.98650067138982589</v>
      </c>
      <c r="S142" s="3" t="e">
        <v>#DIV/0!</v>
      </c>
      <c r="T142" s="3">
        <v>0.16534398411235135</v>
      </c>
      <c r="U142" s="3">
        <v>0.16534398411235024</v>
      </c>
      <c r="V142" s="3" t="e">
        <v>#DIV/0!</v>
      </c>
      <c r="W142" s="3" t="e">
        <v>#DIV/0!</v>
      </c>
      <c r="X142" s="3">
        <v>2.3809533712172546</v>
      </c>
      <c r="Y142" s="3">
        <v>29.904893058968682</v>
      </c>
      <c r="Z142" s="3">
        <v>9.6677065796202939</v>
      </c>
      <c r="AA142" s="3">
        <v>0.65131922055178948</v>
      </c>
      <c r="AB142" s="3">
        <v>1.339286271310046</v>
      </c>
      <c r="AC142" s="3">
        <v>247.85063218441303</v>
      </c>
      <c r="AD142" s="3">
        <v>5.0615989811241917</v>
      </c>
      <c r="AE142" s="3">
        <v>1.5120950828491804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0</v>
      </c>
      <c r="AV142" s="3">
        <v>0</v>
      </c>
      <c r="AW142" s="3">
        <v>0</v>
      </c>
      <c r="AX142" s="3">
        <v>0</v>
      </c>
      <c r="AY142" s="3">
        <v>0</v>
      </c>
      <c r="AZ142" s="3">
        <v>0</v>
      </c>
      <c r="BA142" s="10">
        <v>0</v>
      </c>
      <c r="BB142" s="10">
        <v>0</v>
      </c>
      <c r="BC142" s="10">
        <v>0</v>
      </c>
      <c r="BD142" s="10">
        <v>0</v>
      </c>
      <c r="BE142" s="10">
        <v>0</v>
      </c>
      <c r="BF142" s="10">
        <v>0</v>
      </c>
      <c r="BG142" s="10">
        <v>0</v>
      </c>
      <c r="BH142" s="10">
        <v>0</v>
      </c>
      <c r="BI142" s="10">
        <v>0</v>
      </c>
      <c r="BJ142" s="10">
        <v>0</v>
      </c>
      <c r="BK142" s="10">
        <v>0</v>
      </c>
      <c r="BL142" s="10">
        <v>0</v>
      </c>
      <c r="BM142" s="10">
        <v>0</v>
      </c>
      <c r="BN142" s="10">
        <v>0</v>
      </c>
      <c r="BO142" s="10">
        <v>0</v>
      </c>
      <c r="BP142" s="10">
        <v>0</v>
      </c>
      <c r="BQ142" s="10">
        <v>0</v>
      </c>
      <c r="BR142" s="10">
        <v>0</v>
      </c>
      <c r="BS142" s="10">
        <v>0</v>
      </c>
      <c r="BT142" s="10">
        <v>0</v>
      </c>
      <c r="BU142" s="10">
        <v>0</v>
      </c>
      <c r="BV142" s="10">
        <v>0</v>
      </c>
      <c r="BW142" s="10">
        <v>0</v>
      </c>
      <c r="BX142" s="10">
        <v>0</v>
      </c>
      <c r="BY142" s="10">
        <v>0</v>
      </c>
      <c r="BZ142" s="10">
        <v>0</v>
      </c>
      <c r="CA142" s="10">
        <v>0</v>
      </c>
      <c r="CB142" s="10">
        <v>0</v>
      </c>
      <c r="CC142" s="10">
        <v>0</v>
      </c>
      <c r="CD142" s="10">
        <v>0</v>
      </c>
      <c r="CE142" s="10">
        <v>0</v>
      </c>
      <c r="CF142" s="10">
        <v>0</v>
      </c>
      <c r="CG142" s="10">
        <v>0</v>
      </c>
      <c r="CH142" s="10">
        <v>0</v>
      </c>
      <c r="CI142" s="10">
        <v>0</v>
      </c>
      <c r="CJ142" s="10">
        <v>0</v>
      </c>
      <c r="CK142" s="10">
        <v>0</v>
      </c>
      <c r="CL142" s="10">
        <v>0</v>
      </c>
      <c r="CM142" s="10">
        <v>0</v>
      </c>
      <c r="CN142" s="10">
        <v>0</v>
      </c>
      <c r="CO142" s="10">
        <v>0</v>
      </c>
      <c r="CP142" s="10">
        <v>0</v>
      </c>
      <c r="CQ142" s="10">
        <v>0.3315109084438107</v>
      </c>
      <c r="CR142" s="10">
        <v>0</v>
      </c>
      <c r="CS142" s="10">
        <v>0</v>
      </c>
      <c r="CT142" s="10">
        <v>0</v>
      </c>
      <c r="CU142" s="10">
        <v>0</v>
      </c>
      <c r="CV142" s="10">
        <v>0</v>
      </c>
      <c r="CW142" s="10">
        <v>0</v>
      </c>
      <c r="CX142" s="10">
        <v>0</v>
      </c>
      <c r="CY142" s="10">
        <v>0</v>
      </c>
      <c r="CZ142" s="10">
        <v>0</v>
      </c>
      <c r="DA142" s="10">
        <v>0</v>
      </c>
      <c r="DB142" s="10">
        <v>0</v>
      </c>
      <c r="DC142" s="10">
        <v>0</v>
      </c>
      <c r="DD142" s="10">
        <v>0</v>
      </c>
      <c r="DE142" s="10">
        <v>0</v>
      </c>
      <c r="DF142" s="10">
        <v>0</v>
      </c>
      <c r="DG142" s="10">
        <v>0</v>
      </c>
      <c r="DH142" s="10">
        <v>0</v>
      </c>
      <c r="DI142" s="10">
        <v>0</v>
      </c>
      <c r="DJ142" s="10">
        <v>0</v>
      </c>
      <c r="DK142" s="10">
        <v>0</v>
      </c>
      <c r="DL142" s="10">
        <v>0</v>
      </c>
      <c r="DM142" s="10">
        <v>0</v>
      </c>
      <c r="DN142" s="10">
        <v>0</v>
      </c>
      <c r="DO142" s="10">
        <v>0</v>
      </c>
      <c r="DP142" s="10">
        <v>0</v>
      </c>
      <c r="DQ142" s="10">
        <v>0</v>
      </c>
      <c r="DR142" s="10">
        <v>0</v>
      </c>
      <c r="DS142" s="10">
        <v>0</v>
      </c>
      <c r="DT142" s="10">
        <v>0.22904893879041902</v>
      </c>
      <c r="DU142" s="10">
        <v>0</v>
      </c>
      <c r="DV142" s="10">
        <v>0</v>
      </c>
      <c r="DW142" s="10">
        <v>0</v>
      </c>
      <c r="DX142" s="10">
        <v>0</v>
      </c>
      <c r="DY142" s="10">
        <v>0</v>
      </c>
      <c r="DZ142" s="10">
        <v>0.11378054248987583</v>
      </c>
      <c r="EA142" s="10">
        <v>0</v>
      </c>
      <c r="EB142" s="10">
        <v>0</v>
      </c>
      <c r="EC142" s="10">
        <v>0</v>
      </c>
      <c r="ED142" s="10">
        <v>0</v>
      </c>
      <c r="EE142" s="10">
        <v>0</v>
      </c>
      <c r="EF142" s="10">
        <v>0</v>
      </c>
      <c r="EG142" s="10">
        <v>0</v>
      </c>
      <c r="EH142" s="10">
        <v>0</v>
      </c>
      <c r="EI142" s="10">
        <v>0</v>
      </c>
      <c r="EJ142" s="10">
        <v>0</v>
      </c>
      <c r="EK142" s="10">
        <v>0</v>
      </c>
      <c r="EL142" s="10">
        <v>0</v>
      </c>
      <c r="EM142" s="10">
        <v>0</v>
      </c>
      <c r="EN142" s="10">
        <v>0</v>
      </c>
      <c r="EO142" s="10">
        <v>0</v>
      </c>
      <c r="EP142" s="10">
        <v>0</v>
      </c>
      <c r="EQ142" s="10">
        <v>0</v>
      </c>
      <c r="ER142" s="10">
        <v>0</v>
      </c>
      <c r="ES142" s="10">
        <v>0</v>
      </c>
      <c r="ET142" s="10">
        <v>0</v>
      </c>
      <c r="EU142" s="10">
        <v>0</v>
      </c>
      <c r="EV142" s="10">
        <v>0</v>
      </c>
      <c r="EW142" s="10">
        <v>0</v>
      </c>
      <c r="EX142" s="10">
        <v>0</v>
      </c>
      <c r="EY142" s="10">
        <v>0</v>
      </c>
      <c r="EZ142" s="10">
        <v>0</v>
      </c>
      <c r="FA142" s="10">
        <v>0</v>
      </c>
      <c r="FB142" s="10">
        <v>0</v>
      </c>
      <c r="FC142" s="10">
        <v>0</v>
      </c>
      <c r="FD142" s="10">
        <v>0</v>
      </c>
      <c r="FE142" s="10">
        <v>0</v>
      </c>
      <c r="FF142" s="10">
        <v>0</v>
      </c>
      <c r="FG142" s="10">
        <v>0</v>
      </c>
      <c r="FH142" s="10">
        <v>0</v>
      </c>
      <c r="FI142" s="10">
        <v>0</v>
      </c>
      <c r="FJ142" s="10">
        <v>0</v>
      </c>
      <c r="FK142" s="10">
        <v>0</v>
      </c>
      <c r="FL142" s="10">
        <v>0</v>
      </c>
      <c r="FM142" s="10">
        <v>0</v>
      </c>
      <c r="FN142" s="10">
        <v>0</v>
      </c>
      <c r="FO142" s="10">
        <v>0</v>
      </c>
      <c r="FP142" s="10">
        <v>0</v>
      </c>
      <c r="FQ142" s="10">
        <v>0</v>
      </c>
      <c r="FR142" s="10">
        <v>0</v>
      </c>
      <c r="FS142" s="10">
        <v>0</v>
      </c>
      <c r="FT142" s="10">
        <v>0</v>
      </c>
      <c r="FU142" s="10">
        <v>0</v>
      </c>
      <c r="FV142" s="10">
        <v>0</v>
      </c>
      <c r="FW142" s="10">
        <v>0</v>
      </c>
      <c r="FX142" s="10">
        <v>0</v>
      </c>
      <c r="FY142" s="10">
        <v>0</v>
      </c>
      <c r="FZ142" s="10">
        <v>0</v>
      </c>
      <c r="GA142" s="10">
        <v>0</v>
      </c>
      <c r="GB142" s="10">
        <v>0.32565961027589474</v>
      </c>
      <c r="GC142" s="10">
        <v>0</v>
      </c>
      <c r="GD142" s="10">
        <v>0</v>
      </c>
      <c r="GE142" s="10">
        <v>0</v>
      </c>
      <c r="GF142" s="10">
        <v>0</v>
      </c>
      <c r="GG142" s="10">
        <v>0</v>
      </c>
      <c r="GH142" s="10">
        <v>0</v>
      </c>
      <c r="GI142" s="10">
        <v>0</v>
      </c>
      <c r="GJ142" s="10">
        <v>0</v>
      </c>
      <c r="GK142" s="10">
        <v>0</v>
      </c>
      <c r="GL142" s="10">
        <v>0</v>
      </c>
      <c r="GM142" s="10">
        <v>0</v>
      </c>
      <c r="GN142" s="10">
        <v>0</v>
      </c>
      <c r="GO142" s="10">
        <v>0</v>
      </c>
      <c r="GP142" s="10">
        <v>0</v>
      </c>
      <c r="GQ142" s="10">
        <v>0</v>
      </c>
      <c r="GR142" s="10">
        <v>0</v>
      </c>
      <c r="GS142" s="10">
        <v>0</v>
      </c>
      <c r="GT142" s="10">
        <v>0</v>
      </c>
      <c r="GU142" s="10">
        <v>0</v>
      </c>
      <c r="GV142" s="10">
        <v>0</v>
      </c>
      <c r="GW142" s="10">
        <v>0</v>
      </c>
      <c r="GX142" s="10">
        <v>0</v>
      </c>
      <c r="GY142" s="10">
        <v>0</v>
      </c>
      <c r="GZ142" s="10">
        <v>0</v>
      </c>
      <c r="HA142" s="10">
        <v>0</v>
      </c>
      <c r="HB142" s="10">
        <v>0</v>
      </c>
      <c r="HC142" s="10">
        <v>0</v>
      </c>
      <c r="HD142" s="10">
        <v>0</v>
      </c>
      <c r="HE142" s="10">
        <v>0</v>
      </c>
      <c r="HF142" s="10">
        <v>0</v>
      </c>
      <c r="HG142" s="10">
        <v>0</v>
      </c>
      <c r="HH142" s="10">
        <v>0</v>
      </c>
      <c r="HI142" s="10">
        <v>0</v>
      </c>
      <c r="HJ142" s="10">
        <v>0</v>
      </c>
      <c r="HK142" s="10">
        <v>0</v>
      </c>
      <c r="HL142" s="10">
        <v>0</v>
      </c>
      <c r="HM142" s="10">
        <v>0</v>
      </c>
      <c r="HN142" s="10">
        <v>0</v>
      </c>
      <c r="HO142" s="10">
        <v>0</v>
      </c>
      <c r="HP142" s="10">
        <v>0</v>
      </c>
      <c r="HQ142" s="10">
        <v>0</v>
      </c>
      <c r="HR142" s="10">
        <v>0</v>
      </c>
      <c r="HS142" s="10">
        <v>0</v>
      </c>
      <c r="HT142" s="10">
        <v>0</v>
      </c>
      <c r="HU142" s="10">
        <v>0</v>
      </c>
    </row>
    <row r="143" spans="1:229" x14ac:dyDescent="0.25">
      <c r="A143" s="10">
        <v>0</v>
      </c>
      <c r="B143" s="2" t="s">
        <v>274</v>
      </c>
      <c r="C143" s="2" t="s">
        <v>275</v>
      </c>
      <c r="D143" s="2">
        <v>0.8</v>
      </c>
      <c r="E143" s="2">
        <v>4.7</v>
      </c>
      <c r="F143" s="2">
        <v>15.1</v>
      </c>
      <c r="G143" s="2">
        <v>0</v>
      </c>
      <c r="H143" s="2">
        <v>7.2</v>
      </c>
      <c r="I143" s="2">
        <v>72</v>
      </c>
      <c r="J143" s="2"/>
      <c r="K143" s="2"/>
      <c r="L143" s="3"/>
      <c r="M143" s="2" t="str">
        <f t="shared" si="9"/>
        <v>01194</v>
      </c>
      <c r="N143" s="3">
        <v>0.45496691418220969</v>
      </c>
      <c r="O143" s="3">
        <v>1.5450330858177901</v>
      </c>
      <c r="P143" s="17">
        <v>0.45496691418193708</v>
      </c>
      <c r="Q143" s="3">
        <v>1.9513025281724481</v>
      </c>
      <c r="R143" s="3">
        <v>0.24776472561707319</v>
      </c>
      <c r="S143" s="3" t="e">
        <v>#DIV/0!</v>
      </c>
      <c r="T143" s="3">
        <v>0.4549669141822088</v>
      </c>
      <c r="U143" s="3">
        <v>0.45496691418220997</v>
      </c>
      <c r="V143" s="3" t="e">
        <v>#DIV/0!</v>
      </c>
      <c r="W143" s="3" t="e">
        <v>#DIV/0!</v>
      </c>
      <c r="X143" s="3">
        <v>0.36397353134554966</v>
      </c>
      <c r="Y143" s="3">
        <v>9.1711218824105067</v>
      </c>
      <c r="Z143" s="3">
        <v>3.7412473568178051</v>
      </c>
      <c r="AA143" s="3">
        <v>0</v>
      </c>
      <c r="AB143" s="3">
        <v>3.2757617821119034</v>
      </c>
      <c r="AC143" s="3">
        <v>32.757617821119119</v>
      </c>
      <c r="AD143" s="3">
        <v>0.16772304977494587</v>
      </c>
      <c r="AE143" s="3">
        <v>2.5945728481417619E-2</v>
      </c>
      <c r="AF143" s="3">
        <v>0</v>
      </c>
      <c r="AG143" s="3">
        <v>0</v>
      </c>
      <c r="AH143" s="3">
        <v>0</v>
      </c>
      <c r="AI143" s="3">
        <v>0</v>
      </c>
      <c r="AJ143" s="3">
        <v>0</v>
      </c>
      <c r="AK143" s="3">
        <v>0</v>
      </c>
      <c r="AL143" s="3">
        <v>0</v>
      </c>
      <c r="AM143" s="3">
        <v>0</v>
      </c>
      <c r="AN143" s="3">
        <v>0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0</v>
      </c>
      <c r="AV143" s="3">
        <v>0</v>
      </c>
      <c r="AW143" s="3">
        <v>0</v>
      </c>
      <c r="AX143" s="3">
        <v>0</v>
      </c>
      <c r="AY143" s="3">
        <v>0</v>
      </c>
      <c r="AZ143" s="3">
        <v>0</v>
      </c>
      <c r="BA143" s="10">
        <v>0</v>
      </c>
      <c r="BB143" s="10">
        <v>0</v>
      </c>
      <c r="BC143" s="10">
        <v>0</v>
      </c>
      <c r="BD143" s="10">
        <v>0</v>
      </c>
      <c r="BE143" s="10">
        <v>0</v>
      </c>
      <c r="BF143" s="10">
        <v>0</v>
      </c>
      <c r="BG143" s="10">
        <v>0</v>
      </c>
      <c r="BH143" s="10">
        <v>0</v>
      </c>
      <c r="BI143" s="10">
        <v>0</v>
      </c>
      <c r="BJ143" s="10">
        <v>0</v>
      </c>
      <c r="BK143" s="10">
        <v>0</v>
      </c>
      <c r="BL143" s="10">
        <v>0</v>
      </c>
      <c r="BM143" s="10">
        <v>0</v>
      </c>
      <c r="BN143" s="10">
        <v>0</v>
      </c>
      <c r="BO143" s="10">
        <v>0</v>
      </c>
      <c r="BP143" s="10">
        <v>0</v>
      </c>
      <c r="BQ143" s="10">
        <v>0</v>
      </c>
      <c r="BR143" s="10">
        <v>0</v>
      </c>
      <c r="BS143" s="10">
        <v>0</v>
      </c>
      <c r="BT143" s="10">
        <v>0</v>
      </c>
      <c r="BU143" s="10">
        <v>0</v>
      </c>
      <c r="BV143" s="10">
        <v>0</v>
      </c>
      <c r="BW143" s="10">
        <v>0</v>
      </c>
      <c r="BX143" s="10">
        <v>0</v>
      </c>
      <c r="BY143" s="10">
        <v>0</v>
      </c>
      <c r="BZ143" s="10">
        <v>0</v>
      </c>
      <c r="CA143" s="10">
        <v>0</v>
      </c>
      <c r="CB143" s="10">
        <v>0</v>
      </c>
      <c r="CC143" s="10">
        <v>0</v>
      </c>
      <c r="CD143" s="10">
        <v>0</v>
      </c>
      <c r="CE143" s="10">
        <v>0</v>
      </c>
      <c r="CF143" s="10">
        <v>0</v>
      </c>
      <c r="CG143" s="10">
        <v>0</v>
      </c>
      <c r="CH143" s="10">
        <v>0</v>
      </c>
      <c r="CI143" s="10">
        <v>0</v>
      </c>
      <c r="CJ143" s="10">
        <v>0</v>
      </c>
      <c r="CK143" s="10">
        <v>0</v>
      </c>
      <c r="CL143" s="10">
        <v>0</v>
      </c>
      <c r="CM143" s="10">
        <v>0</v>
      </c>
      <c r="CN143" s="10">
        <v>3.1757064628625341E-2</v>
      </c>
      <c r="CO143" s="10">
        <v>0</v>
      </c>
      <c r="CP143" s="10">
        <v>0</v>
      </c>
      <c r="CQ143" s="10">
        <v>0</v>
      </c>
      <c r="CR143" s="10">
        <v>0</v>
      </c>
      <c r="CS143" s="10">
        <v>0.11365137008905701</v>
      </c>
      <c r="CT143" s="10">
        <v>0</v>
      </c>
      <c r="CU143" s="10">
        <v>0</v>
      </c>
      <c r="CV143" s="10">
        <v>0</v>
      </c>
      <c r="CW143" s="10">
        <v>0</v>
      </c>
      <c r="CX143" s="10">
        <v>0</v>
      </c>
      <c r="CY143" s="10">
        <v>0</v>
      </c>
      <c r="CZ143" s="10">
        <v>0</v>
      </c>
      <c r="DA143" s="10">
        <v>0</v>
      </c>
      <c r="DB143" s="10">
        <v>0</v>
      </c>
      <c r="DC143" s="10">
        <v>0</v>
      </c>
      <c r="DD143" s="10">
        <v>0</v>
      </c>
      <c r="DE143" s="10">
        <v>0</v>
      </c>
      <c r="DF143" s="10">
        <v>0</v>
      </c>
      <c r="DG143" s="10">
        <v>0</v>
      </c>
      <c r="DH143" s="10">
        <v>0</v>
      </c>
      <c r="DI143" s="10">
        <v>0</v>
      </c>
      <c r="DJ143" s="10">
        <v>0</v>
      </c>
      <c r="DK143" s="10">
        <v>0</v>
      </c>
      <c r="DL143" s="10">
        <v>0</v>
      </c>
      <c r="DM143" s="10">
        <v>0</v>
      </c>
      <c r="DN143" s="10">
        <v>0</v>
      </c>
      <c r="DO143" s="10">
        <v>0</v>
      </c>
      <c r="DP143" s="10">
        <v>0</v>
      </c>
      <c r="DQ143" s="10">
        <v>0</v>
      </c>
      <c r="DR143" s="10">
        <v>0</v>
      </c>
      <c r="DS143" s="10">
        <v>0</v>
      </c>
      <c r="DT143" s="10">
        <v>0</v>
      </c>
      <c r="DU143" s="10">
        <v>0</v>
      </c>
      <c r="DV143" s="10">
        <v>0</v>
      </c>
      <c r="DW143" s="10">
        <v>0</v>
      </c>
      <c r="DX143" s="10">
        <v>0</v>
      </c>
      <c r="DY143" s="10">
        <v>0</v>
      </c>
      <c r="DZ143" s="10">
        <v>0</v>
      </c>
      <c r="EA143" s="10">
        <v>0</v>
      </c>
      <c r="EB143" s="10">
        <v>0</v>
      </c>
      <c r="EC143" s="10">
        <v>0</v>
      </c>
      <c r="ED143" s="10">
        <v>0</v>
      </c>
      <c r="EE143" s="10">
        <v>0</v>
      </c>
      <c r="EF143" s="10">
        <v>0</v>
      </c>
      <c r="EG143" s="10">
        <v>0</v>
      </c>
      <c r="EH143" s="10">
        <v>0</v>
      </c>
      <c r="EI143" s="10">
        <v>0</v>
      </c>
      <c r="EJ143" s="10">
        <v>0</v>
      </c>
      <c r="EK143" s="10">
        <v>0</v>
      </c>
      <c r="EL143" s="10">
        <v>0</v>
      </c>
      <c r="EM143" s="10">
        <v>0</v>
      </c>
      <c r="EN143" s="10">
        <v>0</v>
      </c>
      <c r="EO143" s="10">
        <v>0</v>
      </c>
      <c r="EP143" s="10">
        <v>0</v>
      </c>
      <c r="EQ143" s="10">
        <v>0</v>
      </c>
      <c r="ER143" s="10">
        <v>0</v>
      </c>
      <c r="ES143" s="10">
        <v>0</v>
      </c>
      <c r="ET143" s="10">
        <v>0</v>
      </c>
      <c r="EU143" s="10">
        <v>0</v>
      </c>
      <c r="EV143" s="10">
        <v>0</v>
      </c>
      <c r="EW143" s="10">
        <v>0</v>
      </c>
      <c r="EX143" s="10">
        <v>0</v>
      </c>
      <c r="EY143" s="10">
        <v>0</v>
      </c>
      <c r="EZ143" s="10">
        <v>0</v>
      </c>
      <c r="FA143" s="10">
        <v>0</v>
      </c>
      <c r="FB143" s="10">
        <v>0</v>
      </c>
      <c r="FC143" s="10">
        <v>0</v>
      </c>
      <c r="FD143" s="10">
        <v>0</v>
      </c>
      <c r="FE143" s="10">
        <v>0</v>
      </c>
      <c r="FF143" s="10">
        <v>0</v>
      </c>
      <c r="FG143" s="10">
        <v>0</v>
      </c>
      <c r="FH143" s="10">
        <v>0</v>
      </c>
      <c r="FI143" s="10">
        <v>0</v>
      </c>
      <c r="FJ143" s="10">
        <v>0</v>
      </c>
      <c r="FK143" s="10">
        <v>0</v>
      </c>
      <c r="FL143" s="10">
        <v>0</v>
      </c>
      <c r="FM143" s="10">
        <v>0</v>
      </c>
      <c r="FN143" s="10">
        <v>0</v>
      </c>
      <c r="FO143" s="10">
        <v>0</v>
      </c>
      <c r="FP143" s="10">
        <v>0</v>
      </c>
      <c r="FQ143" s="10">
        <v>0</v>
      </c>
      <c r="FR143" s="10">
        <v>0</v>
      </c>
      <c r="FS143" s="10">
        <v>0</v>
      </c>
      <c r="FT143" s="10">
        <v>0</v>
      </c>
      <c r="FU143" s="10">
        <v>0</v>
      </c>
      <c r="FV143" s="10">
        <v>0</v>
      </c>
      <c r="FW143" s="10">
        <v>0</v>
      </c>
      <c r="FX143" s="10">
        <v>0</v>
      </c>
      <c r="FY143" s="10">
        <v>0</v>
      </c>
      <c r="FZ143" s="10">
        <v>0</v>
      </c>
      <c r="GA143" s="10">
        <v>0</v>
      </c>
      <c r="GB143" s="10">
        <v>0</v>
      </c>
      <c r="GC143" s="10">
        <v>0</v>
      </c>
      <c r="GD143" s="10">
        <v>0</v>
      </c>
      <c r="GE143" s="10">
        <v>0</v>
      </c>
      <c r="GF143" s="10">
        <v>0</v>
      </c>
      <c r="GG143" s="10">
        <v>0</v>
      </c>
      <c r="GH143" s="10">
        <v>0</v>
      </c>
      <c r="GI143" s="10">
        <v>0</v>
      </c>
      <c r="GJ143" s="10">
        <v>0</v>
      </c>
      <c r="GK143" s="10">
        <v>0</v>
      </c>
      <c r="GL143" s="10">
        <v>0</v>
      </c>
      <c r="GM143" s="10">
        <v>0</v>
      </c>
      <c r="GN143" s="10">
        <v>0</v>
      </c>
      <c r="GO143" s="10">
        <v>0</v>
      </c>
      <c r="GP143" s="10">
        <v>0</v>
      </c>
      <c r="GQ143" s="10">
        <v>0</v>
      </c>
      <c r="GR143" s="10">
        <v>0</v>
      </c>
      <c r="GS143" s="10">
        <v>0</v>
      </c>
      <c r="GT143" s="10">
        <v>0</v>
      </c>
      <c r="GU143" s="10">
        <v>0</v>
      </c>
      <c r="GV143" s="10">
        <v>0.8545915652823175</v>
      </c>
      <c r="GW143" s="10">
        <v>0</v>
      </c>
      <c r="GX143" s="10">
        <v>0</v>
      </c>
      <c r="GY143" s="10">
        <v>0</v>
      </c>
      <c r="GZ143" s="10">
        <v>0</v>
      </c>
      <c r="HA143" s="10">
        <v>0</v>
      </c>
      <c r="HB143" s="10">
        <v>0</v>
      </c>
      <c r="HC143" s="10">
        <v>0</v>
      </c>
      <c r="HD143" s="10">
        <v>0</v>
      </c>
      <c r="HE143" s="10">
        <v>0</v>
      </c>
      <c r="HF143" s="10">
        <v>0</v>
      </c>
      <c r="HG143" s="10">
        <v>0</v>
      </c>
      <c r="HH143" s="10">
        <v>0</v>
      </c>
      <c r="HI143" s="10">
        <v>0</v>
      </c>
      <c r="HJ143" s="10">
        <v>0</v>
      </c>
      <c r="HK143" s="10">
        <v>0</v>
      </c>
      <c r="HL143" s="10">
        <v>0</v>
      </c>
      <c r="HM143" s="10">
        <v>0</v>
      </c>
      <c r="HN143" s="10">
        <v>0</v>
      </c>
      <c r="HO143" s="10">
        <v>0</v>
      </c>
      <c r="HP143" s="10">
        <v>0</v>
      </c>
      <c r="HQ143" s="10">
        <v>0</v>
      </c>
      <c r="HR143" s="10">
        <v>0</v>
      </c>
      <c r="HS143" s="10">
        <v>0</v>
      </c>
      <c r="HT143" s="10">
        <v>0</v>
      </c>
      <c r="HU143" s="10">
        <v>0</v>
      </c>
    </row>
    <row r="144" spans="1:229" x14ac:dyDescent="0.25">
      <c r="A144" s="10">
        <v>0</v>
      </c>
      <c r="B144" s="2" t="s">
        <v>276</v>
      </c>
      <c r="C144" s="2" t="s">
        <v>277</v>
      </c>
      <c r="D144" s="2">
        <v>0.84099999999999997</v>
      </c>
      <c r="E144" s="2">
        <v>2.6</v>
      </c>
      <c r="F144" s="2">
        <v>9</v>
      </c>
      <c r="G144" s="2">
        <v>0</v>
      </c>
      <c r="H144" s="2">
        <v>5</v>
      </c>
      <c r="I144" s="2">
        <v>100</v>
      </c>
      <c r="J144" s="2">
        <v>0.38400000000000001</v>
      </c>
      <c r="K144" s="2">
        <v>5.1999999999999998E-2</v>
      </c>
      <c r="L144" s="3"/>
      <c r="M144" s="2" t="str">
        <f t="shared" si="9"/>
        <v>01199</v>
      </c>
      <c r="N144" s="3">
        <v>0.42687328541996666</v>
      </c>
      <c r="O144" s="3">
        <v>1.5731267145800334</v>
      </c>
      <c r="P144" s="17">
        <v>0.42687328541954267</v>
      </c>
      <c r="Q144" s="3">
        <v>2.9784787971370483</v>
      </c>
      <c r="R144" s="3">
        <v>0.44584338900604453</v>
      </c>
      <c r="S144" s="3" t="e">
        <v>#DIV/0!</v>
      </c>
      <c r="T144" s="3">
        <v>0.42687328541996539</v>
      </c>
      <c r="U144" s="3">
        <v>0.42687328541996672</v>
      </c>
      <c r="V144" s="3">
        <v>1.5731267145802865</v>
      </c>
      <c r="W144" s="3">
        <v>4.6346755011054706</v>
      </c>
      <c r="X144" s="3">
        <v>0.35900043303783535</v>
      </c>
      <c r="Y144" s="3">
        <v>7.7440448725563265</v>
      </c>
      <c r="Z144" s="3">
        <v>4.012590501054401</v>
      </c>
      <c r="AA144" s="3">
        <v>0</v>
      </c>
      <c r="AB144" s="3">
        <v>2.134366427099827</v>
      </c>
      <c r="AC144" s="3">
        <v>42.687328541996671</v>
      </c>
      <c r="AD144" s="3">
        <v>0.60408065839883007</v>
      </c>
      <c r="AE144" s="3">
        <v>0.24100312605748445</v>
      </c>
      <c r="AF144" s="3">
        <v>0</v>
      </c>
      <c r="AG144" s="3">
        <v>0</v>
      </c>
      <c r="AH144" s="3">
        <v>0</v>
      </c>
      <c r="AI144" s="3">
        <v>0</v>
      </c>
      <c r="AJ144" s="3">
        <v>0</v>
      </c>
      <c r="AK144" s="3">
        <v>0</v>
      </c>
      <c r="AL144" s="3">
        <v>0</v>
      </c>
      <c r="AM144" s="3">
        <v>0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0</v>
      </c>
      <c r="AV144" s="3">
        <v>0</v>
      </c>
      <c r="AW144" s="3">
        <v>0</v>
      </c>
      <c r="AX144" s="3">
        <v>0</v>
      </c>
      <c r="AY144" s="3">
        <v>0</v>
      </c>
      <c r="AZ144" s="3">
        <v>0</v>
      </c>
      <c r="BA144" s="10">
        <v>0</v>
      </c>
      <c r="BB144" s="10">
        <v>0</v>
      </c>
      <c r="BC144" s="10">
        <v>0</v>
      </c>
      <c r="BD144" s="10">
        <v>0</v>
      </c>
      <c r="BE144" s="10">
        <v>0</v>
      </c>
      <c r="BF144" s="10">
        <v>0</v>
      </c>
      <c r="BG144" s="10">
        <v>0</v>
      </c>
      <c r="BH144" s="10">
        <v>0</v>
      </c>
      <c r="BI144" s="10">
        <v>0</v>
      </c>
      <c r="BJ144" s="10">
        <v>0</v>
      </c>
      <c r="BK144" s="10">
        <v>0</v>
      </c>
      <c r="BL144" s="10">
        <v>0</v>
      </c>
      <c r="BM144" s="10">
        <v>0</v>
      </c>
      <c r="BN144" s="10">
        <v>0</v>
      </c>
      <c r="BO144" s="10">
        <v>0</v>
      </c>
      <c r="BP144" s="10">
        <v>0</v>
      </c>
      <c r="BQ144" s="10">
        <v>0</v>
      </c>
      <c r="BR144" s="10">
        <v>0</v>
      </c>
      <c r="BS144" s="10">
        <v>0</v>
      </c>
      <c r="BT144" s="10">
        <v>0</v>
      </c>
      <c r="BU144" s="10">
        <v>0</v>
      </c>
      <c r="BV144" s="10">
        <v>0</v>
      </c>
      <c r="BW144" s="10">
        <v>0</v>
      </c>
      <c r="BX144" s="10">
        <v>0</v>
      </c>
      <c r="BY144" s="10">
        <v>0</v>
      </c>
      <c r="BZ144" s="10">
        <v>0</v>
      </c>
      <c r="CA144" s="10">
        <v>0.30725705200930914</v>
      </c>
      <c r="CB144" s="10">
        <v>0</v>
      </c>
      <c r="CC144" s="10">
        <v>0</v>
      </c>
      <c r="CD144" s="10">
        <v>0</v>
      </c>
      <c r="CE144" s="10">
        <v>0</v>
      </c>
      <c r="CF144" s="10">
        <v>0</v>
      </c>
      <c r="CG144" s="10">
        <v>0</v>
      </c>
      <c r="CH144" s="10">
        <v>0</v>
      </c>
      <c r="CI144" s="10">
        <v>0</v>
      </c>
      <c r="CJ144" s="10">
        <v>0</v>
      </c>
      <c r="CK144" s="10">
        <v>0</v>
      </c>
      <c r="CL144" s="10">
        <v>0</v>
      </c>
      <c r="CM144" s="10">
        <v>0</v>
      </c>
      <c r="CN144" s="10">
        <v>3.8299413685502388E-2</v>
      </c>
      <c r="CO144" s="10">
        <v>0</v>
      </c>
      <c r="CP144" s="10">
        <v>0</v>
      </c>
      <c r="CQ144" s="10">
        <v>0</v>
      </c>
      <c r="CR144" s="10">
        <v>0</v>
      </c>
      <c r="CS144" s="10">
        <v>1.1450308156571182E-2</v>
      </c>
      <c r="CT144" s="10">
        <v>0</v>
      </c>
      <c r="CU144" s="10">
        <v>0</v>
      </c>
      <c r="CV144" s="10">
        <v>0</v>
      </c>
      <c r="CW144" s="10">
        <v>0</v>
      </c>
      <c r="CX144" s="10">
        <v>0</v>
      </c>
      <c r="CY144" s="10">
        <v>0</v>
      </c>
      <c r="CZ144" s="10">
        <v>0</v>
      </c>
      <c r="DA144" s="10">
        <v>0</v>
      </c>
      <c r="DB144" s="10">
        <v>0</v>
      </c>
      <c r="DC144" s="10">
        <v>0</v>
      </c>
      <c r="DD144" s="10">
        <v>0</v>
      </c>
      <c r="DE144" s="10">
        <v>0</v>
      </c>
      <c r="DF144" s="10">
        <v>0</v>
      </c>
      <c r="DG144" s="10">
        <v>0</v>
      </c>
      <c r="DH144" s="10">
        <v>0</v>
      </c>
      <c r="DI144" s="10">
        <v>0</v>
      </c>
      <c r="DJ144" s="10">
        <v>0</v>
      </c>
      <c r="DK144" s="10">
        <v>0</v>
      </c>
      <c r="DL144" s="10">
        <v>0</v>
      </c>
      <c r="DM144" s="10">
        <v>0</v>
      </c>
      <c r="DN144" s="10">
        <v>0</v>
      </c>
      <c r="DO144" s="10">
        <v>0</v>
      </c>
      <c r="DP144" s="10">
        <v>0</v>
      </c>
      <c r="DQ144" s="10">
        <v>0</v>
      </c>
      <c r="DR144" s="10">
        <v>0</v>
      </c>
      <c r="DS144" s="10">
        <v>0</v>
      </c>
      <c r="DT144" s="10">
        <v>0</v>
      </c>
      <c r="DU144" s="10">
        <v>0</v>
      </c>
      <c r="DV144" s="10">
        <v>0</v>
      </c>
      <c r="DW144" s="10">
        <v>0</v>
      </c>
      <c r="DX144" s="10">
        <v>0</v>
      </c>
      <c r="DY144" s="10">
        <v>0</v>
      </c>
      <c r="DZ144" s="10">
        <v>0</v>
      </c>
      <c r="EA144" s="10">
        <v>0</v>
      </c>
      <c r="EB144" s="10">
        <v>0</v>
      </c>
      <c r="EC144" s="10">
        <v>0</v>
      </c>
      <c r="ED144" s="10">
        <v>0</v>
      </c>
      <c r="EE144" s="10">
        <v>0</v>
      </c>
      <c r="EF144" s="10">
        <v>0</v>
      </c>
      <c r="EG144" s="10">
        <v>0</v>
      </c>
      <c r="EH144" s="10">
        <v>0</v>
      </c>
      <c r="EI144" s="10">
        <v>0</v>
      </c>
      <c r="EJ144" s="10">
        <v>0</v>
      </c>
      <c r="EK144" s="10">
        <v>0</v>
      </c>
      <c r="EL144" s="10">
        <v>0</v>
      </c>
      <c r="EM144" s="10">
        <v>0</v>
      </c>
      <c r="EN144" s="10">
        <v>0</v>
      </c>
      <c r="EO144" s="10">
        <v>0</v>
      </c>
      <c r="EP144" s="10">
        <v>0</v>
      </c>
      <c r="EQ144" s="10">
        <v>0</v>
      </c>
      <c r="ER144" s="10">
        <v>0</v>
      </c>
      <c r="ES144" s="10">
        <v>0</v>
      </c>
      <c r="ET144" s="10">
        <v>0</v>
      </c>
      <c r="EU144" s="10">
        <v>0</v>
      </c>
      <c r="EV144" s="10">
        <v>0</v>
      </c>
      <c r="EW144" s="10">
        <v>0</v>
      </c>
      <c r="EX144" s="10">
        <v>0</v>
      </c>
      <c r="EY144" s="10">
        <v>0</v>
      </c>
      <c r="EZ144" s="10">
        <v>0</v>
      </c>
      <c r="FA144" s="10">
        <v>0</v>
      </c>
      <c r="FB144" s="10">
        <v>0</v>
      </c>
      <c r="FC144" s="10">
        <v>0</v>
      </c>
      <c r="FD144" s="10">
        <v>0</v>
      </c>
      <c r="FE144" s="10">
        <v>0</v>
      </c>
      <c r="FF144" s="10">
        <v>0</v>
      </c>
      <c r="FG144" s="10">
        <v>0</v>
      </c>
      <c r="FH144" s="10">
        <v>0</v>
      </c>
      <c r="FI144" s="10">
        <v>0</v>
      </c>
      <c r="FJ144" s="10">
        <v>0</v>
      </c>
      <c r="FK144" s="10">
        <v>0</v>
      </c>
      <c r="FL144" s="10">
        <v>0</v>
      </c>
      <c r="FM144" s="10">
        <v>0</v>
      </c>
      <c r="FN144" s="10">
        <v>0</v>
      </c>
      <c r="FO144" s="10">
        <v>0</v>
      </c>
      <c r="FP144" s="10">
        <v>0</v>
      </c>
      <c r="FQ144" s="10">
        <v>0</v>
      </c>
      <c r="FR144" s="10">
        <v>0</v>
      </c>
      <c r="FS144" s="10">
        <v>0</v>
      </c>
      <c r="FT144" s="10">
        <v>0</v>
      </c>
      <c r="FU144" s="10">
        <v>0</v>
      </c>
      <c r="FV144" s="10">
        <v>0</v>
      </c>
      <c r="FW144" s="10">
        <v>0</v>
      </c>
      <c r="FX144" s="10">
        <v>0</v>
      </c>
      <c r="FY144" s="10">
        <v>0</v>
      </c>
      <c r="FZ144" s="10">
        <v>0</v>
      </c>
      <c r="GA144" s="10">
        <v>0</v>
      </c>
      <c r="GB144" s="10">
        <v>0</v>
      </c>
      <c r="GC144" s="10">
        <v>0</v>
      </c>
      <c r="GD144" s="10">
        <v>0</v>
      </c>
      <c r="GE144" s="10">
        <v>0</v>
      </c>
      <c r="GF144" s="10">
        <v>0</v>
      </c>
      <c r="GG144" s="10">
        <v>0</v>
      </c>
      <c r="GH144" s="10">
        <v>0</v>
      </c>
      <c r="GI144" s="10">
        <v>0</v>
      </c>
      <c r="GJ144" s="10">
        <v>0</v>
      </c>
      <c r="GK144" s="10">
        <v>0</v>
      </c>
      <c r="GL144" s="10">
        <v>0</v>
      </c>
      <c r="GM144" s="10">
        <v>0</v>
      </c>
      <c r="GN144" s="10">
        <v>0</v>
      </c>
      <c r="GO144" s="10">
        <v>0</v>
      </c>
      <c r="GP144" s="10">
        <v>0</v>
      </c>
      <c r="GQ144" s="10">
        <v>0</v>
      </c>
      <c r="GR144" s="10">
        <v>0</v>
      </c>
      <c r="GS144" s="10">
        <v>0</v>
      </c>
      <c r="GT144" s="10">
        <v>0</v>
      </c>
      <c r="GU144" s="10">
        <v>0</v>
      </c>
      <c r="GV144" s="10">
        <v>0.64299322614861709</v>
      </c>
      <c r="GW144" s="10">
        <v>0</v>
      </c>
      <c r="GX144" s="10">
        <v>0</v>
      </c>
      <c r="GY144" s="10">
        <v>0</v>
      </c>
      <c r="GZ144" s="10">
        <v>0</v>
      </c>
      <c r="HA144" s="10">
        <v>0</v>
      </c>
      <c r="HB144" s="10">
        <v>0</v>
      </c>
      <c r="HC144" s="10">
        <v>0</v>
      </c>
      <c r="HD144" s="10">
        <v>0</v>
      </c>
      <c r="HE144" s="10">
        <v>0</v>
      </c>
      <c r="HF144" s="10">
        <v>0</v>
      </c>
      <c r="HG144" s="10">
        <v>0</v>
      </c>
      <c r="HH144" s="10">
        <v>0</v>
      </c>
      <c r="HI144" s="10">
        <v>0</v>
      </c>
      <c r="HJ144" s="10">
        <v>0</v>
      </c>
      <c r="HK144" s="10">
        <v>0</v>
      </c>
      <c r="HL144" s="10">
        <v>0</v>
      </c>
      <c r="HM144" s="10">
        <v>0</v>
      </c>
      <c r="HN144" s="10">
        <v>0</v>
      </c>
      <c r="HO144" s="10">
        <v>0</v>
      </c>
      <c r="HP144" s="10">
        <v>0</v>
      </c>
      <c r="HQ144" s="10">
        <v>0</v>
      </c>
      <c r="HR144" s="10">
        <v>0</v>
      </c>
      <c r="HS144" s="10">
        <v>0</v>
      </c>
      <c r="HT144" s="10">
        <v>0</v>
      </c>
      <c r="HU144" s="10">
        <v>0</v>
      </c>
    </row>
    <row r="145" spans="1:229" x14ac:dyDescent="0.25">
      <c r="A145" s="10">
        <v>0</v>
      </c>
      <c r="B145" s="2" t="s">
        <v>278</v>
      </c>
      <c r="C145" s="2" t="s">
        <v>279</v>
      </c>
      <c r="D145" s="2">
        <v>2.8690000000000002</v>
      </c>
      <c r="E145" s="2">
        <v>3</v>
      </c>
      <c r="F145" s="2">
        <v>25</v>
      </c>
      <c r="G145" s="2">
        <v>0.4</v>
      </c>
      <c r="H145" s="2">
        <v>16</v>
      </c>
      <c r="I145" s="2">
        <v>72</v>
      </c>
      <c r="J145" s="2">
        <v>1.25</v>
      </c>
      <c r="K145" s="2">
        <v>0.29899999999999999</v>
      </c>
      <c r="L145" s="3"/>
      <c r="M145" s="2" t="str">
        <f t="shared" si="9"/>
        <v>01200</v>
      </c>
      <c r="N145" s="3">
        <v>0.51973535579309726</v>
      </c>
      <c r="O145" s="3">
        <v>1.4802646442069023</v>
      </c>
      <c r="P145" s="17">
        <v>0.51973535579314045</v>
      </c>
      <c r="Q145" s="3">
        <v>1.4802646442068852</v>
      </c>
      <c r="R145" s="3">
        <v>0.28395667559352744</v>
      </c>
      <c r="S145" s="3">
        <v>0.43716133568379639</v>
      </c>
      <c r="T145" s="3">
        <v>0.31238844199810367</v>
      </c>
      <c r="U145" s="3">
        <v>0.51973535579309693</v>
      </c>
      <c r="V145" s="3">
        <v>1.4802646442069098</v>
      </c>
      <c r="W145" s="3">
        <v>2.248724208578861</v>
      </c>
      <c r="X145" s="3">
        <v>1.4911207357705201</v>
      </c>
      <c r="Y145" s="3">
        <v>4.4407939326206556</v>
      </c>
      <c r="Z145" s="3">
        <v>7.0989168898381854</v>
      </c>
      <c r="AA145" s="3">
        <v>0.17486453427351856</v>
      </c>
      <c r="AB145" s="3">
        <v>4.9982150719696588</v>
      </c>
      <c r="AC145" s="3">
        <v>37.42094561710298</v>
      </c>
      <c r="AD145" s="3">
        <v>1.8503308052586374</v>
      </c>
      <c r="AE145" s="3">
        <v>0.67236853836507948</v>
      </c>
      <c r="AF145" s="3">
        <v>0</v>
      </c>
      <c r="AG145" s="3">
        <v>0</v>
      </c>
      <c r="AH145" s="3">
        <v>0</v>
      </c>
      <c r="AI145" s="10">
        <v>0</v>
      </c>
      <c r="AJ145" s="3">
        <v>0</v>
      </c>
      <c r="AK145" s="3">
        <v>0</v>
      </c>
      <c r="AL145" s="3">
        <v>0</v>
      </c>
      <c r="AM145" s="3">
        <v>0</v>
      </c>
      <c r="AN145" s="10">
        <v>0</v>
      </c>
      <c r="AO145" s="10">
        <v>0</v>
      </c>
      <c r="AP145" s="10">
        <v>0</v>
      </c>
      <c r="AQ145" s="10">
        <v>0</v>
      </c>
      <c r="AR145" s="10">
        <v>0</v>
      </c>
      <c r="AS145" s="10">
        <v>0</v>
      </c>
      <c r="AT145" s="10">
        <v>0</v>
      </c>
      <c r="AU145" s="10">
        <v>0</v>
      </c>
      <c r="AV145" s="10">
        <v>0</v>
      </c>
      <c r="AW145" s="3">
        <v>0</v>
      </c>
      <c r="AX145" s="3">
        <v>0</v>
      </c>
      <c r="AY145" s="3">
        <v>0</v>
      </c>
      <c r="AZ145" s="3">
        <v>0</v>
      </c>
      <c r="BA145" s="10">
        <v>0</v>
      </c>
      <c r="BB145" s="10">
        <v>0</v>
      </c>
      <c r="BC145" s="10">
        <v>0</v>
      </c>
      <c r="BD145" s="10">
        <v>0</v>
      </c>
      <c r="BE145" s="10">
        <v>0</v>
      </c>
      <c r="BF145" s="10">
        <v>0</v>
      </c>
      <c r="BG145" s="10">
        <v>0</v>
      </c>
      <c r="BH145" s="10">
        <v>0</v>
      </c>
      <c r="BI145" s="10">
        <v>0</v>
      </c>
      <c r="BJ145" s="10">
        <v>0</v>
      </c>
      <c r="BK145" s="10">
        <v>0</v>
      </c>
      <c r="BL145" s="10">
        <v>0</v>
      </c>
      <c r="BM145" s="10">
        <v>0</v>
      </c>
      <c r="BN145" s="10">
        <v>0</v>
      </c>
      <c r="BO145" s="10">
        <v>0</v>
      </c>
      <c r="BP145" s="10">
        <v>0</v>
      </c>
      <c r="BQ145" s="10">
        <v>0</v>
      </c>
      <c r="BR145" s="10">
        <v>0</v>
      </c>
      <c r="BS145" s="10">
        <v>0</v>
      </c>
      <c r="BT145" s="10">
        <v>0</v>
      </c>
      <c r="BU145" s="10">
        <v>0</v>
      </c>
      <c r="BV145" s="10">
        <v>0</v>
      </c>
      <c r="BW145" s="10">
        <v>0</v>
      </c>
      <c r="BX145" s="10">
        <v>0</v>
      </c>
      <c r="BY145" s="10">
        <v>0</v>
      </c>
      <c r="BZ145" s="10">
        <v>0</v>
      </c>
      <c r="CA145" s="10">
        <v>0.36796692129912906</v>
      </c>
      <c r="CB145" s="10">
        <v>0</v>
      </c>
      <c r="CC145" s="10">
        <v>0</v>
      </c>
      <c r="CD145" s="10">
        <v>0</v>
      </c>
      <c r="CE145" s="10">
        <v>0</v>
      </c>
      <c r="CF145" s="10">
        <v>0</v>
      </c>
      <c r="CG145" s="10">
        <v>0</v>
      </c>
      <c r="CH145" s="10">
        <v>0</v>
      </c>
      <c r="CI145" s="10">
        <v>0</v>
      </c>
      <c r="CJ145" s="10">
        <v>0</v>
      </c>
      <c r="CK145" s="10">
        <v>0</v>
      </c>
      <c r="CL145" s="10">
        <v>0</v>
      </c>
      <c r="CM145" s="10">
        <v>0</v>
      </c>
      <c r="CN145" s="10">
        <v>0</v>
      </c>
      <c r="CO145" s="10">
        <v>0</v>
      </c>
      <c r="CP145" s="10">
        <v>0</v>
      </c>
      <c r="CQ145" s="10">
        <v>0</v>
      </c>
      <c r="CR145" s="10">
        <v>0</v>
      </c>
      <c r="CS145" s="10">
        <v>0</v>
      </c>
      <c r="CT145" s="10">
        <v>0</v>
      </c>
      <c r="CU145" s="10">
        <v>0</v>
      </c>
      <c r="CV145" s="10">
        <v>0</v>
      </c>
      <c r="CW145" s="10">
        <v>0</v>
      </c>
      <c r="CX145" s="10">
        <v>0</v>
      </c>
      <c r="CY145" s="10">
        <v>0</v>
      </c>
      <c r="CZ145" s="10">
        <v>0</v>
      </c>
      <c r="DA145" s="10">
        <v>0</v>
      </c>
      <c r="DB145" s="10">
        <v>0</v>
      </c>
      <c r="DC145" s="10">
        <v>0</v>
      </c>
      <c r="DD145" s="10">
        <v>0.32721482295436205</v>
      </c>
      <c r="DE145" s="10">
        <v>0</v>
      </c>
      <c r="DF145" s="10">
        <v>0</v>
      </c>
      <c r="DG145" s="10">
        <v>0</v>
      </c>
      <c r="DH145" s="10">
        <v>0</v>
      </c>
      <c r="DI145" s="10">
        <v>0</v>
      </c>
      <c r="DJ145" s="10">
        <v>0</v>
      </c>
      <c r="DK145" s="10">
        <v>0</v>
      </c>
      <c r="DL145" s="10">
        <v>0</v>
      </c>
      <c r="DM145" s="10">
        <v>0</v>
      </c>
      <c r="DN145" s="10">
        <v>0</v>
      </c>
      <c r="DO145" s="10">
        <v>0</v>
      </c>
      <c r="DP145" s="10">
        <v>0</v>
      </c>
      <c r="DQ145" s="10">
        <v>0</v>
      </c>
      <c r="DR145" s="10">
        <v>0</v>
      </c>
      <c r="DS145" s="10">
        <v>5.5011778212911214E-2</v>
      </c>
      <c r="DT145" s="10">
        <v>0</v>
      </c>
      <c r="DU145" s="10">
        <v>0</v>
      </c>
      <c r="DV145" s="10">
        <v>0</v>
      </c>
      <c r="DW145" s="10">
        <v>0</v>
      </c>
      <c r="DX145" s="10">
        <v>0</v>
      </c>
      <c r="DY145" s="10">
        <v>0</v>
      </c>
      <c r="DZ145" s="10">
        <v>0</v>
      </c>
      <c r="EA145" s="10">
        <v>0</v>
      </c>
      <c r="EB145" s="10">
        <v>0</v>
      </c>
      <c r="EC145" s="10">
        <v>0</v>
      </c>
      <c r="ED145" s="10">
        <v>0</v>
      </c>
      <c r="EE145" s="10">
        <v>0</v>
      </c>
      <c r="EF145" s="10">
        <v>0</v>
      </c>
      <c r="EG145" s="10">
        <v>0</v>
      </c>
      <c r="EH145" s="10">
        <v>0</v>
      </c>
      <c r="EI145" s="10">
        <v>0</v>
      </c>
      <c r="EJ145" s="10">
        <v>0</v>
      </c>
      <c r="EK145" s="10">
        <v>0</v>
      </c>
      <c r="EL145" s="10">
        <v>0</v>
      </c>
      <c r="EM145" s="10">
        <v>0</v>
      </c>
      <c r="EN145" s="10">
        <v>0</v>
      </c>
      <c r="EO145" s="10">
        <v>0</v>
      </c>
      <c r="EP145" s="10">
        <v>0</v>
      </c>
      <c r="EQ145" s="10">
        <v>0</v>
      </c>
      <c r="ER145" s="10">
        <v>0</v>
      </c>
      <c r="ES145" s="10">
        <v>0</v>
      </c>
      <c r="ET145" s="10">
        <v>0</v>
      </c>
      <c r="EU145" s="10">
        <v>0</v>
      </c>
      <c r="EV145" s="10">
        <v>0</v>
      </c>
      <c r="EW145" s="10">
        <v>0</v>
      </c>
      <c r="EX145" s="10">
        <v>0</v>
      </c>
      <c r="EY145" s="10">
        <v>0</v>
      </c>
      <c r="EZ145" s="10">
        <v>0</v>
      </c>
      <c r="FA145" s="10">
        <v>0</v>
      </c>
      <c r="FB145" s="10">
        <v>0</v>
      </c>
      <c r="FC145" s="10">
        <v>0</v>
      </c>
      <c r="FD145" s="10">
        <v>0</v>
      </c>
      <c r="FE145" s="10">
        <v>0</v>
      </c>
      <c r="FF145" s="10">
        <v>0</v>
      </c>
      <c r="FG145" s="10">
        <v>0</v>
      </c>
      <c r="FH145" s="10">
        <v>0</v>
      </c>
      <c r="FI145" s="10">
        <v>0</v>
      </c>
      <c r="FJ145" s="10">
        <v>0</v>
      </c>
      <c r="FK145" s="10">
        <v>0</v>
      </c>
      <c r="FL145" s="10">
        <v>0</v>
      </c>
      <c r="FM145" s="10">
        <v>0</v>
      </c>
      <c r="FN145" s="10">
        <v>0</v>
      </c>
      <c r="FO145" s="10">
        <v>0</v>
      </c>
      <c r="FP145" s="10">
        <v>0</v>
      </c>
      <c r="FQ145" s="10">
        <v>0</v>
      </c>
      <c r="FR145" s="10">
        <v>0</v>
      </c>
      <c r="FS145" s="10">
        <v>0</v>
      </c>
      <c r="FT145" s="10">
        <v>0</v>
      </c>
      <c r="FU145" s="10">
        <v>0</v>
      </c>
      <c r="FV145" s="10">
        <v>0</v>
      </c>
      <c r="FW145" s="10">
        <v>0</v>
      </c>
      <c r="FX145" s="10">
        <v>0</v>
      </c>
      <c r="FY145" s="10">
        <v>0</v>
      </c>
      <c r="FZ145" s="10">
        <v>0</v>
      </c>
      <c r="GA145" s="10">
        <v>0</v>
      </c>
      <c r="GB145" s="10">
        <v>0</v>
      </c>
      <c r="GC145" s="10">
        <v>0</v>
      </c>
      <c r="GD145" s="10">
        <v>0</v>
      </c>
      <c r="GE145" s="10">
        <v>0</v>
      </c>
      <c r="GF145" s="10">
        <v>0</v>
      </c>
      <c r="GG145" s="10">
        <v>0</v>
      </c>
      <c r="GH145" s="10">
        <v>0</v>
      </c>
      <c r="GI145" s="10">
        <v>0</v>
      </c>
      <c r="GJ145" s="10">
        <v>0</v>
      </c>
      <c r="GK145" s="10">
        <v>0</v>
      </c>
      <c r="GL145" s="10">
        <v>0</v>
      </c>
      <c r="GM145" s="10">
        <v>0</v>
      </c>
      <c r="GN145" s="10">
        <v>0</v>
      </c>
      <c r="GO145" s="10">
        <v>0</v>
      </c>
      <c r="GP145" s="10">
        <v>0</v>
      </c>
      <c r="GQ145" s="10">
        <v>0</v>
      </c>
      <c r="GR145" s="10">
        <v>0</v>
      </c>
      <c r="GS145" s="10">
        <v>0</v>
      </c>
      <c r="GT145" s="10">
        <v>0</v>
      </c>
      <c r="GU145" s="10">
        <v>0</v>
      </c>
      <c r="GV145" s="10">
        <v>0</v>
      </c>
      <c r="GW145" s="10">
        <v>0</v>
      </c>
      <c r="GX145" s="10">
        <v>0</v>
      </c>
      <c r="GY145" s="10">
        <v>0</v>
      </c>
      <c r="GZ145" s="10">
        <v>0</v>
      </c>
      <c r="HA145" s="10">
        <v>0</v>
      </c>
      <c r="HB145" s="10">
        <v>0</v>
      </c>
      <c r="HC145" s="10">
        <v>0</v>
      </c>
      <c r="HD145" s="10">
        <v>0</v>
      </c>
      <c r="HE145" s="10">
        <v>0</v>
      </c>
      <c r="HF145" s="10">
        <v>0</v>
      </c>
      <c r="HG145" s="10">
        <v>0.24980647753359797</v>
      </c>
      <c r="HH145" s="10">
        <v>0</v>
      </c>
      <c r="HI145" s="10">
        <v>0</v>
      </c>
      <c r="HJ145" s="10">
        <v>0</v>
      </c>
      <c r="HK145" s="10">
        <v>0</v>
      </c>
      <c r="HL145" s="10">
        <v>0</v>
      </c>
      <c r="HM145" s="10">
        <v>0</v>
      </c>
      <c r="HN145" s="10">
        <v>0</v>
      </c>
      <c r="HO145" s="10">
        <v>0</v>
      </c>
      <c r="HP145" s="10">
        <v>0</v>
      </c>
      <c r="HQ145" s="10">
        <v>0</v>
      </c>
      <c r="HR145" s="10">
        <v>0</v>
      </c>
      <c r="HS145" s="10">
        <v>0</v>
      </c>
      <c r="HT145" s="10">
        <v>0</v>
      </c>
      <c r="HU145" s="10">
        <v>0</v>
      </c>
    </row>
    <row r="146" spans="1:229" x14ac:dyDescent="0.25">
      <c r="A146" s="10">
        <v>0</v>
      </c>
      <c r="B146" s="2" t="s">
        <v>280</v>
      </c>
      <c r="C146" s="2" t="s">
        <v>281</v>
      </c>
      <c r="D146" s="2">
        <v>13.317</v>
      </c>
      <c r="E146" s="2">
        <v>20</v>
      </c>
      <c r="F146" s="2">
        <v>1.37</v>
      </c>
      <c r="G146" s="2">
        <v>0</v>
      </c>
      <c r="H146" s="2">
        <v>0</v>
      </c>
      <c r="I146" s="2">
        <v>1529</v>
      </c>
      <c r="J146" s="2">
        <v>6.0979999999999999</v>
      </c>
      <c r="K146" s="2">
        <v>0.46200000000000002</v>
      </c>
      <c r="L146" s="3"/>
      <c r="M146" s="2" t="str">
        <f t="shared" si="9"/>
        <v>01204</v>
      </c>
      <c r="N146" s="3">
        <v>0.49745879773988022</v>
      </c>
      <c r="O146" s="3">
        <v>1.5025412022601199</v>
      </c>
      <c r="P146" s="17">
        <v>0.49745879773991114</v>
      </c>
      <c r="Q146" s="3">
        <v>1.5025412022601181</v>
      </c>
      <c r="R146" s="3">
        <v>2.6308365293589397</v>
      </c>
      <c r="S146" s="3" t="e">
        <v>#DIV/0!</v>
      </c>
      <c r="T146" s="3" t="e">
        <v>#DIV/0!</v>
      </c>
      <c r="U146" s="3">
        <v>0.24439394429510308</v>
      </c>
      <c r="V146" s="3">
        <v>1.5025412022603601</v>
      </c>
      <c r="W146" s="3">
        <v>6.6199918785275411</v>
      </c>
      <c r="X146" s="3">
        <v>6.6246588095023968</v>
      </c>
      <c r="Y146" s="3">
        <v>30.050824045202361</v>
      </c>
      <c r="Z146" s="3">
        <v>3.604246045221748</v>
      </c>
      <c r="AA146" s="3">
        <v>0</v>
      </c>
      <c r="AB146" s="3">
        <v>0</v>
      </c>
      <c r="AC146" s="3">
        <v>373.67834082721259</v>
      </c>
      <c r="AD146" s="3">
        <v>9.1624962513836756</v>
      </c>
      <c r="AE146" s="3">
        <v>3.0584362478797242</v>
      </c>
      <c r="AF146" s="3">
        <v>0</v>
      </c>
      <c r="AG146" s="3">
        <v>0</v>
      </c>
      <c r="AH146" s="3">
        <v>0</v>
      </c>
      <c r="AI146" s="10">
        <v>0</v>
      </c>
      <c r="AJ146" s="3">
        <v>0</v>
      </c>
      <c r="AK146" s="3">
        <v>0</v>
      </c>
      <c r="AL146" s="10">
        <v>0</v>
      </c>
      <c r="AM146" s="10">
        <v>0</v>
      </c>
      <c r="AN146" s="10">
        <v>0</v>
      </c>
      <c r="AO146" s="10">
        <v>0</v>
      </c>
      <c r="AP146" s="10">
        <v>0</v>
      </c>
      <c r="AQ146" s="10">
        <v>0</v>
      </c>
      <c r="AR146" s="10">
        <v>0</v>
      </c>
      <c r="AS146" s="10">
        <v>0</v>
      </c>
      <c r="AT146" s="10">
        <v>0</v>
      </c>
      <c r="AU146" s="10">
        <v>0</v>
      </c>
      <c r="AV146" s="10">
        <v>0</v>
      </c>
      <c r="AW146" s="3">
        <v>0</v>
      </c>
      <c r="AX146" s="3">
        <v>0</v>
      </c>
      <c r="AY146" s="3">
        <v>0</v>
      </c>
      <c r="AZ146" s="3">
        <v>0</v>
      </c>
      <c r="BA146" s="10">
        <v>0</v>
      </c>
      <c r="BB146" s="10">
        <v>0</v>
      </c>
      <c r="BC146" s="10">
        <v>0</v>
      </c>
      <c r="BD146" s="10">
        <v>0</v>
      </c>
      <c r="BE146" s="10">
        <v>0</v>
      </c>
      <c r="BF146" s="10">
        <v>0</v>
      </c>
      <c r="BG146" s="10">
        <v>0</v>
      </c>
      <c r="BH146" s="10">
        <v>0</v>
      </c>
      <c r="BI146" s="10">
        <v>0</v>
      </c>
      <c r="BJ146" s="10">
        <v>0</v>
      </c>
      <c r="BK146" s="10">
        <v>0</v>
      </c>
      <c r="BL146" s="10">
        <v>0</v>
      </c>
      <c r="BM146" s="10">
        <v>0</v>
      </c>
      <c r="BN146" s="10">
        <v>0</v>
      </c>
      <c r="BO146" s="10">
        <v>0</v>
      </c>
      <c r="BP146" s="10">
        <v>0</v>
      </c>
      <c r="BQ146" s="10">
        <v>0</v>
      </c>
      <c r="BR146" s="10">
        <v>0</v>
      </c>
      <c r="BS146" s="10">
        <v>0</v>
      </c>
      <c r="BT146" s="10">
        <v>0</v>
      </c>
      <c r="BU146" s="10">
        <v>0</v>
      </c>
      <c r="BV146" s="10">
        <v>0</v>
      </c>
      <c r="BW146" s="10">
        <v>0</v>
      </c>
      <c r="BX146" s="10">
        <v>0</v>
      </c>
      <c r="BY146" s="10">
        <v>0</v>
      </c>
      <c r="BZ146" s="10">
        <v>0</v>
      </c>
      <c r="CA146" s="10">
        <v>0.45799393014650175</v>
      </c>
      <c r="CB146" s="10">
        <v>0</v>
      </c>
      <c r="CC146" s="10">
        <v>0</v>
      </c>
      <c r="CD146" s="10">
        <v>0</v>
      </c>
      <c r="CE146" s="10">
        <v>0</v>
      </c>
      <c r="CF146" s="10">
        <v>0</v>
      </c>
      <c r="CG146" s="10">
        <v>0</v>
      </c>
      <c r="CH146" s="10">
        <v>0</v>
      </c>
      <c r="CI146" s="10">
        <v>0</v>
      </c>
      <c r="CJ146" s="10">
        <v>0</v>
      </c>
      <c r="CK146" s="10">
        <v>0</v>
      </c>
      <c r="CL146" s="10">
        <v>0</v>
      </c>
      <c r="CM146" s="10">
        <v>0</v>
      </c>
      <c r="CN146" s="10">
        <v>0</v>
      </c>
      <c r="CO146" s="10">
        <v>0</v>
      </c>
      <c r="CP146" s="10">
        <v>0</v>
      </c>
      <c r="CQ146" s="10">
        <v>0</v>
      </c>
      <c r="CR146" s="10">
        <v>0</v>
      </c>
      <c r="CS146" s="10">
        <v>0</v>
      </c>
      <c r="CT146" s="10">
        <v>0</v>
      </c>
      <c r="CU146" s="10">
        <v>0</v>
      </c>
      <c r="CV146" s="10">
        <v>0</v>
      </c>
      <c r="CW146" s="10">
        <v>0</v>
      </c>
      <c r="CX146" s="10">
        <v>0</v>
      </c>
      <c r="CY146" s="10">
        <v>0</v>
      </c>
      <c r="CZ146" s="10">
        <v>0</v>
      </c>
      <c r="DA146" s="10">
        <v>0</v>
      </c>
      <c r="DB146" s="10">
        <v>0</v>
      </c>
      <c r="DC146" s="10">
        <v>0</v>
      </c>
      <c r="DD146" s="10">
        <v>0</v>
      </c>
      <c r="DE146" s="10">
        <v>0</v>
      </c>
      <c r="DF146" s="10">
        <v>0</v>
      </c>
      <c r="DG146" s="10">
        <v>0</v>
      </c>
      <c r="DH146" s="10">
        <v>0</v>
      </c>
      <c r="DI146" s="10">
        <v>0</v>
      </c>
      <c r="DJ146" s="10">
        <v>0</v>
      </c>
      <c r="DK146" s="10">
        <v>0</v>
      </c>
      <c r="DL146" s="10">
        <v>0</v>
      </c>
      <c r="DM146" s="10">
        <v>0</v>
      </c>
      <c r="DN146" s="10">
        <v>0</v>
      </c>
      <c r="DO146" s="10">
        <v>0</v>
      </c>
      <c r="DP146" s="10">
        <v>0</v>
      </c>
      <c r="DQ146" s="10">
        <v>0</v>
      </c>
      <c r="DR146" s="10">
        <v>0</v>
      </c>
      <c r="DS146" s="10">
        <v>0</v>
      </c>
      <c r="DT146" s="10">
        <v>0</v>
      </c>
      <c r="DU146" s="10">
        <v>0</v>
      </c>
      <c r="DV146" s="10">
        <v>0</v>
      </c>
      <c r="DW146" s="10">
        <v>0</v>
      </c>
      <c r="DX146" s="10">
        <v>0</v>
      </c>
      <c r="DY146" s="10">
        <v>0.47469134211828523</v>
      </c>
      <c r="DZ146" s="10">
        <v>0</v>
      </c>
      <c r="EA146" s="10">
        <v>0</v>
      </c>
      <c r="EB146" s="10">
        <v>0</v>
      </c>
      <c r="EC146" s="10">
        <v>0</v>
      </c>
      <c r="ED146" s="10">
        <v>0</v>
      </c>
      <c r="EE146" s="10">
        <v>0</v>
      </c>
      <c r="EF146" s="10">
        <v>0</v>
      </c>
      <c r="EG146" s="10">
        <v>0</v>
      </c>
      <c r="EH146" s="10">
        <v>0</v>
      </c>
      <c r="EI146" s="10">
        <v>0</v>
      </c>
      <c r="EJ146" s="10">
        <v>0</v>
      </c>
      <c r="EK146" s="10">
        <v>0</v>
      </c>
      <c r="EL146" s="10">
        <v>0</v>
      </c>
      <c r="EM146" s="10">
        <v>0</v>
      </c>
      <c r="EN146" s="10">
        <v>0</v>
      </c>
      <c r="EO146" s="10">
        <v>0</v>
      </c>
      <c r="EP146" s="10">
        <v>0</v>
      </c>
      <c r="EQ146" s="10">
        <v>0</v>
      </c>
      <c r="ER146" s="10">
        <v>0</v>
      </c>
      <c r="ES146" s="10">
        <v>0</v>
      </c>
      <c r="ET146" s="10">
        <v>0</v>
      </c>
      <c r="EU146" s="10">
        <v>0</v>
      </c>
      <c r="EV146" s="10">
        <v>0</v>
      </c>
      <c r="EW146" s="10">
        <v>0</v>
      </c>
      <c r="EX146" s="10">
        <v>0</v>
      </c>
      <c r="EY146" s="10">
        <v>0</v>
      </c>
      <c r="EZ146" s="10">
        <v>0</v>
      </c>
      <c r="FA146" s="10">
        <v>0</v>
      </c>
      <c r="FB146" s="10">
        <v>0</v>
      </c>
      <c r="FC146" s="10">
        <v>0</v>
      </c>
      <c r="FD146" s="10">
        <v>0</v>
      </c>
      <c r="FE146" s="10">
        <v>0</v>
      </c>
      <c r="FF146" s="10">
        <v>0</v>
      </c>
      <c r="FG146" s="10">
        <v>0</v>
      </c>
      <c r="FH146" s="10">
        <v>0</v>
      </c>
      <c r="FI146" s="10">
        <v>0</v>
      </c>
      <c r="FJ146" s="10">
        <v>0</v>
      </c>
      <c r="FK146" s="10">
        <v>0</v>
      </c>
      <c r="FL146" s="10">
        <v>0</v>
      </c>
      <c r="FM146" s="10">
        <v>0</v>
      </c>
      <c r="FN146" s="10">
        <v>0</v>
      </c>
      <c r="FO146" s="10">
        <v>0</v>
      </c>
      <c r="FP146" s="10">
        <v>0</v>
      </c>
      <c r="FQ146" s="10">
        <v>0</v>
      </c>
      <c r="FR146" s="10">
        <v>0</v>
      </c>
      <c r="FS146" s="10">
        <v>0</v>
      </c>
      <c r="FT146" s="10">
        <v>0</v>
      </c>
      <c r="FU146" s="10">
        <v>0</v>
      </c>
      <c r="FV146" s="10">
        <v>0</v>
      </c>
      <c r="FW146" s="10">
        <v>0</v>
      </c>
      <c r="FX146" s="10">
        <v>0</v>
      </c>
      <c r="FY146" s="10">
        <v>0</v>
      </c>
      <c r="FZ146" s="10">
        <v>0</v>
      </c>
      <c r="GA146" s="10">
        <v>0</v>
      </c>
      <c r="GB146" s="10">
        <v>0</v>
      </c>
      <c r="GC146" s="10">
        <v>0</v>
      </c>
      <c r="GD146" s="10">
        <v>0</v>
      </c>
      <c r="GE146" s="10">
        <v>0</v>
      </c>
      <c r="GF146" s="10">
        <v>0</v>
      </c>
      <c r="GG146" s="10">
        <v>0</v>
      </c>
      <c r="GH146" s="10">
        <v>0</v>
      </c>
      <c r="GI146" s="10">
        <v>0</v>
      </c>
      <c r="GJ146" s="10">
        <v>0</v>
      </c>
      <c r="GK146" s="10">
        <v>0</v>
      </c>
      <c r="GL146" s="10">
        <v>0</v>
      </c>
      <c r="GM146" s="10">
        <v>0</v>
      </c>
      <c r="GN146" s="10">
        <v>0</v>
      </c>
      <c r="GO146" s="10">
        <v>0</v>
      </c>
      <c r="GP146" s="10">
        <v>0</v>
      </c>
      <c r="GQ146" s="10">
        <v>0</v>
      </c>
      <c r="GR146" s="10">
        <v>0</v>
      </c>
      <c r="GS146" s="10">
        <v>0</v>
      </c>
      <c r="GT146" s="10">
        <v>0</v>
      </c>
      <c r="GU146" s="10">
        <v>0</v>
      </c>
      <c r="GV146" s="10">
        <v>0</v>
      </c>
      <c r="GW146" s="10">
        <v>6.7314727735213006E-2</v>
      </c>
      <c r="GX146" s="10">
        <v>0</v>
      </c>
      <c r="GY146" s="10">
        <v>0</v>
      </c>
      <c r="GZ146" s="10">
        <v>0</v>
      </c>
      <c r="HA146" s="10">
        <v>0</v>
      </c>
      <c r="HB146" s="10">
        <v>0</v>
      </c>
      <c r="HC146" s="10">
        <v>0</v>
      </c>
      <c r="HD146" s="10">
        <v>0</v>
      </c>
      <c r="HE146" s="10">
        <v>0</v>
      </c>
      <c r="HF146" s="10">
        <v>0</v>
      </c>
      <c r="HG146" s="10">
        <v>0</v>
      </c>
      <c r="HH146" s="10">
        <v>0</v>
      </c>
      <c r="HI146" s="10">
        <v>0</v>
      </c>
      <c r="HJ146" s="10">
        <v>0</v>
      </c>
      <c r="HK146" s="10">
        <v>0</v>
      </c>
      <c r="HL146" s="10">
        <v>0</v>
      </c>
      <c r="HM146" s="10">
        <v>0</v>
      </c>
      <c r="HN146" s="10">
        <v>0</v>
      </c>
      <c r="HO146" s="10">
        <v>0</v>
      </c>
      <c r="HP146" s="10">
        <v>0</v>
      </c>
      <c r="HQ146" s="10">
        <v>0</v>
      </c>
      <c r="HR146" s="10">
        <v>0</v>
      </c>
      <c r="HS146" s="10">
        <v>0</v>
      </c>
      <c r="HT146" s="10">
        <v>0</v>
      </c>
      <c r="HU146" s="10">
        <v>0</v>
      </c>
    </row>
    <row r="147" spans="1:229" x14ac:dyDescent="0.25">
      <c r="A147" s="10">
        <v>0</v>
      </c>
      <c r="B147" s="2" t="s">
        <v>282</v>
      </c>
      <c r="C147" s="2" t="s">
        <v>283</v>
      </c>
      <c r="D147" s="2">
        <v>2.6349999999999998</v>
      </c>
      <c r="E147" s="2">
        <v>0.69</v>
      </c>
      <c r="F147" s="2">
        <v>35.07</v>
      </c>
      <c r="G147" s="2">
        <v>1.1000000000000001</v>
      </c>
      <c r="H147" s="2">
        <v>33.04</v>
      </c>
      <c r="I147" s="2">
        <v>67</v>
      </c>
      <c r="J147" s="2">
        <v>4.0019999999999998</v>
      </c>
      <c r="K147" s="2">
        <v>6.2690000000000001</v>
      </c>
      <c r="L147" s="3"/>
      <c r="M147" s="2" t="str">
        <f t="shared" si="9"/>
        <v>01205</v>
      </c>
      <c r="N147" s="3">
        <v>0.96711925912652674</v>
      </c>
      <c r="O147" s="3">
        <v>1.0328807408734733</v>
      </c>
      <c r="P147" s="17">
        <v>0.96711925912658714</v>
      </c>
      <c r="Q147" s="3">
        <v>10.616039877546065</v>
      </c>
      <c r="R147" s="3">
        <v>0.14245239140690688</v>
      </c>
      <c r="S147" s="3">
        <v>0.2276405943208348</v>
      </c>
      <c r="T147" s="3">
        <v>9.4773435048963461E-3</v>
      </c>
      <c r="U147" s="3">
        <v>0.96711925912652641</v>
      </c>
      <c r="V147" s="3">
        <v>1.0328807408734906</v>
      </c>
      <c r="W147" s="3">
        <v>0.2353213520682971</v>
      </c>
      <c r="X147" s="3">
        <v>2.5483592477985568</v>
      </c>
      <c r="Y147" s="3">
        <v>7.3250675155067846</v>
      </c>
      <c r="Z147" s="3">
        <v>4.9958053666402247</v>
      </c>
      <c r="AA147" s="3">
        <v>0.25040465375291832</v>
      </c>
      <c r="AB147" s="3">
        <v>0.3131314294017753</v>
      </c>
      <c r="AC147" s="3">
        <v>64.79699036147727</v>
      </c>
      <c r="AD147" s="3">
        <v>4.1335887249757093</v>
      </c>
      <c r="AE147" s="3">
        <v>1.4752295561161546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0</v>
      </c>
      <c r="AV147" s="3">
        <v>0</v>
      </c>
      <c r="AW147" s="3">
        <v>0</v>
      </c>
      <c r="AX147" s="3">
        <v>0</v>
      </c>
      <c r="AY147" s="3">
        <v>0</v>
      </c>
      <c r="AZ147" s="3">
        <v>0</v>
      </c>
      <c r="BA147" s="10">
        <v>0</v>
      </c>
      <c r="BB147" s="10">
        <v>0</v>
      </c>
      <c r="BC147" s="10">
        <v>0</v>
      </c>
      <c r="BD147" s="10">
        <v>0</v>
      </c>
      <c r="BE147" s="10">
        <v>0</v>
      </c>
      <c r="BF147" s="10">
        <v>0</v>
      </c>
      <c r="BG147" s="10">
        <v>0</v>
      </c>
      <c r="BH147" s="10">
        <v>0</v>
      </c>
      <c r="BI147" s="10">
        <v>0</v>
      </c>
      <c r="BJ147" s="10">
        <v>0</v>
      </c>
      <c r="BK147" s="10">
        <v>0</v>
      </c>
      <c r="BL147" s="10">
        <v>0</v>
      </c>
      <c r="BM147" s="10">
        <v>0</v>
      </c>
      <c r="BN147" s="10">
        <v>0</v>
      </c>
      <c r="BO147" s="10">
        <v>0</v>
      </c>
      <c r="BP147" s="10">
        <v>0</v>
      </c>
      <c r="BQ147" s="10">
        <v>0</v>
      </c>
      <c r="BR147" s="10">
        <v>0</v>
      </c>
      <c r="BS147" s="10">
        <v>0</v>
      </c>
      <c r="BT147" s="10">
        <v>0</v>
      </c>
      <c r="BU147" s="10">
        <v>0</v>
      </c>
      <c r="BV147" s="10">
        <v>0</v>
      </c>
      <c r="BW147" s="10">
        <v>0</v>
      </c>
      <c r="BX147" s="10">
        <v>0</v>
      </c>
      <c r="BY147" s="10">
        <v>0</v>
      </c>
      <c r="BZ147" s="10">
        <v>0</v>
      </c>
      <c r="CA147" s="10">
        <v>0.76517877718182248</v>
      </c>
      <c r="CB147" s="10">
        <v>0</v>
      </c>
      <c r="CC147" s="10">
        <v>0</v>
      </c>
      <c r="CD147" s="10">
        <v>0</v>
      </c>
      <c r="CE147" s="10">
        <v>0</v>
      </c>
      <c r="CF147" s="10">
        <v>0</v>
      </c>
      <c r="CG147" s="10">
        <v>0</v>
      </c>
      <c r="CH147" s="10">
        <v>0</v>
      </c>
      <c r="CI147" s="10">
        <v>0</v>
      </c>
      <c r="CJ147" s="10">
        <v>0</v>
      </c>
      <c r="CK147" s="10">
        <v>0</v>
      </c>
      <c r="CL147" s="10">
        <v>0</v>
      </c>
      <c r="CM147" s="10">
        <v>0</v>
      </c>
      <c r="CN147" s="10">
        <v>0</v>
      </c>
      <c r="CO147" s="10">
        <v>0</v>
      </c>
      <c r="CP147" s="10">
        <v>0</v>
      </c>
      <c r="CQ147" s="10">
        <v>0</v>
      </c>
      <c r="CR147" s="10">
        <v>0</v>
      </c>
      <c r="CS147" s="10">
        <v>0</v>
      </c>
      <c r="CT147" s="10">
        <v>0</v>
      </c>
      <c r="CU147" s="10">
        <v>0</v>
      </c>
      <c r="CV147" s="10">
        <v>0</v>
      </c>
      <c r="CW147" s="10">
        <v>0</v>
      </c>
      <c r="CX147" s="10">
        <v>0</v>
      </c>
      <c r="CY147" s="10">
        <v>0</v>
      </c>
      <c r="CZ147" s="10">
        <v>0</v>
      </c>
      <c r="DA147" s="10">
        <v>0</v>
      </c>
      <c r="DB147" s="10">
        <v>0</v>
      </c>
      <c r="DC147" s="10">
        <v>0</v>
      </c>
      <c r="DD147" s="10">
        <v>0</v>
      </c>
      <c r="DE147" s="10">
        <v>0</v>
      </c>
      <c r="DF147" s="10">
        <v>0</v>
      </c>
      <c r="DG147" s="10">
        <v>0</v>
      </c>
      <c r="DH147" s="10">
        <v>0</v>
      </c>
      <c r="DI147" s="10">
        <v>0</v>
      </c>
      <c r="DJ147" s="10">
        <v>0</v>
      </c>
      <c r="DK147" s="10">
        <v>0</v>
      </c>
      <c r="DL147" s="10">
        <v>0</v>
      </c>
      <c r="DM147" s="10">
        <v>0</v>
      </c>
      <c r="DN147" s="10">
        <v>0</v>
      </c>
      <c r="DO147" s="10">
        <v>0</v>
      </c>
      <c r="DP147" s="10">
        <v>0</v>
      </c>
      <c r="DQ147" s="10">
        <v>0</v>
      </c>
      <c r="DR147" s="10">
        <v>0</v>
      </c>
      <c r="DS147" s="10">
        <v>0.19955296172621745</v>
      </c>
      <c r="DT147" s="10">
        <v>0</v>
      </c>
      <c r="DU147" s="10">
        <v>0</v>
      </c>
      <c r="DV147" s="10">
        <v>0</v>
      </c>
      <c r="DW147" s="10">
        <v>0</v>
      </c>
      <c r="DX147" s="10">
        <v>0</v>
      </c>
      <c r="DY147" s="10">
        <v>0</v>
      </c>
      <c r="DZ147" s="10">
        <v>0</v>
      </c>
      <c r="EA147" s="10">
        <v>0</v>
      </c>
      <c r="EB147" s="10">
        <v>0</v>
      </c>
      <c r="EC147" s="10">
        <v>0</v>
      </c>
      <c r="ED147" s="10">
        <v>0</v>
      </c>
      <c r="EE147" s="10">
        <v>0</v>
      </c>
      <c r="EF147" s="10">
        <v>0</v>
      </c>
      <c r="EG147" s="10">
        <v>0</v>
      </c>
      <c r="EH147" s="10">
        <v>0</v>
      </c>
      <c r="EI147" s="10">
        <v>0</v>
      </c>
      <c r="EJ147" s="10">
        <v>0</v>
      </c>
      <c r="EK147" s="10">
        <v>0</v>
      </c>
      <c r="EL147" s="10">
        <v>0</v>
      </c>
      <c r="EM147" s="10">
        <v>0</v>
      </c>
      <c r="EN147" s="10">
        <v>0</v>
      </c>
      <c r="EO147" s="10">
        <v>0</v>
      </c>
      <c r="EP147" s="10">
        <v>0</v>
      </c>
      <c r="EQ147" s="10">
        <v>0</v>
      </c>
      <c r="ER147" s="10">
        <v>0</v>
      </c>
      <c r="ES147" s="10">
        <v>0</v>
      </c>
      <c r="ET147" s="10">
        <v>0</v>
      </c>
      <c r="EU147" s="10">
        <v>0</v>
      </c>
      <c r="EV147" s="10">
        <v>0</v>
      </c>
      <c r="EW147" s="10">
        <v>0</v>
      </c>
      <c r="EX147" s="10">
        <v>0</v>
      </c>
      <c r="EY147" s="10">
        <v>0</v>
      </c>
      <c r="EZ147" s="10">
        <v>0</v>
      </c>
      <c r="FA147" s="10">
        <v>0</v>
      </c>
      <c r="FB147" s="10">
        <v>0</v>
      </c>
      <c r="FC147" s="10">
        <v>0</v>
      </c>
      <c r="FD147" s="10">
        <v>0</v>
      </c>
      <c r="FE147" s="10">
        <v>0</v>
      </c>
      <c r="FF147" s="10">
        <v>0</v>
      </c>
      <c r="FG147" s="10">
        <v>0</v>
      </c>
      <c r="FH147" s="10">
        <v>0</v>
      </c>
      <c r="FI147" s="10">
        <v>0</v>
      </c>
      <c r="FJ147" s="10">
        <v>0</v>
      </c>
      <c r="FK147" s="10">
        <v>0</v>
      </c>
      <c r="FL147" s="10">
        <v>0</v>
      </c>
      <c r="FM147" s="10">
        <v>0</v>
      </c>
      <c r="FN147" s="10">
        <v>0</v>
      </c>
      <c r="FO147" s="10">
        <v>0</v>
      </c>
      <c r="FP147" s="10">
        <v>0</v>
      </c>
      <c r="FQ147" s="10">
        <v>0</v>
      </c>
      <c r="FR147" s="10">
        <v>0</v>
      </c>
      <c r="FS147" s="10">
        <v>0</v>
      </c>
      <c r="FT147" s="10">
        <v>0</v>
      </c>
      <c r="FU147" s="10">
        <v>0</v>
      </c>
      <c r="FV147" s="10">
        <v>0</v>
      </c>
      <c r="FW147" s="10">
        <v>0</v>
      </c>
      <c r="FX147" s="10">
        <v>0</v>
      </c>
      <c r="FY147" s="10">
        <v>0</v>
      </c>
      <c r="FZ147" s="10">
        <v>0</v>
      </c>
      <c r="GA147" s="10">
        <v>3.526826109196033E-2</v>
      </c>
      <c r="GB147" s="10">
        <v>0</v>
      </c>
      <c r="GC147" s="10">
        <v>0</v>
      </c>
      <c r="GD147" s="10">
        <v>0</v>
      </c>
      <c r="GE147" s="10">
        <v>0</v>
      </c>
      <c r="GF147" s="10">
        <v>0</v>
      </c>
      <c r="GG147" s="10">
        <v>0</v>
      </c>
      <c r="GH147" s="10">
        <v>0</v>
      </c>
      <c r="GI147" s="10">
        <v>0</v>
      </c>
      <c r="GJ147" s="10">
        <v>0</v>
      </c>
      <c r="GK147" s="10">
        <v>0</v>
      </c>
      <c r="GL147" s="10">
        <v>0</v>
      </c>
      <c r="GM147" s="10">
        <v>0</v>
      </c>
      <c r="GN147" s="10">
        <v>0</v>
      </c>
      <c r="GO147" s="10">
        <v>0</v>
      </c>
      <c r="GP147" s="10">
        <v>0</v>
      </c>
      <c r="GQ147" s="10">
        <v>0</v>
      </c>
      <c r="GR147" s="10">
        <v>0</v>
      </c>
      <c r="GS147" s="10">
        <v>0</v>
      </c>
      <c r="GT147" s="10">
        <v>0</v>
      </c>
      <c r="GU147" s="10">
        <v>0</v>
      </c>
      <c r="GV147" s="10">
        <v>0</v>
      </c>
      <c r="GW147" s="10">
        <v>0</v>
      </c>
      <c r="GX147" s="10">
        <v>0</v>
      </c>
      <c r="GY147" s="10">
        <v>0</v>
      </c>
      <c r="GZ147" s="10">
        <v>0</v>
      </c>
      <c r="HA147" s="10">
        <v>0</v>
      </c>
      <c r="HB147" s="10">
        <v>0</v>
      </c>
      <c r="HC147" s="10">
        <v>0</v>
      </c>
      <c r="HD147" s="10">
        <v>0</v>
      </c>
      <c r="HE147" s="10">
        <v>0</v>
      </c>
      <c r="HF147" s="10">
        <v>0</v>
      </c>
      <c r="HG147" s="10">
        <v>0</v>
      </c>
      <c r="HH147" s="10">
        <v>0</v>
      </c>
      <c r="HI147" s="10">
        <v>0</v>
      </c>
      <c r="HJ147" s="10">
        <v>0</v>
      </c>
      <c r="HK147" s="10">
        <v>0</v>
      </c>
      <c r="HL147" s="10">
        <v>0</v>
      </c>
      <c r="HM147" s="10">
        <v>0</v>
      </c>
      <c r="HN147" s="10">
        <v>0</v>
      </c>
      <c r="HO147" s="10">
        <v>0</v>
      </c>
      <c r="HP147" s="10">
        <v>0</v>
      </c>
      <c r="HQ147" s="10">
        <v>0</v>
      </c>
      <c r="HR147" s="10">
        <v>0</v>
      </c>
      <c r="HS147" s="10">
        <v>0</v>
      </c>
      <c r="HT147" s="10">
        <v>0</v>
      </c>
      <c r="HU147" s="10">
        <v>0</v>
      </c>
    </row>
    <row r="148" spans="1:229" x14ac:dyDescent="0.25">
      <c r="A148" s="10">
        <v>0</v>
      </c>
      <c r="B148" s="2" t="s">
        <v>284</v>
      </c>
      <c r="C148" s="2" t="s">
        <v>285</v>
      </c>
      <c r="D148" s="2">
        <v>19.446000000000002</v>
      </c>
      <c r="E148" s="2">
        <v>0.68</v>
      </c>
      <c r="F148" s="2">
        <v>75.42</v>
      </c>
      <c r="G148" s="2">
        <v>1.2</v>
      </c>
      <c r="H148" s="2">
        <v>58.01</v>
      </c>
      <c r="I148" s="2">
        <v>123</v>
      </c>
      <c r="J148" s="2">
        <v>0.61799999999999999</v>
      </c>
      <c r="K148" s="2">
        <v>0.22900000000000001</v>
      </c>
      <c r="L148" s="3"/>
      <c r="M148" s="2" t="str">
        <f t="shared" si="9"/>
        <v>01206</v>
      </c>
      <c r="N148" s="3">
        <v>9.7218090918276587E-2</v>
      </c>
      <c r="O148" s="3">
        <v>1.9027819090817237</v>
      </c>
      <c r="P148" s="17">
        <v>9.7218090918277628E-2</v>
      </c>
      <c r="Q148" s="3">
        <v>4.2162180587757323</v>
      </c>
      <c r="R148" s="3">
        <v>7.5458676156440238E-2</v>
      </c>
      <c r="S148" s="3">
        <v>2.2736191304761993E-2</v>
      </c>
      <c r="T148" s="3">
        <v>9.7218090918277225E-2</v>
      </c>
      <c r="U148" s="3">
        <v>9.7218090918276531E-2</v>
      </c>
      <c r="V148" s="3">
        <v>1.9027819090817175</v>
      </c>
      <c r="W148" s="3">
        <v>1.1740301775046762</v>
      </c>
      <c r="X148" s="3">
        <v>1.8905029959968269</v>
      </c>
      <c r="Y148" s="3">
        <v>2.867028279967498</v>
      </c>
      <c r="Z148" s="3">
        <v>5.6910933557187224</v>
      </c>
      <c r="AA148" s="3">
        <v>2.728342956571439E-2</v>
      </c>
      <c r="AB148" s="3">
        <v>5.6396214541692613</v>
      </c>
      <c r="AC148" s="3">
        <v>11.957825182948014</v>
      </c>
      <c r="AD148" s="3">
        <v>1.1759192198125015</v>
      </c>
      <c r="AE148" s="3">
        <v>0.26885291064857086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0</v>
      </c>
      <c r="AQ148" s="3">
        <v>0</v>
      </c>
      <c r="AR148" s="3">
        <v>0</v>
      </c>
      <c r="AS148" s="3">
        <v>0</v>
      </c>
      <c r="AT148" s="3">
        <v>0</v>
      </c>
      <c r="AU148" s="3">
        <v>0</v>
      </c>
      <c r="AV148" s="3">
        <v>0</v>
      </c>
      <c r="AW148" s="3">
        <v>0</v>
      </c>
      <c r="AX148" s="3">
        <v>0</v>
      </c>
      <c r="AY148" s="3">
        <v>0</v>
      </c>
      <c r="AZ148" s="3">
        <v>0</v>
      </c>
      <c r="BA148" s="10">
        <v>0</v>
      </c>
      <c r="BB148" s="10">
        <v>0</v>
      </c>
      <c r="BC148" s="10">
        <v>0</v>
      </c>
      <c r="BD148" s="10">
        <v>0</v>
      </c>
      <c r="BE148" s="10">
        <v>0</v>
      </c>
      <c r="BF148" s="10">
        <v>0</v>
      </c>
      <c r="BG148" s="10">
        <v>0</v>
      </c>
      <c r="BH148" s="10">
        <v>0</v>
      </c>
      <c r="BI148" s="10">
        <v>0</v>
      </c>
      <c r="BJ148" s="10">
        <v>0</v>
      </c>
      <c r="BK148" s="10">
        <v>0</v>
      </c>
      <c r="BL148" s="10">
        <v>0</v>
      </c>
      <c r="BM148" s="10">
        <v>0</v>
      </c>
      <c r="BN148" s="10">
        <v>0</v>
      </c>
      <c r="BO148" s="10">
        <v>0</v>
      </c>
      <c r="BP148" s="10">
        <v>0</v>
      </c>
      <c r="BQ148" s="10">
        <v>0</v>
      </c>
      <c r="BR148" s="10">
        <v>0</v>
      </c>
      <c r="BS148" s="10">
        <v>0</v>
      </c>
      <c r="BT148" s="10">
        <v>0</v>
      </c>
      <c r="BU148" s="10">
        <v>0</v>
      </c>
      <c r="BV148" s="10">
        <v>0</v>
      </c>
      <c r="BW148" s="10">
        <v>0</v>
      </c>
      <c r="BX148" s="10">
        <v>0</v>
      </c>
      <c r="BY148" s="10">
        <v>0</v>
      </c>
      <c r="BZ148" s="10">
        <v>0</v>
      </c>
      <c r="CA148" s="10">
        <v>0</v>
      </c>
      <c r="CB148" s="10">
        <v>0</v>
      </c>
      <c r="CC148" s="10">
        <v>0</v>
      </c>
      <c r="CD148" s="10">
        <v>0</v>
      </c>
      <c r="CE148" s="10">
        <v>0</v>
      </c>
      <c r="CF148" s="10">
        <v>0</v>
      </c>
      <c r="CG148" s="10">
        <v>0</v>
      </c>
      <c r="CH148" s="10">
        <v>0</v>
      </c>
      <c r="CI148" s="10">
        <v>0</v>
      </c>
      <c r="CJ148" s="10">
        <v>0</v>
      </c>
      <c r="CK148" s="10">
        <v>0</v>
      </c>
      <c r="CL148" s="10">
        <v>0</v>
      </c>
      <c r="CM148" s="10">
        <v>0</v>
      </c>
      <c r="CN148" s="10">
        <v>0</v>
      </c>
      <c r="CO148" s="10">
        <v>0</v>
      </c>
      <c r="CP148" s="10">
        <v>0</v>
      </c>
      <c r="CQ148" s="10">
        <v>0</v>
      </c>
      <c r="CR148" s="10">
        <v>0</v>
      </c>
      <c r="CS148" s="10">
        <v>0.48707034463564197</v>
      </c>
      <c r="CT148" s="10">
        <v>0</v>
      </c>
      <c r="CU148" s="10">
        <v>0</v>
      </c>
      <c r="CV148" s="10">
        <v>0</v>
      </c>
      <c r="CW148" s="10">
        <v>0</v>
      </c>
      <c r="CX148" s="10">
        <v>0</v>
      </c>
      <c r="CY148" s="10">
        <v>0</v>
      </c>
      <c r="CZ148" s="10">
        <v>0</v>
      </c>
      <c r="DA148" s="10">
        <v>0</v>
      </c>
      <c r="DB148" s="10">
        <v>0</v>
      </c>
      <c r="DC148" s="10">
        <v>0</v>
      </c>
      <c r="DD148" s="10">
        <v>0.41325918211698659</v>
      </c>
      <c r="DE148" s="10">
        <v>0</v>
      </c>
      <c r="DF148" s="10">
        <v>0</v>
      </c>
      <c r="DG148" s="10">
        <v>0</v>
      </c>
      <c r="DH148" s="10">
        <v>0</v>
      </c>
      <c r="DI148" s="10">
        <v>0</v>
      </c>
      <c r="DJ148" s="10">
        <v>0</v>
      </c>
      <c r="DK148" s="10">
        <v>0</v>
      </c>
      <c r="DL148" s="10">
        <v>0</v>
      </c>
      <c r="DM148" s="10">
        <v>0</v>
      </c>
      <c r="DN148" s="10">
        <v>0</v>
      </c>
      <c r="DO148" s="10">
        <v>0</v>
      </c>
      <c r="DP148" s="10">
        <v>0</v>
      </c>
      <c r="DQ148" s="10">
        <v>0</v>
      </c>
      <c r="DR148" s="10">
        <v>0</v>
      </c>
      <c r="DS148" s="10">
        <v>0</v>
      </c>
      <c r="DT148" s="10">
        <v>0</v>
      </c>
      <c r="DU148" s="10">
        <v>0</v>
      </c>
      <c r="DV148" s="10">
        <v>0</v>
      </c>
      <c r="DW148" s="10">
        <v>0</v>
      </c>
      <c r="DX148" s="10">
        <v>0</v>
      </c>
      <c r="DY148" s="10">
        <v>0</v>
      </c>
      <c r="DZ148" s="10">
        <v>0</v>
      </c>
      <c r="EA148" s="10">
        <v>0</v>
      </c>
      <c r="EB148" s="10">
        <v>0</v>
      </c>
      <c r="EC148" s="10">
        <v>0</v>
      </c>
      <c r="ED148" s="10">
        <v>0</v>
      </c>
      <c r="EE148" s="10">
        <v>0</v>
      </c>
      <c r="EF148" s="10">
        <v>0</v>
      </c>
      <c r="EG148" s="10">
        <v>0</v>
      </c>
      <c r="EH148" s="10">
        <v>0</v>
      </c>
      <c r="EI148" s="10">
        <v>0</v>
      </c>
      <c r="EJ148" s="10">
        <v>0</v>
      </c>
      <c r="EK148" s="10">
        <v>0</v>
      </c>
      <c r="EL148" s="10">
        <v>0</v>
      </c>
      <c r="EM148" s="10">
        <v>0</v>
      </c>
      <c r="EN148" s="10">
        <v>0</v>
      </c>
      <c r="EO148" s="10">
        <v>0</v>
      </c>
      <c r="EP148" s="10">
        <v>0</v>
      </c>
      <c r="EQ148" s="10">
        <v>0</v>
      </c>
      <c r="ER148" s="10">
        <v>0</v>
      </c>
      <c r="ES148" s="10">
        <v>0</v>
      </c>
      <c r="ET148" s="10">
        <v>0</v>
      </c>
      <c r="EU148" s="10">
        <v>0</v>
      </c>
      <c r="EV148" s="10">
        <v>0</v>
      </c>
      <c r="EW148" s="10">
        <v>0</v>
      </c>
      <c r="EX148" s="10">
        <v>0</v>
      </c>
      <c r="EY148" s="10">
        <v>0</v>
      </c>
      <c r="EZ148" s="10">
        <v>0</v>
      </c>
      <c r="FA148" s="10">
        <v>0</v>
      </c>
      <c r="FB148" s="10">
        <v>0</v>
      </c>
      <c r="FC148" s="10">
        <v>0</v>
      </c>
      <c r="FD148" s="10">
        <v>0</v>
      </c>
      <c r="FE148" s="10">
        <v>0</v>
      </c>
      <c r="FF148" s="10">
        <v>0</v>
      </c>
      <c r="FG148" s="10">
        <v>0</v>
      </c>
      <c r="FH148" s="10">
        <v>0</v>
      </c>
      <c r="FI148" s="10">
        <v>0</v>
      </c>
      <c r="FJ148" s="10">
        <v>0</v>
      </c>
      <c r="FK148" s="10">
        <v>0</v>
      </c>
      <c r="FL148" s="10">
        <v>0</v>
      </c>
      <c r="FM148" s="10">
        <v>0</v>
      </c>
      <c r="FN148" s="10">
        <v>0</v>
      </c>
      <c r="FO148" s="10">
        <v>0</v>
      </c>
      <c r="FP148" s="10">
        <v>0</v>
      </c>
      <c r="FQ148" s="10">
        <v>0</v>
      </c>
      <c r="FR148" s="10">
        <v>0</v>
      </c>
      <c r="FS148" s="10">
        <v>0</v>
      </c>
      <c r="FT148" s="10">
        <v>0</v>
      </c>
      <c r="FU148" s="10">
        <v>0</v>
      </c>
      <c r="FV148" s="10">
        <v>0</v>
      </c>
      <c r="FW148" s="10">
        <v>0</v>
      </c>
      <c r="FX148" s="10">
        <v>0</v>
      </c>
      <c r="FY148" s="10">
        <v>0</v>
      </c>
      <c r="FZ148" s="10">
        <v>0</v>
      </c>
      <c r="GA148" s="10">
        <v>0</v>
      </c>
      <c r="GB148" s="10">
        <v>0</v>
      </c>
      <c r="GC148" s="10">
        <v>0</v>
      </c>
      <c r="GD148" s="10">
        <v>0</v>
      </c>
      <c r="GE148" s="10">
        <v>0</v>
      </c>
      <c r="GF148" s="10">
        <v>0</v>
      </c>
      <c r="GG148" s="10">
        <v>0</v>
      </c>
      <c r="GH148" s="10">
        <v>0</v>
      </c>
      <c r="GI148" s="10">
        <v>0</v>
      </c>
      <c r="GJ148" s="10">
        <v>0</v>
      </c>
      <c r="GK148" s="10">
        <v>0</v>
      </c>
      <c r="GL148" s="10">
        <v>0</v>
      </c>
      <c r="GM148" s="10">
        <v>0</v>
      </c>
      <c r="GN148" s="10">
        <v>0</v>
      </c>
      <c r="GO148" s="10">
        <v>0</v>
      </c>
      <c r="GP148" s="10">
        <v>0</v>
      </c>
      <c r="GQ148" s="10">
        <v>0</v>
      </c>
      <c r="GR148" s="10">
        <v>0</v>
      </c>
      <c r="GS148" s="10">
        <v>0</v>
      </c>
      <c r="GT148" s="10">
        <v>0</v>
      </c>
      <c r="GU148" s="10">
        <v>0</v>
      </c>
      <c r="GV148" s="10">
        <v>6.0694145296350983E-2</v>
      </c>
      <c r="GW148" s="10">
        <v>0</v>
      </c>
      <c r="GX148" s="10">
        <v>0</v>
      </c>
      <c r="GY148" s="10">
        <v>0</v>
      </c>
      <c r="GZ148" s="10">
        <v>0</v>
      </c>
      <c r="HA148" s="10">
        <v>0</v>
      </c>
      <c r="HB148" s="10">
        <v>0</v>
      </c>
      <c r="HC148" s="10">
        <v>0</v>
      </c>
      <c r="HD148" s="10">
        <v>0</v>
      </c>
      <c r="HE148" s="10">
        <v>0</v>
      </c>
      <c r="HF148" s="10">
        <v>0</v>
      </c>
      <c r="HG148" s="10">
        <v>3.8976327951020559E-2</v>
      </c>
      <c r="HH148" s="10">
        <v>0</v>
      </c>
      <c r="HI148" s="10">
        <v>0</v>
      </c>
      <c r="HJ148" s="10">
        <v>0</v>
      </c>
      <c r="HK148" s="10">
        <v>0</v>
      </c>
      <c r="HL148" s="10">
        <v>0</v>
      </c>
      <c r="HM148" s="10">
        <v>0</v>
      </c>
      <c r="HN148" s="10">
        <v>0</v>
      </c>
      <c r="HO148" s="10">
        <v>0</v>
      </c>
      <c r="HP148" s="10">
        <v>0</v>
      </c>
      <c r="HQ148" s="10">
        <v>0</v>
      </c>
      <c r="HR148" s="10">
        <v>0</v>
      </c>
      <c r="HS148" s="10">
        <v>0</v>
      </c>
      <c r="HT148" s="10">
        <v>0</v>
      </c>
      <c r="HU148" s="10">
        <v>0</v>
      </c>
    </row>
    <row r="149" spans="1:229" x14ac:dyDescent="0.25">
      <c r="A149" s="10">
        <v>0</v>
      </c>
      <c r="B149" s="2" t="s">
        <v>286</v>
      </c>
      <c r="C149" s="2" t="s">
        <v>287</v>
      </c>
      <c r="D149" s="2">
        <v>11.3</v>
      </c>
      <c r="E149" s="2">
        <v>24.7</v>
      </c>
      <c r="F149" s="2">
        <v>3.5</v>
      </c>
      <c r="G149" s="2">
        <v>0</v>
      </c>
      <c r="H149" s="2">
        <v>0.55000000000000004</v>
      </c>
      <c r="I149" s="2">
        <v>615</v>
      </c>
      <c r="J149" s="2">
        <v>4.8899999999999997</v>
      </c>
      <c r="K149" s="2">
        <v>0.51</v>
      </c>
      <c r="L149" s="3"/>
      <c r="M149" s="2" t="str">
        <f t="shared" si="9"/>
        <v>01208</v>
      </c>
      <c r="N149" s="3">
        <v>0.60007323332647144</v>
      </c>
      <c r="O149" s="3">
        <v>1.3999267666735287</v>
      </c>
      <c r="P149" s="17">
        <v>0.60007323332628881</v>
      </c>
      <c r="Q149" s="3">
        <v>1.3999267666735284</v>
      </c>
      <c r="R149" s="3">
        <v>0.81445938752141767</v>
      </c>
      <c r="S149" s="3" t="e">
        <v>#DIV/0!</v>
      </c>
      <c r="T149" s="3">
        <v>0.60007323332650508</v>
      </c>
      <c r="U149" s="3">
        <v>0.60007323332647189</v>
      </c>
      <c r="V149" s="3">
        <v>1.4555943958496438</v>
      </c>
      <c r="W149" s="3">
        <v>5.993125420538159</v>
      </c>
      <c r="X149" s="3">
        <v>6.7808275365870641</v>
      </c>
      <c r="Y149" s="3">
        <v>34.578191136836153</v>
      </c>
      <c r="Z149" s="3">
        <v>2.8506078563249617</v>
      </c>
      <c r="AA149" s="3">
        <v>9.8766700740857458E-2</v>
      </c>
      <c r="AB149" s="3">
        <v>0.33004027832957783</v>
      </c>
      <c r="AC149" s="3">
        <v>369.0450384957802</v>
      </c>
      <c r="AD149" s="3">
        <v>7.1178565957047573</v>
      </c>
      <c r="AE149" s="3">
        <v>3.0564939644744613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0</v>
      </c>
      <c r="AV149" s="3">
        <v>0</v>
      </c>
      <c r="AW149" s="3">
        <v>0</v>
      </c>
      <c r="AX149" s="3">
        <v>0</v>
      </c>
      <c r="AY149" s="3">
        <v>0</v>
      </c>
      <c r="AZ149" s="3">
        <v>0</v>
      </c>
      <c r="BA149" s="10">
        <v>0</v>
      </c>
      <c r="BB149" s="10">
        <v>0</v>
      </c>
      <c r="BC149" s="10">
        <v>0</v>
      </c>
      <c r="BD149" s="10">
        <v>0</v>
      </c>
      <c r="BE149" s="10">
        <v>0</v>
      </c>
      <c r="BF149" s="10">
        <v>0</v>
      </c>
      <c r="BG149" s="10">
        <v>0</v>
      </c>
      <c r="BH149" s="10">
        <v>0</v>
      </c>
      <c r="BI149" s="10">
        <v>0</v>
      </c>
      <c r="BJ149" s="10">
        <v>0</v>
      </c>
      <c r="BK149" s="10">
        <v>0</v>
      </c>
      <c r="BL149" s="10">
        <v>0</v>
      </c>
      <c r="BM149" s="10">
        <v>0</v>
      </c>
      <c r="BN149" s="10">
        <v>0</v>
      </c>
      <c r="BO149" s="10">
        <v>0</v>
      </c>
      <c r="BP149" s="10">
        <v>0</v>
      </c>
      <c r="BQ149" s="10">
        <v>0</v>
      </c>
      <c r="BR149" s="10">
        <v>0</v>
      </c>
      <c r="BS149" s="10">
        <v>0</v>
      </c>
      <c r="BT149" s="10">
        <v>0</v>
      </c>
      <c r="BU149" s="10">
        <v>0</v>
      </c>
      <c r="BV149" s="10">
        <v>0</v>
      </c>
      <c r="BW149" s="10">
        <v>0</v>
      </c>
      <c r="BX149" s="10">
        <v>0</v>
      </c>
      <c r="BY149" s="10">
        <v>0</v>
      </c>
      <c r="BZ149" s="10">
        <v>0</v>
      </c>
      <c r="CA149" s="10">
        <v>0</v>
      </c>
      <c r="CB149" s="10">
        <v>0</v>
      </c>
      <c r="CC149" s="10">
        <v>0</v>
      </c>
      <c r="CD149" s="10">
        <v>0</v>
      </c>
      <c r="CE149" s="10">
        <v>0</v>
      </c>
      <c r="CF149" s="10">
        <v>0</v>
      </c>
      <c r="CG149" s="10">
        <v>0</v>
      </c>
      <c r="CH149" s="10">
        <v>0</v>
      </c>
      <c r="CI149" s="10">
        <v>0</v>
      </c>
      <c r="CJ149" s="10">
        <v>0</v>
      </c>
      <c r="CK149" s="10">
        <v>0</v>
      </c>
      <c r="CL149" s="10">
        <v>0</v>
      </c>
      <c r="CM149" s="10">
        <v>0</v>
      </c>
      <c r="CN149" s="10">
        <v>0</v>
      </c>
      <c r="CO149" s="10">
        <v>0</v>
      </c>
      <c r="CP149" s="10">
        <v>0</v>
      </c>
      <c r="CQ149" s="10">
        <v>0</v>
      </c>
      <c r="CR149" s="10">
        <v>0</v>
      </c>
      <c r="CS149" s="10">
        <v>0</v>
      </c>
      <c r="CT149" s="10">
        <v>0</v>
      </c>
      <c r="CU149" s="10">
        <v>0</v>
      </c>
      <c r="CV149" s="10">
        <v>0</v>
      </c>
      <c r="CW149" s="10">
        <v>0</v>
      </c>
      <c r="CX149" s="10">
        <v>0</v>
      </c>
      <c r="CY149" s="10">
        <v>0</v>
      </c>
      <c r="CZ149" s="10">
        <v>0</v>
      </c>
      <c r="DA149" s="10">
        <v>0</v>
      </c>
      <c r="DB149" s="10">
        <v>0</v>
      </c>
      <c r="DC149" s="10">
        <v>0</v>
      </c>
      <c r="DD149" s="10">
        <v>0</v>
      </c>
      <c r="DE149" s="10">
        <v>0</v>
      </c>
      <c r="DF149" s="10">
        <v>0</v>
      </c>
      <c r="DG149" s="10">
        <v>0</v>
      </c>
      <c r="DH149" s="10">
        <v>0</v>
      </c>
      <c r="DI149" s="10">
        <v>0</v>
      </c>
      <c r="DJ149" s="10">
        <v>0</v>
      </c>
      <c r="DK149" s="10">
        <v>0</v>
      </c>
      <c r="DL149" s="10">
        <v>0</v>
      </c>
      <c r="DM149" s="10">
        <v>0</v>
      </c>
      <c r="DN149" s="10">
        <v>0</v>
      </c>
      <c r="DO149" s="10">
        <v>0</v>
      </c>
      <c r="DP149" s="10">
        <v>0</v>
      </c>
      <c r="DQ149" s="10">
        <v>0</v>
      </c>
      <c r="DR149" s="10">
        <v>0</v>
      </c>
      <c r="DS149" s="10">
        <v>0</v>
      </c>
      <c r="DT149" s="10">
        <v>0.6059185288807003</v>
      </c>
      <c r="DU149" s="10">
        <v>0</v>
      </c>
      <c r="DV149" s="10">
        <v>0</v>
      </c>
      <c r="DW149" s="10">
        <v>0</v>
      </c>
      <c r="DX149" s="10">
        <v>0</v>
      </c>
      <c r="DY149" s="10">
        <v>0</v>
      </c>
      <c r="DZ149" s="10">
        <v>0.27212687130611429</v>
      </c>
      <c r="EA149" s="10">
        <v>0</v>
      </c>
      <c r="EB149" s="10">
        <v>0</v>
      </c>
      <c r="EC149" s="10">
        <v>0</v>
      </c>
      <c r="ED149" s="10">
        <v>0</v>
      </c>
      <c r="EE149" s="10">
        <v>0</v>
      </c>
      <c r="EF149" s="10">
        <v>0</v>
      </c>
      <c r="EG149" s="10">
        <v>0</v>
      </c>
      <c r="EH149" s="10">
        <v>0</v>
      </c>
      <c r="EI149" s="10">
        <v>0</v>
      </c>
      <c r="EJ149" s="10">
        <v>0</v>
      </c>
      <c r="EK149" s="10">
        <v>0</v>
      </c>
      <c r="EL149" s="10">
        <v>0</v>
      </c>
      <c r="EM149" s="10">
        <v>0</v>
      </c>
      <c r="EN149" s="10">
        <v>0</v>
      </c>
      <c r="EO149" s="10">
        <v>0</v>
      </c>
      <c r="EP149" s="10">
        <v>0</v>
      </c>
      <c r="EQ149" s="10">
        <v>0</v>
      </c>
      <c r="ER149" s="10">
        <v>0</v>
      </c>
      <c r="ES149" s="10">
        <v>0</v>
      </c>
      <c r="ET149" s="10">
        <v>7.2571249442756905E-2</v>
      </c>
      <c r="EU149" s="10">
        <v>0</v>
      </c>
      <c r="EV149" s="10">
        <v>0</v>
      </c>
      <c r="EW149" s="10">
        <v>0</v>
      </c>
      <c r="EX149" s="10">
        <v>0</v>
      </c>
      <c r="EY149" s="10">
        <v>0</v>
      </c>
      <c r="EZ149" s="10">
        <v>0</v>
      </c>
      <c r="FA149" s="10">
        <v>0</v>
      </c>
      <c r="FB149" s="10">
        <v>0</v>
      </c>
      <c r="FC149" s="10">
        <v>0</v>
      </c>
      <c r="FD149" s="10">
        <v>0</v>
      </c>
      <c r="FE149" s="10">
        <v>0</v>
      </c>
      <c r="FF149" s="10">
        <v>0</v>
      </c>
      <c r="FG149" s="10">
        <v>0</v>
      </c>
      <c r="FH149" s="10">
        <v>0</v>
      </c>
      <c r="FI149" s="10">
        <v>0</v>
      </c>
      <c r="FJ149" s="10">
        <v>0</v>
      </c>
      <c r="FK149" s="10">
        <v>0</v>
      </c>
      <c r="FL149" s="10">
        <v>0</v>
      </c>
      <c r="FM149" s="10">
        <v>0</v>
      </c>
      <c r="FN149" s="10">
        <v>0</v>
      </c>
      <c r="FO149" s="10">
        <v>0</v>
      </c>
      <c r="FP149" s="10">
        <v>0</v>
      </c>
      <c r="FQ149" s="10">
        <v>0</v>
      </c>
      <c r="FR149" s="10">
        <v>0</v>
      </c>
      <c r="FS149" s="10">
        <v>0</v>
      </c>
      <c r="FT149" s="10">
        <v>0</v>
      </c>
      <c r="FU149" s="10">
        <v>0</v>
      </c>
      <c r="FV149" s="10">
        <v>0</v>
      </c>
      <c r="FW149" s="10">
        <v>0</v>
      </c>
      <c r="FX149" s="10">
        <v>0</v>
      </c>
      <c r="FY149" s="10">
        <v>0</v>
      </c>
      <c r="FZ149" s="10">
        <v>0</v>
      </c>
      <c r="GA149" s="10">
        <v>0</v>
      </c>
      <c r="GB149" s="10">
        <v>4.9383350370428729E-2</v>
      </c>
      <c r="GC149" s="10">
        <v>0</v>
      </c>
      <c r="GD149" s="10">
        <v>0</v>
      </c>
      <c r="GE149" s="10">
        <v>0</v>
      </c>
      <c r="GF149" s="10">
        <v>0</v>
      </c>
      <c r="GG149" s="10">
        <v>0</v>
      </c>
      <c r="GH149" s="10">
        <v>0</v>
      </c>
      <c r="GI149" s="10">
        <v>0</v>
      </c>
      <c r="GJ149" s="10">
        <v>0</v>
      </c>
      <c r="GK149" s="10">
        <v>0</v>
      </c>
      <c r="GL149" s="10">
        <v>0</v>
      </c>
      <c r="GM149" s="10">
        <v>0</v>
      </c>
      <c r="GN149" s="10">
        <v>0</v>
      </c>
      <c r="GO149" s="10">
        <v>0</v>
      </c>
      <c r="GP149" s="10">
        <v>0</v>
      </c>
      <c r="GQ149" s="10">
        <v>0</v>
      </c>
      <c r="GR149" s="10">
        <v>0</v>
      </c>
      <c r="GS149" s="10">
        <v>0</v>
      </c>
      <c r="GT149" s="10">
        <v>0</v>
      </c>
      <c r="GU149" s="10">
        <v>0</v>
      </c>
      <c r="GV149" s="10">
        <v>0</v>
      </c>
      <c r="GW149" s="10">
        <v>0</v>
      </c>
      <c r="GX149" s="10">
        <v>0</v>
      </c>
      <c r="GY149" s="10">
        <v>0</v>
      </c>
      <c r="GZ149" s="10">
        <v>0</v>
      </c>
      <c r="HA149" s="10">
        <v>0</v>
      </c>
      <c r="HB149" s="10">
        <v>0</v>
      </c>
      <c r="HC149" s="10">
        <v>0</v>
      </c>
      <c r="HD149" s="10">
        <v>0</v>
      </c>
      <c r="HE149" s="10">
        <v>0</v>
      </c>
      <c r="HF149" s="10">
        <v>0</v>
      </c>
      <c r="HG149" s="10">
        <v>0</v>
      </c>
      <c r="HH149" s="10">
        <v>0</v>
      </c>
      <c r="HI149" s="10">
        <v>0</v>
      </c>
      <c r="HJ149" s="10">
        <v>0</v>
      </c>
      <c r="HK149" s="10">
        <v>0</v>
      </c>
      <c r="HL149" s="10">
        <v>0</v>
      </c>
      <c r="HM149" s="10">
        <v>0</v>
      </c>
      <c r="HN149" s="10">
        <v>0</v>
      </c>
      <c r="HO149" s="10">
        <v>0</v>
      </c>
      <c r="HP149" s="10">
        <v>0</v>
      </c>
      <c r="HQ149" s="10">
        <v>0</v>
      </c>
      <c r="HR149" s="10">
        <v>0</v>
      </c>
      <c r="HS149" s="10">
        <v>0</v>
      </c>
      <c r="HT149" s="10">
        <v>0</v>
      </c>
      <c r="HU149" s="10">
        <v>0</v>
      </c>
    </row>
    <row r="150" spans="1:229" x14ac:dyDescent="0.25">
      <c r="A150" s="10">
        <v>0</v>
      </c>
      <c r="B150" s="2" t="s">
        <v>288</v>
      </c>
      <c r="C150" s="2" t="s">
        <v>289</v>
      </c>
      <c r="D150" s="2">
        <v>10.305</v>
      </c>
      <c r="E150" s="2">
        <v>35.6</v>
      </c>
      <c r="F150" s="2">
        <v>23.97</v>
      </c>
      <c r="G150" s="2"/>
      <c r="H150" s="2">
        <v>2.46</v>
      </c>
      <c r="I150" s="2">
        <v>576</v>
      </c>
      <c r="J150" s="2">
        <v>13.744999999999999</v>
      </c>
      <c r="K150" s="2">
        <v>7.5549999999999997</v>
      </c>
      <c r="L150" s="3"/>
      <c r="M150" s="2" t="str">
        <f t="shared" si="9"/>
        <v>01210</v>
      </c>
      <c r="N150" s="3">
        <v>0.86741881488665107</v>
      </c>
      <c r="O150" s="3">
        <v>1.1325811851133492</v>
      </c>
      <c r="P150" s="17">
        <v>0.8674188148869616</v>
      </c>
      <c r="Q150" s="3">
        <v>1.3278156154761627</v>
      </c>
      <c r="R150" s="3">
        <v>0.34526554391267522</v>
      </c>
      <c r="S150" s="3" t="e">
        <v>#DIV/0!</v>
      </c>
      <c r="T150" s="3">
        <v>0.84897431232526299</v>
      </c>
      <c r="U150" s="3">
        <v>0.81232474064077642</v>
      </c>
      <c r="V150" s="3">
        <v>1.1325811851133936</v>
      </c>
      <c r="W150" s="3">
        <v>0.56529677739295747</v>
      </c>
      <c r="X150" s="3">
        <v>8.9387508874101389</v>
      </c>
      <c r="Y150" s="3">
        <v>47.270235910951392</v>
      </c>
      <c r="Z150" s="3">
        <v>8.2760150875868241</v>
      </c>
      <c r="AA150" s="3">
        <v>2.5968800944085886</v>
      </c>
      <c r="AB150" s="3">
        <v>2.0884768083201468</v>
      </c>
      <c r="AC150" s="3">
        <v>467.89905060908723</v>
      </c>
      <c r="AD150" s="3">
        <v>15.567328389383594</v>
      </c>
      <c r="AE150" s="3">
        <v>4.2708171532037937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0</v>
      </c>
      <c r="AV150" s="3">
        <v>0</v>
      </c>
      <c r="AW150" s="3">
        <v>0</v>
      </c>
      <c r="AX150" s="3">
        <v>0</v>
      </c>
      <c r="AY150" s="3">
        <v>0</v>
      </c>
      <c r="AZ150" s="3">
        <v>0</v>
      </c>
      <c r="BA150" s="10">
        <v>0</v>
      </c>
      <c r="BB150" s="10">
        <v>0</v>
      </c>
      <c r="BC150" s="10">
        <v>0</v>
      </c>
      <c r="BD150" s="10">
        <v>0</v>
      </c>
      <c r="BE150" s="10">
        <v>0</v>
      </c>
      <c r="BF150" s="10">
        <v>0</v>
      </c>
      <c r="BG150" s="10">
        <v>0</v>
      </c>
      <c r="BH150" s="10">
        <v>0</v>
      </c>
      <c r="BI150" s="10">
        <v>0</v>
      </c>
      <c r="BJ150" s="10">
        <v>0</v>
      </c>
      <c r="BK150" s="10">
        <v>0</v>
      </c>
      <c r="BL150" s="10">
        <v>0</v>
      </c>
      <c r="BM150" s="10">
        <v>0</v>
      </c>
      <c r="BN150" s="10">
        <v>0</v>
      </c>
      <c r="BO150" s="10">
        <v>0</v>
      </c>
      <c r="BP150" s="10">
        <v>0</v>
      </c>
      <c r="BQ150" s="10">
        <v>0</v>
      </c>
      <c r="BR150" s="10">
        <v>0</v>
      </c>
      <c r="BS150" s="10">
        <v>0</v>
      </c>
      <c r="BT150" s="10">
        <v>0</v>
      </c>
      <c r="BU150" s="10">
        <v>0</v>
      </c>
      <c r="BV150" s="10">
        <v>0</v>
      </c>
      <c r="BW150" s="10">
        <v>0</v>
      </c>
      <c r="BX150" s="10">
        <v>0</v>
      </c>
      <c r="BY150" s="10">
        <v>0</v>
      </c>
      <c r="BZ150" s="10">
        <v>0</v>
      </c>
      <c r="CA150" s="10">
        <v>0</v>
      </c>
      <c r="CB150" s="10">
        <v>0</v>
      </c>
      <c r="CC150" s="10">
        <v>0</v>
      </c>
      <c r="CD150" s="10">
        <v>0</v>
      </c>
      <c r="CE150" s="10">
        <v>0</v>
      </c>
      <c r="CF150" s="10">
        <v>0</v>
      </c>
      <c r="CG150" s="10">
        <v>0</v>
      </c>
      <c r="CH150" s="10">
        <v>0</v>
      </c>
      <c r="CI150" s="10">
        <v>0</v>
      </c>
      <c r="CJ150" s="10">
        <v>0</v>
      </c>
      <c r="CK150" s="10">
        <v>0</v>
      </c>
      <c r="CL150" s="10">
        <v>0</v>
      </c>
      <c r="CM150" s="10">
        <v>0</v>
      </c>
      <c r="CN150" s="10">
        <v>0</v>
      </c>
      <c r="CO150" s="10">
        <v>0</v>
      </c>
      <c r="CP150" s="10">
        <v>0</v>
      </c>
      <c r="CQ150" s="10">
        <v>0</v>
      </c>
      <c r="CR150" s="10">
        <v>0</v>
      </c>
      <c r="CS150" s="10">
        <v>0</v>
      </c>
      <c r="CT150" s="10">
        <v>0</v>
      </c>
      <c r="CU150" s="10">
        <v>0</v>
      </c>
      <c r="CV150" s="10">
        <v>0</v>
      </c>
      <c r="CW150" s="10">
        <v>0</v>
      </c>
      <c r="CX150" s="10">
        <v>0</v>
      </c>
      <c r="CY150" s="10">
        <v>0</v>
      </c>
      <c r="CZ150" s="10">
        <v>0</v>
      </c>
      <c r="DA150" s="10">
        <v>0</v>
      </c>
      <c r="DB150" s="10">
        <v>0</v>
      </c>
      <c r="DC150" s="10">
        <v>0</v>
      </c>
      <c r="DD150" s="10">
        <v>0</v>
      </c>
      <c r="DE150" s="10">
        <v>0</v>
      </c>
      <c r="DF150" s="10">
        <v>0</v>
      </c>
      <c r="DG150" s="10">
        <v>0</v>
      </c>
      <c r="DH150" s="10">
        <v>0</v>
      </c>
      <c r="DI150" s="10">
        <v>0</v>
      </c>
      <c r="DJ150" s="10">
        <v>0</v>
      </c>
      <c r="DK150" s="10">
        <v>0</v>
      </c>
      <c r="DL150" s="10">
        <v>0</v>
      </c>
      <c r="DM150" s="10">
        <v>0</v>
      </c>
      <c r="DN150" s="10">
        <v>0</v>
      </c>
      <c r="DO150" s="10">
        <v>0</v>
      </c>
      <c r="DP150" s="10">
        <v>0</v>
      </c>
      <c r="DQ150" s="10">
        <v>0</v>
      </c>
      <c r="DR150" s="10">
        <v>0</v>
      </c>
      <c r="DS150" s="10">
        <v>0</v>
      </c>
      <c r="DT150" s="10">
        <v>0</v>
      </c>
      <c r="DU150" s="10">
        <v>0</v>
      </c>
      <c r="DV150" s="10">
        <v>0</v>
      </c>
      <c r="DW150" s="10">
        <v>0</v>
      </c>
      <c r="DX150" s="10">
        <v>0</v>
      </c>
      <c r="DY150" s="10">
        <v>0.63424224022414244</v>
      </c>
      <c r="DZ150" s="10">
        <v>0</v>
      </c>
      <c r="EA150" s="10">
        <v>0</v>
      </c>
      <c r="EB150" s="10">
        <v>0</v>
      </c>
      <c r="EC150" s="10">
        <v>0</v>
      </c>
      <c r="ED150" s="10">
        <v>0</v>
      </c>
      <c r="EE150" s="10">
        <v>0</v>
      </c>
      <c r="EF150" s="10">
        <v>0</v>
      </c>
      <c r="EG150" s="10">
        <v>0</v>
      </c>
      <c r="EH150" s="10">
        <v>0</v>
      </c>
      <c r="EI150" s="10">
        <v>0</v>
      </c>
      <c r="EJ150" s="10">
        <v>0</v>
      </c>
      <c r="EK150" s="10">
        <v>0</v>
      </c>
      <c r="EL150" s="10">
        <v>0</v>
      </c>
      <c r="EM150" s="10">
        <v>0</v>
      </c>
      <c r="EN150" s="10">
        <v>0</v>
      </c>
      <c r="EO150" s="10">
        <v>0</v>
      </c>
      <c r="EP150" s="10">
        <v>0</v>
      </c>
      <c r="EQ150" s="10">
        <v>0</v>
      </c>
      <c r="ER150" s="10">
        <v>0</v>
      </c>
      <c r="ES150" s="10">
        <v>0</v>
      </c>
      <c r="ET150" s="10">
        <v>0</v>
      </c>
      <c r="EU150" s="10">
        <v>0</v>
      </c>
      <c r="EV150" s="10">
        <v>0</v>
      </c>
      <c r="EW150" s="10">
        <v>0</v>
      </c>
      <c r="EX150" s="10">
        <v>0</v>
      </c>
      <c r="EY150" s="10">
        <v>0</v>
      </c>
      <c r="EZ150" s="10">
        <v>0</v>
      </c>
      <c r="FA150" s="10">
        <v>0</v>
      </c>
      <c r="FB150" s="10">
        <v>0</v>
      </c>
      <c r="FC150" s="10">
        <v>0</v>
      </c>
      <c r="FD150" s="10">
        <v>0</v>
      </c>
      <c r="FE150" s="10">
        <v>0</v>
      </c>
      <c r="FF150" s="10">
        <v>0</v>
      </c>
      <c r="FG150" s="10">
        <v>0</v>
      </c>
      <c r="FH150" s="10">
        <v>0</v>
      </c>
      <c r="FI150" s="10">
        <v>0</v>
      </c>
      <c r="FJ150" s="10">
        <v>0</v>
      </c>
      <c r="FK150" s="10">
        <v>0</v>
      </c>
      <c r="FL150" s="10">
        <v>0</v>
      </c>
      <c r="FM150" s="10">
        <v>0</v>
      </c>
      <c r="FN150" s="10">
        <v>0</v>
      </c>
      <c r="FO150" s="10">
        <v>0</v>
      </c>
      <c r="FP150" s="10">
        <v>0</v>
      </c>
      <c r="FQ150" s="10">
        <v>0</v>
      </c>
      <c r="FR150" s="10">
        <v>0</v>
      </c>
      <c r="FS150" s="10">
        <v>0</v>
      </c>
      <c r="FT150" s="10">
        <v>0</v>
      </c>
      <c r="FU150" s="10">
        <v>0</v>
      </c>
      <c r="FV150" s="10">
        <v>0</v>
      </c>
      <c r="FW150" s="10">
        <v>0</v>
      </c>
      <c r="FX150" s="10">
        <v>0</v>
      </c>
      <c r="FY150" s="10">
        <v>0</v>
      </c>
      <c r="FZ150" s="10">
        <v>0</v>
      </c>
      <c r="GA150" s="10">
        <v>0.36575775977585756</v>
      </c>
      <c r="GB150" s="10">
        <v>0</v>
      </c>
      <c r="GC150" s="10">
        <v>0</v>
      </c>
      <c r="GD150" s="10">
        <v>0</v>
      </c>
      <c r="GE150" s="10">
        <v>0</v>
      </c>
      <c r="GF150" s="10">
        <v>0</v>
      </c>
      <c r="GG150" s="10">
        <v>0</v>
      </c>
      <c r="GH150" s="10">
        <v>0</v>
      </c>
      <c r="GI150" s="10">
        <v>0</v>
      </c>
      <c r="GJ150" s="10">
        <v>0</v>
      </c>
      <c r="GK150" s="10">
        <v>0</v>
      </c>
      <c r="GL150" s="10">
        <v>0</v>
      </c>
      <c r="GM150" s="10">
        <v>0</v>
      </c>
      <c r="GN150" s="10">
        <v>0</v>
      </c>
      <c r="GO150" s="10">
        <v>0</v>
      </c>
      <c r="GP150" s="10">
        <v>0</v>
      </c>
      <c r="GQ150" s="10">
        <v>0</v>
      </c>
      <c r="GR150" s="10">
        <v>0</v>
      </c>
      <c r="GS150" s="10">
        <v>0</v>
      </c>
      <c r="GT150" s="10">
        <v>0</v>
      </c>
      <c r="GU150" s="10">
        <v>0</v>
      </c>
      <c r="GV150" s="10">
        <v>0</v>
      </c>
      <c r="GW150" s="10">
        <v>0</v>
      </c>
      <c r="GX150" s="10">
        <v>0</v>
      </c>
      <c r="GY150" s="10">
        <v>0</v>
      </c>
      <c r="GZ150" s="10">
        <v>0</v>
      </c>
      <c r="HA150" s="10">
        <v>0</v>
      </c>
      <c r="HB150" s="10">
        <v>0</v>
      </c>
      <c r="HC150" s="10">
        <v>0</v>
      </c>
      <c r="HD150" s="10">
        <v>0</v>
      </c>
      <c r="HE150" s="10">
        <v>0</v>
      </c>
      <c r="HF150" s="10">
        <v>0</v>
      </c>
      <c r="HG150" s="10">
        <v>0</v>
      </c>
      <c r="HH150" s="10">
        <v>0</v>
      </c>
      <c r="HI150" s="10">
        <v>0</v>
      </c>
      <c r="HJ150" s="10">
        <v>0</v>
      </c>
      <c r="HK150" s="10">
        <v>0</v>
      </c>
      <c r="HL150" s="10">
        <v>0</v>
      </c>
      <c r="HM150" s="10">
        <v>0</v>
      </c>
      <c r="HN150" s="10">
        <v>0</v>
      </c>
      <c r="HO150" s="10">
        <v>0</v>
      </c>
      <c r="HP150" s="10">
        <v>0</v>
      </c>
      <c r="HQ150" s="10">
        <v>0</v>
      </c>
      <c r="HR150" s="10">
        <v>0</v>
      </c>
      <c r="HS150" s="10">
        <v>0</v>
      </c>
      <c r="HT150" s="10">
        <v>0</v>
      </c>
      <c r="HU150" s="10">
        <v>0</v>
      </c>
    </row>
    <row r="151" spans="1:229" x14ac:dyDescent="0.25">
      <c r="A151" s="10">
        <v>0</v>
      </c>
      <c r="B151" s="2" t="s">
        <v>290</v>
      </c>
      <c r="C151" s="2" t="s">
        <v>291</v>
      </c>
      <c r="D151" s="2">
        <v>1.865</v>
      </c>
      <c r="E151" s="2">
        <v>3.15</v>
      </c>
      <c r="F151" s="2">
        <v>4.78</v>
      </c>
      <c r="G151" s="2">
        <v>0</v>
      </c>
      <c r="H151" s="2">
        <v>5.05</v>
      </c>
      <c r="I151" s="2">
        <v>43</v>
      </c>
      <c r="J151" s="2">
        <v>0.81200000000000006</v>
      </c>
      <c r="K151" s="2">
        <v>0.19500000000000001</v>
      </c>
      <c r="L151" s="3"/>
      <c r="M151" s="2" t="str">
        <f t="shared" si="9"/>
        <v>01211</v>
      </c>
      <c r="N151" s="3">
        <v>0.66243005693569679</v>
      </c>
      <c r="O151" s="3">
        <v>1.3375699430643033</v>
      </c>
      <c r="P151" s="17">
        <v>0.66243005693565338</v>
      </c>
      <c r="Q151" s="3">
        <v>1.4615237287546112</v>
      </c>
      <c r="R151" s="3">
        <v>0.98996389586508915</v>
      </c>
      <c r="S151" s="3" t="e">
        <v>#DIV/0!</v>
      </c>
      <c r="T151" s="3">
        <v>0.66243005693569634</v>
      </c>
      <c r="U151" s="3">
        <v>0.66243005693569645</v>
      </c>
      <c r="V151" s="3">
        <v>1.3375699430642809</v>
      </c>
      <c r="W151" s="3">
        <v>1.6995135526423082</v>
      </c>
      <c r="X151" s="3">
        <v>1.2354320561849936</v>
      </c>
      <c r="Y151" s="3">
        <v>4.6037997455770254</v>
      </c>
      <c r="Z151" s="3">
        <v>4.7320274222351264</v>
      </c>
      <c r="AA151" s="3">
        <v>0</v>
      </c>
      <c r="AB151" s="3">
        <v>3.3452717875252667</v>
      </c>
      <c r="AC151" s="3">
        <v>28.484492448234949</v>
      </c>
      <c r="AD151" s="3">
        <v>1.0861067937681961</v>
      </c>
      <c r="AE151" s="3">
        <v>0.33140514276525013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3">
        <v>0</v>
      </c>
      <c r="AW151" s="3">
        <v>0</v>
      </c>
      <c r="AX151" s="3">
        <v>0</v>
      </c>
      <c r="AY151" s="3">
        <v>0</v>
      </c>
      <c r="AZ151" s="3">
        <v>0</v>
      </c>
      <c r="BA151" s="10">
        <v>0</v>
      </c>
      <c r="BB151" s="10">
        <v>0</v>
      </c>
      <c r="BC151" s="10">
        <v>0</v>
      </c>
      <c r="BD151" s="10">
        <v>0</v>
      </c>
      <c r="BE151" s="10">
        <v>0</v>
      </c>
      <c r="BF151" s="10">
        <v>0</v>
      </c>
      <c r="BG151" s="10">
        <v>0</v>
      </c>
      <c r="BH151" s="10">
        <v>0</v>
      </c>
      <c r="BI151" s="10">
        <v>0</v>
      </c>
      <c r="BJ151" s="10">
        <v>0</v>
      </c>
      <c r="BK151" s="10">
        <v>0</v>
      </c>
      <c r="BL151" s="10">
        <v>0</v>
      </c>
      <c r="BM151" s="10">
        <v>0</v>
      </c>
      <c r="BN151" s="10">
        <v>0</v>
      </c>
      <c r="BO151" s="10">
        <v>0</v>
      </c>
      <c r="BP151" s="10">
        <v>0</v>
      </c>
      <c r="BQ151" s="10">
        <v>0</v>
      </c>
      <c r="BR151" s="10">
        <v>0</v>
      </c>
      <c r="BS151" s="10">
        <v>0</v>
      </c>
      <c r="BT151" s="10">
        <v>0</v>
      </c>
      <c r="BU151" s="10">
        <v>0</v>
      </c>
      <c r="BV151" s="10">
        <v>0</v>
      </c>
      <c r="BW151" s="10">
        <v>0</v>
      </c>
      <c r="BX151" s="10">
        <v>0</v>
      </c>
      <c r="BY151" s="10">
        <v>0</v>
      </c>
      <c r="BZ151" s="10">
        <v>0</v>
      </c>
      <c r="CA151" s="10">
        <v>0.27336090103147431</v>
      </c>
      <c r="CB151" s="10">
        <v>0</v>
      </c>
      <c r="CC151" s="10">
        <v>0</v>
      </c>
      <c r="CD151" s="10">
        <v>0</v>
      </c>
      <c r="CE151" s="10">
        <v>0</v>
      </c>
      <c r="CF151" s="10">
        <v>0</v>
      </c>
      <c r="CG151" s="10">
        <v>0</v>
      </c>
      <c r="CH151" s="10">
        <v>0</v>
      </c>
      <c r="CI151" s="10">
        <v>0</v>
      </c>
      <c r="CJ151" s="10">
        <v>0</v>
      </c>
      <c r="CK151" s="10">
        <v>0</v>
      </c>
      <c r="CL151" s="10">
        <v>0</v>
      </c>
      <c r="CM151" s="10">
        <v>0</v>
      </c>
      <c r="CN151" s="10">
        <v>0</v>
      </c>
      <c r="CO151" s="10">
        <v>0</v>
      </c>
      <c r="CP151" s="10">
        <v>0</v>
      </c>
      <c r="CQ151" s="10">
        <v>0</v>
      </c>
      <c r="CR151" s="10">
        <v>0</v>
      </c>
      <c r="CS151" s="10">
        <v>0.30385992184154753</v>
      </c>
      <c r="CT151" s="10">
        <v>0</v>
      </c>
      <c r="CU151" s="10">
        <v>0</v>
      </c>
      <c r="CV151" s="10">
        <v>0</v>
      </c>
      <c r="CW151" s="10">
        <v>0</v>
      </c>
      <c r="CX151" s="10">
        <v>0</v>
      </c>
      <c r="CY151" s="10">
        <v>0</v>
      </c>
      <c r="CZ151" s="10">
        <v>0</v>
      </c>
      <c r="DA151" s="10">
        <v>0</v>
      </c>
      <c r="DB151" s="10">
        <v>0</v>
      </c>
      <c r="DC151" s="10">
        <v>0</v>
      </c>
      <c r="DD151" s="10">
        <v>0.16993205540289191</v>
      </c>
      <c r="DE151" s="10">
        <v>0</v>
      </c>
      <c r="DF151" s="10">
        <v>0</v>
      </c>
      <c r="DG151" s="10">
        <v>0</v>
      </c>
      <c r="DH151" s="10">
        <v>0</v>
      </c>
      <c r="DI151" s="10">
        <v>0</v>
      </c>
      <c r="DJ151" s="10">
        <v>0</v>
      </c>
      <c r="DK151" s="10">
        <v>0</v>
      </c>
      <c r="DL151" s="10">
        <v>0</v>
      </c>
      <c r="DM151" s="10">
        <v>0</v>
      </c>
      <c r="DN151" s="10">
        <v>0</v>
      </c>
      <c r="DO151" s="10">
        <v>0</v>
      </c>
      <c r="DP151" s="10">
        <v>0</v>
      </c>
      <c r="DQ151" s="10">
        <v>0</v>
      </c>
      <c r="DR151" s="10">
        <v>0</v>
      </c>
      <c r="DS151" s="10">
        <v>0</v>
      </c>
      <c r="DT151" s="10">
        <v>0</v>
      </c>
      <c r="DU151" s="10">
        <v>0</v>
      </c>
      <c r="DV151" s="10">
        <v>0</v>
      </c>
      <c r="DW151" s="10">
        <v>0</v>
      </c>
      <c r="DX151" s="10">
        <v>0</v>
      </c>
      <c r="DY151" s="10">
        <v>0</v>
      </c>
      <c r="DZ151" s="10">
        <v>0</v>
      </c>
      <c r="EA151" s="10">
        <v>0</v>
      </c>
      <c r="EB151" s="10">
        <v>0</v>
      </c>
      <c r="EC151" s="10">
        <v>0</v>
      </c>
      <c r="ED151" s="10">
        <v>0</v>
      </c>
      <c r="EE151" s="10">
        <v>0</v>
      </c>
      <c r="EF151" s="10">
        <v>0</v>
      </c>
      <c r="EG151" s="10">
        <v>0</v>
      </c>
      <c r="EH151" s="10">
        <v>0</v>
      </c>
      <c r="EI151" s="10">
        <v>0</v>
      </c>
      <c r="EJ151" s="10">
        <v>0</v>
      </c>
      <c r="EK151" s="10">
        <v>0</v>
      </c>
      <c r="EL151" s="10">
        <v>0</v>
      </c>
      <c r="EM151" s="10">
        <v>0</v>
      </c>
      <c r="EN151" s="10">
        <v>0</v>
      </c>
      <c r="EO151" s="10">
        <v>0</v>
      </c>
      <c r="EP151" s="10">
        <v>0</v>
      </c>
      <c r="EQ151" s="10">
        <v>0</v>
      </c>
      <c r="ER151" s="10">
        <v>0</v>
      </c>
      <c r="ES151" s="10">
        <v>0</v>
      </c>
      <c r="ET151" s="10">
        <v>0</v>
      </c>
      <c r="EU151" s="10">
        <v>0</v>
      </c>
      <c r="EV151" s="10">
        <v>0</v>
      </c>
      <c r="EW151" s="10">
        <v>0</v>
      </c>
      <c r="EX151" s="10">
        <v>0</v>
      </c>
      <c r="EY151" s="10">
        <v>0</v>
      </c>
      <c r="EZ151" s="10">
        <v>0</v>
      </c>
      <c r="FA151" s="10">
        <v>0</v>
      </c>
      <c r="FB151" s="10">
        <v>0</v>
      </c>
      <c r="FC151" s="10">
        <v>0</v>
      </c>
      <c r="FD151" s="10">
        <v>0</v>
      </c>
      <c r="FE151" s="10">
        <v>0</v>
      </c>
      <c r="FF151" s="10">
        <v>0</v>
      </c>
      <c r="FG151" s="10">
        <v>0</v>
      </c>
      <c r="FH151" s="10">
        <v>0</v>
      </c>
      <c r="FI151" s="10">
        <v>0</v>
      </c>
      <c r="FJ151" s="10">
        <v>0</v>
      </c>
      <c r="FK151" s="10">
        <v>0</v>
      </c>
      <c r="FL151" s="10">
        <v>0</v>
      </c>
      <c r="FM151" s="10">
        <v>0</v>
      </c>
      <c r="FN151" s="10">
        <v>0</v>
      </c>
      <c r="FO151" s="10">
        <v>0</v>
      </c>
      <c r="FP151" s="10">
        <v>0</v>
      </c>
      <c r="FQ151" s="10">
        <v>0</v>
      </c>
      <c r="FR151" s="10">
        <v>0</v>
      </c>
      <c r="FS151" s="10">
        <v>0</v>
      </c>
      <c r="FT151" s="10">
        <v>0</v>
      </c>
      <c r="FU151" s="10">
        <v>0</v>
      </c>
      <c r="FV151" s="10">
        <v>0</v>
      </c>
      <c r="FW151" s="10">
        <v>0</v>
      </c>
      <c r="FX151" s="10">
        <v>0</v>
      </c>
      <c r="FY151" s="10">
        <v>0</v>
      </c>
      <c r="FZ151" s="10">
        <v>0</v>
      </c>
      <c r="GA151" s="10">
        <v>0</v>
      </c>
      <c r="GB151" s="10">
        <v>0</v>
      </c>
      <c r="GC151" s="10">
        <v>0</v>
      </c>
      <c r="GD151" s="10">
        <v>0</v>
      </c>
      <c r="GE151" s="10">
        <v>0</v>
      </c>
      <c r="GF151" s="10">
        <v>0</v>
      </c>
      <c r="GG151" s="10">
        <v>0</v>
      </c>
      <c r="GH151" s="10">
        <v>0</v>
      </c>
      <c r="GI151" s="10">
        <v>0</v>
      </c>
      <c r="GJ151" s="10">
        <v>0</v>
      </c>
      <c r="GK151" s="10">
        <v>0</v>
      </c>
      <c r="GL151" s="10">
        <v>0</v>
      </c>
      <c r="GM151" s="10">
        <v>0</v>
      </c>
      <c r="GN151" s="10">
        <v>0</v>
      </c>
      <c r="GO151" s="10">
        <v>0</v>
      </c>
      <c r="GP151" s="10">
        <v>0</v>
      </c>
      <c r="GQ151" s="10">
        <v>0</v>
      </c>
      <c r="GR151" s="10">
        <v>0</v>
      </c>
      <c r="GS151" s="10">
        <v>0</v>
      </c>
      <c r="GT151" s="10">
        <v>0</v>
      </c>
      <c r="GU151" s="10">
        <v>0</v>
      </c>
      <c r="GV151" s="10">
        <v>0.25284712172408635</v>
      </c>
      <c r="GW151" s="10">
        <v>0</v>
      </c>
      <c r="GX151" s="10">
        <v>0</v>
      </c>
      <c r="GY151" s="10">
        <v>0</v>
      </c>
      <c r="GZ151" s="10">
        <v>0</v>
      </c>
      <c r="HA151" s="10">
        <v>0</v>
      </c>
      <c r="HB151" s="10">
        <v>0</v>
      </c>
      <c r="HC151" s="10">
        <v>0</v>
      </c>
      <c r="HD151" s="10">
        <v>0</v>
      </c>
      <c r="HE151" s="10">
        <v>0</v>
      </c>
      <c r="HF151" s="10">
        <v>0</v>
      </c>
      <c r="HG151" s="10">
        <v>0</v>
      </c>
      <c r="HH151" s="10">
        <v>0</v>
      </c>
      <c r="HI151" s="10">
        <v>0</v>
      </c>
      <c r="HJ151" s="10">
        <v>0</v>
      </c>
      <c r="HK151" s="10">
        <v>0</v>
      </c>
      <c r="HL151" s="10">
        <v>0</v>
      </c>
      <c r="HM151" s="10">
        <v>0</v>
      </c>
      <c r="HN151" s="10">
        <v>0</v>
      </c>
      <c r="HO151" s="10">
        <v>0</v>
      </c>
      <c r="HP151" s="10">
        <v>0</v>
      </c>
      <c r="HQ151" s="10">
        <v>0</v>
      </c>
      <c r="HR151" s="10">
        <v>0</v>
      </c>
      <c r="HS151" s="10">
        <v>0</v>
      </c>
      <c r="HT151" s="10">
        <v>0</v>
      </c>
      <c r="HU151" s="10">
        <v>0</v>
      </c>
    </row>
    <row r="152" spans="1:229" x14ac:dyDescent="0.25">
      <c r="A152" s="10">
        <v>0</v>
      </c>
      <c r="B152" s="2" t="s">
        <v>292</v>
      </c>
      <c r="C152" s="2" t="s">
        <v>293</v>
      </c>
      <c r="D152" s="2">
        <v>16.742000000000001</v>
      </c>
      <c r="E152" s="2">
        <v>26.32</v>
      </c>
      <c r="F152" s="2">
        <v>38.42</v>
      </c>
      <c r="G152" s="2">
        <v>0</v>
      </c>
      <c r="H152" s="2">
        <v>38.42</v>
      </c>
      <c r="I152" s="2">
        <v>371</v>
      </c>
      <c r="J152" s="2">
        <v>7.9240000000000004</v>
      </c>
      <c r="K152" s="2">
        <v>0.66500000000000004</v>
      </c>
      <c r="L152" s="3"/>
      <c r="M152" s="2" t="str">
        <f t="shared" si="9"/>
        <v>01212</v>
      </c>
      <c r="N152" s="3">
        <v>0.53702666368579055</v>
      </c>
      <c r="O152" s="3">
        <v>1.4629733363142094</v>
      </c>
      <c r="P152" s="17">
        <v>0.53702666368573049</v>
      </c>
      <c r="Q152" s="3">
        <v>1.4629733363142097</v>
      </c>
      <c r="R152" s="3">
        <v>0.42085586620596033</v>
      </c>
      <c r="S152" s="3" t="e">
        <v>#DIV/0!</v>
      </c>
      <c r="T152" s="3">
        <v>8.3350507748261582E-2</v>
      </c>
      <c r="U152" s="3">
        <v>0.53702666368579033</v>
      </c>
      <c r="V152" s="3">
        <v>1.4629733363140893</v>
      </c>
      <c r="W152" s="3">
        <v>3.0965751011442002</v>
      </c>
      <c r="X152" s="3">
        <v>8.990900403426501</v>
      </c>
      <c r="Y152" s="3">
        <v>38.50545821179</v>
      </c>
      <c r="Z152" s="3">
        <v>16.169282379632996</v>
      </c>
      <c r="AA152" s="3">
        <v>2.0571464654538905</v>
      </c>
      <c r="AB152" s="3">
        <v>3.2023265076882099</v>
      </c>
      <c r="AC152" s="3">
        <v>199.2368922274282</v>
      </c>
      <c r="AD152" s="3">
        <v>11.592600716952845</v>
      </c>
      <c r="AE152" s="3">
        <v>2.0592224422608933</v>
      </c>
      <c r="AF152" s="3">
        <v>0</v>
      </c>
      <c r="AG152" s="3">
        <v>0</v>
      </c>
      <c r="AH152" s="3">
        <v>0.10564701584979341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3">
        <v>0</v>
      </c>
      <c r="AW152" s="3">
        <v>0</v>
      </c>
      <c r="AX152" s="3">
        <v>0</v>
      </c>
      <c r="AY152" s="3">
        <v>0</v>
      </c>
      <c r="AZ152" s="3">
        <v>0</v>
      </c>
      <c r="BA152" s="10">
        <v>0</v>
      </c>
      <c r="BB152" s="10">
        <v>0</v>
      </c>
      <c r="BC152" s="10">
        <v>0</v>
      </c>
      <c r="BD152" s="10">
        <v>0</v>
      </c>
      <c r="BE152" s="10">
        <v>0</v>
      </c>
      <c r="BF152" s="10">
        <v>0</v>
      </c>
      <c r="BG152" s="10">
        <v>0</v>
      </c>
      <c r="BH152" s="10">
        <v>0</v>
      </c>
      <c r="BI152" s="10">
        <v>0</v>
      </c>
      <c r="BJ152" s="10">
        <v>0</v>
      </c>
      <c r="BK152" s="10">
        <v>0</v>
      </c>
      <c r="BL152" s="10">
        <v>0</v>
      </c>
      <c r="BM152" s="10">
        <v>0</v>
      </c>
      <c r="BN152" s="10">
        <v>0</v>
      </c>
      <c r="BO152" s="10">
        <v>0</v>
      </c>
      <c r="BP152" s="10">
        <v>0</v>
      </c>
      <c r="BQ152" s="10">
        <v>0</v>
      </c>
      <c r="BR152" s="10">
        <v>0</v>
      </c>
      <c r="BS152" s="10">
        <v>0</v>
      </c>
      <c r="BT152" s="10">
        <v>0</v>
      </c>
      <c r="BU152" s="10">
        <v>0</v>
      </c>
      <c r="BV152" s="10">
        <v>0</v>
      </c>
      <c r="BW152" s="10">
        <v>0</v>
      </c>
      <c r="BX152" s="10">
        <v>0</v>
      </c>
      <c r="BY152" s="10">
        <v>0</v>
      </c>
      <c r="BZ152" s="10">
        <v>0</v>
      </c>
      <c r="CA152" s="10">
        <v>0</v>
      </c>
      <c r="CB152" s="10">
        <v>0</v>
      </c>
      <c r="CC152" s="10">
        <v>0</v>
      </c>
      <c r="CD152" s="10">
        <v>0</v>
      </c>
      <c r="CE152" s="10">
        <v>0</v>
      </c>
      <c r="CF152" s="10">
        <v>0</v>
      </c>
      <c r="CG152" s="10">
        <v>0</v>
      </c>
      <c r="CH152" s="10">
        <v>0</v>
      </c>
      <c r="CI152" s="10">
        <v>0</v>
      </c>
      <c r="CJ152" s="10">
        <v>0</v>
      </c>
      <c r="CK152" s="10">
        <v>0</v>
      </c>
      <c r="CL152" s="10">
        <v>0</v>
      </c>
      <c r="CM152" s="10">
        <v>0</v>
      </c>
      <c r="CN152" s="10">
        <v>0</v>
      </c>
      <c r="CO152" s="10">
        <v>0</v>
      </c>
      <c r="CP152" s="10">
        <v>0</v>
      </c>
      <c r="CQ152" s="10">
        <v>0</v>
      </c>
      <c r="CR152" s="10">
        <v>0</v>
      </c>
      <c r="CS152" s="10">
        <v>0</v>
      </c>
      <c r="CT152" s="10">
        <v>0</v>
      </c>
      <c r="CU152" s="10">
        <v>0</v>
      </c>
      <c r="CV152" s="10">
        <v>0</v>
      </c>
      <c r="CW152" s="10">
        <v>0</v>
      </c>
      <c r="CX152" s="10">
        <v>0</v>
      </c>
      <c r="CY152" s="10">
        <v>0</v>
      </c>
      <c r="CZ152" s="10">
        <v>0</v>
      </c>
      <c r="DA152" s="10">
        <v>0</v>
      </c>
      <c r="DB152" s="10">
        <v>0</v>
      </c>
      <c r="DC152" s="10">
        <v>0</v>
      </c>
      <c r="DD152" s="10">
        <v>0</v>
      </c>
      <c r="DE152" s="10">
        <v>0</v>
      </c>
      <c r="DF152" s="10">
        <v>0</v>
      </c>
      <c r="DG152" s="10">
        <v>0</v>
      </c>
      <c r="DH152" s="10">
        <v>0</v>
      </c>
      <c r="DI152" s="10">
        <v>0</v>
      </c>
      <c r="DJ152" s="10">
        <v>0</v>
      </c>
      <c r="DK152" s="10">
        <v>0</v>
      </c>
      <c r="DL152" s="10">
        <v>0</v>
      </c>
      <c r="DM152" s="10">
        <v>0</v>
      </c>
      <c r="DN152" s="10">
        <v>0</v>
      </c>
      <c r="DO152" s="10">
        <v>0</v>
      </c>
      <c r="DP152" s="10">
        <v>0</v>
      </c>
      <c r="DQ152" s="10">
        <v>0</v>
      </c>
      <c r="DR152" s="10">
        <v>0</v>
      </c>
      <c r="DS152" s="10">
        <v>0.16793889391013808</v>
      </c>
      <c r="DT152" s="10">
        <v>0</v>
      </c>
      <c r="DU152" s="10">
        <v>0</v>
      </c>
      <c r="DV152" s="10">
        <v>0</v>
      </c>
      <c r="DW152" s="10">
        <v>0</v>
      </c>
      <c r="DX152" s="10">
        <v>0</v>
      </c>
      <c r="DY152" s="10">
        <v>0</v>
      </c>
      <c r="DZ152" s="10">
        <v>0</v>
      </c>
      <c r="EA152" s="10">
        <v>0</v>
      </c>
      <c r="EB152" s="10">
        <v>0</v>
      </c>
      <c r="EC152" s="10">
        <v>0</v>
      </c>
      <c r="ED152" s="10">
        <v>0</v>
      </c>
      <c r="EE152" s="10">
        <v>0</v>
      </c>
      <c r="EF152" s="10">
        <v>0</v>
      </c>
      <c r="EG152" s="10">
        <v>0</v>
      </c>
      <c r="EH152" s="10">
        <v>0</v>
      </c>
      <c r="EI152" s="10">
        <v>0</v>
      </c>
      <c r="EJ152" s="10">
        <v>0</v>
      </c>
      <c r="EK152" s="10">
        <v>0</v>
      </c>
      <c r="EL152" s="10">
        <v>0</v>
      </c>
      <c r="EM152" s="10">
        <v>0</v>
      </c>
      <c r="EN152" s="10">
        <v>0</v>
      </c>
      <c r="EO152" s="10">
        <v>0</v>
      </c>
      <c r="EP152" s="10">
        <v>0</v>
      </c>
      <c r="EQ152" s="10">
        <v>0</v>
      </c>
      <c r="ER152" s="10">
        <v>0</v>
      </c>
      <c r="ES152" s="10">
        <v>0</v>
      </c>
      <c r="ET152" s="10">
        <v>0</v>
      </c>
      <c r="EU152" s="10">
        <v>0</v>
      </c>
      <c r="EV152" s="10">
        <v>0</v>
      </c>
      <c r="EW152" s="10">
        <v>0</v>
      </c>
      <c r="EX152" s="10">
        <v>0</v>
      </c>
      <c r="EY152" s="10">
        <v>0</v>
      </c>
      <c r="EZ152" s="10">
        <v>0</v>
      </c>
      <c r="FA152" s="10">
        <v>0</v>
      </c>
      <c r="FB152" s="10">
        <v>0</v>
      </c>
      <c r="FC152" s="10">
        <v>0</v>
      </c>
      <c r="FD152" s="10">
        <v>0</v>
      </c>
      <c r="FE152" s="10">
        <v>0</v>
      </c>
      <c r="FF152" s="10">
        <v>0</v>
      </c>
      <c r="FG152" s="10">
        <v>0</v>
      </c>
      <c r="FH152" s="10">
        <v>0</v>
      </c>
      <c r="FI152" s="10">
        <v>0</v>
      </c>
      <c r="FJ152" s="10">
        <v>0</v>
      </c>
      <c r="FK152" s="10">
        <v>0</v>
      </c>
      <c r="FL152" s="10">
        <v>0</v>
      </c>
      <c r="FM152" s="10">
        <v>0</v>
      </c>
      <c r="FN152" s="10">
        <v>0</v>
      </c>
      <c r="FO152" s="10">
        <v>0</v>
      </c>
      <c r="FP152" s="10">
        <v>0</v>
      </c>
      <c r="FQ152" s="10">
        <v>0</v>
      </c>
      <c r="FR152" s="10">
        <v>0</v>
      </c>
      <c r="FS152" s="10">
        <v>0</v>
      </c>
      <c r="FT152" s="10">
        <v>0</v>
      </c>
      <c r="FU152" s="10">
        <v>0</v>
      </c>
      <c r="FV152" s="10">
        <v>0</v>
      </c>
      <c r="FW152" s="10">
        <v>0</v>
      </c>
      <c r="FX152" s="10">
        <v>0</v>
      </c>
      <c r="FY152" s="10">
        <v>0</v>
      </c>
      <c r="FZ152" s="10">
        <v>0</v>
      </c>
      <c r="GA152" s="10">
        <v>0.11849378136740259</v>
      </c>
      <c r="GB152" s="10">
        <v>0.60792030887266602</v>
      </c>
      <c r="GC152" s="10">
        <v>0</v>
      </c>
      <c r="GD152" s="10">
        <v>0</v>
      </c>
      <c r="GE152" s="10">
        <v>0</v>
      </c>
      <c r="GF152" s="10">
        <v>0</v>
      </c>
      <c r="GG152" s="10">
        <v>0</v>
      </c>
      <c r="GH152" s="10">
        <v>0</v>
      </c>
      <c r="GI152" s="10">
        <v>0</v>
      </c>
      <c r="GJ152" s="10">
        <v>0</v>
      </c>
      <c r="GK152" s="10">
        <v>0</v>
      </c>
      <c r="GL152" s="10">
        <v>0</v>
      </c>
      <c r="GM152" s="10">
        <v>0</v>
      </c>
      <c r="GN152" s="10">
        <v>0</v>
      </c>
      <c r="GO152" s="10">
        <v>0</v>
      </c>
      <c r="GP152" s="10">
        <v>0</v>
      </c>
      <c r="GQ152" s="10">
        <v>0</v>
      </c>
      <c r="GR152" s="10">
        <v>0</v>
      </c>
      <c r="GS152" s="10">
        <v>0</v>
      </c>
      <c r="GT152" s="10">
        <v>0</v>
      </c>
      <c r="GU152" s="10">
        <v>0</v>
      </c>
      <c r="GV152" s="10">
        <v>0</v>
      </c>
      <c r="GW152" s="10">
        <v>0</v>
      </c>
      <c r="GX152" s="10">
        <v>0</v>
      </c>
      <c r="GY152" s="10">
        <v>0</v>
      </c>
      <c r="GZ152" s="10">
        <v>0</v>
      </c>
      <c r="HA152" s="10">
        <v>0</v>
      </c>
      <c r="HB152" s="10">
        <v>0</v>
      </c>
      <c r="HC152" s="10">
        <v>0</v>
      </c>
      <c r="HD152" s="10">
        <v>0</v>
      </c>
      <c r="HE152" s="10">
        <v>0</v>
      </c>
      <c r="HF152" s="10">
        <v>0</v>
      </c>
      <c r="HG152" s="10">
        <v>0</v>
      </c>
      <c r="HH152" s="10">
        <v>0</v>
      </c>
      <c r="HI152" s="10">
        <v>0</v>
      </c>
      <c r="HJ152" s="10">
        <v>0</v>
      </c>
      <c r="HK152" s="10">
        <v>0</v>
      </c>
      <c r="HL152" s="10">
        <v>0</v>
      </c>
      <c r="HM152" s="10">
        <v>0</v>
      </c>
      <c r="HN152" s="10">
        <v>0</v>
      </c>
      <c r="HO152" s="10">
        <v>0</v>
      </c>
      <c r="HP152" s="10">
        <v>0</v>
      </c>
      <c r="HQ152" s="10">
        <v>0</v>
      </c>
      <c r="HR152" s="10">
        <v>0</v>
      </c>
      <c r="HS152" s="10">
        <v>0</v>
      </c>
      <c r="HT152" s="10">
        <v>0</v>
      </c>
      <c r="HU152" s="10">
        <v>0</v>
      </c>
    </row>
    <row r="153" spans="1:229" x14ac:dyDescent="0.25">
      <c r="A153" s="10">
        <v>0</v>
      </c>
      <c r="B153" s="2" t="s">
        <v>294</v>
      </c>
      <c r="C153" s="2" t="s">
        <v>295</v>
      </c>
      <c r="D153" s="2">
        <v>4.5910000000000002</v>
      </c>
      <c r="E153" s="2">
        <v>6.81</v>
      </c>
      <c r="F153" s="2">
        <v>10.039999999999999</v>
      </c>
      <c r="G153" s="2">
        <v>0</v>
      </c>
      <c r="H153" s="2">
        <v>10.039999999999999</v>
      </c>
      <c r="I153" s="2">
        <v>106</v>
      </c>
      <c r="J153" s="2">
        <v>2.335</v>
      </c>
      <c r="K153" s="2">
        <v>0.245</v>
      </c>
      <c r="L153" s="3"/>
      <c r="M153" s="2" t="str">
        <f t="shared" si="9"/>
        <v>01214</v>
      </c>
      <c r="N153" s="3">
        <v>0.51323603136790252</v>
      </c>
      <c r="O153" s="3">
        <v>1.4867639686320977</v>
      </c>
      <c r="P153" s="17">
        <v>0.51323603136775664</v>
      </c>
      <c r="Q153" s="3">
        <v>1.4867639686320848</v>
      </c>
      <c r="R153" s="3">
        <v>0.82490445853886507</v>
      </c>
      <c r="S153" s="3" t="e">
        <v>#DIV/0!</v>
      </c>
      <c r="T153" s="3">
        <v>0.51323603136790774</v>
      </c>
      <c r="U153" s="3">
        <v>0.51323603136790286</v>
      </c>
      <c r="V153" s="3">
        <v>1.4867639686320595</v>
      </c>
      <c r="W153" s="3">
        <v>4.8319990409631988</v>
      </c>
      <c r="X153" s="3">
        <v>2.3562666200093707</v>
      </c>
      <c r="Y153" s="3">
        <v>10.124862626384497</v>
      </c>
      <c r="Z153" s="3">
        <v>8.2820407637302047</v>
      </c>
      <c r="AA153" s="3">
        <v>0.48089116967326406</v>
      </c>
      <c r="AB153" s="3">
        <v>5.1528897549337938</v>
      </c>
      <c r="AC153" s="3">
        <v>54.4030193249977</v>
      </c>
      <c r="AD153" s="3">
        <v>3.471593866755859</v>
      </c>
      <c r="AE153" s="3">
        <v>1.1838397650359838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3">
        <v>0</v>
      </c>
      <c r="AW153" s="3">
        <v>0</v>
      </c>
      <c r="AX153" s="3">
        <v>0</v>
      </c>
      <c r="AY153" s="3">
        <v>0</v>
      </c>
      <c r="AZ153" s="3">
        <v>0</v>
      </c>
      <c r="BA153" s="10">
        <v>0</v>
      </c>
      <c r="BB153" s="10">
        <v>0</v>
      </c>
      <c r="BC153" s="10">
        <v>0</v>
      </c>
      <c r="BD153" s="10">
        <v>0</v>
      </c>
      <c r="BE153" s="10">
        <v>0</v>
      </c>
      <c r="BF153" s="10">
        <v>0</v>
      </c>
      <c r="BG153" s="10">
        <v>0</v>
      </c>
      <c r="BH153" s="10">
        <v>0</v>
      </c>
      <c r="BI153" s="10">
        <v>0</v>
      </c>
      <c r="BJ153" s="10">
        <v>0</v>
      </c>
      <c r="BK153" s="10">
        <v>0</v>
      </c>
      <c r="BL153" s="10">
        <v>0</v>
      </c>
      <c r="BM153" s="10">
        <v>0</v>
      </c>
      <c r="BN153" s="10">
        <v>0</v>
      </c>
      <c r="BO153" s="10">
        <v>0</v>
      </c>
      <c r="BP153" s="10">
        <v>0</v>
      </c>
      <c r="BQ153" s="10">
        <v>0</v>
      </c>
      <c r="BR153" s="10">
        <v>0</v>
      </c>
      <c r="BS153" s="10">
        <v>0</v>
      </c>
      <c r="BT153" s="10">
        <v>0</v>
      </c>
      <c r="BU153" s="10">
        <v>0</v>
      </c>
      <c r="BV153" s="10">
        <v>0</v>
      </c>
      <c r="BW153" s="10">
        <v>0</v>
      </c>
      <c r="BX153" s="10">
        <v>0</v>
      </c>
      <c r="BY153" s="10">
        <v>0</v>
      </c>
      <c r="BZ153" s="10">
        <v>0</v>
      </c>
      <c r="CA153" s="10">
        <v>0.29823709193156916</v>
      </c>
      <c r="CB153" s="10">
        <v>0</v>
      </c>
      <c r="CC153" s="10">
        <v>0</v>
      </c>
      <c r="CD153" s="10">
        <v>0</v>
      </c>
      <c r="CE153" s="10">
        <v>0</v>
      </c>
      <c r="CF153" s="10">
        <v>0</v>
      </c>
      <c r="CG153" s="10">
        <v>0</v>
      </c>
      <c r="CH153" s="10">
        <v>0</v>
      </c>
      <c r="CI153" s="10">
        <v>0</v>
      </c>
      <c r="CJ153" s="10">
        <v>0</v>
      </c>
      <c r="CK153" s="10">
        <v>0</v>
      </c>
      <c r="CL153" s="10">
        <v>0</v>
      </c>
      <c r="CM153" s="10">
        <v>0</v>
      </c>
      <c r="CN153" s="10">
        <v>0</v>
      </c>
      <c r="CO153" s="10">
        <v>0</v>
      </c>
      <c r="CP153" s="10">
        <v>0</v>
      </c>
      <c r="CQ153" s="10">
        <v>0</v>
      </c>
      <c r="CR153" s="10">
        <v>0</v>
      </c>
      <c r="CS153" s="10">
        <v>0</v>
      </c>
      <c r="CT153" s="10">
        <v>0</v>
      </c>
      <c r="CU153" s="10">
        <v>0</v>
      </c>
      <c r="CV153" s="10">
        <v>0</v>
      </c>
      <c r="CW153" s="10">
        <v>0</v>
      </c>
      <c r="CX153" s="10">
        <v>0</v>
      </c>
      <c r="CY153" s="10">
        <v>0</v>
      </c>
      <c r="CZ153" s="10">
        <v>0</v>
      </c>
      <c r="DA153" s="10">
        <v>0</v>
      </c>
      <c r="DB153" s="10">
        <v>0</v>
      </c>
      <c r="DC153" s="10">
        <v>0</v>
      </c>
      <c r="DD153" s="10">
        <v>0</v>
      </c>
      <c r="DE153" s="10">
        <v>0</v>
      </c>
      <c r="DF153" s="10">
        <v>0</v>
      </c>
      <c r="DG153" s="10">
        <v>0</v>
      </c>
      <c r="DH153" s="10">
        <v>0</v>
      </c>
      <c r="DI153" s="10">
        <v>0</v>
      </c>
      <c r="DJ153" s="10">
        <v>0</v>
      </c>
      <c r="DK153" s="10">
        <v>0</v>
      </c>
      <c r="DL153" s="10">
        <v>0</v>
      </c>
      <c r="DM153" s="10">
        <v>0</v>
      </c>
      <c r="DN153" s="10">
        <v>0</v>
      </c>
      <c r="DO153" s="10">
        <v>0</v>
      </c>
      <c r="DP153" s="10">
        <v>0</v>
      </c>
      <c r="DQ153" s="10">
        <v>0</v>
      </c>
      <c r="DR153" s="10">
        <v>0</v>
      </c>
      <c r="DS153" s="10">
        <v>0.21201222240490769</v>
      </c>
      <c r="DT153" s="10">
        <v>0</v>
      </c>
      <c r="DU153" s="10">
        <v>0</v>
      </c>
      <c r="DV153" s="10">
        <v>0</v>
      </c>
      <c r="DW153" s="10">
        <v>0</v>
      </c>
      <c r="DX153" s="10">
        <v>0</v>
      </c>
      <c r="DY153" s="10">
        <v>0</v>
      </c>
      <c r="DZ153" s="10">
        <v>0</v>
      </c>
      <c r="EA153" s="10">
        <v>0</v>
      </c>
      <c r="EB153" s="10">
        <v>0</v>
      </c>
      <c r="EC153" s="10">
        <v>0</v>
      </c>
      <c r="ED153" s="10">
        <v>0</v>
      </c>
      <c r="EE153" s="10">
        <v>0</v>
      </c>
      <c r="EF153" s="10">
        <v>0</v>
      </c>
      <c r="EG153" s="10">
        <v>0</v>
      </c>
      <c r="EH153" s="10">
        <v>0</v>
      </c>
      <c r="EI153" s="10">
        <v>0</v>
      </c>
      <c r="EJ153" s="10">
        <v>0</v>
      </c>
      <c r="EK153" s="10">
        <v>0</v>
      </c>
      <c r="EL153" s="10">
        <v>0</v>
      </c>
      <c r="EM153" s="10">
        <v>0</v>
      </c>
      <c r="EN153" s="10">
        <v>0</v>
      </c>
      <c r="EO153" s="10">
        <v>0</v>
      </c>
      <c r="EP153" s="10">
        <v>0</v>
      </c>
      <c r="EQ153" s="10">
        <v>0</v>
      </c>
      <c r="ER153" s="10">
        <v>0</v>
      </c>
      <c r="ES153" s="10">
        <v>0</v>
      </c>
      <c r="ET153" s="10">
        <v>0</v>
      </c>
      <c r="EU153" s="10">
        <v>0</v>
      </c>
      <c r="EV153" s="10">
        <v>0</v>
      </c>
      <c r="EW153" s="10">
        <v>0</v>
      </c>
      <c r="EX153" s="10">
        <v>0</v>
      </c>
      <c r="EY153" s="10">
        <v>0</v>
      </c>
      <c r="EZ153" s="10">
        <v>0</v>
      </c>
      <c r="FA153" s="10">
        <v>0</v>
      </c>
      <c r="FB153" s="10">
        <v>0</v>
      </c>
      <c r="FC153" s="10">
        <v>0</v>
      </c>
      <c r="FD153" s="10">
        <v>0</v>
      </c>
      <c r="FE153" s="10">
        <v>0</v>
      </c>
      <c r="FF153" s="10">
        <v>0</v>
      </c>
      <c r="FG153" s="10">
        <v>0</v>
      </c>
      <c r="FH153" s="10">
        <v>0</v>
      </c>
      <c r="FI153" s="10">
        <v>0</v>
      </c>
      <c r="FJ153" s="10">
        <v>0</v>
      </c>
      <c r="FK153" s="10">
        <v>0</v>
      </c>
      <c r="FL153" s="10">
        <v>0</v>
      </c>
      <c r="FM153" s="10">
        <v>0</v>
      </c>
      <c r="FN153" s="10">
        <v>0</v>
      </c>
      <c r="FO153" s="10">
        <v>0</v>
      </c>
      <c r="FP153" s="10">
        <v>0</v>
      </c>
      <c r="FQ153" s="10">
        <v>0</v>
      </c>
      <c r="FR153" s="10">
        <v>0</v>
      </c>
      <c r="FS153" s="10">
        <v>0</v>
      </c>
      <c r="FT153" s="10">
        <v>0</v>
      </c>
      <c r="FU153" s="10">
        <v>0</v>
      </c>
      <c r="FV153" s="10">
        <v>0</v>
      </c>
      <c r="FW153" s="10">
        <v>0</v>
      </c>
      <c r="FX153" s="10">
        <v>0</v>
      </c>
      <c r="FY153" s="10">
        <v>0</v>
      </c>
      <c r="FZ153" s="10">
        <v>0</v>
      </c>
      <c r="GA153" s="10">
        <v>1.551351110505263E-2</v>
      </c>
      <c r="GB153" s="10">
        <v>2.983016818189339E-2</v>
      </c>
      <c r="GC153" s="10">
        <v>0</v>
      </c>
      <c r="GD153" s="10">
        <v>0</v>
      </c>
      <c r="GE153" s="10">
        <v>0</v>
      </c>
      <c r="GF153" s="10">
        <v>0</v>
      </c>
      <c r="GG153" s="10">
        <v>0</v>
      </c>
      <c r="GH153" s="10">
        <v>0</v>
      </c>
      <c r="GI153" s="10">
        <v>0</v>
      </c>
      <c r="GJ153" s="10">
        <v>0</v>
      </c>
      <c r="GK153" s="10">
        <v>0</v>
      </c>
      <c r="GL153" s="10">
        <v>0</v>
      </c>
      <c r="GM153" s="10">
        <v>0</v>
      </c>
      <c r="GN153" s="10">
        <v>0</v>
      </c>
      <c r="GO153" s="10">
        <v>0</v>
      </c>
      <c r="GP153" s="10">
        <v>0</v>
      </c>
      <c r="GQ153" s="10">
        <v>0</v>
      </c>
      <c r="GR153" s="10">
        <v>0</v>
      </c>
      <c r="GS153" s="10">
        <v>0</v>
      </c>
      <c r="GT153" s="10">
        <v>0</v>
      </c>
      <c r="GU153" s="10">
        <v>0</v>
      </c>
      <c r="GV153" s="10">
        <v>0</v>
      </c>
      <c r="GW153" s="10">
        <v>0</v>
      </c>
      <c r="GX153" s="10">
        <v>0</v>
      </c>
      <c r="GY153" s="10">
        <v>0</v>
      </c>
      <c r="GZ153" s="10">
        <v>0</v>
      </c>
      <c r="HA153" s="10">
        <v>0</v>
      </c>
      <c r="HB153" s="10">
        <v>0</v>
      </c>
      <c r="HC153" s="10">
        <v>0</v>
      </c>
      <c r="HD153" s="10">
        <v>0</v>
      </c>
      <c r="HE153" s="10">
        <v>0</v>
      </c>
      <c r="HF153" s="10">
        <v>0</v>
      </c>
      <c r="HG153" s="10">
        <v>0.4444070063765766</v>
      </c>
      <c r="HH153" s="10">
        <v>0</v>
      </c>
      <c r="HI153" s="10">
        <v>0</v>
      </c>
      <c r="HJ153" s="10">
        <v>0</v>
      </c>
      <c r="HK153" s="10">
        <v>0</v>
      </c>
      <c r="HL153" s="10">
        <v>0</v>
      </c>
      <c r="HM153" s="10">
        <v>0</v>
      </c>
      <c r="HN153" s="10">
        <v>0</v>
      </c>
      <c r="HO153" s="10">
        <v>0</v>
      </c>
      <c r="HP153" s="10">
        <v>0</v>
      </c>
      <c r="HQ153" s="10">
        <v>0</v>
      </c>
      <c r="HR153" s="10">
        <v>0</v>
      </c>
      <c r="HS153" s="10">
        <v>0</v>
      </c>
      <c r="HT153" s="10">
        <v>0</v>
      </c>
      <c r="HU153" s="10">
        <v>0</v>
      </c>
    </row>
    <row r="154" spans="1:229" x14ac:dyDescent="0.25">
      <c r="A154" s="10">
        <v>0</v>
      </c>
      <c r="B154" s="2" t="s">
        <v>296</v>
      </c>
      <c r="C154" s="2" t="s">
        <v>297</v>
      </c>
      <c r="D154" s="2">
        <v>8.85</v>
      </c>
      <c r="E154" s="2">
        <v>17.600000000000001</v>
      </c>
      <c r="F154" s="2">
        <v>10.6</v>
      </c>
      <c r="G154" s="2">
        <v>0</v>
      </c>
      <c r="H154" s="2">
        <v>8.02</v>
      </c>
      <c r="I154" s="2">
        <v>1201</v>
      </c>
      <c r="J154" s="2">
        <v>4.13</v>
      </c>
      <c r="K154" s="2">
        <v>0.41</v>
      </c>
      <c r="L154" s="3"/>
      <c r="M154" s="2" t="str">
        <f t="shared" si="9"/>
        <v>01215</v>
      </c>
      <c r="N154" s="3">
        <v>0.26422871582486923</v>
      </c>
      <c r="O154" s="3">
        <v>1.7357712841751309</v>
      </c>
      <c r="P154" s="17">
        <v>0.26422871582489138</v>
      </c>
      <c r="Q154" s="3">
        <v>1.7357712841751285</v>
      </c>
      <c r="R154" s="3">
        <v>0.90325993379207681</v>
      </c>
      <c r="S154" s="3" t="e">
        <v>#DIV/0!</v>
      </c>
      <c r="T154" s="3">
        <v>0.26422871582486729</v>
      </c>
      <c r="U154" s="3">
        <v>0.2609390239315324</v>
      </c>
      <c r="V154" s="3">
        <v>1.7357712841753135</v>
      </c>
      <c r="W154" s="3">
        <v>3.9082638045450002</v>
      </c>
      <c r="X154" s="3">
        <v>2.3384241350502886</v>
      </c>
      <c r="Y154" s="3">
        <v>30.549574601482263</v>
      </c>
      <c r="Z154" s="3">
        <v>9.5745552981960138</v>
      </c>
      <c r="AA154" s="3">
        <v>2.6349757507004536</v>
      </c>
      <c r="AB154" s="3">
        <v>2.1191143009154354</v>
      </c>
      <c r="AC154" s="3">
        <v>313.3877677417704</v>
      </c>
      <c r="AD154" s="3">
        <v>7.1687354036440443</v>
      </c>
      <c r="AE154" s="3">
        <v>1.60238815986345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3">
        <v>0</v>
      </c>
      <c r="AW154" s="3">
        <v>0</v>
      </c>
      <c r="AX154" s="3">
        <v>0</v>
      </c>
      <c r="AY154" s="3">
        <v>0</v>
      </c>
      <c r="AZ154" s="3">
        <v>0</v>
      </c>
      <c r="BA154" s="10">
        <v>0</v>
      </c>
      <c r="BB154" s="10">
        <v>0</v>
      </c>
      <c r="BC154" s="10">
        <v>0</v>
      </c>
      <c r="BD154" s="10">
        <v>0</v>
      </c>
      <c r="BE154" s="10">
        <v>0</v>
      </c>
      <c r="BF154" s="10">
        <v>0</v>
      </c>
      <c r="BG154" s="10">
        <v>0</v>
      </c>
      <c r="BH154" s="10">
        <v>0</v>
      </c>
      <c r="BI154" s="10">
        <v>0</v>
      </c>
      <c r="BJ154" s="10">
        <v>0</v>
      </c>
      <c r="BK154" s="10">
        <v>0</v>
      </c>
      <c r="BL154" s="10">
        <v>0</v>
      </c>
      <c r="BM154" s="10">
        <v>0</v>
      </c>
      <c r="BN154" s="10">
        <v>0</v>
      </c>
      <c r="BO154" s="10">
        <v>0</v>
      </c>
      <c r="BP154" s="10">
        <v>0</v>
      </c>
      <c r="BQ154" s="10">
        <v>0</v>
      </c>
      <c r="BR154" s="10">
        <v>0</v>
      </c>
      <c r="BS154" s="10">
        <v>0</v>
      </c>
      <c r="BT154" s="10">
        <v>0</v>
      </c>
      <c r="BU154" s="10">
        <v>0</v>
      </c>
      <c r="BV154" s="10">
        <v>0</v>
      </c>
      <c r="BW154" s="10">
        <v>0</v>
      </c>
      <c r="BX154" s="10">
        <v>0</v>
      </c>
      <c r="BY154" s="10">
        <v>0</v>
      </c>
      <c r="BZ154" s="10">
        <v>0</v>
      </c>
      <c r="CA154" s="10">
        <v>0.43888219936056039</v>
      </c>
      <c r="CB154" s="10">
        <v>0</v>
      </c>
      <c r="CC154" s="10">
        <v>0</v>
      </c>
      <c r="CD154" s="10">
        <v>0</v>
      </c>
      <c r="CE154" s="10">
        <v>0</v>
      </c>
      <c r="CF154" s="10">
        <v>0</v>
      </c>
      <c r="CG154" s="10">
        <v>0</v>
      </c>
      <c r="CH154" s="10">
        <v>0</v>
      </c>
      <c r="CI154" s="10">
        <v>0</v>
      </c>
      <c r="CJ154" s="10">
        <v>0</v>
      </c>
      <c r="CK154" s="10">
        <v>0</v>
      </c>
      <c r="CL154" s="10">
        <v>0</v>
      </c>
      <c r="CM154" s="10">
        <v>0</v>
      </c>
      <c r="CN154" s="10">
        <v>0</v>
      </c>
      <c r="CO154" s="10">
        <v>0</v>
      </c>
      <c r="CP154" s="10">
        <v>0</v>
      </c>
      <c r="CQ154" s="10">
        <v>0</v>
      </c>
      <c r="CR154" s="10">
        <v>0</v>
      </c>
      <c r="CS154" s="10">
        <v>0</v>
      </c>
      <c r="CT154" s="10">
        <v>0</v>
      </c>
      <c r="CU154" s="10">
        <v>0</v>
      </c>
      <c r="CV154" s="10">
        <v>0</v>
      </c>
      <c r="CW154" s="10">
        <v>0</v>
      </c>
      <c r="CX154" s="10">
        <v>0</v>
      </c>
      <c r="CY154" s="10">
        <v>0</v>
      </c>
      <c r="CZ154" s="10">
        <v>0</v>
      </c>
      <c r="DA154" s="10">
        <v>0</v>
      </c>
      <c r="DB154" s="10">
        <v>0</v>
      </c>
      <c r="DC154" s="10">
        <v>0</v>
      </c>
      <c r="DD154" s="10">
        <v>0</v>
      </c>
      <c r="DE154" s="10">
        <v>0</v>
      </c>
      <c r="DF154" s="10">
        <v>0</v>
      </c>
      <c r="DG154" s="10">
        <v>0</v>
      </c>
      <c r="DH154" s="10">
        <v>0</v>
      </c>
      <c r="DI154" s="10">
        <v>0</v>
      </c>
      <c r="DJ154" s="10">
        <v>0</v>
      </c>
      <c r="DK154" s="10">
        <v>0</v>
      </c>
      <c r="DL154" s="10">
        <v>0</v>
      </c>
      <c r="DM154" s="10">
        <v>0</v>
      </c>
      <c r="DN154" s="10">
        <v>0</v>
      </c>
      <c r="DO154" s="10">
        <v>0</v>
      </c>
      <c r="DP154" s="10">
        <v>0</v>
      </c>
      <c r="DQ154" s="10">
        <v>0</v>
      </c>
      <c r="DR154" s="10">
        <v>0</v>
      </c>
      <c r="DS154" s="10">
        <v>0</v>
      </c>
      <c r="DT154" s="10">
        <v>0</v>
      </c>
      <c r="DU154" s="10">
        <v>0</v>
      </c>
      <c r="DV154" s="10">
        <v>0</v>
      </c>
      <c r="DW154" s="10">
        <v>0</v>
      </c>
      <c r="DX154" s="10">
        <v>0</v>
      </c>
      <c r="DY154" s="10">
        <v>0.10723155238136831</v>
      </c>
      <c r="DZ154" s="10">
        <v>0</v>
      </c>
      <c r="EA154" s="10">
        <v>0</v>
      </c>
      <c r="EB154" s="10">
        <v>0</v>
      </c>
      <c r="EC154" s="10">
        <v>0</v>
      </c>
      <c r="ED154" s="10">
        <v>0</v>
      </c>
      <c r="EE154" s="10">
        <v>0</v>
      </c>
      <c r="EF154" s="10">
        <v>0</v>
      </c>
      <c r="EG154" s="10">
        <v>0</v>
      </c>
      <c r="EH154" s="10">
        <v>0</v>
      </c>
      <c r="EI154" s="10">
        <v>0</v>
      </c>
      <c r="EJ154" s="10">
        <v>0</v>
      </c>
      <c r="EK154" s="10">
        <v>0</v>
      </c>
      <c r="EL154" s="10">
        <v>0</v>
      </c>
      <c r="EM154" s="10">
        <v>0</v>
      </c>
      <c r="EN154" s="10">
        <v>0</v>
      </c>
      <c r="EO154" s="10">
        <v>0</v>
      </c>
      <c r="EP154" s="10">
        <v>0</v>
      </c>
      <c r="EQ154" s="10">
        <v>0</v>
      </c>
      <c r="ER154" s="10">
        <v>0</v>
      </c>
      <c r="ES154" s="10">
        <v>0</v>
      </c>
      <c r="ET154" s="10">
        <v>0</v>
      </c>
      <c r="EU154" s="10">
        <v>0</v>
      </c>
      <c r="EV154" s="10">
        <v>0</v>
      </c>
      <c r="EW154" s="10">
        <v>0</v>
      </c>
      <c r="EX154" s="10">
        <v>0</v>
      </c>
      <c r="EY154" s="10">
        <v>0</v>
      </c>
      <c r="EZ154" s="10">
        <v>0</v>
      </c>
      <c r="FA154" s="10">
        <v>0</v>
      </c>
      <c r="FB154" s="10">
        <v>0</v>
      </c>
      <c r="FC154" s="10">
        <v>0</v>
      </c>
      <c r="FD154" s="10">
        <v>0</v>
      </c>
      <c r="FE154" s="10">
        <v>0</v>
      </c>
      <c r="FF154" s="10">
        <v>0</v>
      </c>
      <c r="FG154" s="10">
        <v>0</v>
      </c>
      <c r="FH154" s="10">
        <v>0</v>
      </c>
      <c r="FI154" s="10">
        <v>0</v>
      </c>
      <c r="FJ154" s="10">
        <v>0</v>
      </c>
      <c r="FK154" s="10">
        <v>0</v>
      </c>
      <c r="FL154" s="10">
        <v>0</v>
      </c>
      <c r="FM154" s="10">
        <v>0</v>
      </c>
      <c r="FN154" s="10">
        <v>0</v>
      </c>
      <c r="FO154" s="10">
        <v>0</v>
      </c>
      <c r="FP154" s="10">
        <v>0</v>
      </c>
      <c r="FQ154" s="10">
        <v>0</v>
      </c>
      <c r="FR154" s="10">
        <v>0</v>
      </c>
      <c r="FS154" s="10">
        <v>0</v>
      </c>
      <c r="FT154" s="10">
        <v>0</v>
      </c>
      <c r="FU154" s="10">
        <v>0</v>
      </c>
      <c r="FV154" s="10">
        <v>0</v>
      </c>
      <c r="FW154" s="10">
        <v>0</v>
      </c>
      <c r="FX154" s="10">
        <v>0</v>
      </c>
      <c r="FY154" s="10">
        <v>0</v>
      </c>
      <c r="FZ154" s="10">
        <v>0</v>
      </c>
      <c r="GA154" s="10">
        <v>0.37112334516907797</v>
      </c>
      <c r="GB154" s="10">
        <v>0</v>
      </c>
      <c r="GC154" s="10">
        <v>0</v>
      </c>
      <c r="GD154" s="10">
        <v>0</v>
      </c>
      <c r="GE154" s="10">
        <v>0</v>
      </c>
      <c r="GF154" s="10">
        <v>0</v>
      </c>
      <c r="GG154" s="10">
        <v>0</v>
      </c>
      <c r="GH154" s="10">
        <v>0</v>
      </c>
      <c r="GI154" s="10">
        <v>0</v>
      </c>
      <c r="GJ154" s="10">
        <v>0</v>
      </c>
      <c r="GK154" s="10">
        <v>0</v>
      </c>
      <c r="GL154" s="10">
        <v>0</v>
      </c>
      <c r="GM154" s="10">
        <v>0</v>
      </c>
      <c r="GN154" s="10">
        <v>0</v>
      </c>
      <c r="GO154" s="10">
        <v>0</v>
      </c>
      <c r="GP154" s="10">
        <v>0</v>
      </c>
      <c r="GQ154" s="10">
        <v>0</v>
      </c>
      <c r="GR154" s="10">
        <v>0</v>
      </c>
      <c r="GS154" s="10">
        <v>0</v>
      </c>
      <c r="GT154" s="10">
        <v>0</v>
      </c>
      <c r="GU154" s="10">
        <v>0</v>
      </c>
      <c r="GV154" s="10">
        <v>0</v>
      </c>
      <c r="GW154" s="10">
        <v>8.276290308899302E-2</v>
      </c>
      <c r="GX154" s="10">
        <v>0</v>
      </c>
      <c r="GY154" s="10">
        <v>0</v>
      </c>
      <c r="GZ154" s="10">
        <v>0</v>
      </c>
      <c r="HA154" s="10">
        <v>0</v>
      </c>
      <c r="HB154" s="10">
        <v>0</v>
      </c>
      <c r="HC154" s="10">
        <v>0</v>
      </c>
      <c r="HD154" s="10">
        <v>0</v>
      </c>
      <c r="HE154" s="10">
        <v>0</v>
      </c>
      <c r="HF154" s="10">
        <v>0</v>
      </c>
      <c r="HG154" s="10">
        <v>0</v>
      </c>
      <c r="HH154" s="10">
        <v>0</v>
      </c>
      <c r="HI154" s="10">
        <v>0</v>
      </c>
      <c r="HJ154" s="10">
        <v>0</v>
      </c>
      <c r="HK154" s="10">
        <v>0</v>
      </c>
      <c r="HL154" s="10">
        <v>0</v>
      </c>
      <c r="HM154" s="10">
        <v>0</v>
      </c>
      <c r="HN154" s="10">
        <v>0</v>
      </c>
      <c r="HO154" s="10">
        <v>0</v>
      </c>
      <c r="HP154" s="10">
        <v>0</v>
      </c>
      <c r="HQ154" s="10">
        <v>0</v>
      </c>
      <c r="HR154" s="10">
        <v>0</v>
      </c>
      <c r="HS154" s="10">
        <v>0</v>
      </c>
      <c r="HT154" s="10">
        <v>0</v>
      </c>
      <c r="HU154" s="10">
        <v>0</v>
      </c>
    </row>
    <row r="155" spans="1:229" x14ac:dyDescent="0.25">
      <c r="A155" s="10">
        <v>0</v>
      </c>
      <c r="B155" s="2" t="s">
        <v>298</v>
      </c>
      <c r="C155" s="2" t="s">
        <v>299</v>
      </c>
      <c r="D155" s="2">
        <v>0.74199999999999999</v>
      </c>
      <c r="E155" s="2">
        <v>3.98</v>
      </c>
      <c r="F155" s="2">
        <v>18.64</v>
      </c>
      <c r="G155" s="2">
        <v>0</v>
      </c>
      <c r="H155" s="2">
        <v>18.64</v>
      </c>
      <c r="I155" s="2">
        <v>53</v>
      </c>
      <c r="J155" s="2">
        <v>0.316</v>
      </c>
      <c r="K155" s="2">
        <v>3.3000000000000002E-2</v>
      </c>
      <c r="L155" s="3"/>
      <c r="M155" s="2" t="str">
        <f t="shared" si="9"/>
        <v>01216</v>
      </c>
      <c r="N155" s="3">
        <v>0.61734830913975225</v>
      </c>
      <c r="O155" s="3">
        <v>1.3826516908602478</v>
      </c>
      <c r="P155" s="17">
        <v>0.6173483091397578</v>
      </c>
      <c r="Q155" s="3">
        <v>1.6381617194807701</v>
      </c>
      <c r="R155" s="3">
        <v>0.55050950099945939</v>
      </c>
      <c r="S155" s="3" t="e">
        <v>#DIV/0!</v>
      </c>
      <c r="T155" s="3">
        <v>0.49654515445576364</v>
      </c>
      <c r="U155" s="3">
        <v>0.61734830913975203</v>
      </c>
      <c r="V155" s="3">
        <v>1.3826516908599946</v>
      </c>
      <c r="W155" s="3">
        <v>4.6290557157475201</v>
      </c>
      <c r="X155" s="3">
        <v>0.45807244538170028</v>
      </c>
      <c r="Y155" s="3">
        <v>6.5198836435334648</v>
      </c>
      <c r="Z155" s="3">
        <v>10.261497098629922</v>
      </c>
      <c r="AA155" s="3">
        <v>0.52799511019754108</v>
      </c>
      <c r="AB155" s="3">
        <v>9.2556016790554345</v>
      </c>
      <c r="AC155" s="3">
        <v>32.719460384406858</v>
      </c>
      <c r="AD155" s="3">
        <v>0.43691793431175829</v>
      </c>
      <c r="AE155" s="3">
        <v>0.15275883861966816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3">
        <v>0</v>
      </c>
      <c r="AW155" s="3">
        <v>0</v>
      </c>
      <c r="AX155" s="3">
        <v>0</v>
      </c>
      <c r="AY155" s="3">
        <v>0</v>
      </c>
      <c r="AZ155" s="3">
        <v>0</v>
      </c>
      <c r="BA155" s="10">
        <v>0</v>
      </c>
      <c r="BB155" s="10">
        <v>0</v>
      </c>
      <c r="BC155" s="10">
        <v>0</v>
      </c>
      <c r="BD155" s="10">
        <v>0</v>
      </c>
      <c r="BE155" s="10">
        <v>0</v>
      </c>
      <c r="BF155" s="10">
        <v>0</v>
      </c>
      <c r="BG155" s="10">
        <v>0</v>
      </c>
      <c r="BH155" s="10">
        <v>0</v>
      </c>
      <c r="BI155" s="10">
        <v>0</v>
      </c>
      <c r="BJ155" s="10">
        <v>0</v>
      </c>
      <c r="BK155" s="10">
        <v>0</v>
      </c>
      <c r="BL155" s="10">
        <v>0</v>
      </c>
      <c r="BM155" s="10">
        <v>0</v>
      </c>
      <c r="BN155" s="10">
        <v>0</v>
      </c>
      <c r="BO155" s="10">
        <v>0</v>
      </c>
      <c r="BP155" s="10">
        <v>0</v>
      </c>
      <c r="BQ155" s="10">
        <v>0</v>
      </c>
      <c r="BR155" s="10">
        <v>0</v>
      </c>
      <c r="BS155" s="10">
        <v>0</v>
      </c>
      <c r="BT155" s="10">
        <v>0</v>
      </c>
      <c r="BU155" s="10">
        <v>0</v>
      </c>
      <c r="BV155" s="10">
        <v>0</v>
      </c>
      <c r="BW155" s="10">
        <v>0</v>
      </c>
      <c r="BX155" s="10">
        <v>0</v>
      </c>
      <c r="BY155" s="10">
        <v>0</v>
      </c>
      <c r="BZ155" s="10">
        <v>0</v>
      </c>
      <c r="CA155" s="10">
        <v>9.1275018068719363E-2</v>
      </c>
      <c r="CB155" s="10">
        <v>0</v>
      </c>
      <c r="CC155" s="10">
        <v>0</v>
      </c>
      <c r="CD155" s="10">
        <v>0</v>
      </c>
      <c r="CE155" s="10">
        <v>0</v>
      </c>
      <c r="CF155" s="10">
        <v>0</v>
      </c>
      <c r="CG155" s="10">
        <v>0</v>
      </c>
      <c r="CH155" s="10">
        <v>0</v>
      </c>
      <c r="CI155" s="10">
        <v>0</v>
      </c>
      <c r="CJ155" s="10">
        <v>0</v>
      </c>
      <c r="CK155" s="10">
        <v>0</v>
      </c>
      <c r="CL155" s="10">
        <v>0</v>
      </c>
      <c r="CM155" s="10">
        <v>0</v>
      </c>
      <c r="CN155" s="10">
        <v>0</v>
      </c>
      <c r="CO155" s="10">
        <v>0</v>
      </c>
      <c r="CP155" s="10">
        <v>0</v>
      </c>
      <c r="CQ155" s="10">
        <v>0</v>
      </c>
      <c r="CR155" s="10">
        <v>0</v>
      </c>
      <c r="CS155" s="10">
        <v>0</v>
      </c>
      <c r="CT155" s="10">
        <v>0</v>
      </c>
      <c r="CU155" s="10">
        <v>0</v>
      </c>
      <c r="CV155" s="10">
        <v>0</v>
      </c>
      <c r="CW155" s="10">
        <v>0</v>
      </c>
      <c r="CX155" s="10">
        <v>0</v>
      </c>
      <c r="CY155" s="10">
        <v>0</v>
      </c>
      <c r="CZ155" s="10">
        <v>0</v>
      </c>
      <c r="DA155" s="10">
        <v>0</v>
      </c>
      <c r="DB155" s="10">
        <v>0</v>
      </c>
      <c r="DC155" s="10">
        <v>0</v>
      </c>
      <c r="DD155" s="10">
        <v>0.15444625307765053</v>
      </c>
      <c r="DE155" s="10">
        <v>0</v>
      </c>
      <c r="DF155" s="10">
        <v>0</v>
      </c>
      <c r="DG155" s="10">
        <v>0</v>
      </c>
      <c r="DH155" s="10">
        <v>0</v>
      </c>
      <c r="DI155" s="10">
        <v>0</v>
      </c>
      <c r="DJ155" s="10">
        <v>0</v>
      </c>
      <c r="DK155" s="10">
        <v>0</v>
      </c>
      <c r="DL155" s="10">
        <v>0</v>
      </c>
      <c r="DM155" s="10">
        <v>0</v>
      </c>
      <c r="DN155" s="10">
        <v>0</v>
      </c>
      <c r="DO155" s="10">
        <v>0</v>
      </c>
      <c r="DP155" s="10">
        <v>0</v>
      </c>
      <c r="DQ155" s="10">
        <v>0</v>
      </c>
      <c r="DR155" s="10">
        <v>0</v>
      </c>
      <c r="DS155" s="10">
        <v>0</v>
      </c>
      <c r="DT155" s="10">
        <v>0</v>
      </c>
      <c r="DU155" s="10">
        <v>0</v>
      </c>
      <c r="DV155" s="10">
        <v>0</v>
      </c>
      <c r="DW155" s="10">
        <v>0</v>
      </c>
      <c r="DX155" s="10">
        <v>0</v>
      </c>
      <c r="DY155" s="10">
        <v>0</v>
      </c>
      <c r="DZ155" s="10">
        <v>0</v>
      </c>
      <c r="EA155" s="10">
        <v>0</v>
      </c>
      <c r="EB155" s="10">
        <v>0</v>
      </c>
      <c r="EC155" s="10">
        <v>0</v>
      </c>
      <c r="ED155" s="10">
        <v>0</v>
      </c>
      <c r="EE155" s="10">
        <v>0</v>
      </c>
      <c r="EF155" s="10">
        <v>0</v>
      </c>
      <c r="EG155" s="10">
        <v>0</v>
      </c>
      <c r="EH155" s="10">
        <v>0</v>
      </c>
      <c r="EI155" s="10">
        <v>0</v>
      </c>
      <c r="EJ155" s="10">
        <v>0</v>
      </c>
      <c r="EK155" s="10">
        <v>0</v>
      </c>
      <c r="EL155" s="10">
        <v>0</v>
      </c>
      <c r="EM155" s="10">
        <v>0</v>
      </c>
      <c r="EN155" s="10">
        <v>0</v>
      </c>
      <c r="EO155" s="10">
        <v>0</v>
      </c>
      <c r="EP155" s="10">
        <v>0</v>
      </c>
      <c r="EQ155" s="10">
        <v>0</v>
      </c>
      <c r="ER155" s="10">
        <v>0</v>
      </c>
      <c r="ES155" s="10">
        <v>0</v>
      </c>
      <c r="ET155" s="10">
        <v>0</v>
      </c>
      <c r="EU155" s="10">
        <v>0</v>
      </c>
      <c r="EV155" s="10">
        <v>0</v>
      </c>
      <c r="EW155" s="10">
        <v>0</v>
      </c>
      <c r="EX155" s="10">
        <v>0</v>
      </c>
      <c r="EY155" s="10">
        <v>0</v>
      </c>
      <c r="EZ155" s="10">
        <v>0</v>
      </c>
      <c r="FA155" s="10">
        <v>0</v>
      </c>
      <c r="FB155" s="10">
        <v>0</v>
      </c>
      <c r="FC155" s="10">
        <v>0</v>
      </c>
      <c r="FD155" s="10">
        <v>0</v>
      </c>
      <c r="FE155" s="10">
        <v>0</v>
      </c>
      <c r="FF155" s="10">
        <v>0</v>
      </c>
      <c r="FG155" s="10">
        <v>0</v>
      </c>
      <c r="FH155" s="10">
        <v>0</v>
      </c>
      <c r="FI155" s="10">
        <v>0</v>
      </c>
      <c r="FJ155" s="10">
        <v>0</v>
      </c>
      <c r="FK155" s="10">
        <v>0</v>
      </c>
      <c r="FL155" s="10">
        <v>0</v>
      </c>
      <c r="FM155" s="10">
        <v>0</v>
      </c>
      <c r="FN155" s="10">
        <v>0</v>
      </c>
      <c r="FO155" s="10">
        <v>0</v>
      </c>
      <c r="FP155" s="10">
        <v>0</v>
      </c>
      <c r="FQ155" s="10">
        <v>0</v>
      </c>
      <c r="FR155" s="10">
        <v>0</v>
      </c>
      <c r="FS155" s="10">
        <v>0</v>
      </c>
      <c r="FT155" s="10">
        <v>0</v>
      </c>
      <c r="FU155" s="10">
        <v>0</v>
      </c>
      <c r="FV155" s="10">
        <v>0</v>
      </c>
      <c r="FW155" s="10">
        <v>0</v>
      </c>
      <c r="FX155" s="10">
        <v>0</v>
      </c>
      <c r="FY155" s="10">
        <v>0</v>
      </c>
      <c r="FZ155" s="10">
        <v>0</v>
      </c>
      <c r="GA155" s="10">
        <v>0</v>
      </c>
      <c r="GB155" s="10">
        <v>0</v>
      </c>
      <c r="GC155" s="10">
        <v>0</v>
      </c>
      <c r="GD155" s="10">
        <v>0</v>
      </c>
      <c r="GE155" s="10">
        <v>0</v>
      </c>
      <c r="GF155" s="10">
        <v>0</v>
      </c>
      <c r="GG155" s="10">
        <v>0</v>
      </c>
      <c r="GH155" s="10">
        <v>0</v>
      </c>
      <c r="GI155" s="10">
        <v>0</v>
      </c>
      <c r="GJ155" s="10">
        <v>0</v>
      </c>
      <c r="GK155" s="10">
        <v>0</v>
      </c>
      <c r="GL155" s="10">
        <v>0</v>
      </c>
      <c r="GM155" s="10">
        <v>0</v>
      </c>
      <c r="GN155" s="10">
        <v>0</v>
      </c>
      <c r="GO155" s="10">
        <v>0</v>
      </c>
      <c r="GP155" s="10">
        <v>0</v>
      </c>
      <c r="GQ155" s="10">
        <v>0</v>
      </c>
      <c r="GR155" s="10">
        <v>0</v>
      </c>
      <c r="GS155" s="10">
        <v>0</v>
      </c>
      <c r="GT155" s="10">
        <v>0</v>
      </c>
      <c r="GU155" s="10">
        <v>0</v>
      </c>
      <c r="GV155" s="10">
        <v>0</v>
      </c>
      <c r="GW155" s="10">
        <v>0</v>
      </c>
      <c r="GX155" s="10">
        <v>0</v>
      </c>
      <c r="GY155" s="10">
        <v>0</v>
      </c>
      <c r="GZ155" s="10">
        <v>0</v>
      </c>
      <c r="HA155" s="10">
        <v>0</v>
      </c>
      <c r="HB155" s="10">
        <v>0</v>
      </c>
      <c r="HC155" s="10">
        <v>0</v>
      </c>
      <c r="HD155" s="10">
        <v>0</v>
      </c>
      <c r="HE155" s="10">
        <v>0</v>
      </c>
      <c r="HF155" s="10">
        <v>0</v>
      </c>
      <c r="HG155" s="10">
        <v>0.75427872885363012</v>
      </c>
      <c r="HH155" s="10">
        <v>0</v>
      </c>
      <c r="HI155" s="10">
        <v>0</v>
      </c>
      <c r="HJ155" s="10">
        <v>0</v>
      </c>
      <c r="HK155" s="10">
        <v>0</v>
      </c>
      <c r="HL155" s="10">
        <v>0</v>
      </c>
      <c r="HM155" s="10">
        <v>0</v>
      </c>
      <c r="HN155" s="10">
        <v>0</v>
      </c>
      <c r="HO155" s="10">
        <v>0</v>
      </c>
      <c r="HP155" s="10">
        <v>0</v>
      </c>
      <c r="HQ155" s="10">
        <v>0</v>
      </c>
      <c r="HR155" s="10">
        <v>0</v>
      </c>
      <c r="HS155" s="10">
        <v>0</v>
      </c>
      <c r="HT155" s="10">
        <v>0</v>
      </c>
      <c r="HU155" s="10">
        <v>0</v>
      </c>
    </row>
    <row r="156" spans="1:229" x14ac:dyDescent="0.25">
      <c r="A156" s="10">
        <v>0</v>
      </c>
      <c r="B156" s="2" t="s">
        <v>300</v>
      </c>
      <c r="C156" s="2" t="s">
        <v>301</v>
      </c>
      <c r="D156" s="2">
        <v>0.69699999999999995</v>
      </c>
      <c r="E156" s="2">
        <v>4.37</v>
      </c>
      <c r="F156" s="2">
        <v>19.05</v>
      </c>
      <c r="G156" s="2">
        <v>0</v>
      </c>
      <c r="H156" s="2">
        <v>19.05</v>
      </c>
      <c r="I156" s="2">
        <v>58</v>
      </c>
      <c r="J156" s="2">
        <v>0.29699999999999999</v>
      </c>
      <c r="K156" s="2">
        <v>3.1E-2</v>
      </c>
      <c r="L156" s="3"/>
      <c r="M156" s="2" t="str">
        <f t="shared" si="9"/>
        <v>01217</v>
      </c>
      <c r="N156" s="3">
        <v>0.58350044883707142</v>
      </c>
      <c r="O156" s="3">
        <v>1.4164995511629288</v>
      </c>
      <c r="P156" s="17">
        <v>0.5835004488368476</v>
      </c>
      <c r="Q156" s="3">
        <v>1.5230476466952045</v>
      </c>
      <c r="R156" s="3">
        <v>0.53892884270802821</v>
      </c>
      <c r="S156" s="3" t="e">
        <v>#DIV/0!</v>
      </c>
      <c r="T156" s="3">
        <v>0.47983544269649392</v>
      </c>
      <c r="U156" s="3">
        <v>0.58350044883707108</v>
      </c>
      <c r="V156" s="3">
        <v>1.4164995511632412</v>
      </c>
      <c r="W156" s="3">
        <v>4.9346581036836783</v>
      </c>
      <c r="X156" s="3">
        <v>0.40669981283928275</v>
      </c>
      <c r="Y156" s="3">
        <v>6.6557182160580437</v>
      </c>
      <c r="Z156" s="3">
        <v>10.266594453587938</v>
      </c>
      <c r="AA156" s="3">
        <v>0.53619588049843558</v>
      </c>
      <c r="AB156" s="3">
        <v>9.1408651833682093</v>
      </c>
      <c r="AC156" s="3">
        <v>33.843026032550121</v>
      </c>
      <c r="AD156" s="3">
        <v>0.42070036669548261</v>
      </c>
      <c r="AE156" s="3">
        <v>0.15297440121419403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3">
        <v>0</v>
      </c>
      <c r="AW156" s="3">
        <v>0</v>
      </c>
      <c r="AX156" s="3">
        <v>0</v>
      </c>
      <c r="AY156" s="3">
        <v>0</v>
      </c>
      <c r="AZ156" s="3">
        <v>0</v>
      </c>
      <c r="BA156" s="10">
        <v>0</v>
      </c>
      <c r="BB156" s="10">
        <v>0</v>
      </c>
      <c r="BC156" s="10">
        <v>0</v>
      </c>
      <c r="BD156" s="10">
        <v>0</v>
      </c>
      <c r="BE156" s="10">
        <v>0</v>
      </c>
      <c r="BF156" s="10">
        <v>0</v>
      </c>
      <c r="BG156" s="10">
        <v>0</v>
      </c>
      <c r="BH156" s="10">
        <v>0</v>
      </c>
      <c r="BI156" s="10">
        <v>0</v>
      </c>
      <c r="BJ156" s="10">
        <v>0</v>
      </c>
      <c r="BK156" s="10">
        <v>0</v>
      </c>
      <c r="BL156" s="10">
        <v>0</v>
      </c>
      <c r="BM156" s="10">
        <v>0</v>
      </c>
      <c r="BN156" s="10">
        <v>0</v>
      </c>
      <c r="BO156" s="10">
        <v>0</v>
      </c>
      <c r="BP156" s="10">
        <v>0</v>
      </c>
      <c r="BQ156" s="10">
        <v>0</v>
      </c>
      <c r="BR156" s="10">
        <v>0</v>
      </c>
      <c r="BS156" s="10">
        <v>0</v>
      </c>
      <c r="BT156" s="10">
        <v>0</v>
      </c>
      <c r="BU156" s="10">
        <v>0</v>
      </c>
      <c r="BV156" s="10">
        <v>0</v>
      </c>
      <c r="BW156" s="10">
        <v>0</v>
      </c>
      <c r="BX156" s="10">
        <v>0</v>
      </c>
      <c r="BY156" s="10">
        <v>0</v>
      </c>
      <c r="BZ156" s="10">
        <v>0</v>
      </c>
      <c r="CA156" s="10">
        <v>0.11467800481464693</v>
      </c>
      <c r="CB156" s="10">
        <v>0</v>
      </c>
      <c r="CC156" s="10">
        <v>0</v>
      </c>
      <c r="CD156" s="10">
        <v>0</v>
      </c>
      <c r="CE156" s="10">
        <v>0</v>
      </c>
      <c r="CF156" s="10">
        <v>0</v>
      </c>
      <c r="CG156" s="10">
        <v>0</v>
      </c>
      <c r="CH156" s="10">
        <v>0</v>
      </c>
      <c r="CI156" s="10">
        <v>0</v>
      </c>
      <c r="CJ156" s="10">
        <v>0</v>
      </c>
      <c r="CK156" s="10">
        <v>0</v>
      </c>
      <c r="CL156" s="10">
        <v>0</v>
      </c>
      <c r="CM156" s="10">
        <v>0</v>
      </c>
      <c r="CN156" s="10">
        <v>0</v>
      </c>
      <c r="CO156" s="10">
        <v>0</v>
      </c>
      <c r="CP156" s="10">
        <v>0</v>
      </c>
      <c r="CQ156" s="10">
        <v>0</v>
      </c>
      <c r="CR156" s="10">
        <v>0</v>
      </c>
      <c r="CS156" s="10">
        <v>0</v>
      </c>
      <c r="CT156" s="10">
        <v>0</v>
      </c>
      <c r="CU156" s="10">
        <v>0</v>
      </c>
      <c r="CV156" s="10">
        <v>0</v>
      </c>
      <c r="CW156" s="10">
        <v>0</v>
      </c>
      <c r="CX156" s="10">
        <v>0</v>
      </c>
      <c r="CY156" s="10">
        <v>0</v>
      </c>
      <c r="CZ156" s="10">
        <v>0</v>
      </c>
      <c r="DA156" s="10">
        <v>0</v>
      </c>
      <c r="DB156" s="10">
        <v>0</v>
      </c>
      <c r="DC156" s="10">
        <v>0</v>
      </c>
      <c r="DD156" s="10">
        <v>0.11932788018758791</v>
      </c>
      <c r="DE156" s="10">
        <v>0</v>
      </c>
      <c r="DF156" s="10">
        <v>0</v>
      </c>
      <c r="DG156" s="10">
        <v>0</v>
      </c>
      <c r="DH156" s="10">
        <v>0</v>
      </c>
      <c r="DI156" s="10">
        <v>0</v>
      </c>
      <c r="DJ156" s="10">
        <v>0</v>
      </c>
      <c r="DK156" s="10">
        <v>0</v>
      </c>
      <c r="DL156" s="10">
        <v>0</v>
      </c>
      <c r="DM156" s="10">
        <v>0</v>
      </c>
      <c r="DN156" s="10">
        <v>0</v>
      </c>
      <c r="DO156" s="10">
        <v>0</v>
      </c>
      <c r="DP156" s="10">
        <v>0</v>
      </c>
      <c r="DQ156" s="10">
        <v>0</v>
      </c>
      <c r="DR156" s="10">
        <v>0</v>
      </c>
      <c r="DS156" s="10">
        <v>0</v>
      </c>
      <c r="DT156" s="10">
        <v>0</v>
      </c>
      <c r="DU156" s="10">
        <v>0</v>
      </c>
      <c r="DV156" s="10">
        <v>0</v>
      </c>
      <c r="DW156" s="10">
        <v>0</v>
      </c>
      <c r="DX156" s="10">
        <v>0</v>
      </c>
      <c r="DY156" s="10">
        <v>0</v>
      </c>
      <c r="DZ156" s="10">
        <v>0</v>
      </c>
      <c r="EA156" s="10">
        <v>0</v>
      </c>
      <c r="EB156" s="10">
        <v>0</v>
      </c>
      <c r="EC156" s="10">
        <v>0</v>
      </c>
      <c r="ED156" s="10">
        <v>0</v>
      </c>
      <c r="EE156" s="10">
        <v>0</v>
      </c>
      <c r="EF156" s="10">
        <v>0</v>
      </c>
      <c r="EG156" s="10">
        <v>0</v>
      </c>
      <c r="EH156" s="10">
        <v>0</v>
      </c>
      <c r="EI156" s="10">
        <v>0</v>
      </c>
      <c r="EJ156" s="10">
        <v>0</v>
      </c>
      <c r="EK156" s="10">
        <v>0</v>
      </c>
      <c r="EL156" s="10">
        <v>0</v>
      </c>
      <c r="EM156" s="10">
        <v>0</v>
      </c>
      <c r="EN156" s="10">
        <v>0</v>
      </c>
      <c r="EO156" s="10">
        <v>0</v>
      </c>
      <c r="EP156" s="10">
        <v>0</v>
      </c>
      <c r="EQ156" s="10">
        <v>0</v>
      </c>
      <c r="ER156" s="10">
        <v>0</v>
      </c>
      <c r="ES156" s="10">
        <v>0</v>
      </c>
      <c r="ET156" s="10">
        <v>0</v>
      </c>
      <c r="EU156" s="10">
        <v>0</v>
      </c>
      <c r="EV156" s="10">
        <v>0</v>
      </c>
      <c r="EW156" s="10">
        <v>0</v>
      </c>
      <c r="EX156" s="10">
        <v>0</v>
      </c>
      <c r="EY156" s="10">
        <v>0</v>
      </c>
      <c r="EZ156" s="10">
        <v>0</v>
      </c>
      <c r="FA156" s="10">
        <v>0</v>
      </c>
      <c r="FB156" s="10">
        <v>0</v>
      </c>
      <c r="FC156" s="10">
        <v>0</v>
      </c>
      <c r="FD156" s="10">
        <v>0</v>
      </c>
      <c r="FE156" s="10">
        <v>0</v>
      </c>
      <c r="FF156" s="10">
        <v>0</v>
      </c>
      <c r="FG156" s="10">
        <v>0</v>
      </c>
      <c r="FH156" s="10">
        <v>0</v>
      </c>
      <c r="FI156" s="10">
        <v>0</v>
      </c>
      <c r="FJ156" s="10">
        <v>0</v>
      </c>
      <c r="FK156" s="10">
        <v>0</v>
      </c>
      <c r="FL156" s="10">
        <v>0</v>
      </c>
      <c r="FM156" s="10">
        <v>0</v>
      </c>
      <c r="FN156" s="10">
        <v>0</v>
      </c>
      <c r="FO156" s="10">
        <v>0</v>
      </c>
      <c r="FP156" s="10">
        <v>0</v>
      </c>
      <c r="FQ156" s="10">
        <v>0</v>
      </c>
      <c r="FR156" s="10">
        <v>0</v>
      </c>
      <c r="FS156" s="10">
        <v>0</v>
      </c>
      <c r="FT156" s="10">
        <v>0</v>
      </c>
      <c r="FU156" s="10">
        <v>0</v>
      </c>
      <c r="FV156" s="10">
        <v>0</v>
      </c>
      <c r="FW156" s="10">
        <v>0</v>
      </c>
      <c r="FX156" s="10">
        <v>0</v>
      </c>
      <c r="FY156" s="10">
        <v>0</v>
      </c>
      <c r="FZ156" s="10">
        <v>0</v>
      </c>
      <c r="GA156" s="10">
        <v>0</v>
      </c>
      <c r="GB156" s="10">
        <v>0</v>
      </c>
      <c r="GC156" s="10">
        <v>0</v>
      </c>
      <c r="GD156" s="10">
        <v>0</v>
      </c>
      <c r="GE156" s="10">
        <v>0</v>
      </c>
      <c r="GF156" s="10">
        <v>0</v>
      </c>
      <c r="GG156" s="10">
        <v>0</v>
      </c>
      <c r="GH156" s="10">
        <v>0</v>
      </c>
      <c r="GI156" s="10">
        <v>0</v>
      </c>
      <c r="GJ156" s="10">
        <v>0</v>
      </c>
      <c r="GK156" s="10">
        <v>0</v>
      </c>
      <c r="GL156" s="10">
        <v>0</v>
      </c>
      <c r="GM156" s="10">
        <v>0</v>
      </c>
      <c r="GN156" s="10">
        <v>0</v>
      </c>
      <c r="GO156" s="10">
        <v>0</v>
      </c>
      <c r="GP156" s="10">
        <v>0</v>
      </c>
      <c r="GQ156" s="10">
        <v>0</v>
      </c>
      <c r="GR156" s="10">
        <v>0</v>
      </c>
      <c r="GS156" s="10">
        <v>0</v>
      </c>
      <c r="GT156" s="10">
        <v>0</v>
      </c>
      <c r="GU156" s="10">
        <v>0</v>
      </c>
      <c r="GV156" s="10">
        <v>0</v>
      </c>
      <c r="GW156" s="10">
        <v>0</v>
      </c>
      <c r="GX156" s="10">
        <v>0</v>
      </c>
      <c r="GY156" s="10">
        <v>0</v>
      </c>
      <c r="GZ156" s="10">
        <v>0</v>
      </c>
      <c r="HA156" s="10">
        <v>0</v>
      </c>
      <c r="HB156" s="10">
        <v>0</v>
      </c>
      <c r="HC156" s="10">
        <v>0</v>
      </c>
      <c r="HD156" s="10">
        <v>0</v>
      </c>
      <c r="HE156" s="10">
        <v>0</v>
      </c>
      <c r="HF156" s="10">
        <v>0</v>
      </c>
      <c r="HG156" s="10">
        <v>0.76599411499776515</v>
      </c>
      <c r="HH156" s="10">
        <v>0</v>
      </c>
      <c r="HI156" s="10">
        <v>0</v>
      </c>
      <c r="HJ156" s="10">
        <v>0</v>
      </c>
      <c r="HK156" s="10">
        <v>0</v>
      </c>
      <c r="HL156" s="10">
        <v>0</v>
      </c>
      <c r="HM156" s="10">
        <v>0</v>
      </c>
      <c r="HN156" s="10">
        <v>0</v>
      </c>
      <c r="HO156" s="10">
        <v>0</v>
      </c>
      <c r="HP156" s="10">
        <v>0</v>
      </c>
      <c r="HQ156" s="10">
        <v>0</v>
      </c>
      <c r="HR156" s="10">
        <v>0</v>
      </c>
      <c r="HS156" s="10">
        <v>0</v>
      </c>
      <c r="HT156" s="10">
        <v>0</v>
      </c>
      <c r="HU156" s="10">
        <v>0</v>
      </c>
    </row>
    <row r="157" spans="1:229" x14ac:dyDescent="0.25">
      <c r="A157" s="10">
        <v>0</v>
      </c>
      <c r="B157" s="2" t="s">
        <v>302</v>
      </c>
      <c r="C157" s="2" t="s">
        <v>303</v>
      </c>
      <c r="D157" s="2">
        <v>0.11899999999999999</v>
      </c>
      <c r="E157" s="2">
        <v>4.4000000000000004</v>
      </c>
      <c r="F157" s="2">
        <v>19</v>
      </c>
      <c r="G157" s="2">
        <v>0</v>
      </c>
      <c r="H157" s="2">
        <v>19</v>
      </c>
      <c r="I157" s="2">
        <v>58</v>
      </c>
      <c r="J157" s="2">
        <v>0.05</v>
      </c>
      <c r="K157" s="2">
        <v>1.6E-2</v>
      </c>
      <c r="L157" s="3"/>
      <c r="M157" s="2" t="str">
        <f t="shared" si="9"/>
        <v>01218</v>
      </c>
      <c r="N157" s="3">
        <v>0.65597635992051118</v>
      </c>
      <c r="O157" s="3">
        <v>1.3440236400794889</v>
      </c>
      <c r="P157" s="17">
        <v>0.65597635992054215</v>
      </c>
      <c r="Q157" s="3">
        <v>1.4956798417268322</v>
      </c>
      <c r="R157" s="3">
        <v>0.68867894999745993</v>
      </c>
      <c r="S157" s="3" t="e">
        <v>#DIV/0!</v>
      </c>
      <c r="T157" s="3">
        <v>0.49164412699096877</v>
      </c>
      <c r="U157" s="3">
        <v>0.65597635992051151</v>
      </c>
      <c r="V157" s="3">
        <v>1.344023640082274</v>
      </c>
      <c r="W157" s="3">
        <v>0.9776561433700679</v>
      </c>
      <c r="X157" s="3">
        <v>7.8061186830544513E-2</v>
      </c>
      <c r="Y157" s="3">
        <v>6.5809913035980623</v>
      </c>
      <c r="Z157" s="3">
        <v>13.084900049951738</v>
      </c>
      <c r="AA157" s="3">
        <v>0.54400678844893291</v>
      </c>
      <c r="AB157" s="3">
        <v>9.3412384128284067</v>
      </c>
      <c r="AC157" s="3">
        <v>38.046628875389665</v>
      </c>
      <c r="AD157" s="3">
        <v>6.7201182004113708E-2</v>
      </c>
      <c r="AE157" s="3">
        <v>1.5642498293921087E-2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3">
        <v>0</v>
      </c>
      <c r="AW157" s="3">
        <v>0</v>
      </c>
      <c r="AX157" s="3">
        <v>0</v>
      </c>
      <c r="AY157" s="3">
        <v>0</v>
      </c>
      <c r="AZ157" s="3">
        <v>0</v>
      </c>
      <c r="BA157" s="10">
        <v>0</v>
      </c>
      <c r="BB157" s="10">
        <v>0</v>
      </c>
      <c r="BC157" s="10">
        <v>0</v>
      </c>
      <c r="BD157" s="10">
        <v>0</v>
      </c>
      <c r="BE157" s="10">
        <v>0</v>
      </c>
      <c r="BF157" s="10">
        <v>0</v>
      </c>
      <c r="BG157" s="10">
        <v>0</v>
      </c>
      <c r="BH157" s="10">
        <v>0</v>
      </c>
      <c r="BI157" s="10">
        <v>0</v>
      </c>
      <c r="BJ157" s="10">
        <v>0</v>
      </c>
      <c r="BK157" s="10">
        <v>0</v>
      </c>
      <c r="BL157" s="10">
        <v>0</v>
      </c>
      <c r="BM157" s="10">
        <v>0</v>
      </c>
      <c r="BN157" s="10">
        <v>0</v>
      </c>
      <c r="BO157" s="10">
        <v>0</v>
      </c>
      <c r="BP157" s="10">
        <v>0</v>
      </c>
      <c r="BQ157" s="10">
        <v>0</v>
      </c>
      <c r="BR157" s="10">
        <v>0</v>
      </c>
      <c r="BS157" s="10">
        <v>0</v>
      </c>
      <c r="BT157" s="10">
        <v>0</v>
      </c>
      <c r="BU157" s="10">
        <v>0</v>
      </c>
      <c r="BV157" s="10">
        <v>0</v>
      </c>
      <c r="BW157" s="10">
        <v>0</v>
      </c>
      <c r="BX157" s="10">
        <v>0</v>
      </c>
      <c r="BY157" s="10">
        <v>0</v>
      </c>
      <c r="BZ157" s="10">
        <v>0</v>
      </c>
      <c r="CA157" s="10">
        <v>0</v>
      </c>
      <c r="CB157" s="10">
        <v>0</v>
      </c>
      <c r="CC157" s="10">
        <v>0</v>
      </c>
      <c r="CD157" s="10">
        <v>0</v>
      </c>
      <c r="CE157" s="10">
        <v>0</v>
      </c>
      <c r="CF157" s="10">
        <v>0</v>
      </c>
      <c r="CG157" s="10">
        <v>0</v>
      </c>
      <c r="CH157" s="10">
        <v>0</v>
      </c>
      <c r="CI157" s="10">
        <v>0</v>
      </c>
      <c r="CJ157" s="10">
        <v>0</v>
      </c>
      <c r="CK157" s="10">
        <v>0</v>
      </c>
      <c r="CL157" s="10">
        <v>0</v>
      </c>
      <c r="CM157" s="10">
        <v>0</v>
      </c>
      <c r="CN157" s="10">
        <v>0</v>
      </c>
      <c r="CO157" s="10">
        <v>0</v>
      </c>
      <c r="CP157" s="10">
        <v>0</v>
      </c>
      <c r="CQ157" s="10">
        <v>0</v>
      </c>
      <c r="CR157" s="10">
        <v>0</v>
      </c>
      <c r="CS157" s="10">
        <v>0</v>
      </c>
      <c r="CT157" s="10">
        <v>0</v>
      </c>
      <c r="CU157" s="10">
        <v>0</v>
      </c>
      <c r="CV157" s="10">
        <v>0</v>
      </c>
      <c r="CW157" s="10">
        <v>0</v>
      </c>
      <c r="CX157" s="10">
        <v>0</v>
      </c>
      <c r="CY157" s="10">
        <v>0</v>
      </c>
      <c r="CZ157" s="10">
        <v>0</v>
      </c>
      <c r="DA157" s="10">
        <v>0</v>
      </c>
      <c r="DB157" s="10">
        <v>0</v>
      </c>
      <c r="DC157" s="10">
        <v>0</v>
      </c>
      <c r="DD157" s="10">
        <v>0</v>
      </c>
      <c r="DE157" s="10">
        <v>0</v>
      </c>
      <c r="DF157" s="10">
        <v>0</v>
      </c>
      <c r="DG157" s="10">
        <v>0</v>
      </c>
      <c r="DH157" s="10">
        <v>0</v>
      </c>
      <c r="DI157" s="10">
        <v>0</v>
      </c>
      <c r="DJ157" s="10">
        <v>0</v>
      </c>
      <c r="DK157" s="10">
        <v>0</v>
      </c>
      <c r="DL157" s="10">
        <v>0</v>
      </c>
      <c r="DM157" s="10">
        <v>0</v>
      </c>
      <c r="DN157" s="10">
        <v>0</v>
      </c>
      <c r="DO157" s="10">
        <v>0</v>
      </c>
      <c r="DP157" s="10">
        <v>0</v>
      </c>
      <c r="DQ157" s="10">
        <v>0</v>
      </c>
      <c r="DR157" s="10">
        <v>0</v>
      </c>
      <c r="DS157" s="10">
        <v>0</v>
      </c>
      <c r="DT157" s="10">
        <v>0</v>
      </c>
      <c r="DU157" s="10">
        <v>0</v>
      </c>
      <c r="DV157" s="10">
        <v>0</v>
      </c>
      <c r="DW157" s="10">
        <v>0</v>
      </c>
      <c r="DX157" s="10">
        <v>0</v>
      </c>
      <c r="DY157" s="10">
        <v>0</v>
      </c>
      <c r="DZ157" s="10">
        <v>0</v>
      </c>
      <c r="EA157" s="10">
        <v>0</v>
      </c>
      <c r="EB157" s="10">
        <v>0</v>
      </c>
      <c r="EC157" s="10">
        <v>0</v>
      </c>
      <c r="ED157" s="10">
        <v>0</v>
      </c>
      <c r="EE157" s="10">
        <v>0</v>
      </c>
      <c r="EF157" s="10">
        <v>0</v>
      </c>
      <c r="EG157" s="10">
        <v>0</v>
      </c>
      <c r="EH157" s="10">
        <v>0</v>
      </c>
      <c r="EI157" s="10">
        <v>0</v>
      </c>
      <c r="EJ157" s="10">
        <v>0</v>
      </c>
      <c r="EK157" s="10">
        <v>0</v>
      </c>
      <c r="EL157" s="10">
        <v>0</v>
      </c>
      <c r="EM157" s="10">
        <v>0</v>
      </c>
      <c r="EN157" s="10">
        <v>0</v>
      </c>
      <c r="EO157" s="10">
        <v>0</v>
      </c>
      <c r="EP157" s="10">
        <v>0</v>
      </c>
      <c r="EQ157" s="10">
        <v>0</v>
      </c>
      <c r="ER157" s="10">
        <v>0</v>
      </c>
      <c r="ES157" s="10">
        <v>0</v>
      </c>
      <c r="ET157" s="10">
        <v>0</v>
      </c>
      <c r="EU157" s="10">
        <v>0</v>
      </c>
      <c r="EV157" s="10">
        <v>0</v>
      </c>
      <c r="EW157" s="10">
        <v>0</v>
      </c>
      <c r="EX157" s="10">
        <v>0</v>
      </c>
      <c r="EY157" s="10">
        <v>0</v>
      </c>
      <c r="EZ157" s="10">
        <v>0</v>
      </c>
      <c r="FA157" s="10">
        <v>0</v>
      </c>
      <c r="FB157" s="10">
        <v>0</v>
      </c>
      <c r="FC157" s="10">
        <v>0</v>
      </c>
      <c r="FD157" s="10">
        <v>0</v>
      </c>
      <c r="FE157" s="10">
        <v>0</v>
      </c>
      <c r="FF157" s="10">
        <v>0</v>
      </c>
      <c r="FG157" s="10">
        <v>0</v>
      </c>
      <c r="FH157" s="10">
        <v>0</v>
      </c>
      <c r="FI157" s="10">
        <v>0</v>
      </c>
      <c r="FJ157" s="10">
        <v>0</v>
      </c>
      <c r="FK157" s="10">
        <v>0</v>
      </c>
      <c r="FL157" s="10">
        <v>0</v>
      </c>
      <c r="FM157" s="10">
        <v>0</v>
      </c>
      <c r="FN157" s="10">
        <v>0</v>
      </c>
      <c r="FO157" s="10">
        <v>0</v>
      </c>
      <c r="FP157" s="10">
        <v>0</v>
      </c>
      <c r="FQ157" s="10">
        <v>0</v>
      </c>
      <c r="FR157" s="10">
        <v>0</v>
      </c>
      <c r="FS157" s="10">
        <v>0</v>
      </c>
      <c r="FT157" s="10">
        <v>0</v>
      </c>
      <c r="FU157" s="10">
        <v>0</v>
      </c>
      <c r="FV157" s="10">
        <v>0</v>
      </c>
      <c r="FW157" s="10">
        <v>0</v>
      </c>
      <c r="FX157" s="10">
        <v>0</v>
      </c>
      <c r="FY157" s="10">
        <v>0</v>
      </c>
      <c r="FZ157" s="10">
        <v>0</v>
      </c>
      <c r="GA157" s="10">
        <v>0</v>
      </c>
      <c r="GB157" s="10">
        <v>0</v>
      </c>
      <c r="GC157" s="10">
        <v>0</v>
      </c>
      <c r="GD157" s="10">
        <v>0</v>
      </c>
      <c r="GE157" s="10">
        <v>0</v>
      </c>
      <c r="GF157" s="10">
        <v>0</v>
      </c>
      <c r="GG157" s="10">
        <v>0</v>
      </c>
      <c r="GH157" s="10">
        <v>0</v>
      </c>
      <c r="GI157" s="10">
        <v>0</v>
      </c>
      <c r="GJ157" s="10">
        <v>0</v>
      </c>
      <c r="GK157" s="10">
        <v>0</v>
      </c>
      <c r="GL157" s="10">
        <v>0</v>
      </c>
      <c r="GM157" s="10">
        <v>0</v>
      </c>
      <c r="GN157" s="10">
        <v>0</v>
      </c>
      <c r="GO157" s="10">
        <v>0</v>
      </c>
      <c r="GP157" s="10">
        <v>0</v>
      </c>
      <c r="GQ157" s="10">
        <v>2.164904094795847E-2</v>
      </c>
      <c r="GR157" s="10">
        <v>0</v>
      </c>
      <c r="GS157" s="10">
        <v>0</v>
      </c>
      <c r="GT157" s="10">
        <v>0</v>
      </c>
      <c r="GU157" s="10">
        <v>0</v>
      </c>
      <c r="GV157" s="10">
        <v>0</v>
      </c>
      <c r="GW157" s="10">
        <v>0</v>
      </c>
      <c r="GX157" s="10">
        <v>0</v>
      </c>
      <c r="GY157" s="10">
        <v>0</v>
      </c>
      <c r="GZ157" s="10">
        <v>0</v>
      </c>
      <c r="HA157" s="10">
        <v>0</v>
      </c>
      <c r="HB157" s="10">
        <v>0</v>
      </c>
      <c r="HC157" s="10">
        <v>0</v>
      </c>
      <c r="HD157" s="10">
        <v>0</v>
      </c>
      <c r="HE157" s="10">
        <v>0</v>
      </c>
      <c r="HF157" s="10">
        <v>0</v>
      </c>
      <c r="HG157" s="10">
        <v>0.70911271194774905</v>
      </c>
      <c r="HH157" s="10">
        <v>0</v>
      </c>
      <c r="HI157" s="10">
        <v>0</v>
      </c>
      <c r="HJ157" s="10">
        <v>0</v>
      </c>
      <c r="HK157" s="10">
        <v>0</v>
      </c>
      <c r="HL157" s="10">
        <v>0</v>
      </c>
      <c r="HM157" s="10">
        <v>0</v>
      </c>
      <c r="HN157" s="10">
        <v>0</v>
      </c>
      <c r="HO157" s="10">
        <v>0</v>
      </c>
      <c r="HP157" s="10">
        <v>0.26923824710429284</v>
      </c>
      <c r="HQ157" s="10">
        <v>0</v>
      </c>
      <c r="HR157" s="10">
        <v>0</v>
      </c>
      <c r="HS157" s="10">
        <v>0</v>
      </c>
      <c r="HT157" s="10">
        <v>0</v>
      </c>
      <c r="HU157" s="10">
        <v>0</v>
      </c>
    </row>
    <row r="158" spans="1:229" x14ac:dyDescent="0.25">
      <c r="A158" s="10">
        <v>0</v>
      </c>
      <c r="B158" s="2" t="s">
        <v>304</v>
      </c>
      <c r="C158" s="2" t="s">
        <v>305</v>
      </c>
      <c r="D158" s="2">
        <v>0.90900000000000003</v>
      </c>
      <c r="E158" s="2">
        <v>4.8600000000000003</v>
      </c>
      <c r="F158" s="2">
        <v>18.600000000000001</v>
      </c>
      <c r="G158" s="2">
        <v>0</v>
      </c>
      <c r="H158" s="2">
        <v>2.9</v>
      </c>
      <c r="I158" s="2">
        <v>58</v>
      </c>
      <c r="J158" s="2">
        <v>0.38700000000000001</v>
      </c>
      <c r="K158" s="2">
        <v>0.04</v>
      </c>
      <c r="L158" s="3"/>
      <c r="M158" s="2" t="str">
        <f t="shared" si="9"/>
        <v>01219</v>
      </c>
      <c r="N158" s="3">
        <v>0.68316217306467708</v>
      </c>
      <c r="O158" s="3">
        <v>1.3168378269353229</v>
      </c>
      <c r="P158" s="17">
        <v>0.68316217306484128</v>
      </c>
      <c r="Q158" s="3">
        <v>1.3168378269353154</v>
      </c>
      <c r="R158" s="3">
        <v>0.22934537106349706</v>
      </c>
      <c r="S158" s="3" t="e">
        <v>#DIV/0!</v>
      </c>
      <c r="T158" s="3">
        <v>0.68316217306467597</v>
      </c>
      <c r="U158" s="3">
        <v>0.68316217306467708</v>
      </c>
      <c r="V158" s="3">
        <v>1.3168378269354335</v>
      </c>
      <c r="W158" s="3">
        <v>3.7227772639124828</v>
      </c>
      <c r="X158" s="3">
        <v>0.6209944153159408</v>
      </c>
      <c r="Y158" s="3">
        <v>6.3998318389056328</v>
      </c>
      <c r="Z158" s="3">
        <v>4.2658239017810455</v>
      </c>
      <c r="AA158" s="3">
        <v>0</v>
      </c>
      <c r="AB158" s="3">
        <v>1.9811703018875602</v>
      </c>
      <c r="AC158" s="3">
        <v>39.623406037751273</v>
      </c>
      <c r="AD158" s="3">
        <v>0.50961623902401276</v>
      </c>
      <c r="AE158" s="3">
        <v>0.14891109055649931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3">
        <v>0</v>
      </c>
      <c r="AW158" s="3">
        <v>0</v>
      </c>
      <c r="AX158" s="3">
        <v>0</v>
      </c>
      <c r="AY158" s="3">
        <v>0</v>
      </c>
      <c r="AZ158" s="3">
        <v>0</v>
      </c>
      <c r="BA158" s="10">
        <v>0</v>
      </c>
      <c r="BB158" s="10">
        <v>0</v>
      </c>
      <c r="BC158" s="10">
        <v>0</v>
      </c>
      <c r="BD158" s="10">
        <v>0</v>
      </c>
      <c r="BE158" s="10">
        <v>0</v>
      </c>
      <c r="BF158" s="10">
        <v>0</v>
      </c>
      <c r="BG158" s="10">
        <v>0</v>
      </c>
      <c r="BH158" s="10">
        <v>0</v>
      </c>
      <c r="BI158" s="10">
        <v>0</v>
      </c>
      <c r="BJ158" s="10">
        <v>0</v>
      </c>
      <c r="BK158" s="10">
        <v>0</v>
      </c>
      <c r="BL158" s="10">
        <v>0</v>
      </c>
      <c r="BM158" s="10">
        <v>0</v>
      </c>
      <c r="BN158" s="10">
        <v>0</v>
      </c>
      <c r="BO158" s="10">
        <v>0</v>
      </c>
      <c r="BP158" s="10">
        <v>0</v>
      </c>
      <c r="BQ158" s="10">
        <v>0</v>
      </c>
      <c r="BR158" s="10">
        <v>0</v>
      </c>
      <c r="BS158" s="10">
        <v>0</v>
      </c>
      <c r="BT158" s="10">
        <v>0</v>
      </c>
      <c r="BU158" s="10">
        <v>0</v>
      </c>
      <c r="BV158" s="10">
        <v>0</v>
      </c>
      <c r="BW158" s="10">
        <v>0</v>
      </c>
      <c r="BX158" s="10">
        <v>0</v>
      </c>
      <c r="BY158" s="10">
        <v>0</v>
      </c>
      <c r="BZ158" s="10">
        <v>0</v>
      </c>
      <c r="CA158" s="10">
        <v>0.14570357443232995</v>
      </c>
      <c r="CB158" s="10">
        <v>0</v>
      </c>
      <c r="CC158" s="10">
        <v>0</v>
      </c>
      <c r="CD158" s="10">
        <v>0</v>
      </c>
      <c r="CE158" s="10">
        <v>0</v>
      </c>
      <c r="CF158" s="10">
        <v>0</v>
      </c>
      <c r="CG158" s="10">
        <v>0</v>
      </c>
      <c r="CH158" s="10">
        <v>0</v>
      </c>
      <c r="CI158" s="10">
        <v>0</v>
      </c>
      <c r="CJ158" s="10">
        <v>0</v>
      </c>
      <c r="CK158" s="10">
        <v>0</v>
      </c>
      <c r="CL158" s="10">
        <v>0</v>
      </c>
      <c r="CM158" s="10">
        <v>0</v>
      </c>
      <c r="CN158" s="10">
        <v>0.28753573829905943</v>
      </c>
      <c r="CO158" s="10">
        <v>0</v>
      </c>
      <c r="CP158" s="10">
        <v>0</v>
      </c>
      <c r="CQ158" s="10">
        <v>0</v>
      </c>
      <c r="CR158" s="10">
        <v>0</v>
      </c>
      <c r="CS158" s="10">
        <v>0.12304354125331496</v>
      </c>
      <c r="CT158" s="10">
        <v>0</v>
      </c>
      <c r="CU158" s="10">
        <v>0</v>
      </c>
      <c r="CV158" s="10">
        <v>0</v>
      </c>
      <c r="CW158" s="10">
        <v>0</v>
      </c>
      <c r="CX158" s="10">
        <v>0</v>
      </c>
      <c r="CY158" s="10">
        <v>0</v>
      </c>
      <c r="CZ158" s="10">
        <v>0</v>
      </c>
      <c r="DA158" s="10">
        <v>0</v>
      </c>
      <c r="DB158" s="10">
        <v>0</v>
      </c>
      <c r="DC158" s="10">
        <v>0</v>
      </c>
      <c r="DD158" s="10">
        <v>0</v>
      </c>
      <c r="DE158" s="10">
        <v>0</v>
      </c>
      <c r="DF158" s="10">
        <v>0</v>
      </c>
      <c r="DG158" s="10">
        <v>0</v>
      </c>
      <c r="DH158" s="10">
        <v>0</v>
      </c>
      <c r="DI158" s="10">
        <v>0</v>
      </c>
      <c r="DJ158" s="10">
        <v>0</v>
      </c>
      <c r="DK158" s="10">
        <v>0</v>
      </c>
      <c r="DL158" s="10">
        <v>0</v>
      </c>
      <c r="DM158" s="10">
        <v>0</v>
      </c>
      <c r="DN158" s="10">
        <v>0</v>
      </c>
      <c r="DO158" s="10">
        <v>0</v>
      </c>
      <c r="DP158" s="10">
        <v>0</v>
      </c>
      <c r="DQ158" s="10">
        <v>0</v>
      </c>
      <c r="DR158" s="10">
        <v>0</v>
      </c>
      <c r="DS158" s="10">
        <v>1.9580019372323096E-3</v>
      </c>
      <c r="DT158" s="10">
        <v>0</v>
      </c>
      <c r="DU158" s="10">
        <v>0</v>
      </c>
      <c r="DV158" s="10">
        <v>0</v>
      </c>
      <c r="DW158" s="10">
        <v>0</v>
      </c>
      <c r="DX158" s="10">
        <v>0</v>
      </c>
      <c r="DY158" s="10">
        <v>0</v>
      </c>
      <c r="DZ158" s="10">
        <v>0</v>
      </c>
      <c r="EA158" s="10">
        <v>0</v>
      </c>
      <c r="EB158" s="10">
        <v>0</v>
      </c>
      <c r="EC158" s="10">
        <v>0</v>
      </c>
      <c r="ED158" s="10">
        <v>0</v>
      </c>
      <c r="EE158" s="10">
        <v>0</v>
      </c>
      <c r="EF158" s="10">
        <v>0</v>
      </c>
      <c r="EG158" s="10">
        <v>0</v>
      </c>
      <c r="EH158" s="10">
        <v>0</v>
      </c>
      <c r="EI158" s="10">
        <v>0</v>
      </c>
      <c r="EJ158" s="10">
        <v>0</v>
      </c>
      <c r="EK158" s="10">
        <v>0</v>
      </c>
      <c r="EL158" s="10">
        <v>0</v>
      </c>
      <c r="EM158" s="10">
        <v>0</v>
      </c>
      <c r="EN158" s="10">
        <v>0</v>
      </c>
      <c r="EO158" s="10">
        <v>0</v>
      </c>
      <c r="EP158" s="10">
        <v>0</v>
      </c>
      <c r="EQ158" s="10">
        <v>0</v>
      </c>
      <c r="ER158" s="10">
        <v>0</v>
      </c>
      <c r="ES158" s="10">
        <v>0</v>
      </c>
      <c r="ET158" s="10">
        <v>0</v>
      </c>
      <c r="EU158" s="10">
        <v>0</v>
      </c>
      <c r="EV158" s="10">
        <v>0</v>
      </c>
      <c r="EW158" s="10">
        <v>0</v>
      </c>
      <c r="EX158" s="10">
        <v>0</v>
      </c>
      <c r="EY158" s="10">
        <v>0</v>
      </c>
      <c r="EZ158" s="10">
        <v>0</v>
      </c>
      <c r="FA158" s="10">
        <v>0</v>
      </c>
      <c r="FB158" s="10">
        <v>0</v>
      </c>
      <c r="FC158" s="10">
        <v>0</v>
      </c>
      <c r="FD158" s="10">
        <v>0</v>
      </c>
      <c r="FE158" s="10">
        <v>0</v>
      </c>
      <c r="FF158" s="10">
        <v>0</v>
      </c>
      <c r="FG158" s="10">
        <v>0</v>
      </c>
      <c r="FH158" s="10">
        <v>0</v>
      </c>
      <c r="FI158" s="10">
        <v>0</v>
      </c>
      <c r="FJ158" s="10">
        <v>0</v>
      </c>
      <c r="FK158" s="10">
        <v>0</v>
      </c>
      <c r="FL158" s="10">
        <v>0</v>
      </c>
      <c r="FM158" s="10">
        <v>0</v>
      </c>
      <c r="FN158" s="10">
        <v>0</v>
      </c>
      <c r="FO158" s="10">
        <v>0</v>
      </c>
      <c r="FP158" s="10">
        <v>0</v>
      </c>
      <c r="FQ158" s="10">
        <v>0</v>
      </c>
      <c r="FR158" s="10">
        <v>0</v>
      </c>
      <c r="FS158" s="10">
        <v>0</v>
      </c>
      <c r="FT158" s="10">
        <v>0</v>
      </c>
      <c r="FU158" s="10">
        <v>0</v>
      </c>
      <c r="FV158" s="10">
        <v>0</v>
      </c>
      <c r="FW158" s="10">
        <v>0</v>
      </c>
      <c r="FX158" s="10">
        <v>0</v>
      </c>
      <c r="FY158" s="10">
        <v>0</v>
      </c>
      <c r="FZ158" s="10">
        <v>0</v>
      </c>
      <c r="GA158" s="10">
        <v>0</v>
      </c>
      <c r="GB158" s="10">
        <v>0</v>
      </c>
      <c r="GC158" s="10">
        <v>0</v>
      </c>
      <c r="GD158" s="10">
        <v>0</v>
      </c>
      <c r="GE158" s="10">
        <v>0</v>
      </c>
      <c r="GF158" s="10">
        <v>0</v>
      </c>
      <c r="GG158" s="10">
        <v>0</v>
      </c>
      <c r="GH158" s="10">
        <v>0</v>
      </c>
      <c r="GI158" s="10">
        <v>0</v>
      </c>
      <c r="GJ158" s="10">
        <v>0</v>
      </c>
      <c r="GK158" s="10">
        <v>0</v>
      </c>
      <c r="GL158" s="10">
        <v>0</v>
      </c>
      <c r="GM158" s="10">
        <v>0</v>
      </c>
      <c r="GN158" s="10">
        <v>0</v>
      </c>
      <c r="GO158" s="10">
        <v>0</v>
      </c>
      <c r="GP158" s="10">
        <v>0</v>
      </c>
      <c r="GQ158" s="10">
        <v>0</v>
      </c>
      <c r="GR158" s="10">
        <v>0</v>
      </c>
      <c r="GS158" s="10">
        <v>0</v>
      </c>
      <c r="GT158" s="10">
        <v>0</v>
      </c>
      <c r="GU158" s="10">
        <v>0</v>
      </c>
      <c r="GV158" s="10">
        <v>0.44175914407806338</v>
      </c>
      <c r="GW158" s="10">
        <v>0</v>
      </c>
      <c r="GX158" s="10">
        <v>0</v>
      </c>
      <c r="GY158" s="10">
        <v>0</v>
      </c>
      <c r="GZ158" s="10">
        <v>0</v>
      </c>
      <c r="HA158" s="10">
        <v>0</v>
      </c>
      <c r="HB158" s="10">
        <v>0</v>
      </c>
      <c r="HC158" s="10">
        <v>0</v>
      </c>
      <c r="HD158" s="10">
        <v>0</v>
      </c>
      <c r="HE158" s="10">
        <v>0</v>
      </c>
      <c r="HF158" s="10">
        <v>0</v>
      </c>
      <c r="HG158" s="10">
        <v>0</v>
      </c>
      <c r="HH158" s="10">
        <v>0</v>
      </c>
      <c r="HI158" s="10">
        <v>0</v>
      </c>
      <c r="HJ158" s="10">
        <v>0</v>
      </c>
      <c r="HK158" s="10">
        <v>0</v>
      </c>
      <c r="HL158" s="10">
        <v>0</v>
      </c>
      <c r="HM158" s="10">
        <v>0</v>
      </c>
      <c r="HN158" s="10">
        <v>0</v>
      </c>
      <c r="HO158" s="10">
        <v>0</v>
      </c>
      <c r="HP158" s="10">
        <v>0</v>
      </c>
      <c r="HQ158" s="10">
        <v>0</v>
      </c>
      <c r="HR158" s="10">
        <v>0</v>
      </c>
      <c r="HS158" s="10">
        <v>0</v>
      </c>
      <c r="HT158" s="10">
        <v>0</v>
      </c>
      <c r="HU158" s="10">
        <v>0</v>
      </c>
    </row>
    <row r="159" spans="1:229" x14ac:dyDescent="0.25">
      <c r="A159" s="10">
        <v>0</v>
      </c>
      <c r="B159" s="2" t="s">
        <v>306</v>
      </c>
      <c r="C159" s="2" t="s">
        <v>307</v>
      </c>
      <c r="D159" s="2">
        <v>0.80600000000000005</v>
      </c>
      <c r="E159" s="2">
        <v>4.93</v>
      </c>
      <c r="F159" s="2">
        <v>13.8</v>
      </c>
      <c r="G159" s="2">
        <v>0</v>
      </c>
      <c r="H159" s="2">
        <v>13.8</v>
      </c>
      <c r="I159" s="2">
        <v>66</v>
      </c>
      <c r="J159" s="2">
        <v>0.34300000000000003</v>
      </c>
      <c r="K159" s="2">
        <v>3.5999999999999997E-2</v>
      </c>
      <c r="L159" s="3"/>
      <c r="M159" s="2" t="str">
        <f t="shared" si="9"/>
        <v>01220</v>
      </c>
      <c r="N159" s="3">
        <v>0.53895739366465645</v>
      </c>
      <c r="O159" s="3">
        <v>1.4610426063353437</v>
      </c>
      <c r="P159" s="17">
        <v>0.53895739366490658</v>
      </c>
      <c r="Q159" s="3">
        <v>1.4610426063353181</v>
      </c>
      <c r="R159" s="3">
        <v>0.62476883816594664</v>
      </c>
      <c r="S159" s="3" t="e">
        <v>#DIV/0!</v>
      </c>
      <c r="T159" s="3">
        <v>0.53895739366466033</v>
      </c>
      <c r="U159" s="3">
        <v>0.53895739366465634</v>
      </c>
      <c r="V159" s="3">
        <v>1.4610426063360804</v>
      </c>
      <c r="W159" s="3">
        <v>5.1571812293684092</v>
      </c>
      <c r="X159" s="3">
        <v>0.43439965929391472</v>
      </c>
      <c r="Y159" s="3">
        <v>7.2029400492331179</v>
      </c>
      <c r="Z159" s="3">
        <v>8.6218099666900638</v>
      </c>
      <c r="AA159" s="3">
        <v>0.39818376497881419</v>
      </c>
      <c r="AB159" s="3">
        <v>7.4376120325723125</v>
      </c>
      <c r="AC159" s="3">
        <v>35.571187981867318</v>
      </c>
      <c r="AD159" s="3">
        <v>0.50113761397327561</v>
      </c>
      <c r="AE159" s="3">
        <v>0.1856585242572627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3">
        <v>0</v>
      </c>
      <c r="AW159" s="3">
        <v>0</v>
      </c>
      <c r="AX159" s="3">
        <v>0</v>
      </c>
      <c r="AY159" s="3">
        <v>0</v>
      </c>
      <c r="AZ159" s="3">
        <v>0</v>
      </c>
      <c r="BA159" s="10">
        <v>0</v>
      </c>
      <c r="BB159" s="10">
        <v>0</v>
      </c>
      <c r="BC159" s="10">
        <v>0</v>
      </c>
      <c r="BD159" s="10">
        <v>0</v>
      </c>
      <c r="BE159" s="10">
        <v>0</v>
      </c>
      <c r="BF159" s="10">
        <v>0</v>
      </c>
      <c r="BG159" s="10">
        <v>0</v>
      </c>
      <c r="BH159" s="10">
        <v>0</v>
      </c>
      <c r="BI159" s="10">
        <v>0</v>
      </c>
      <c r="BJ159" s="10">
        <v>0</v>
      </c>
      <c r="BK159" s="10">
        <v>0</v>
      </c>
      <c r="BL159" s="10">
        <v>0</v>
      </c>
      <c r="BM159" s="10">
        <v>0</v>
      </c>
      <c r="BN159" s="10">
        <v>0</v>
      </c>
      <c r="BO159" s="10">
        <v>0</v>
      </c>
      <c r="BP159" s="10">
        <v>0</v>
      </c>
      <c r="BQ159" s="10">
        <v>0</v>
      </c>
      <c r="BR159" s="10">
        <v>0</v>
      </c>
      <c r="BS159" s="10">
        <v>0</v>
      </c>
      <c r="BT159" s="10">
        <v>0</v>
      </c>
      <c r="BU159" s="10">
        <v>0</v>
      </c>
      <c r="BV159" s="10">
        <v>0</v>
      </c>
      <c r="BW159" s="10">
        <v>0</v>
      </c>
      <c r="BX159" s="10">
        <v>0</v>
      </c>
      <c r="BY159" s="10">
        <v>0</v>
      </c>
      <c r="BZ159" s="10">
        <v>0</v>
      </c>
      <c r="CA159" s="10">
        <v>0.13975376532624972</v>
      </c>
      <c r="CB159" s="10">
        <v>0</v>
      </c>
      <c r="CC159" s="10">
        <v>0</v>
      </c>
      <c r="CD159" s="10">
        <v>0</v>
      </c>
      <c r="CE159" s="10">
        <v>0</v>
      </c>
      <c r="CF159" s="10">
        <v>0</v>
      </c>
      <c r="CG159" s="10">
        <v>0</v>
      </c>
      <c r="CH159" s="10">
        <v>0</v>
      </c>
      <c r="CI159" s="10">
        <v>0</v>
      </c>
      <c r="CJ159" s="10">
        <v>0</v>
      </c>
      <c r="CK159" s="10">
        <v>0</v>
      </c>
      <c r="CL159" s="10">
        <v>0</v>
      </c>
      <c r="CM159" s="10">
        <v>0</v>
      </c>
      <c r="CN159" s="10">
        <v>0</v>
      </c>
      <c r="CO159" s="10">
        <v>0</v>
      </c>
      <c r="CP159" s="10">
        <v>0</v>
      </c>
      <c r="CQ159" s="10">
        <v>0</v>
      </c>
      <c r="CR159" s="10">
        <v>0</v>
      </c>
      <c r="CS159" s="10">
        <v>0</v>
      </c>
      <c r="CT159" s="10">
        <v>0</v>
      </c>
      <c r="CU159" s="10">
        <v>0</v>
      </c>
      <c r="CV159" s="10">
        <v>0</v>
      </c>
      <c r="CW159" s="10">
        <v>0</v>
      </c>
      <c r="CX159" s="10">
        <v>0</v>
      </c>
      <c r="CY159" s="10">
        <v>0</v>
      </c>
      <c r="CZ159" s="10">
        <v>0</v>
      </c>
      <c r="DA159" s="10">
        <v>0</v>
      </c>
      <c r="DB159" s="10">
        <v>0</v>
      </c>
      <c r="DC159" s="10">
        <v>0</v>
      </c>
      <c r="DD159" s="10">
        <v>9.1339713747255372E-2</v>
      </c>
      <c r="DE159" s="10">
        <v>0</v>
      </c>
      <c r="DF159" s="10">
        <v>0</v>
      </c>
      <c r="DG159" s="10">
        <v>0</v>
      </c>
      <c r="DH159" s="10">
        <v>0</v>
      </c>
      <c r="DI159" s="10">
        <v>0</v>
      </c>
      <c r="DJ159" s="10">
        <v>0</v>
      </c>
      <c r="DK159" s="10">
        <v>0</v>
      </c>
      <c r="DL159" s="10">
        <v>0</v>
      </c>
      <c r="DM159" s="10">
        <v>0</v>
      </c>
      <c r="DN159" s="10">
        <v>0</v>
      </c>
      <c r="DO159" s="10">
        <v>0</v>
      </c>
      <c r="DP159" s="10">
        <v>0</v>
      </c>
      <c r="DQ159" s="10">
        <v>0</v>
      </c>
      <c r="DR159" s="10">
        <v>0</v>
      </c>
      <c r="DS159" s="10">
        <v>6.5262767602602603E-3</v>
      </c>
      <c r="DT159" s="10">
        <v>0</v>
      </c>
      <c r="DU159" s="10">
        <v>0</v>
      </c>
      <c r="DV159" s="10">
        <v>0</v>
      </c>
      <c r="DW159" s="10">
        <v>0</v>
      </c>
      <c r="DX159" s="10">
        <v>0</v>
      </c>
      <c r="DY159" s="10">
        <v>0</v>
      </c>
      <c r="DZ159" s="10">
        <v>0</v>
      </c>
      <c r="EA159" s="10">
        <v>0</v>
      </c>
      <c r="EB159" s="10">
        <v>0</v>
      </c>
      <c r="EC159" s="10">
        <v>0</v>
      </c>
      <c r="ED159" s="10">
        <v>0</v>
      </c>
      <c r="EE159" s="10">
        <v>0</v>
      </c>
      <c r="EF159" s="10">
        <v>0</v>
      </c>
      <c r="EG159" s="10">
        <v>0</v>
      </c>
      <c r="EH159" s="10">
        <v>0</v>
      </c>
      <c r="EI159" s="10">
        <v>0</v>
      </c>
      <c r="EJ159" s="10">
        <v>0</v>
      </c>
      <c r="EK159" s="10">
        <v>0</v>
      </c>
      <c r="EL159" s="10">
        <v>0</v>
      </c>
      <c r="EM159" s="10">
        <v>0</v>
      </c>
      <c r="EN159" s="10">
        <v>0</v>
      </c>
      <c r="EO159" s="10">
        <v>0</v>
      </c>
      <c r="EP159" s="10">
        <v>0</v>
      </c>
      <c r="EQ159" s="10">
        <v>0</v>
      </c>
      <c r="ER159" s="10">
        <v>0</v>
      </c>
      <c r="ES159" s="10">
        <v>0</v>
      </c>
      <c r="ET159" s="10">
        <v>0</v>
      </c>
      <c r="EU159" s="10">
        <v>0</v>
      </c>
      <c r="EV159" s="10">
        <v>0</v>
      </c>
      <c r="EW159" s="10">
        <v>0</v>
      </c>
      <c r="EX159" s="10">
        <v>0</v>
      </c>
      <c r="EY159" s="10">
        <v>0</v>
      </c>
      <c r="EZ159" s="10">
        <v>0</v>
      </c>
      <c r="FA159" s="10">
        <v>0</v>
      </c>
      <c r="FB159" s="10">
        <v>0</v>
      </c>
      <c r="FC159" s="10">
        <v>0</v>
      </c>
      <c r="FD159" s="10">
        <v>0</v>
      </c>
      <c r="FE159" s="10">
        <v>0</v>
      </c>
      <c r="FF159" s="10">
        <v>0</v>
      </c>
      <c r="FG159" s="10">
        <v>0</v>
      </c>
      <c r="FH159" s="10">
        <v>0</v>
      </c>
      <c r="FI159" s="10">
        <v>0</v>
      </c>
      <c r="FJ159" s="10">
        <v>0</v>
      </c>
      <c r="FK159" s="10">
        <v>0</v>
      </c>
      <c r="FL159" s="10">
        <v>0</v>
      </c>
      <c r="FM159" s="10">
        <v>0</v>
      </c>
      <c r="FN159" s="10">
        <v>0</v>
      </c>
      <c r="FO159" s="10">
        <v>0</v>
      </c>
      <c r="FP159" s="10">
        <v>0</v>
      </c>
      <c r="FQ159" s="10">
        <v>0</v>
      </c>
      <c r="FR159" s="10">
        <v>0</v>
      </c>
      <c r="FS159" s="10">
        <v>0</v>
      </c>
      <c r="FT159" s="10">
        <v>0</v>
      </c>
      <c r="FU159" s="10">
        <v>0</v>
      </c>
      <c r="FV159" s="10">
        <v>0</v>
      </c>
      <c r="FW159" s="10">
        <v>0</v>
      </c>
      <c r="FX159" s="10">
        <v>0</v>
      </c>
      <c r="FY159" s="10">
        <v>0</v>
      </c>
      <c r="FZ159" s="10">
        <v>0</v>
      </c>
      <c r="GA159" s="10">
        <v>0</v>
      </c>
      <c r="GB159" s="10">
        <v>0</v>
      </c>
      <c r="GC159" s="10">
        <v>0</v>
      </c>
      <c r="GD159" s="10">
        <v>0</v>
      </c>
      <c r="GE159" s="10">
        <v>0</v>
      </c>
      <c r="GF159" s="10">
        <v>0</v>
      </c>
      <c r="GG159" s="10">
        <v>0</v>
      </c>
      <c r="GH159" s="10">
        <v>0</v>
      </c>
      <c r="GI159" s="10">
        <v>0</v>
      </c>
      <c r="GJ159" s="10">
        <v>0</v>
      </c>
      <c r="GK159" s="10">
        <v>0</v>
      </c>
      <c r="GL159" s="10">
        <v>0</v>
      </c>
      <c r="GM159" s="10">
        <v>0</v>
      </c>
      <c r="GN159" s="10">
        <v>0</v>
      </c>
      <c r="GO159" s="10">
        <v>0</v>
      </c>
      <c r="GP159" s="10">
        <v>0</v>
      </c>
      <c r="GQ159" s="10">
        <v>0</v>
      </c>
      <c r="GR159" s="10">
        <v>0</v>
      </c>
      <c r="GS159" s="10">
        <v>0</v>
      </c>
      <c r="GT159" s="10">
        <v>0</v>
      </c>
      <c r="GU159" s="10">
        <v>0</v>
      </c>
      <c r="GV159" s="10">
        <v>0.19354629419650024</v>
      </c>
      <c r="GW159" s="10">
        <v>0</v>
      </c>
      <c r="GX159" s="10">
        <v>0</v>
      </c>
      <c r="GY159" s="10">
        <v>0</v>
      </c>
      <c r="GZ159" s="10">
        <v>0</v>
      </c>
      <c r="HA159" s="10">
        <v>0</v>
      </c>
      <c r="HB159" s="10">
        <v>0</v>
      </c>
      <c r="HC159" s="10">
        <v>0</v>
      </c>
      <c r="HD159" s="10">
        <v>0</v>
      </c>
      <c r="HE159" s="10">
        <v>0</v>
      </c>
      <c r="HF159" s="10">
        <v>0</v>
      </c>
      <c r="HG159" s="10">
        <v>0.56883394996973458</v>
      </c>
      <c r="HH159" s="10">
        <v>0</v>
      </c>
      <c r="HI159" s="10">
        <v>0</v>
      </c>
      <c r="HJ159" s="10">
        <v>0</v>
      </c>
      <c r="HK159" s="10">
        <v>0</v>
      </c>
      <c r="HL159" s="10">
        <v>0</v>
      </c>
      <c r="HM159" s="10">
        <v>0</v>
      </c>
      <c r="HN159" s="10">
        <v>0</v>
      </c>
      <c r="HO159" s="10">
        <v>0</v>
      </c>
      <c r="HP159" s="10">
        <v>0</v>
      </c>
      <c r="HQ159" s="10">
        <v>0</v>
      </c>
      <c r="HR159" s="10">
        <v>0</v>
      </c>
      <c r="HS159" s="10">
        <v>0</v>
      </c>
      <c r="HT159" s="10">
        <v>0</v>
      </c>
      <c r="HU159" s="10">
        <v>0</v>
      </c>
    </row>
    <row r="160" spans="1:229" x14ac:dyDescent="0.25">
      <c r="A160" s="10">
        <v>0</v>
      </c>
      <c r="B160" s="2" t="s">
        <v>308</v>
      </c>
      <c r="C160" s="2" t="s">
        <v>309</v>
      </c>
      <c r="D160" s="2">
        <v>0.11600000000000001</v>
      </c>
      <c r="E160" s="2">
        <v>3.86</v>
      </c>
      <c r="F160" s="2">
        <v>7.5</v>
      </c>
      <c r="G160" s="2">
        <v>0</v>
      </c>
      <c r="H160" s="2">
        <v>7.5</v>
      </c>
      <c r="I160" s="2">
        <v>59</v>
      </c>
      <c r="J160" s="2">
        <v>4.9000000000000002E-2</v>
      </c>
      <c r="K160" s="2">
        <v>5.0000000000000001E-3</v>
      </c>
      <c r="L160" s="3"/>
      <c r="M160" s="2" t="str">
        <f t="shared" si="9"/>
        <v>01221</v>
      </c>
      <c r="N160" s="3">
        <v>0.67814252678825437</v>
      </c>
      <c r="O160" s="3">
        <v>1.3218574732117456</v>
      </c>
      <c r="P160" s="17">
        <v>0.67814252678755671</v>
      </c>
      <c r="Q160" s="3">
        <v>1.9323128795998208</v>
      </c>
      <c r="R160" s="3">
        <v>1.2201493830620973</v>
      </c>
      <c r="S160" s="3" t="e">
        <v>#DIV/0!</v>
      </c>
      <c r="T160" s="3">
        <v>0.67814252678825104</v>
      </c>
      <c r="U160" s="3">
        <v>0.67814252678825426</v>
      </c>
      <c r="V160" s="3">
        <v>1.3218574732069865</v>
      </c>
      <c r="W160" s="3">
        <v>2.6755249686151603</v>
      </c>
      <c r="X160" s="3">
        <v>7.8664533107356577E-2</v>
      </c>
      <c r="Y160" s="3">
        <v>7.458727715255308</v>
      </c>
      <c r="Z160" s="3">
        <v>9.15112037296573</v>
      </c>
      <c r="AA160" s="3">
        <v>0.12315246766188159</v>
      </c>
      <c r="AB160" s="3">
        <v>5.0860689509118826</v>
      </c>
      <c r="AC160" s="3">
        <v>40.010409080507003</v>
      </c>
      <c r="AD160" s="3">
        <v>6.4771016187142344E-2</v>
      </c>
      <c r="AE160" s="3">
        <v>1.3377624843075801E-2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3">
        <v>0</v>
      </c>
      <c r="AW160" s="3">
        <v>0</v>
      </c>
      <c r="AX160" s="3">
        <v>0</v>
      </c>
      <c r="AY160" s="3">
        <v>0</v>
      </c>
      <c r="AZ160" s="3">
        <v>0</v>
      </c>
      <c r="BA160" s="10">
        <v>0</v>
      </c>
      <c r="BB160" s="10">
        <v>0</v>
      </c>
      <c r="BC160" s="10">
        <v>0</v>
      </c>
      <c r="BD160" s="10">
        <v>0</v>
      </c>
      <c r="BE160" s="10">
        <v>0</v>
      </c>
      <c r="BF160" s="10">
        <v>0</v>
      </c>
      <c r="BG160" s="10">
        <v>0</v>
      </c>
      <c r="BH160" s="10">
        <v>0</v>
      </c>
      <c r="BI160" s="10">
        <v>0</v>
      </c>
      <c r="BJ160" s="10">
        <v>0</v>
      </c>
      <c r="BK160" s="10">
        <v>0</v>
      </c>
      <c r="BL160" s="10">
        <v>0</v>
      </c>
      <c r="BM160" s="10">
        <v>0</v>
      </c>
      <c r="BN160" s="10">
        <v>0</v>
      </c>
      <c r="BO160" s="10">
        <v>0</v>
      </c>
      <c r="BP160" s="10">
        <v>0</v>
      </c>
      <c r="BQ160" s="10">
        <v>0</v>
      </c>
      <c r="BR160" s="10">
        <v>0</v>
      </c>
      <c r="BS160" s="10">
        <v>0</v>
      </c>
      <c r="BT160" s="10">
        <v>0</v>
      </c>
      <c r="BU160" s="10">
        <v>0</v>
      </c>
      <c r="BV160" s="10">
        <v>0</v>
      </c>
      <c r="BW160" s="10">
        <v>0</v>
      </c>
      <c r="BX160" s="10">
        <v>0</v>
      </c>
      <c r="BY160" s="10">
        <v>0</v>
      </c>
      <c r="BZ160" s="10">
        <v>0</v>
      </c>
      <c r="CA160" s="10">
        <v>0</v>
      </c>
      <c r="CB160" s="10">
        <v>0</v>
      </c>
      <c r="CC160" s="10">
        <v>0</v>
      </c>
      <c r="CD160" s="10">
        <v>0</v>
      </c>
      <c r="CE160" s="10">
        <v>0</v>
      </c>
      <c r="CF160" s="10">
        <v>0</v>
      </c>
      <c r="CG160" s="10">
        <v>0</v>
      </c>
      <c r="CH160" s="10">
        <v>0</v>
      </c>
      <c r="CI160" s="10">
        <v>0</v>
      </c>
      <c r="CJ160" s="10">
        <v>0</v>
      </c>
      <c r="CK160" s="10">
        <v>0</v>
      </c>
      <c r="CL160" s="10">
        <v>0</v>
      </c>
      <c r="CM160" s="10">
        <v>0</v>
      </c>
      <c r="CN160" s="10">
        <v>0</v>
      </c>
      <c r="CO160" s="10">
        <v>0</v>
      </c>
      <c r="CP160" s="10">
        <v>0</v>
      </c>
      <c r="CQ160" s="10">
        <v>0</v>
      </c>
      <c r="CR160" s="10">
        <v>0</v>
      </c>
      <c r="CS160" s="10">
        <v>0</v>
      </c>
      <c r="CT160" s="10">
        <v>0</v>
      </c>
      <c r="CU160" s="10">
        <v>0</v>
      </c>
      <c r="CV160" s="10">
        <v>0</v>
      </c>
      <c r="CW160" s="10">
        <v>0</v>
      </c>
      <c r="CX160" s="10">
        <v>0</v>
      </c>
      <c r="CY160" s="10">
        <v>0</v>
      </c>
      <c r="CZ160" s="10">
        <v>0</v>
      </c>
      <c r="DA160" s="10">
        <v>0</v>
      </c>
      <c r="DB160" s="10">
        <v>0</v>
      </c>
      <c r="DC160" s="10">
        <v>0</v>
      </c>
      <c r="DD160" s="10">
        <v>0</v>
      </c>
      <c r="DE160" s="10">
        <v>0</v>
      </c>
      <c r="DF160" s="10">
        <v>0</v>
      </c>
      <c r="DG160" s="10">
        <v>0</v>
      </c>
      <c r="DH160" s="10">
        <v>0</v>
      </c>
      <c r="DI160" s="10">
        <v>0</v>
      </c>
      <c r="DJ160" s="10">
        <v>0</v>
      </c>
      <c r="DK160" s="10">
        <v>0</v>
      </c>
      <c r="DL160" s="10">
        <v>0</v>
      </c>
      <c r="DM160" s="10">
        <v>0</v>
      </c>
      <c r="DN160" s="10">
        <v>0</v>
      </c>
      <c r="DO160" s="10">
        <v>0</v>
      </c>
      <c r="DP160" s="10">
        <v>0</v>
      </c>
      <c r="DQ160" s="10">
        <v>0</v>
      </c>
      <c r="DR160" s="10">
        <v>0</v>
      </c>
      <c r="DS160" s="10">
        <v>0</v>
      </c>
      <c r="DT160" s="10">
        <v>0</v>
      </c>
      <c r="DU160" s="10">
        <v>0</v>
      </c>
      <c r="DV160" s="10">
        <v>0</v>
      </c>
      <c r="DW160" s="10">
        <v>0</v>
      </c>
      <c r="DX160" s="10">
        <v>0</v>
      </c>
      <c r="DY160" s="10">
        <v>0</v>
      </c>
      <c r="DZ160" s="10">
        <v>0</v>
      </c>
      <c r="EA160" s="10">
        <v>0</v>
      </c>
      <c r="EB160" s="10">
        <v>0</v>
      </c>
      <c r="EC160" s="10">
        <v>0</v>
      </c>
      <c r="ED160" s="10">
        <v>0</v>
      </c>
      <c r="EE160" s="10">
        <v>0</v>
      </c>
      <c r="EF160" s="10">
        <v>0</v>
      </c>
      <c r="EG160" s="10">
        <v>0</v>
      </c>
      <c r="EH160" s="10">
        <v>0</v>
      </c>
      <c r="EI160" s="10">
        <v>0</v>
      </c>
      <c r="EJ160" s="10">
        <v>0</v>
      </c>
      <c r="EK160" s="10">
        <v>0</v>
      </c>
      <c r="EL160" s="10">
        <v>0</v>
      </c>
      <c r="EM160" s="10">
        <v>0</v>
      </c>
      <c r="EN160" s="10">
        <v>0</v>
      </c>
      <c r="EO160" s="10">
        <v>0</v>
      </c>
      <c r="EP160" s="10">
        <v>0</v>
      </c>
      <c r="EQ160" s="10">
        <v>0</v>
      </c>
      <c r="ER160" s="10">
        <v>0</v>
      </c>
      <c r="ES160" s="10">
        <v>0</v>
      </c>
      <c r="ET160" s="10">
        <v>0</v>
      </c>
      <c r="EU160" s="10">
        <v>0</v>
      </c>
      <c r="EV160" s="10">
        <v>0</v>
      </c>
      <c r="EW160" s="10">
        <v>0</v>
      </c>
      <c r="EX160" s="10">
        <v>0</v>
      </c>
      <c r="EY160" s="10">
        <v>0</v>
      </c>
      <c r="EZ160" s="10">
        <v>0</v>
      </c>
      <c r="FA160" s="10">
        <v>0</v>
      </c>
      <c r="FB160" s="10">
        <v>0</v>
      </c>
      <c r="FC160" s="10">
        <v>0</v>
      </c>
      <c r="FD160" s="10">
        <v>0</v>
      </c>
      <c r="FE160" s="10">
        <v>0</v>
      </c>
      <c r="FF160" s="10">
        <v>0</v>
      </c>
      <c r="FG160" s="10">
        <v>0</v>
      </c>
      <c r="FH160" s="10">
        <v>0</v>
      </c>
      <c r="FI160" s="10">
        <v>0</v>
      </c>
      <c r="FJ160" s="10">
        <v>0</v>
      </c>
      <c r="FK160" s="10">
        <v>0</v>
      </c>
      <c r="FL160" s="10">
        <v>0</v>
      </c>
      <c r="FM160" s="10">
        <v>0</v>
      </c>
      <c r="FN160" s="10">
        <v>0</v>
      </c>
      <c r="FO160" s="10">
        <v>0</v>
      </c>
      <c r="FP160" s="10">
        <v>0</v>
      </c>
      <c r="FQ160" s="10">
        <v>0</v>
      </c>
      <c r="FR160" s="10">
        <v>0</v>
      </c>
      <c r="FS160" s="10">
        <v>0</v>
      </c>
      <c r="FT160" s="10">
        <v>0</v>
      </c>
      <c r="FU160" s="10">
        <v>0</v>
      </c>
      <c r="FV160" s="10">
        <v>0</v>
      </c>
      <c r="FW160" s="10">
        <v>0</v>
      </c>
      <c r="FX160" s="10">
        <v>0</v>
      </c>
      <c r="FY160" s="10">
        <v>0</v>
      </c>
      <c r="FZ160" s="10">
        <v>0</v>
      </c>
      <c r="GA160" s="10">
        <v>0</v>
      </c>
      <c r="GB160" s="10">
        <v>0</v>
      </c>
      <c r="GC160" s="10">
        <v>0</v>
      </c>
      <c r="GD160" s="10">
        <v>0</v>
      </c>
      <c r="GE160" s="10">
        <v>0</v>
      </c>
      <c r="GF160" s="10">
        <v>0</v>
      </c>
      <c r="GG160" s="10">
        <v>0</v>
      </c>
      <c r="GH160" s="10">
        <v>0</v>
      </c>
      <c r="GI160" s="10">
        <v>0</v>
      </c>
      <c r="GJ160" s="10">
        <v>0</v>
      </c>
      <c r="GK160" s="10">
        <v>0</v>
      </c>
      <c r="GL160" s="10">
        <v>0</v>
      </c>
      <c r="GM160" s="10">
        <v>0</v>
      </c>
      <c r="GN160" s="10">
        <v>0</v>
      </c>
      <c r="GO160" s="10">
        <v>0</v>
      </c>
      <c r="GP160" s="10">
        <v>0</v>
      </c>
      <c r="GQ160" s="10">
        <v>1.4501421074210381E-2</v>
      </c>
      <c r="GR160" s="10">
        <v>0</v>
      </c>
      <c r="GS160" s="10">
        <v>0</v>
      </c>
      <c r="GT160" s="10">
        <v>0</v>
      </c>
      <c r="GU160" s="10">
        <v>0</v>
      </c>
      <c r="GV160" s="10">
        <v>0.528833458350917</v>
      </c>
      <c r="GW160" s="10">
        <v>0</v>
      </c>
      <c r="GX160" s="10">
        <v>0</v>
      </c>
      <c r="GY160" s="10">
        <v>0</v>
      </c>
      <c r="GZ160" s="10">
        <v>0</v>
      </c>
      <c r="HA160" s="10">
        <v>0</v>
      </c>
      <c r="HB160" s="10">
        <v>0</v>
      </c>
      <c r="HC160" s="10">
        <v>0</v>
      </c>
      <c r="HD160" s="10">
        <v>0</v>
      </c>
      <c r="HE160" s="10">
        <v>0</v>
      </c>
      <c r="HF160" s="10">
        <v>0</v>
      </c>
      <c r="HG160" s="10">
        <v>0.13035620185516966</v>
      </c>
      <c r="HH160" s="10">
        <v>0</v>
      </c>
      <c r="HI160" s="10">
        <v>0</v>
      </c>
      <c r="HJ160" s="10">
        <v>0</v>
      </c>
      <c r="HK160" s="10">
        <v>0</v>
      </c>
      <c r="HL160" s="10">
        <v>0</v>
      </c>
      <c r="HM160" s="10">
        <v>0</v>
      </c>
      <c r="HN160" s="10">
        <v>0</v>
      </c>
      <c r="HO160" s="10">
        <v>0</v>
      </c>
      <c r="HP160" s="10">
        <v>0.32630891871970297</v>
      </c>
      <c r="HQ160" s="10">
        <v>0</v>
      </c>
      <c r="HR160" s="10">
        <v>0</v>
      </c>
      <c r="HS160" s="10">
        <v>0</v>
      </c>
      <c r="HT160" s="10">
        <v>0</v>
      </c>
      <c r="HU160" s="10">
        <v>0</v>
      </c>
    </row>
    <row r="161" spans="1:229" x14ac:dyDescent="0.25">
      <c r="A161" s="10">
        <v>0</v>
      </c>
      <c r="B161" s="2" t="s">
        <v>310</v>
      </c>
      <c r="C161" s="2" t="s">
        <v>311</v>
      </c>
      <c r="D161" s="2">
        <v>0</v>
      </c>
      <c r="E161" s="2">
        <v>3.53</v>
      </c>
      <c r="F161" s="2">
        <v>23.53</v>
      </c>
      <c r="G161" s="2">
        <v>1.2</v>
      </c>
      <c r="H161" s="2">
        <v>14.97</v>
      </c>
      <c r="I161" s="2">
        <v>135</v>
      </c>
      <c r="J161" s="2">
        <v>0</v>
      </c>
      <c r="K161" s="2">
        <v>0</v>
      </c>
      <c r="L161" s="3"/>
      <c r="M161" s="2" t="str">
        <f t="shared" si="9"/>
        <v>01222</v>
      </c>
      <c r="N161" s="3">
        <v>0.57877280146081034</v>
      </c>
      <c r="O161" s="3">
        <v>1.4212271985391893</v>
      </c>
      <c r="P161" s="17" t="e">
        <v>#DIV/0!</v>
      </c>
      <c r="Q161" s="3">
        <v>1.421227198539174</v>
      </c>
      <c r="R161" s="3">
        <v>0.70882637387144465</v>
      </c>
      <c r="S161" s="3">
        <v>0</v>
      </c>
      <c r="T161" s="3">
        <v>0.38175841615312966</v>
      </c>
      <c r="U161" s="3">
        <v>0.57877280146081045</v>
      </c>
      <c r="V161" s="3" t="e">
        <v>#DIV/0!</v>
      </c>
      <c r="W161" s="3" t="e">
        <v>#DIV/0!</v>
      </c>
      <c r="X161" s="3">
        <v>-5.7488216719592944E-14</v>
      </c>
      <c r="Y161" s="3">
        <v>5.0169320108432842</v>
      </c>
      <c r="Z161" s="3">
        <v>16.678684577195092</v>
      </c>
      <c r="AA161" s="3">
        <v>0</v>
      </c>
      <c r="AB161" s="3">
        <v>5.7149234898123513</v>
      </c>
      <c r="AC161" s="3">
        <v>78.134328197209413</v>
      </c>
      <c r="AD161" s="3">
        <v>-2.6041670821695948E-14</v>
      </c>
      <c r="AE161" s="3">
        <v>-5.8962273558556865E-15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3">
        <v>0</v>
      </c>
      <c r="AW161" s="3">
        <v>0</v>
      </c>
      <c r="AX161" s="3">
        <v>0</v>
      </c>
      <c r="AY161" s="3">
        <v>0</v>
      </c>
      <c r="AZ161" s="3">
        <v>0</v>
      </c>
      <c r="BA161" s="10">
        <v>0</v>
      </c>
      <c r="BB161" s="10">
        <v>0</v>
      </c>
      <c r="BC161" s="10">
        <v>0</v>
      </c>
      <c r="BD161" s="10">
        <v>0</v>
      </c>
      <c r="BE161" s="10">
        <v>0</v>
      </c>
      <c r="BF161" s="10">
        <v>0</v>
      </c>
      <c r="BG161" s="10">
        <v>0</v>
      </c>
      <c r="BH161" s="10">
        <v>0</v>
      </c>
      <c r="BI161" s="10">
        <v>0</v>
      </c>
      <c r="BJ161" s="10">
        <v>0</v>
      </c>
      <c r="BK161" s="10">
        <v>0</v>
      </c>
      <c r="BL161" s="10">
        <v>0</v>
      </c>
      <c r="BM161" s="10">
        <v>0</v>
      </c>
      <c r="BN161" s="10">
        <v>0</v>
      </c>
      <c r="BO161" s="10">
        <v>0</v>
      </c>
      <c r="BP161" s="10">
        <v>0</v>
      </c>
      <c r="BQ161" s="10">
        <v>0</v>
      </c>
      <c r="BR161" s="10">
        <v>0</v>
      </c>
      <c r="BS161" s="10">
        <v>0</v>
      </c>
      <c r="BT161" s="10">
        <v>0</v>
      </c>
      <c r="BU161" s="10">
        <v>0</v>
      </c>
      <c r="BV161" s="10">
        <v>0</v>
      </c>
      <c r="BW161" s="10">
        <v>0</v>
      </c>
      <c r="BX161" s="10">
        <v>0</v>
      </c>
      <c r="BY161" s="10">
        <v>0</v>
      </c>
      <c r="BZ161" s="10">
        <v>0</v>
      </c>
      <c r="CA161" s="10">
        <v>0</v>
      </c>
      <c r="CB161" s="10">
        <v>0</v>
      </c>
      <c r="CC161" s="10">
        <v>0</v>
      </c>
      <c r="CD161" s="10">
        <v>0</v>
      </c>
      <c r="CE161" s="10">
        <v>0</v>
      </c>
      <c r="CF161" s="10">
        <v>0</v>
      </c>
      <c r="CG161" s="10">
        <v>0</v>
      </c>
      <c r="CH161" s="10">
        <v>0</v>
      </c>
      <c r="CI161" s="10">
        <v>0</v>
      </c>
      <c r="CJ161" s="10">
        <v>0</v>
      </c>
      <c r="CK161" s="10">
        <v>0</v>
      </c>
      <c r="CL161" s="10">
        <v>0</v>
      </c>
      <c r="CM161" s="10">
        <v>0</v>
      </c>
      <c r="CN161" s="10">
        <v>0</v>
      </c>
      <c r="CO161" s="10">
        <v>0</v>
      </c>
      <c r="CP161" s="10">
        <v>0</v>
      </c>
      <c r="CQ161" s="10">
        <v>0</v>
      </c>
      <c r="CR161" s="10">
        <v>0</v>
      </c>
      <c r="CS161" s="10">
        <v>0</v>
      </c>
      <c r="CT161" s="10">
        <v>0</v>
      </c>
      <c r="CU161" s="10">
        <v>0</v>
      </c>
      <c r="CV161" s="10">
        <v>0</v>
      </c>
      <c r="CW161" s="10">
        <v>0</v>
      </c>
      <c r="CX161" s="10">
        <v>0</v>
      </c>
      <c r="CY161" s="10">
        <v>0</v>
      </c>
      <c r="CZ161" s="10">
        <v>0</v>
      </c>
      <c r="DA161" s="10">
        <v>0</v>
      </c>
      <c r="DB161" s="10">
        <v>0</v>
      </c>
      <c r="DC161" s="10">
        <v>0</v>
      </c>
      <c r="DD161" s="10">
        <v>0</v>
      </c>
      <c r="DE161" s="10">
        <v>0</v>
      </c>
      <c r="DF161" s="10">
        <v>0</v>
      </c>
      <c r="DG161" s="10">
        <v>0</v>
      </c>
      <c r="DH161" s="10">
        <v>0</v>
      </c>
      <c r="DI161" s="10">
        <v>0</v>
      </c>
      <c r="DJ161" s="10">
        <v>0</v>
      </c>
      <c r="DK161" s="10">
        <v>0</v>
      </c>
      <c r="DL161" s="10">
        <v>0</v>
      </c>
      <c r="DM161" s="10">
        <v>0</v>
      </c>
      <c r="DN161" s="10">
        <v>0</v>
      </c>
      <c r="DO161" s="10">
        <v>0</v>
      </c>
      <c r="DP161" s="10">
        <v>0</v>
      </c>
      <c r="DQ161" s="10">
        <v>0</v>
      </c>
      <c r="DR161" s="10">
        <v>0</v>
      </c>
      <c r="DS161" s="10">
        <v>0</v>
      </c>
      <c r="DT161" s="10">
        <v>0</v>
      </c>
      <c r="DU161" s="10">
        <v>0</v>
      </c>
      <c r="DV161" s="10">
        <v>0</v>
      </c>
      <c r="DW161" s="10">
        <v>0</v>
      </c>
      <c r="DX161" s="10">
        <v>0</v>
      </c>
      <c r="DY161" s="10">
        <v>0</v>
      </c>
      <c r="DZ161" s="10">
        <v>2.8074236426694217E-2</v>
      </c>
      <c r="EA161" s="10">
        <v>0</v>
      </c>
      <c r="EB161" s="10">
        <v>0</v>
      </c>
      <c r="EC161" s="10">
        <v>0</v>
      </c>
      <c r="ED161" s="10">
        <v>0</v>
      </c>
      <c r="EE161" s="10">
        <v>0</v>
      </c>
      <c r="EF161" s="10">
        <v>0</v>
      </c>
      <c r="EG161" s="10">
        <v>0</v>
      </c>
      <c r="EH161" s="10">
        <v>0</v>
      </c>
      <c r="EI161" s="10">
        <v>0</v>
      </c>
      <c r="EJ161" s="10">
        <v>0</v>
      </c>
      <c r="EK161" s="10">
        <v>0</v>
      </c>
      <c r="EL161" s="10">
        <v>0</v>
      </c>
      <c r="EM161" s="10">
        <v>0</v>
      </c>
      <c r="EN161" s="10">
        <v>0</v>
      </c>
      <c r="EO161" s="10">
        <v>0</v>
      </c>
      <c r="EP161" s="10">
        <v>0</v>
      </c>
      <c r="EQ161" s="10">
        <v>0</v>
      </c>
      <c r="ER161" s="10">
        <v>0</v>
      </c>
      <c r="ES161" s="10">
        <v>0</v>
      </c>
      <c r="ET161" s="10">
        <v>0</v>
      </c>
      <c r="EU161" s="10">
        <v>0</v>
      </c>
      <c r="EV161" s="10">
        <v>0</v>
      </c>
      <c r="EW161" s="10">
        <v>0</v>
      </c>
      <c r="EX161" s="10">
        <v>0</v>
      </c>
      <c r="EY161" s="10">
        <v>0</v>
      </c>
      <c r="EZ161" s="10">
        <v>0</v>
      </c>
      <c r="FA161" s="10">
        <v>0</v>
      </c>
      <c r="FB161" s="10">
        <v>0</v>
      </c>
      <c r="FC161" s="10">
        <v>0</v>
      </c>
      <c r="FD161" s="10">
        <v>0</v>
      </c>
      <c r="FE161" s="10">
        <v>0</v>
      </c>
      <c r="FF161" s="10">
        <v>0</v>
      </c>
      <c r="FG161" s="10">
        <v>0</v>
      </c>
      <c r="FH161" s="10">
        <v>0</v>
      </c>
      <c r="FI161" s="10">
        <v>0</v>
      </c>
      <c r="FJ161" s="10">
        <v>0</v>
      </c>
      <c r="FK161" s="10">
        <v>0</v>
      </c>
      <c r="FL161" s="10">
        <v>0</v>
      </c>
      <c r="FM161" s="10">
        <v>0</v>
      </c>
      <c r="FN161" s="10">
        <v>0</v>
      </c>
      <c r="FO161" s="10">
        <v>0</v>
      </c>
      <c r="FP161" s="10">
        <v>0</v>
      </c>
      <c r="FQ161" s="10">
        <v>0</v>
      </c>
      <c r="FR161" s="10">
        <v>0</v>
      </c>
      <c r="FS161" s="10">
        <v>0</v>
      </c>
      <c r="FT161" s="10">
        <v>0</v>
      </c>
      <c r="FU161" s="10">
        <v>0</v>
      </c>
      <c r="FV161" s="10">
        <v>0</v>
      </c>
      <c r="FW161" s="10">
        <v>0</v>
      </c>
      <c r="FX161" s="10">
        <v>0</v>
      </c>
      <c r="FY161" s="10">
        <v>0</v>
      </c>
      <c r="FZ161" s="10">
        <v>0</v>
      </c>
      <c r="GA161" s="10">
        <v>0</v>
      </c>
      <c r="GB161" s="10">
        <v>0</v>
      </c>
      <c r="GC161" s="10">
        <v>0</v>
      </c>
      <c r="GD161" s="10">
        <v>0</v>
      </c>
      <c r="GE161" s="10">
        <v>0</v>
      </c>
      <c r="GF161" s="10">
        <v>0</v>
      </c>
      <c r="GG161" s="10">
        <v>0</v>
      </c>
      <c r="GH161" s="10">
        <v>0</v>
      </c>
      <c r="GI161" s="10">
        <v>0</v>
      </c>
      <c r="GJ161" s="10">
        <v>0</v>
      </c>
      <c r="GK161" s="10">
        <v>0</v>
      </c>
      <c r="GL161" s="10">
        <v>0</v>
      </c>
      <c r="GM161" s="10">
        <v>0</v>
      </c>
      <c r="GN161" s="10">
        <v>0</v>
      </c>
      <c r="GO161" s="10">
        <v>0</v>
      </c>
      <c r="GP161" s="10">
        <v>0</v>
      </c>
      <c r="GQ161" s="10">
        <v>0</v>
      </c>
      <c r="GR161" s="10">
        <v>0</v>
      </c>
      <c r="GS161" s="10">
        <v>0</v>
      </c>
      <c r="GT161" s="10">
        <v>0</v>
      </c>
      <c r="GU161" s="10">
        <v>0</v>
      </c>
      <c r="GV161" s="10">
        <v>-4.9135227965464055E-13</v>
      </c>
      <c r="GW161" s="10">
        <v>0</v>
      </c>
      <c r="GX161" s="10">
        <v>0</v>
      </c>
      <c r="GY161" s="10">
        <v>0</v>
      </c>
      <c r="GZ161" s="10">
        <v>0</v>
      </c>
      <c r="HA161" s="10">
        <v>0</v>
      </c>
      <c r="HB161" s="10">
        <v>0</v>
      </c>
      <c r="HC161" s="10">
        <v>0</v>
      </c>
      <c r="HD161" s="10">
        <v>0</v>
      </c>
      <c r="HE161" s="10">
        <v>0</v>
      </c>
      <c r="HF161" s="10">
        <v>0</v>
      </c>
      <c r="HG161" s="10">
        <v>0</v>
      </c>
      <c r="HH161" s="10">
        <v>0</v>
      </c>
      <c r="HI161" s="10">
        <v>0</v>
      </c>
      <c r="HJ161" s="10">
        <v>0</v>
      </c>
      <c r="HK161" s="10">
        <v>0</v>
      </c>
      <c r="HL161" s="10">
        <v>0</v>
      </c>
      <c r="HM161" s="10">
        <v>0</v>
      </c>
      <c r="HN161" s="10">
        <v>0</v>
      </c>
      <c r="HO161" s="10">
        <v>0</v>
      </c>
      <c r="HP161" s="10">
        <v>0.97192576357379978</v>
      </c>
      <c r="HQ161" s="10">
        <v>0</v>
      </c>
      <c r="HR161" s="10">
        <v>0</v>
      </c>
      <c r="HS161" s="10">
        <v>0</v>
      </c>
      <c r="HT161" s="10">
        <v>0</v>
      </c>
      <c r="HU161" s="10">
        <v>0</v>
      </c>
    </row>
    <row r="162" spans="1:229" x14ac:dyDescent="0.25">
      <c r="A162" s="10">
        <v>0</v>
      </c>
      <c r="B162" s="2" t="s">
        <v>312</v>
      </c>
      <c r="C162" s="2" t="s">
        <v>313</v>
      </c>
      <c r="D162" s="2">
        <v>1.5529999999999999</v>
      </c>
      <c r="E162" s="2">
        <v>45.71</v>
      </c>
      <c r="F162" s="2">
        <v>18.5</v>
      </c>
      <c r="G162" s="2">
        <v>7.1</v>
      </c>
      <c r="H162" s="2">
        <v>5.71</v>
      </c>
      <c r="I162" s="2">
        <v>329</v>
      </c>
      <c r="J162" s="2">
        <v>12.105</v>
      </c>
      <c r="K162" s="2">
        <v>1.77</v>
      </c>
      <c r="L162" s="3"/>
      <c r="M162" s="2" t="str">
        <f t="shared" si="9"/>
        <v>01223</v>
      </c>
      <c r="N162" s="3">
        <v>1.0000000000000027</v>
      </c>
      <c r="O162" s="3">
        <v>0.99999999999999778</v>
      </c>
      <c r="P162" s="17">
        <v>0.99999999999999933</v>
      </c>
      <c r="Q162" s="3">
        <v>0.99999999999999722</v>
      </c>
      <c r="R162" s="3">
        <v>0.99999999999999689</v>
      </c>
      <c r="S162" s="3">
        <v>0.99999999999999611</v>
      </c>
      <c r="T162" s="3">
        <v>0.99999999999999611</v>
      </c>
      <c r="U162" s="3">
        <v>0.99999999999999822</v>
      </c>
      <c r="V162" s="3">
        <v>0.99999999999999689</v>
      </c>
      <c r="W162" s="3">
        <v>0.999999999999998</v>
      </c>
      <c r="X162" s="3">
        <v>1.5529999999999988</v>
      </c>
      <c r="Y162" s="3">
        <v>45.709999999999873</v>
      </c>
      <c r="Z162" s="3">
        <v>18.499999999999943</v>
      </c>
      <c r="AA162" s="3">
        <v>7.0999999999999721</v>
      </c>
      <c r="AB162" s="3">
        <v>5.7099999999999778</v>
      </c>
      <c r="AC162" s="3">
        <v>328.99999999999943</v>
      </c>
      <c r="AD162" s="3">
        <v>12.104999999999963</v>
      </c>
      <c r="AE162" s="3">
        <v>1.7699999999999965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3">
        <v>0</v>
      </c>
      <c r="AW162" s="3">
        <v>0</v>
      </c>
      <c r="AX162" s="3">
        <v>0</v>
      </c>
      <c r="AY162" s="3">
        <v>0</v>
      </c>
      <c r="AZ162" s="3">
        <v>0</v>
      </c>
      <c r="BA162" s="10">
        <v>0</v>
      </c>
      <c r="BB162" s="10">
        <v>0</v>
      </c>
      <c r="BC162" s="10">
        <v>0</v>
      </c>
      <c r="BD162" s="10">
        <v>0</v>
      </c>
      <c r="BE162" s="10">
        <v>0</v>
      </c>
      <c r="BF162" s="10">
        <v>0</v>
      </c>
      <c r="BG162" s="10">
        <v>0</v>
      </c>
      <c r="BH162" s="10">
        <v>0</v>
      </c>
      <c r="BI162" s="10">
        <v>0</v>
      </c>
      <c r="BJ162" s="10">
        <v>0</v>
      </c>
      <c r="BK162" s="10">
        <v>0</v>
      </c>
      <c r="BL162" s="10">
        <v>0</v>
      </c>
      <c r="BM162" s="10">
        <v>0</v>
      </c>
      <c r="BN162" s="10">
        <v>0</v>
      </c>
      <c r="BO162" s="10">
        <v>0</v>
      </c>
      <c r="BP162" s="10">
        <v>0</v>
      </c>
      <c r="BQ162" s="10">
        <v>0</v>
      </c>
      <c r="BR162" s="10">
        <v>0</v>
      </c>
      <c r="BS162" s="10">
        <v>0</v>
      </c>
      <c r="BT162" s="10">
        <v>0</v>
      </c>
      <c r="BU162" s="10">
        <v>0</v>
      </c>
      <c r="BV162" s="10">
        <v>0</v>
      </c>
      <c r="BW162" s="10">
        <v>0</v>
      </c>
      <c r="BX162" s="10">
        <v>0</v>
      </c>
      <c r="BY162" s="10">
        <v>0</v>
      </c>
      <c r="BZ162" s="10">
        <v>0</v>
      </c>
      <c r="CA162" s="10">
        <v>2.8822590154176815E-15</v>
      </c>
      <c r="CB162" s="10">
        <v>0</v>
      </c>
      <c r="CC162" s="10">
        <v>0</v>
      </c>
      <c r="CD162" s="10">
        <v>0</v>
      </c>
      <c r="CE162" s="10">
        <v>0</v>
      </c>
      <c r="CF162" s="10">
        <v>0</v>
      </c>
      <c r="CG162" s="10">
        <v>0</v>
      </c>
      <c r="CH162" s="10">
        <v>0</v>
      </c>
      <c r="CI162" s="10">
        <v>0</v>
      </c>
      <c r="CJ162" s="10">
        <v>0</v>
      </c>
      <c r="CK162" s="10">
        <v>0</v>
      </c>
      <c r="CL162" s="10">
        <v>0</v>
      </c>
      <c r="CM162" s="10">
        <v>0</v>
      </c>
      <c r="CN162" s="10">
        <v>0</v>
      </c>
      <c r="CO162" s="10">
        <v>0</v>
      </c>
      <c r="CP162" s="10">
        <v>0</v>
      </c>
      <c r="CQ162" s="10">
        <v>0</v>
      </c>
      <c r="CR162" s="10">
        <v>0</v>
      </c>
      <c r="CS162" s="10">
        <v>0</v>
      </c>
      <c r="CT162" s="10">
        <v>0</v>
      </c>
      <c r="CU162" s="10">
        <v>0</v>
      </c>
      <c r="CV162" s="10">
        <v>0</v>
      </c>
      <c r="CW162" s="10">
        <v>0</v>
      </c>
      <c r="CX162" s="10">
        <v>0</v>
      </c>
      <c r="CY162" s="10">
        <v>0</v>
      </c>
      <c r="CZ162" s="10">
        <v>0</v>
      </c>
      <c r="DA162" s="10">
        <v>0</v>
      </c>
      <c r="DB162" s="10">
        <v>0</v>
      </c>
      <c r="DC162" s="10">
        <v>0</v>
      </c>
      <c r="DD162" s="10">
        <v>0</v>
      </c>
      <c r="DE162" s="10">
        <v>0</v>
      </c>
      <c r="DF162" s="10">
        <v>0</v>
      </c>
      <c r="DG162" s="10">
        <v>0</v>
      </c>
      <c r="DH162" s="10">
        <v>0</v>
      </c>
      <c r="DI162" s="10">
        <v>0</v>
      </c>
      <c r="DJ162" s="10">
        <v>0</v>
      </c>
      <c r="DK162" s="10">
        <v>0</v>
      </c>
      <c r="DL162" s="10">
        <v>0</v>
      </c>
      <c r="DM162" s="10">
        <v>0</v>
      </c>
      <c r="DN162" s="10">
        <v>0</v>
      </c>
      <c r="DO162" s="10">
        <v>0</v>
      </c>
      <c r="DP162" s="10">
        <v>0</v>
      </c>
      <c r="DQ162" s="10">
        <v>0</v>
      </c>
      <c r="DR162" s="10">
        <v>0</v>
      </c>
      <c r="DS162" s="10">
        <v>0</v>
      </c>
      <c r="DT162" s="10">
        <v>0</v>
      </c>
      <c r="DU162" s="10">
        <v>0</v>
      </c>
      <c r="DV162" s="10">
        <v>0</v>
      </c>
      <c r="DW162" s="10">
        <v>0</v>
      </c>
      <c r="DX162" s="10">
        <v>0</v>
      </c>
      <c r="DY162" s="10">
        <v>2.0800963942232346E-16</v>
      </c>
      <c r="DZ162" s="10">
        <v>0</v>
      </c>
      <c r="EA162" s="10">
        <v>0</v>
      </c>
      <c r="EB162" s="10">
        <v>0</v>
      </c>
      <c r="EC162" s="10">
        <v>0</v>
      </c>
      <c r="ED162" s="10">
        <v>0</v>
      </c>
      <c r="EE162" s="10">
        <v>0</v>
      </c>
      <c r="EF162" s="10">
        <v>0</v>
      </c>
      <c r="EG162" s="10">
        <v>0</v>
      </c>
      <c r="EH162" s="10">
        <v>0</v>
      </c>
      <c r="EI162" s="10">
        <v>0</v>
      </c>
      <c r="EJ162" s="10">
        <v>0</v>
      </c>
      <c r="EK162" s="10">
        <v>0</v>
      </c>
      <c r="EL162" s="10">
        <v>0</v>
      </c>
      <c r="EM162" s="10">
        <v>0</v>
      </c>
      <c r="EN162" s="10">
        <v>0</v>
      </c>
      <c r="EO162" s="10">
        <v>0</v>
      </c>
      <c r="EP162" s="10">
        <v>0</v>
      </c>
      <c r="EQ162" s="10">
        <v>0</v>
      </c>
      <c r="ER162" s="10">
        <v>0</v>
      </c>
      <c r="ES162" s="10">
        <v>0</v>
      </c>
      <c r="ET162" s="10">
        <v>0</v>
      </c>
      <c r="EU162" s="10">
        <v>0</v>
      </c>
      <c r="EV162" s="10">
        <v>0</v>
      </c>
      <c r="EW162" s="10">
        <v>0</v>
      </c>
      <c r="EX162" s="10">
        <v>0</v>
      </c>
      <c r="EY162" s="10">
        <v>0</v>
      </c>
      <c r="EZ162" s="10">
        <v>0</v>
      </c>
      <c r="FA162" s="10">
        <v>0</v>
      </c>
      <c r="FB162" s="10">
        <v>0</v>
      </c>
      <c r="FC162" s="10">
        <v>0</v>
      </c>
      <c r="FD162" s="10">
        <v>0</v>
      </c>
      <c r="FE162" s="10">
        <v>0</v>
      </c>
      <c r="FF162" s="10">
        <v>0</v>
      </c>
      <c r="FG162" s="10">
        <v>0</v>
      </c>
      <c r="FH162" s="10">
        <v>0</v>
      </c>
      <c r="FI162" s="10">
        <v>0</v>
      </c>
      <c r="FJ162" s="10">
        <v>0</v>
      </c>
      <c r="FK162" s="10">
        <v>0</v>
      </c>
      <c r="FL162" s="10">
        <v>0</v>
      </c>
      <c r="FM162" s="10">
        <v>0</v>
      </c>
      <c r="FN162" s="10">
        <v>0</v>
      </c>
      <c r="FO162" s="10">
        <v>0</v>
      </c>
      <c r="FP162" s="10">
        <v>0</v>
      </c>
      <c r="FQ162" s="10">
        <v>0</v>
      </c>
      <c r="FR162" s="10">
        <v>0</v>
      </c>
      <c r="FS162" s="10">
        <v>0</v>
      </c>
      <c r="FT162" s="10">
        <v>0</v>
      </c>
      <c r="FU162" s="10">
        <v>0</v>
      </c>
      <c r="FV162" s="10">
        <v>0</v>
      </c>
      <c r="FW162" s="10">
        <v>0</v>
      </c>
      <c r="FX162" s="10">
        <v>0</v>
      </c>
      <c r="FY162" s="10">
        <v>0</v>
      </c>
      <c r="FZ162" s="10">
        <v>0</v>
      </c>
      <c r="GA162" s="10">
        <v>0.99999999999999611</v>
      </c>
      <c r="GB162" s="10">
        <v>0</v>
      </c>
      <c r="GC162" s="10">
        <v>0</v>
      </c>
      <c r="GD162" s="10">
        <v>0</v>
      </c>
      <c r="GE162" s="10">
        <v>0</v>
      </c>
      <c r="GF162" s="10">
        <v>0</v>
      </c>
      <c r="GG162" s="10">
        <v>0</v>
      </c>
      <c r="GH162" s="10">
        <v>0</v>
      </c>
      <c r="GI162" s="10">
        <v>0</v>
      </c>
      <c r="GJ162" s="10">
        <v>0</v>
      </c>
      <c r="GK162" s="10">
        <v>0</v>
      </c>
      <c r="GL162" s="10">
        <v>0</v>
      </c>
      <c r="GM162" s="10">
        <v>0</v>
      </c>
      <c r="GN162" s="10">
        <v>0</v>
      </c>
      <c r="GO162" s="10">
        <v>0</v>
      </c>
      <c r="GP162" s="10">
        <v>0</v>
      </c>
      <c r="GQ162" s="10">
        <v>0</v>
      </c>
      <c r="GR162" s="10">
        <v>0</v>
      </c>
      <c r="GS162" s="10">
        <v>0</v>
      </c>
      <c r="GT162" s="10">
        <v>0</v>
      </c>
      <c r="GU162" s="10">
        <v>0</v>
      </c>
      <c r="GV162" s="10">
        <v>0</v>
      </c>
      <c r="GW162" s="10">
        <v>3.2613003319761527E-16</v>
      </c>
      <c r="GX162" s="10">
        <v>0</v>
      </c>
      <c r="GY162" s="10">
        <v>0</v>
      </c>
      <c r="GZ162" s="10">
        <v>0</v>
      </c>
      <c r="HA162" s="10">
        <v>0</v>
      </c>
      <c r="HB162" s="10">
        <v>0</v>
      </c>
      <c r="HC162" s="10">
        <v>0</v>
      </c>
      <c r="HD162" s="10">
        <v>0</v>
      </c>
      <c r="HE162" s="10">
        <v>0</v>
      </c>
      <c r="HF162" s="10">
        <v>0</v>
      </c>
      <c r="HG162" s="10">
        <v>0</v>
      </c>
      <c r="HH162" s="10">
        <v>0</v>
      </c>
      <c r="HI162" s="10">
        <v>0</v>
      </c>
      <c r="HJ162" s="10">
        <v>0</v>
      </c>
      <c r="HK162" s="10">
        <v>0</v>
      </c>
      <c r="HL162" s="10">
        <v>0</v>
      </c>
      <c r="HM162" s="10">
        <v>0</v>
      </c>
      <c r="HN162" s="10">
        <v>0</v>
      </c>
      <c r="HO162" s="10">
        <v>0</v>
      </c>
      <c r="HP162" s="10">
        <v>0</v>
      </c>
      <c r="HQ162" s="10">
        <v>0</v>
      </c>
      <c r="HR162" s="10">
        <v>0</v>
      </c>
      <c r="HS162" s="10">
        <v>0</v>
      </c>
      <c r="HT162" s="10">
        <v>0</v>
      </c>
      <c r="HU162" s="10">
        <v>0</v>
      </c>
    </row>
    <row r="163" spans="1:229" x14ac:dyDescent="0.25">
      <c r="A163" s="10">
        <v>0</v>
      </c>
      <c r="B163" s="2" t="s">
        <v>314</v>
      </c>
      <c r="C163" s="2" t="s">
        <v>315</v>
      </c>
      <c r="D163" s="2">
        <v>1.087</v>
      </c>
      <c r="E163" s="2">
        <v>50</v>
      </c>
      <c r="F163" s="2">
        <v>22</v>
      </c>
      <c r="G163" s="2">
        <v>2</v>
      </c>
      <c r="H163" s="2">
        <v>4</v>
      </c>
      <c r="I163" s="2">
        <v>250</v>
      </c>
      <c r="J163" s="2">
        <v>8.4740000000000002</v>
      </c>
      <c r="K163" s="2">
        <v>1.2390000000000001</v>
      </c>
      <c r="L163" s="3"/>
      <c r="M163" s="2" t="str">
        <f t="shared" si="9"/>
        <v>01224</v>
      </c>
      <c r="N163" s="3">
        <v>1.0000000000000042</v>
      </c>
      <c r="O163" s="3">
        <v>0.99999999999999567</v>
      </c>
      <c r="P163" s="17">
        <v>0.99999999999999556</v>
      </c>
      <c r="Q163" s="3">
        <v>0.99999999999999589</v>
      </c>
      <c r="R163" s="3">
        <v>0.99999999999999256</v>
      </c>
      <c r="S163" s="3">
        <v>1.0000000000000053</v>
      </c>
      <c r="T163" s="3">
        <v>0.999999999999995</v>
      </c>
      <c r="U163" s="3">
        <v>1.0000000000000047</v>
      </c>
      <c r="V163" s="3">
        <v>0.99999999999999523</v>
      </c>
      <c r="W163" s="3">
        <v>0.99999999999999512</v>
      </c>
      <c r="X163" s="3">
        <v>1.0869999999999951</v>
      </c>
      <c r="Y163" s="3">
        <v>49.999999999999794</v>
      </c>
      <c r="Z163" s="3">
        <v>21.999999999999837</v>
      </c>
      <c r="AA163" s="3">
        <v>2.0000000000000107</v>
      </c>
      <c r="AB163" s="3">
        <v>3.99999999999998</v>
      </c>
      <c r="AC163" s="3">
        <v>250.00000000000117</v>
      </c>
      <c r="AD163" s="3">
        <v>8.4739999999999593</v>
      </c>
      <c r="AE163" s="3">
        <v>1.2389999999999941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3">
        <v>0</v>
      </c>
      <c r="AW163" s="3">
        <v>0</v>
      </c>
      <c r="AX163" s="3">
        <v>0</v>
      </c>
      <c r="AY163" s="3">
        <v>0</v>
      </c>
      <c r="AZ163" s="3">
        <v>0</v>
      </c>
      <c r="BA163" s="10">
        <v>0</v>
      </c>
      <c r="BB163" s="10">
        <v>0</v>
      </c>
      <c r="BC163" s="10">
        <v>0</v>
      </c>
      <c r="BD163" s="10">
        <v>0</v>
      </c>
      <c r="BE163" s="10">
        <v>0</v>
      </c>
      <c r="BF163" s="10">
        <v>0</v>
      </c>
      <c r="BG163" s="10">
        <v>0</v>
      </c>
      <c r="BH163" s="10">
        <v>0</v>
      </c>
      <c r="BI163" s="10">
        <v>0</v>
      </c>
      <c r="BJ163" s="10">
        <v>0</v>
      </c>
      <c r="BK163" s="10">
        <v>0</v>
      </c>
      <c r="BL163" s="10">
        <v>0</v>
      </c>
      <c r="BM163" s="10">
        <v>0</v>
      </c>
      <c r="BN163" s="10">
        <v>0</v>
      </c>
      <c r="BO163" s="10">
        <v>0</v>
      </c>
      <c r="BP163" s="10">
        <v>0</v>
      </c>
      <c r="BQ163" s="10">
        <v>0</v>
      </c>
      <c r="BR163" s="10">
        <v>0</v>
      </c>
      <c r="BS163" s="10">
        <v>0</v>
      </c>
      <c r="BT163" s="10">
        <v>0</v>
      </c>
      <c r="BU163" s="10">
        <v>0</v>
      </c>
      <c r="BV163" s="10">
        <v>0</v>
      </c>
      <c r="BW163" s="10">
        <v>0</v>
      </c>
      <c r="BX163" s="10">
        <v>0</v>
      </c>
      <c r="BY163" s="10">
        <v>0</v>
      </c>
      <c r="BZ163" s="10">
        <v>0</v>
      </c>
      <c r="CA163" s="10">
        <v>1.3183898417423734E-16</v>
      </c>
      <c r="CB163" s="10">
        <v>0</v>
      </c>
      <c r="CC163" s="10">
        <v>0</v>
      </c>
      <c r="CD163" s="10">
        <v>0</v>
      </c>
      <c r="CE163" s="10">
        <v>0</v>
      </c>
      <c r="CF163" s="10">
        <v>0</v>
      </c>
      <c r="CG163" s="10">
        <v>0</v>
      </c>
      <c r="CH163" s="10">
        <v>0</v>
      </c>
      <c r="CI163" s="10">
        <v>0</v>
      </c>
      <c r="CJ163" s="10">
        <v>0</v>
      </c>
      <c r="CK163" s="10">
        <v>0</v>
      </c>
      <c r="CL163" s="10">
        <v>0</v>
      </c>
      <c r="CM163" s="10">
        <v>0</v>
      </c>
      <c r="CN163" s="10">
        <v>0</v>
      </c>
      <c r="CO163" s="10">
        <v>0</v>
      </c>
      <c r="CP163" s="10">
        <v>0</v>
      </c>
      <c r="CQ163" s="10">
        <v>0</v>
      </c>
      <c r="CR163" s="10">
        <v>0</v>
      </c>
      <c r="CS163" s="10">
        <v>0</v>
      </c>
      <c r="CT163" s="10">
        <v>0</v>
      </c>
      <c r="CU163" s="10">
        <v>0</v>
      </c>
      <c r="CV163" s="10">
        <v>0</v>
      </c>
      <c r="CW163" s="10">
        <v>0</v>
      </c>
      <c r="CX163" s="10">
        <v>0</v>
      </c>
      <c r="CY163" s="10">
        <v>0</v>
      </c>
      <c r="CZ163" s="10">
        <v>0</v>
      </c>
      <c r="DA163" s="10">
        <v>0</v>
      </c>
      <c r="DB163" s="10">
        <v>0</v>
      </c>
      <c r="DC163" s="10">
        <v>0</v>
      </c>
      <c r="DD163" s="10">
        <v>0</v>
      </c>
      <c r="DE163" s="10">
        <v>0</v>
      </c>
      <c r="DF163" s="10">
        <v>0</v>
      </c>
      <c r="DG163" s="10">
        <v>0</v>
      </c>
      <c r="DH163" s="10">
        <v>0</v>
      </c>
      <c r="DI163" s="10">
        <v>0</v>
      </c>
      <c r="DJ163" s="10">
        <v>0</v>
      </c>
      <c r="DK163" s="10">
        <v>0</v>
      </c>
      <c r="DL163" s="10">
        <v>0</v>
      </c>
      <c r="DM163" s="10">
        <v>0</v>
      </c>
      <c r="DN163" s="10">
        <v>0</v>
      </c>
      <c r="DO163" s="10">
        <v>0</v>
      </c>
      <c r="DP163" s="10">
        <v>0</v>
      </c>
      <c r="DQ163" s="10">
        <v>0</v>
      </c>
      <c r="DR163" s="10">
        <v>0</v>
      </c>
      <c r="DS163" s="10">
        <v>0</v>
      </c>
      <c r="DT163" s="10">
        <v>0</v>
      </c>
      <c r="DU163" s="10">
        <v>0</v>
      </c>
      <c r="DV163" s="10">
        <v>0</v>
      </c>
      <c r="DW163" s="10">
        <v>0</v>
      </c>
      <c r="DX163" s="10">
        <v>0</v>
      </c>
      <c r="DY163" s="10">
        <v>2.9764776039038212E-17</v>
      </c>
      <c r="DZ163" s="10">
        <v>0</v>
      </c>
      <c r="EA163" s="10">
        <v>0</v>
      </c>
      <c r="EB163" s="10">
        <v>0</v>
      </c>
      <c r="EC163" s="10">
        <v>0</v>
      </c>
      <c r="ED163" s="10">
        <v>0</v>
      </c>
      <c r="EE163" s="10">
        <v>0</v>
      </c>
      <c r="EF163" s="10">
        <v>0</v>
      </c>
      <c r="EG163" s="10">
        <v>0</v>
      </c>
      <c r="EH163" s="10">
        <v>0</v>
      </c>
      <c r="EI163" s="10">
        <v>0</v>
      </c>
      <c r="EJ163" s="10">
        <v>0</v>
      </c>
      <c r="EK163" s="10">
        <v>0</v>
      </c>
      <c r="EL163" s="10">
        <v>0</v>
      </c>
      <c r="EM163" s="10">
        <v>0</v>
      </c>
      <c r="EN163" s="10">
        <v>0</v>
      </c>
      <c r="EO163" s="10">
        <v>0</v>
      </c>
      <c r="EP163" s="10">
        <v>0</v>
      </c>
      <c r="EQ163" s="10">
        <v>0</v>
      </c>
      <c r="ER163" s="10">
        <v>0</v>
      </c>
      <c r="ES163" s="10">
        <v>0</v>
      </c>
      <c r="ET163" s="10">
        <v>0</v>
      </c>
      <c r="EU163" s="10">
        <v>0</v>
      </c>
      <c r="EV163" s="10">
        <v>0</v>
      </c>
      <c r="EW163" s="10">
        <v>0</v>
      </c>
      <c r="EX163" s="10">
        <v>0</v>
      </c>
      <c r="EY163" s="10">
        <v>0</v>
      </c>
      <c r="EZ163" s="10">
        <v>0</v>
      </c>
      <c r="FA163" s="10">
        <v>0</v>
      </c>
      <c r="FB163" s="10">
        <v>0</v>
      </c>
      <c r="FC163" s="10">
        <v>0</v>
      </c>
      <c r="FD163" s="10">
        <v>0</v>
      </c>
      <c r="FE163" s="10">
        <v>0</v>
      </c>
      <c r="FF163" s="10">
        <v>0</v>
      </c>
      <c r="FG163" s="10">
        <v>0</v>
      </c>
      <c r="FH163" s="10">
        <v>0</v>
      </c>
      <c r="FI163" s="10">
        <v>0</v>
      </c>
      <c r="FJ163" s="10">
        <v>0</v>
      </c>
      <c r="FK163" s="10">
        <v>0</v>
      </c>
      <c r="FL163" s="10">
        <v>0</v>
      </c>
      <c r="FM163" s="10">
        <v>0</v>
      </c>
      <c r="FN163" s="10">
        <v>0</v>
      </c>
      <c r="FO163" s="10">
        <v>0</v>
      </c>
      <c r="FP163" s="10">
        <v>0</v>
      </c>
      <c r="FQ163" s="10">
        <v>0</v>
      </c>
      <c r="FR163" s="10">
        <v>0</v>
      </c>
      <c r="FS163" s="10">
        <v>0</v>
      </c>
      <c r="FT163" s="10">
        <v>0</v>
      </c>
      <c r="FU163" s="10">
        <v>0</v>
      </c>
      <c r="FV163" s="10">
        <v>0</v>
      </c>
      <c r="FW163" s="10">
        <v>0</v>
      </c>
      <c r="FX163" s="10">
        <v>0</v>
      </c>
      <c r="FY163" s="10">
        <v>0</v>
      </c>
      <c r="FZ163" s="10">
        <v>0</v>
      </c>
      <c r="GA163" s="10">
        <v>4.8849813083506888E-15</v>
      </c>
      <c r="GB163" s="10">
        <v>0.99999999999998801</v>
      </c>
      <c r="GC163" s="10">
        <v>0</v>
      </c>
      <c r="GD163" s="10">
        <v>0</v>
      </c>
      <c r="GE163" s="10">
        <v>0</v>
      </c>
      <c r="GF163" s="10">
        <v>0</v>
      </c>
      <c r="GG163" s="10">
        <v>0</v>
      </c>
      <c r="GH163" s="10">
        <v>0</v>
      </c>
      <c r="GI163" s="10">
        <v>0</v>
      </c>
      <c r="GJ163" s="10">
        <v>0</v>
      </c>
      <c r="GK163" s="10">
        <v>0</v>
      </c>
      <c r="GL163" s="10">
        <v>0</v>
      </c>
      <c r="GM163" s="10">
        <v>0</v>
      </c>
      <c r="GN163" s="10">
        <v>0</v>
      </c>
      <c r="GO163" s="10">
        <v>0</v>
      </c>
      <c r="GP163" s="10">
        <v>0</v>
      </c>
      <c r="GQ163" s="10">
        <v>0</v>
      </c>
      <c r="GR163" s="10">
        <v>0</v>
      </c>
      <c r="GS163" s="10">
        <v>0</v>
      </c>
      <c r="GT163" s="10">
        <v>0</v>
      </c>
      <c r="GU163" s="10">
        <v>0</v>
      </c>
      <c r="GV163" s="10">
        <v>0</v>
      </c>
      <c r="GW163" s="10">
        <v>1.9428902930940239E-15</v>
      </c>
      <c r="GX163" s="10">
        <v>0</v>
      </c>
      <c r="GY163" s="10">
        <v>0</v>
      </c>
      <c r="GZ163" s="10">
        <v>0</v>
      </c>
      <c r="HA163" s="10">
        <v>0</v>
      </c>
      <c r="HB163" s="10">
        <v>0</v>
      </c>
      <c r="HC163" s="10">
        <v>0</v>
      </c>
      <c r="HD163" s="10">
        <v>0</v>
      </c>
      <c r="HE163" s="10">
        <v>0</v>
      </c>
      <c r="HF163" s="10">
        <v>0</v>
      </c>
      <c r="HG163" s="10">
        <v>0</v>
      </c>
      <c r="HH163" s="10">
        <v>0</v>
      </c>
      <c r="HI163" s="10">
        <v>0</v>
      </c>
      <c r="HJ163" s="10">
        <v>0</v>
      </c>
      <c r="HK163" s="10">
        <v>0</v>
      </c>
      <c r="HL163" s="10">
        <v>0</v>
      </c>
      <c r="HM163" s="10">
        <v>0</v>
      </c>
      <c r="HN163" s="10">
        <v>0</v>
      </c>
      <c r="HO163" s="10">
        <v>0</v>
      </c>
      <c r="HP163" s="10">
        <v>0</v>
      </c>
      <c r="HQ163" s="10">
        <v>0</v>
      </c>
      <c r="HR163" s="10">
        <v>0</v>
      </c>
      <c r="HS163" s="10">
        <v>0</v>
      </c>
      <c r="HT163" s="10">
        <v>0</v>
      </c>
      <c r="HU163" s="10">
        <v>0</v>
      </c>
    </row>
    <row r="164" spans="1:229" x14ac:dyDescent="0.25">
      <c r="A164" s="10">
        <v>0</v>
      </c>
      <c r="B164" s="2" t="s">
        <v>316</v>
      </c>
      <c r="C164" s="2" t="s">
        <v>317</v>
      </c>
      <c r="D164" s="2">
        <v>4.5339999999999998</v>
      </c>
      <c r="E164" s="2">
        <v>6.84</v>
      </c>
      <c r="F164" s="2">
        <v>55.35</v>
      </c>
      <c r="G164" s="2">
        <v>0</v>
      </c>
      <c r="H164" s="2">
        <v>49.74</v>
      </c>
      <c r="I164" s="2">
        <v>129</v>
      </c>
      <c r="J164" s="2">
        <v>2.1429999999999998</v>
      </c>
      <c r="K164" s="2">
        <v>0.375</v>
      </c>
      <c r="L164" s="3"/>
      <c r="M164" s="2" t="str">
        <f t="shared" si="9"/>
        <v>01225</v>
      </c>
      <c r="N164" s="3">
        <v>0.45785688584718448</v>
      </c>
      <c r="O164" s="3">
        <v>1.5421431141528157</v>
      </c>
      <c r="P164" s="17">
        <v>0.45785688584717804</v>
      </c>
      <c r="Q164" s="3">
        <v>1.5421431141528015</v>
      </c>
      <c r="R164" s="3">
        <v>0.16063493577324131</v>
      </c>
      <c r="S164" s="3" t="e">
        <v>#DIV/0!</v>
      </c>
      <c r="T164" s="3">
        <v>0.12142697965706083</v>
      </c>
      <c r="U164" s="3">
        <v>0.45785688584718448</v>
      </c>
      <c r="V164" s="3">
        <v>1.5421431141528208</v>
      </c>
      <c r="W164" s="3">
        <v>2.8258296940570458</v>
      </c>
      <c r="X164" s="3">
        <v>2.0759231204311051</v>
      </c>
      <c r="Y164" s="3">
        <v>10.548258900805163</v>
      </c>
      <c r="Z164" s="3">
        <v>8.8911436950489069</v>
      </c>
      <c r="AA164" s="3">
        <v>0.78076109304009256</v>
      </c>
      <c r="AB164" s="3">
        <v>6.0397779681422055</v>
      </c>
      <c r="AC164" s="3">
        <v>59.063538274286799</v>
      </c>
      <c r="AD164" s="3">
        <v>3.3048126936294948</v>
      </c>
      <c r="AE164" s="3">
        <v>1.0596861352713922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3">
        <v>0</v>
      </c>
      <c r="AW164" s="3">
        <v>0</v>
      </c>
      <c r="AX164" s="3">
        <v>0</v>
      </c>
      <c r="AY164" s="3">
        <v>0</v>
      </c>
      <c r="AZ164" s="3">
        <v>0</v>
      </c>
      <c r="BA164" s="10">
        <v>0</v>
      </c>
      <c r="BB164" s="10">
        <v>0</v>
      </c>
      <c r="BC164" s="10">
        <v>0</v>
      </c>
      <c r="BD164" s="10">
        <v>0</v>
      </c>
      <c r="BE164" s="10">
        <v>0</v>
      </c>
      <c r="BF164" s="10">
        <v>0</v>
      </c>
      <c r="BG164" s="10">
        <v>0</v>
      </c>
      <c r="BH164" s="10">
        <v>0</v>
      </c>
      <c r="BI164" s="10">
        <v>0</v>
      </c>
      <c r="BJ164" s="10">
        <v>0</v>
      </c>
      <c r="BK164" s="10">
        <v>0</v>
      </c>
      <c r="BL164" s="10">
        <v>0</v>
      </c>
      <c r="BM164" s="10">
        <v>0</v>
      </c>
      <c r="BN164" s="10">
        <v>0</v>
      </c>
      <c r="BO164" s="10">
        <v>0</v>
      </c>
      <c r="BP164" s="10">
        <v>0</v>
      </c>
      <c r="BQ164" s="10">
        <v>0</v>
      </c>
      <c r="BR164" s="10">
        <v>0</v>
      </c>
      <c r="BS164" s="10">
        <v>0</v>
      </c>
      <c r="BT164" s="10">
        <v>0</v>
      </c>
      <c r="BU164" s="10">
        <v>0</v>
      </c>
      <c r="BV164" s="10">
        <v>0</v>
      </c>
      <c r="BW164" s="10">
        <v>0</v>
      </c>
      <c r="BX164" s="10">
        <v>0</v>
      </c>
      <c r="BY164" s="10">
        <v>0</v>
      </c>
      <c r="BZ164" s="10">
        <v>0</v>
      </c>
      <c r="CA164" s="10">
        <v>0.24255878042874354</v>
      </c>
      <c r="CB164" s="10">
        <v>0</v>
      </c>
      <c r="CC164" s="10">
        <v>0</v>
      </c>
      <c r="CD164" s="10">
        <v>0</v>
      </c>
      <c r="CE164" s="10">
        <v>0</v>
      </c>
      <c r="CF164" s="10">
        <v>0</v>
      </c>
      <c r="CG164" s="10">
        <v>0</v>
      </c>
      <c r="CH164" s="10">
        <v>0</v>
      </c>
      <c r="CI164" s="10">
        <v>0</v>
      </c>
      <c r="CJ164" s="10">
        <v>0</v>
      </c>
      <c r="CK164" s="10">
        <v>0</v>
      </c>
      <c r="CL164" s="10">
        <v>0</v>
      </c>
      <c r="CM164" s="10">
        <v>0</v>
      </c>
      <c r="CN164" s="10">
        <v>0</v>
      </c>
      <c r="CO164" s="10">
        <v>0</v>
      </c>
      <c r="CP164" s="10">
        <v>0</v>
      </c>
      <c r="CQ164" s="10">
        <v>0</v>
      </c>
      <c r="CR164" s="10">
        <v>0</v>
      </c>
      <c r="CS164" s="10">
        <v>0</v>
      </c>
      <c r="CT164" s="10">
        <v>0</v>
      </c>
      <c r="CU164" s="10">
        <v>0</v>
      </c>
      <c r="CV164" s="10">
        <v>0</v>
      </c>
      <c r="CW164" s="10">
        <v>0</v>
      </c>
      <c r="CX164" s="10">
        <v>0</v>
      </c>
      <c r="CY164" s="10">
        <v>0</v>
      </c>
      <c r="CZ164" s="10">
        <v>0</v>
      </c>
      <c r="DA164" s="10">
        <v>0</v>
      </c>
      <c r="DB164" s="10">
        <v>0</v>
      </c>
      <c r="DC164" s="10">
        <v>0</v>
      </c>
      <c r="DD164" s="10">
        <v>0</v>
      </c>
      <c r="DE164" s="10">
        <v>0</v>
      </c>
      <c r="DF164" s="10">
        <v>0</v>
      </c>
      <c r="DG164" s="10">
        <v>0</v>
      </c>
      <c r="DH164" s="10">
        <v>0</v>
      </c>
      <c r="DI164" s="10">
        <v>0</v>
      </c>
      <c r="DJ164" s="10">
        <v>0</v>
      </c>
      <c r="DK164" s="10">
        <v>0</v>
      </c>
      <c r="DL164" s="10">
        <v>0</v>
      </c>
      <c r="DM164" s="10">
        <v>0</v>
      </c>
      <c r="DN164" s="10">
        <v>0</v>
      </c>
      <c r="DO164" s="10">
        <v>0</v>
      </c>
      <c r="DP164" s="10">
        <v>0</v>
      </c>
      <c r="DQ164" s="10">
        <v>0</v>
      </c>
      <c r="DR164" s="10">
        <v>0</v>
      </c>
      <c r="DS164" s="10">
        <v>0.18267201001608649</v>
      </c>
      <c r="DT164" s="10">
        <v>0</v>
      </c>
      <c r="DU164" s="10">
        <v>0</v>
      </c>
      <c r="DV164" s="10">
        <v>0</v>
      </c>
      <c r="DW164" s="10">
        <v>0</v>
      </c>
      <c r="DX164" s="10">
        <v>0</v>
      </c>
      <c r="DY164" s="10">
        <v>0</v>
      </c>
      <c r="DZ164" s="10">
        <v>0</v>
      </c>
      <c r="EA164" s="10">
        <v>0</v>
      </c>
      <c r="EB164" s="10">
        <v>0</v>
      </c>
      <c r="EC164" s="10">
        <v>0</v>
      </c>
      <c r="ED164" s="10">
        <v>0</v>
      </c>
      <c r="EE164" s="10">
        <v>0</v>
      </c>
      <c r="EF164" s="10">
        <v>0</v>
      </c>
      <c r="EG164" s="10">
        <v>0</v>
      </c>
      <c r="EH164" s="10">
        <v>0</v>
      </c>
      <c r="EI164" s="10">
        <v>0</v>
      </c>
      <c r="EJ164" s="10">
        <v>0</v>
      </c>
      <c r="EK164" s="10">
        <v>0</v>
      </c>
      <c r="EL164" s="10">
        <v>0</v>
      </c>
      <c r="EM164" s="10">
        <v>0</v>
      </c>
      <c r="EN164" s="10">
        <v>0</v>
      </c>
      <c r="EO164" s="10">
        <v>0</v>
      </c>
      <c r="EP164" s="10">
        <v>0</v>
      </c>
      <c r="EQ164" s="10">
        <v>0</v>
      </c>
      <c r="ER164" s="10">
        <v>0</v>
      </c>
      <c r="ES164" s="10">
        <v>0</v>
      </c>
      <c r="ET164" s="10">
        <v>0</v>
      </c>
      <c r="EU164" s="10">
        <v>0</v>
      </c>
      <c r="EV164" s="10">
        <v>0</v>
      </c>
      <c r="EW164" s="10">
        <v>0</v>
      </c>
      <c r="EX164" s="10">
        <v>0</v>
      </c>
      <c r="EY164" s="10">
        <v>0</v>
      </c>
      <c r="EZ164" s="10">
        <v>0</v>
      </c>
      <c r="FA164" s="10">
        <v>0</v>
      </c>
      <c r="FB164" s="10">
        <v>0</v>
      </c>
      <c r="FC164" s="10">
        <v>0</v>
      </c>
      <c r="FD164" s="10">
        <v>0</v>
      </c>
      <c r="FE164" s="10">
        <v>0</v>
      </c>
      <c r="FF164" s="10">
        <v>0</v>
      </c>
      <c r="FG164" s="10">
        <v>0</v>
      </c>
      <c r="FH164" s="10">
        <v>0</v>
      </c>
      <c r="FI164" s="10">
        <v>0</v>
      </c>
      <c r="FJ164" s="10">
        <v>0</v>
      </c>
      <c r="FK164" s="10">
        <v>0</v>
      </c>
      <c r="FL164" s="10">
        <v>0</v>
      </c>
      <c r="FM164" s="10">
        <v>0</v>
      </c>
      <c r="FN164" s="10">
        <v>0</v>
      </c>
      <c r="FO164" s="10">
        <v>0</v>
      </c>
      <c r="FP164" s="10">
        <v>0</v>
      </c>
      <c r="FQ164" s="10">
        <v>0</v>
      </c>
      <c r="FR164" s="10">
        <v>0</v>
      </c>
      <c r="FS164" s="10">
        <v>0</v>
      </c>
      <c r="FT164" s="10">
        <v>0</v>
      </c>
      <c r="FU164" s="10">
        <v>0</v>
      </c>
      <c r="FV164" s="10">
        <v>0</v>
      </c>
      <c r="FW164" s="10">
        <v>0</v>
      </c>
      <c r="FX164" s="10">
        <v>0</v>
      </c>
      <c r="FY164" s="10">
        <v>0</v>
      </c>
      <c r="FZ164" s="10">
        <v>0</v>
      </c>
      <c r="GA164" s="10">
        <v>5.9128538492417705E-2</v>
      </c>
      <c r="GB164" s="10">
        <v>0</v>
      </c>
      <c r="GC164" s="10">
        <v>0</v>
      </c>
      <c r="GD164" s="10">
        <v>0</v>
      </c>
      <c r="GE164" s="10">
        <v>0</v>
      </c>
      <c r="GF164" s="10">
        <v>0</v>
      </c>
      <c r="GG164" s="10">
        <v>0</v>
      </c>
      <c r="GH164" s="10">
        <v>0</v>
      </c>
      <c r="GI164" s="10">
        <v>0</v>
      </c>
      <c r="GJ164" s="10">
        <v>0</v>
      </c>
      <c r="GK164" s="10">
        <v>0</v>
      </c>
      <c r="GL164" s="10">
        <v>0</v>
      </c>
      <c r="GM164" s="10">
        <v>0</v>
      </c>
      <c r="GN164" s="10">
        <v>0</v>
      </c>
      <c r="GO164" s="10">
        <v>0</v>
      </c>
      <c r="GP164" s="10">
        <v>0</v>
      </c>
      <c r="GQ164" s="10">
        <v>0</v>
      </c>
      <c r="GR164" s="10">
        <v>0</v>
      </c>
      <c r="GS164" s="10">
        <v>0</v>
      </c>
      <c r="GT164" s="10">
        <v>0</v>
      </c>
      <c r="GU164" s="10">
        <v>0</v>
      </c>
      <c r="GV164" s="10">
        <v>0</v>
      </c>
      <c r="GW164" s="10">
        <v>0</v>
      </c>
      <c r="GX164" s="10">
        <v>0</v>
      </c>
      <c r="GY164" s="10">
        <v>0</v>
      </c>
      <c r="GZ164" s="10">
        <v>0</v>
      </c>
      <c r="HA164" s="10">
        <v>0</v>
      </c>
      <c r="HB164" s="10">
        <v>0</v>
      </c>
      <c r="HC164" s="10">
        <v>0</v>
      </c>
      <c r="HD164" s="10">
        <v>0</v>
      </c>
      <c r="HE164" s="10">
        <v>0</v>
      </c>
      <c r="HF164" s="10">
        <v>0</v>
      </c>
      <c r="HG164" s="10">
        <v>0.51564067106275258</v>
      </c>
      <c r="HH164" s="10">
        <v>0</v>
      </c>
      <c r="HI164" s="10">
        <v>0</v>
      </c>
      <c r="HJ164" s="10">
        <v>0</v>
      </c>
      <c r="HK164" s="10">
        <v>0</v>
      </c>
      <c r="HL164" s="10">
        <v>0</v>
      </c>
      <c r="HM164" s="10">
        <v>0</v>
      </c>
      <c r="HN164" s="10">
        <v>0</v>
      </c>
      <c r="HO164" s="10">
        <v>0</v>
      </c>
      <c r="HP164" s="10">
        <v>0</v>
      </c>
      <c r="HQ164" s="10">
        <v>0</v>
      </c>
      <c r="HR164" s="10">
        <v>0</v>
      </c>
      <c r="HS164" s="10">
        <v>0</v>
      </c>
      <c r="HT164" s="10">
        <v>0</v>
      </c>
      <c r="HU164" s="10">
        <v>0</v>
      </c>
    </row>
    <row r="165" spans="1:229" x14ac:dyDescent="0.25">
      <c r="A165" s="10">
        <v>0</v>
      </c>
      <c r="B165" s="2" t="s">
        <v>318</v>
      </c>
      <c r="C165" s="2" t="s">
        <v>319</v>
      </c>
      <c r="D165" s="2">
        <v>13.718</v>
      </c>
      <c r="E165" s="2">
        <v>24.51</v>
      </c>
      <c r="F165" s="2">
        <v>2.04</v>
      </c>
      <c r="G165" s="2"/>
      <c r="H165" s="2">
        <v>0.55000000000000004</v>
      </c>
      <c r="I165" s="2">
        <v>1808</v>
      </c>
      <c r="J165" s="2">
        <v>6.4180000000000001</v>
      </c>
      <c r="K165" s="2">
        <v>1.244</v>
      </c>
      <c r="L165" s="3"/>
      <c r="M165" s="2" t="str">
        <f t="shared" si="9"/>
        <v>01227</v>
      </c>
      <c r="N165" s="3">
        <v>0.49049845007435322</v>
      </c>
      <c r="O165" s="3">
        <v>1.5095015499256468</v>
      </c>
      <c r="P165" s="17">
        <v>0.49049845007445458</v>
      </c>
      <c r="Q165" s="3">
        <v>1.5095015499256452</v>
      </c>
      <c r="R165" s="3">
        <v>2.0694322441810256</v>
      </c>
      <c r="S165" s="3" t="e">
        <v>#DIV/0!</v>
      </c>
      <c r="T165" s="3">
        <v>0.49049845007434767</v>
      </c>
      <c r="U165" s="3">
        <v>0.25493713889277458</v>
      </c>
      <c r="V165" s="10">
        <v>1.5095015499257072</v>
      </c>
      <c r="W165" s="3">
        <v>2.4984952402053562</v>
      </c>
      <c r="X165" s="3">
        <v>6.7286577381213677</v>
      </c>
      <c r="Y165" s="3">
        <v>36.997882988677567</v>
      </c>
      <c r="Z165" s="3">
        <v>4.2216417781292925</v>
      </c>
      <c r="AA165" s="3">
        <v>0.33544596279165106</v>
      </c>
      <c r="AB165" s="3">
        <v>0.26977414754089124</v>
      </c>
      <c r="AC165" s="10">
        <v>460.92634711813645</v>
      </c>
      <c r="AD165" s="3">
        <v>9.6879809474231884</v>
      </c>
      <c r="AE165" s="3">
        <v>3.1081280788154628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0</v>
      </c>
      <c r="AU165" s="3">
        <v>0</v>
      </c>
      <c r="AV165" s="3">
        <v>0</v>
      </c>
      <c r="AW165" s="3">
        <v>0</v>
      </c>
      <c r="AX165" s="3">
        <v>0</v>
      </c>
      <c r="AY165" s="3">
        <v>0</v>
      </c>
      <c r="AZ165" s="3">
        <v>0</v>
      </c>
      <c r="BA165" s="10">
        <v>0</v>
      </c>
      <c r="BB165" s="10">
        <v>0</v>
      </c>
      <c r="BC165" s="10">
        <v>0</v>
      </c>
      <c r="BD165" s="10">
        <v>0</v>
      </c>
      <c r="BE165" s="10">
        <v>0</v>
      </c>
      <c r="BF165" s="10">
        <v>0</v>
      </c>
      <c r="BG165" s="10">
        <v>0</v>
      </c>
      <c r="BH165" s="10">
        <v>0</v>
      </c>
      <c r="BI165" s="10">
        <v>0</v>
      </c>
      <c r="BJ165" s="10">
        <v>0</v>
      </c>
      <c r="BK165" s="10">
        <v>0</v>
      </c>
      <c r="BL165" s="10">
        <v>0</v>
      </c>
      <c r="BM165" s="10">
        <v>0</v>
      </c>
      <c r="BN165" s="10">
        <v>0</v>
      </c>
      <c r="BO165" s="10">
        <v>0</v>
      </c>
      <c r="BP165" s="10">
        <v>0</v>
      </c>
      <c r="BQ165" s="10">
        <v>0</v>
      </c>
      <c r="BR165" s="10">
        <v>0</v>
      </c>
      <c r="BS165" s="10">
        <v>0</v>
      </c>
      <c r="BT165" s="10">
        <v>0</v>
      </c>
      <c r="BU165" s="10">
        <v>0</v>
      </c>
      <c r="BV165" s="10">
        <v>0</v>
      </c>
      <c r="BW165" s="10">
        <v>0</v>
      </c>
      <c r="BX165" s="10">
        <v>0</v>
      </c>
      <c r="BY165" s="10">
        <v>0</v>
      </c>
      <c r="BZ165" s="10">
        <v>0</v>
      </c>
      <c r="CA165" s="10">
        <v>0.34580223378620145</v>
      </c>
      <c r="CB165" s="10">
        <v>0</v>
      </c>
      <c r="CC165" s="10">
        <v>0</v>
      </c>
      <c r="CD165" s="10">
        <v>0</v>
      </c>
      <c r="CE165" s="10">
        <v>0</v>
      </c>
      <c r="CF165" s="10">
        <v>0</v>
      </c>
      <c r="CG165" s="10">
        <v>0</v>
      </c>
      <c r="CH165" s="10">
        <v>0</v>
      </c>
      <c r="CI165" s="10">
        <v>0</v>
      </c>
      <c r="CJ165" s="10">
        <v>0</v>
      </c>
      <c r="CK165" s="10">
        <v>0</v>
      </c>
      <c r="CL165" s="10">
        <v>0</v>
      </c>
      <c r="CM165" s="10">
        <v>0</v>
      </c>
      <c r="CN165" s="10">
        <v>0</v>
      </c>
      <c r="CO165" s="10">
        <v>0</v>
      </c>
      <c r="CP165" s="10">
        <v>0</v>
      </c>
      <c r="CQ165" s="10">
        <v>0</v>
      </c>
      <c r="CR165" s="10">
        <v>0</v>
      </c>
      <c r="CS165" s="10">
        <v>0</v>
      </c>
      <c r="CT165" s="10">
        <v>0</v>
      </c>
      <c r="CU165" s="10">
        <v>0</v>
      </c>
      <c r="CV165" s="10">
        <v>0</v>
      </c>
      <c r="CW165" s="10">
        <v>0</v>
      </c>
      <c r="CX165" s="10">
        <v>0</v>
      </c>
      <c r="CY165" s="10">
        <v>0</v>
      </c>
      <c r="CZ165" s="10">
        <v>0</v>
      </c>
      <c r="DA165" s="10">
        <v>0</v>
      </c>
      <c r="DB165" s="10">
        <v>0</v>
      </c>
      <c r="DC165" s="10">
        <v>0</v>
      </c>
      <c r="DD165" s="10">
        <v>0</v>
      </c>
      <c r="DE165" s="10">
        <v>0</v>
      </c>
      <c r="DF165" s="10">
        <v>0</v>
      </c>
      <c r="DG165" s="10">
        <v>0</v>
      </c>
      <c r="DH165" s="10">
        <v>0</v>
      </c>
      <c r="DI165" s="10">
        <v>0</v>
      </c>
      <c r="DJ165" s="10">
        <v>0</v>
      </c>
      <c r="DK165" s="10">
        <v>0</v>
      </c>
      <c r="DL165" s="10">
        <v>0</v>
      </c>
      <c r="DM165" s="10">
        <v>0</v>
      </c>
      <c r="DN165" s="10">
        <v>0</v>
      </c>
      <c r="DO165" s="10">
        <v>0</v>
      </c>
      <c r="DP165" s="10">
        <v>0</v>
      </c>
      <c r="DQ165" s="10">
        <v>0</v>
      </c>
      <c r="DR165" s="10">
        <v>0</v>
      </c>
      <c r="DS165" s="10">
        <v>0</v>
      </c>
      <c r="DT165" s="10">
        <v>0</v>
      </c>
      <c r="DU165" s="10">
        <v>0</v>
      </c>
      <c r="DV165" s="10">
        <v>0</v>
      </c>
      <c r="DW165" s="10">
        <v>0</v>
      </c>
      <c r="DX165" s="10">
        <v>0</v>
      </c>
      <c r="DY165" s="10">
        <v>0.48303428172387008</v>
      </c>
      <c r="DZ165" s="10">
        <v>0</v>
      </c>
      <c r="EA165" s="10">
        <v>0</v>
      </c>
      <c r="EB165" s="10">
        <v>0</v>
      </c>
      <c r="EC165" s="10">
        <v>0</v>
      </c>
      <c r="ED165" s="10">
        <v>0</v>
      </c>
      <c r="EE165" s="10">
        <v>0</v>
      </c>
      <c r="EF165" s="10">
        <v>0</v>
      </c>
      <c r="EG165" s="10">
        <v>0</v>
      </c>
      <c r="EH165" s="10">
        <v>0</v>
      </c>
      <c r="EI165" s="10">
        <v>0</v>
      </c>
      <c r="EJ165" s="10">
        <v>0</v>
      </c>
      <c r="EK165" s="10">
        <v>0</v>
      </c>
      <c r="EL165" s="10">
        <v>0</v>
      </c>
      <c r="EM165" s="10">
        <v>0</v>
      </c>
      <c r="EN165" s="10">
        <v>0</v>
      </c>
      <c r="EO165" s="10">
        <v>0</v>
      </c>
      <c r="EP165" s="10">
        <v>0</v>
      </c>
      <c r="EQ165" s="10">
        <v>0</v>
      </c>
      <c r="ER165" s="10">
        <v>0</v>
      </c>
      <c r="ES165" s="10">
        <v>0</v>
      </c>
      <c r="ET165" s="10">
        <v>0</v>
      </c>
      <c r="EU165" s="10">
        <v>0</v>
      </c>
      <c r="EV165" s="10">
        <v>0</v>
      </c>
      <c r="EW165" s="10">
        <v>0</v>
      </c>
      <c r="EX165" s="10">
        <v>0</v>
      </c>
      <c r="EY165" s="10">
        <v>0</v>
      </c>
      <c r="EZ165" s="10">
        <v>0</v>
      </c>
      <c r="FA165" s="10">
        <v>0</v>
      </c>
      <c r="FB165" s="10">
        <v>0</v>
      </c>
      <c r="FC165" s="10">
        <v>0</v>
      </c>
      <c r="FD165" s="10">
        <v>0</v>
      </c>
      <c r="FE165" s="10">
        <v>0</v>
      </c>
      <c r="FF165" s="10">
        <v>0</v>
      </c>
      <c r="FG165" s="10">
        <v>0</v>
      </c>
      <c r="FH165" s="10">
        <v>0</v>
      </c>
      <c r="FI165" s="10">
        <v>0</v>
      </c>
      <c r="FJ165" s="10">
        <v>0</v>
      </c>
      <c r="FK165" s="10">
        <v>0</v>
      </c>
      <c r="FL165" s="10">
        <v>0</v>
      </c>
      <c r="FM165" s="10">
        <v>0</v>
      </c>
      <c r="FN165" s="10">
        <v>0</v>
      </c>
      <c r="FO165" s="10">
        <v>0</v>
      </c>
      <c r="FP165" s="10">
        <v>0</v>
      </c>
      <c r="FQ165" s="10">
        <v>0</v>
      </c>
      <c r="FR165" s="10">
        <v>0</v>
      </c>
      <c r="FS165" s="10">
        <v>0</v>
      </c>
      <c r="FT165" s="10">
        <v>0</v>
      </c>
      <c r="FU165" s="10">
        <v>0</v>
      </c>
      <c r="FV165" s="10">
        <v>0</v>
      </c>
      <c r="FW165" s="10">
        <v>0</v>
      </c>
      <c r="FX165" s="10">
        <v>0</v>
      </c>
      <c r="FY165" s="10">
        <v>0</v>
      </c>
      <c r="FZ165" s="10">
        <v>0</v>
      </c>
      <c r="GA165" s="10">
        <v>4.7245910252345223E-2</v>
      </c>
      <c r="GB165" s="10">
        <v>0</v>
      </c>
      <c r="GC165" s="10">
        <v>0</v>
      </c>
      <c r="GD165" s="10">
        <v>0</v>
      </c>
      <c r="GE165" s="10">
        <v>0</v>
      </c>
      <c r="GF165" s="10">
        <v>0</v>
      </c>
      <c r="GG165" s="10">
        <v>0</v>
      </c>
      <c r="GH165" s="10">
        <v>0</v>
      </c>
      <c r="GI165" s="10">
        <v>0</v>
      </c>
      <c r="GJ165" s="10">
        <v>0</v>
      </c>
      <c r="GK165" s="10">
        <v>0</v>
      </c>
      <c r="GL165" s="10">
        <v>0</v>
      </c>
      <c r="GM165" s="10">
        <v>0</v>
      </c>
      <c r="GN165" s="10">
        <v>0</v>
      </c>
      <c r="GO165" s="10">
        <v>0</v>
      </c>
      <c r="GP165" s="10">
        <v>0</v>
      </c>
      <c r="GQ165" s="10">
        <v>0</v>
      </c>
      <c r="GR165" s="10">
        <v>0</v>
      </c>
      <c r="GS165" s="10">
        <v>0</v>
      </c>
      <c r="GT165" s="10">
        <v>0</v>
      </c>
      <c r="GU165" s="10">
        <v>0</v>
      </c>
      <c r="GV165" s="10">
        <v>0</v>
      </c>
      <c r="GW165" s="10">
        <v>0.12391757423758319</v>
      </c>
      <c r="GX165" s="10">
        <v>0</v>
      </c>
      <c r="GY165" s="10">
        <v>0</v>
      </c>
      <c r="GZ165" s="10">
        <v>0</v>
      </c>
      <c r="HA165" s="10">
        <v>0</v>
      </c>
      <c r="HB165" s="10">
        <v>0</v>
      </c>
      <c r="HC165" s="10">
        <v>0</v>
      </c>
      <c r="HD165" s="10">
        <v>0</v>
      </c>
      <c r="HE165" s="10">
        <v>0</v>
      </c>
      <c r="HF165" s="10">
        <v>0</v>
      </c>
      <c r="HG165" s="10">
        <v>0</v>
      </c>
      <c r="HH165" s="10">
        <v>0</v>
      </c>
      <c r="HI165" s="10">
        <v>0</v>
      </c>
      <c r="HJ165" s="10">
        <v>0</v>
      </c>
      <c r="HK165" s="10">
        <v>0</v>
      </c>
      <c r="HL165" s="10">
        <v>0</v>
      </c>
      <c r="HM165" s="10">
        <v>0</v>
      </c>
      <c r="HN165" s="10">
        <v>0</v>
      </c>
      <c r="HO165" s="10">
        <v>0</v>
      </c>
      <c r="HP165" s="10">
        <v>0</v>
      </c>
      <c r="HQ165" s="10">
        <v>0</v>
      </c>
      <c r="HR165" s="10">
        <v>0</v>
      </c>
      <c r="HS165" s="10">
        <v>0</v>
      </c>
      <c r="HT165" s="10">
        <v>0</v>
      </c>
      <c r="HU165" s="10">
        <v>0</v>
      </c>
    </row>
    <row r="166" spans="1:229" x14ac:dyDescent="0.25">
      <c r="A166" s="10">
        <v>0</v>
      </c>
      <c r="B166" s="2" t="s">
        <v>320</v>
      </c>
      <c r="C166" s="2" t="s">
        <v>321</v>
      </c>
      <c r="D166" s="2">
        <v>12.94</v>
      </c>
      <c r="E166" s="2">
        <v>18.09</v>
      </c>
      <c r="F166" s="2">
        <v>2.98</v>
      </c>
      <c r="G166" s="2">
        <v>0</v>
      </c>
      <c r="H166" s="2">
        <v>2.3199999999999998</v>
      </c>
      <c r="I166" s="2">
        <v>751</v>
      </c>
      <c r="J166" s="2">
        <v>5.9660000000000002</v>
      </c>
      <c r="K166" s="2">
        <v>1.1060000000000001</v>
      </c>
      <c r="L166" s="3"/>
      <c r="M166" s="2" t="str">
        <f t="shared" si="9"/>
        <v>01228</v>
      </c>
      <c r="N166" s="3">
        <v>0.4253243360092222</v>
      </c>
      <c r="O166" s="3">
        <v>1.5746756639907777</v>
      </c>
      <c r="P166" s="17">
        <v>0.42532433600926328</v>
      </c>
      <c r="Q166" s="3">
        <v>1.5746756639907757</v>
      </c>
      <c r="R166" s="3">
        <v>2.0937046056021691</v>
      </c>
      <c r="S166" s="3" t="e">
        <v>#DIV/0!</v>
      </c>
      <c r="T166" s="3">
        <v>0.42532433600921954</v>
      </c>
      <c r="U166" s="3">
        <v>0.40558945257784335</v>
      </c>
      <c r="V166" s="10">
        <v>1.5746756639908175</v>
      </c>
      <c r="W166" s="3">
        <v>2.4921484777358911</v>
      </c>
      <c r="X166" s="3">
        <v>5.503696907959867</v>
      </c>
      <c r="Y166" s="3">
        <v>28.485882761593132</v>
      </c>
      <c r="Z166" s="3">
        <v>6.239239724694464</v>
      </c>
      <c r="AA166" s="3">
        <v>1.2269601510934962</v>
      </c>
      <c r="AB166" s="3">
        <v>0.98675245954138924</v>
      </c>
      <c r="AC166" s="10">
        <v>304.59767888596036</v>
      </c>
      <c r="AD166" s="3">
        <v>9.3945150113692169</v>
      </c>
      <c r="AE166" s="3">
        <v>2.7563162163758959</v>
      </c>
      <c r="AF166" s="3">
        <v>0</v>
      </c>
      <c r="AG166" s="3">
        <v>0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0</v>
      </c>
      <c r="AT166" s="3">
        <v>0</v>
      </c>
      <c r="AU166" s="3">
        <v>0</v>
      </c>
      <c r="AV166" s="3">
        <v>0</v>
      </c>
      <c r="AW166" s="3">
        <v>0</v>
      </c>
      <c r="AX166" s="3">
        <v>0</v>
      </c>
      <c r="AY166" s="3">
        <v>0</v>
      </c>
      <c r="AZ166" s="3">
        <v>0</v>
      </c>
      <c r="BA166" s="10">
        <v>0</v>
      </c>
      <c r="BB166" s="10">
        <v>0</v>
      </c>
      <c r="BC166" s="10">
        <v>0</v>
      </c>
      <c r="BD166" s="10">
        <v>0</v>
      </c>
      <c r="BE166" s="10">
        <v>0</v>
      </c>
      <c r="BF166" s="10">
        <v>0</v>
      </c>
      <c r="BG166" s="10">
        <v>0</v>
      </c>
      <c r="BH166" s="10">
        <v>0</v>
      </c>
      <c r="BI166" s="10">
        <v>0</v>
      </c>
      <c r="BJ166" s="10">
        <v>0</v>
      </c>
      <c r="BK166" s="10">
        <v>0</v>
      </c>
      <c r="BL166" s="10">
        <v>0</v>
      </c>
      <c r="BM166" s="10">
        <v>0</v>
      </c>
      <c r="BN166" s="10">
        <v>0</v>
      </c>
      <c r="BO166" s="10">
        <v>0</v>
      </c>
      <c r="BP166" s="10">
        <v>0</v>
      </c>
      <c r="BQ166" s="10">
        <v>0</v>
      </c>
      <c r="BR166" s="10">
        <v>0</v>
      </c>
      <c r="BS166" s="10">
        <v>0</v>
      </c>
      <c r="BT166" s="10">
        <v>0</v>
      </c>
      <c r="BU166" s="10">
        <v>0</v>
      </c>
      <c r="BV166" s="10">
        <v>0</v>
      </c>
      <c r="BW166" s="10">
        <v>0</v>
      </c>
      <c r="BX166" s="10">
        <v>0</v>
      </c>
      <c r="BY166" s="10">
        <v>0</v>
      </c>
      <c r="BZ166" s="10">
        <v>0</v>
      </c>
      <c r="CA166" s="10">
        <v>0.44143599071676626</v>
      </c>
      <c r="CB166" s="10">
        <v>0</v>
      </c>
      <c r="CC166" s="10">
        <v>0</v>
      </c>
      <c r="CD166" s="10">
        <v>0</v>
      </c>
      <c r="CE166" s="10">
        <v>0</v>
      </c>
      <c r="CF166" s="10">
        <v>0</v>
      </c>
      <c r="CG166" s="10">
        <v>0</v>
      </c>
      <c r="CH166" s="10">
        <v>0</v>
      </c>
      <c r="CI166" s="10">
        <v>0</v>
      </c>
      <c r="CJ166" s="10">
        <v>0</v>
      </c>
      <c r="CK166" s="10">
        <v>0</v>
      </c>
      <c r="CL166" s="10">
        <v>0</v>
      </c>
      <c r="CM166" s="10">
        <v>0</v>
      </c>
      <c r="CN166" s="10">
        <v>0</v>
      </c>
      <c r="CO166" s="10">
        <v>0</v>
      </c>
      <c r="CP166" s="10">
        <v>0</v>
      </c>
      <c r="CQ166" s="10">
        <v>0</v>
      </c>
      <c r="CR166" s="10">
        <v>0</v>
      </c>
      <c r="CS166" s="10">
        <v>0</v>
      </c>
      <c r="CT166" s="10">
        <v>0</v>
      </c>
      <c r="CU166" s="10">
        <v>0</v>
      </c>
      <c r="CV166" s="10">
        <v>0</v>
      </c>
      <c r="CW166" s="10">
        <v>0</v>
      </c>
      <c r="CX166" s="10">
        <v>0</v>
      </c>
      <c r="CY166" s="10">
        <v>0</v>
      </c>
      <c r="CZ166" s="10">
        <v>0</v>
      </c>
      <c r="DA166" s="10">
        <v>0</v>
      </c>
      <c r="DB166" s="10">
        <v>0</v>
      </c>
      <c r="DC166" s="10">
        <v>0</v>
      </c>
      <c r="DD166" s="10">
        <v>0</v>
      </c>
      <c r="DE166" s="10">
        <v>0</v>
      </c>
      <c r="DF166" s="10">
        <v>0</v>
      </c>
      <c r="DG166" s="10">
        <v>0</v>
      </c>
      <c r="DH166" s="10">
        <v>0</v>
      </c>
      <c r="DI166" s="10">
        <v>0</v>
      </c>
      <c r="DJ166" s="10">
        <v>0</v>
      </c>
      <c r="DK166" s="10">
        <v>0</v>
      </c>
      <c r="DL166" s="10">
        <v>0</v>
      </c>
      <c r="DM166" s="10">
        <v>0</v>
      </c>
      <c r="DN166" s="10">
        <v>0</v>
      </c>
      <c r="DO166" s="10">
        <v>0</v>
      </c>
      <c r="DP166" s="10">
        <v>0</v>
      </c>
      <c r="DQ166" s="10">
        <v>0</v>
      </c>
      <c r="DR166" s="10">
        <v>0</v>
      </c>
      <c r="DS166" s="10">
        <v>0</v>
      </c>
      <c r="DT166" s="10">
        <v>0</v>
      </c>
      <c r="DU166" s="10">
        <v>0</v>
      </c>
      <c r="DV166" s="10">
        <v>0</v>
      </c>
      <c r="DW166" s="10">
        <v>0</v>
      </c>
      <c r="DX166" s="10">
        <v>0</v>
      </c>
      <c r="DY166" s="10">
        <v>0.37085468764846896</v>
      </c>
      <c r="DZ166" s="10">
        <v>0</v>
      </c>
      <c r="EA166" s="10">
        <v>0</v>
      </c>
      <c r="EB166" s="10">
        <v>0</v>
      </c>
      <c r="EC166" s="10">
        <v>0</v>
      </c>
      <c r="ED166" s="10">
        <v>0</v>
      </c>
      <c r="EE166" s="10">
        <v>0</v>
      </c>
      <c r="EF166" s="10">
        <v>0</v>
      </c>
      <c r="EG166" s="10">
        <v>0</v>
      </c>
      <c r="EH166" s="10">
        <v>0</v>
      </c>
      <c r="EI166" s="10">
        <v>0</v>
      </c>
      <c r="EJ166" s="10">
        <v>0</v>
      </c>
      <c r="EK166" s="10">
        <v>0</v>
      </c>
      <c r="EL166" s="10">
        <v>0</v>
      </c>
      <c r="EM166" s="10">
        <v>0</v>
      </c>
      <c r="EN166" s="10">
        <v>0</v>
      </c>
      <c r="EO166" s="10">
        <v>0</v>
      </c>
      <c r="EP166" s="10">
        <v>0</v>
      </c>
      <c r="EQ166" s="10">
        <v>0</v>
      </c>
      <c r="ER166" s="10">
        <v>0</v>
      </c>
      <c r="ES166" s="10">
        <v>0</v>
      </c>
      <c r="ET166" s="10">
        <v>0</v>
      </c>
      <c r="EU166" s="10">
        <v>0</v>
      </c>
      <c r="EV166" s="10">
        <v>0</v>
      </c>
      <c r="EW166" s="10">
        <v>0</v>
      </c>
      <c r="EX166" s="10">
        <v>0</v>
      </c>
      <c r="EY166" s="10">
        <v>0</v>
      </c>
      <c r="EZ166" s="10">
        <v>0</v>
      </c>
      <c r="FA166" s="10">
        <v>0</v>
      </c>
      <c r="FB166" s="10">
        <v>0</v>
      </c>
      <c r="FC166" s="10">
        <v>0</v>
      </c>
      <c r="FD166" s="10">
        <v>0</v>
      </c>
      <c r="FE166" s="10">
        <v>0</v>
      </c>
      <c r="FF166" s="10">
        <v>0</v>
      </c>
      <c r="FG166" s="10">
        <v>0</v>
      </c>
      <c r="FH166" s="10">
        <v>0</v>
      </c>
      <c r="FI166" s="10">
        <v>0</v>
      </c>
      <c r="FJ166" s="10">
        <v>0</v>
      </c>
      <c r="FK166" s="10">
        <v>0</v>
      </c>
      <c r="FL166" s="10">
        <v>0</v>
      </c>
      <c r="FM166" s="10">
        <v>0</v>
      </c>
      <c r="FN166" s="10">
        <v>0</v>
      </c>
      <c r="FO166" s="10">
        <v>0</v>
      </c>
      <c r="FP166" s="10">
        <v>0</v>
      </c>
      <c r="FQ166" s="10">
        <v>0</v>
      </c>
      <c r="FR166" s="10">
        <v>0</v>
      </c>
      <c r="FS166" s="10">
        <v>0</v>
      </c>
      <c r="FT166" s="10">
        <v>0</v>
      </c>
      <c r="FU166" s="10">
        <v>0</v>
      </c>
      <c r="FV166" s="10">
        <v>0</v>
      </c>
      <c r="FW166" s="10">
        <v>0</v>
      </c>
      <c r="FX166" s="10">
        <v>0</v>
      </c>
      <c r="FY166" s="10">
        <v>0</v>
      </c>
      <c r="FZ166" s="10">
        <v>0</v>
      </c>
      <c r="GA166" s="10">
        <v>0.17281128888640793</v>
      </c>
      <c r="GB166" s="10">
        <v>0</v>
      </c>
      <c r="GC166" s="10">
        <v>0</v>
      </c>
      <c r="GD166" s="10">
        <v>0</v>
      </c>
      <c r="GE166" s="10">
        <v>0</v>
      </c>
      <c r="GF166" s="10">
        <v>0</v>
      </c>
      <c r="GG166" s="10">
        <v>0</v>
      </c>
      <c r="GH166" s="10">
        <v>0</v>
      </c>
      <c r="GI166" s="10">
        <v>0</v>
      </c>
      <c r="GJ166" s="10">
        <v>0</v>
      </c>
      <c r="GK166" s="10">
        <v>0</v>
      </c>
      <c r="GL166" s="10">
        <v>0</v>
      </c>
      <c r="GM166" s="10">
        <v>0</v>
      </c>
      <c r="GN166" s="10">
        <v>0</v>
      </c>
      <c r="GO166" s="10">
        <v>0</v>
      </c>
      <c r="GP166" s="10">
        <v>0</v>
      </c>
      <c r="GQ166" s="10">
        <v>0</v>
      </c>
      <c r="GR166" s="10">
        <v>0</v>
      </c>
      <c r="GS166" s="10">
        <v>0</v>
      </c>
      <c r="GT166" s="10">
        <v>0</v>
      </c>
      <c r="GU166" s="10">
        <v>0</v>
      </c>
      <c r="GV166" s="10">
        <v>0</v>
      </c>
      <c r="GW166" s="10">
        <v>1.489803274835682E-2</v>
      </c>
      <c r="GX166" s="10">
        <v>0</v>
      </c>
      <c r="GY166" s="10">
        <v>0</v>
      </c>
      <c r="GZ166" s="10">
        <v>0</v>
      </c>
      <c r="HA166" s="10">
        <v>0</v>
      </c>
      <c r="HB166" s="10">
        <v>0</v>
      </c>
      <c r="HC166" s="10">
        <v>0</v>
      </c>
      <c r="HD166" s="10">
        <v>0</v>
      </c>
      <c r="HE166" s="10">
        <v>0</v>
      </c>
      <c r="HF166" s="10">
        <v>0</v>
      </c>
      <c r="HG166" s="10">
        <v>0</v>
      </c>
      <c r="HH166" s="10">
        <v>0</v>
      </c>
      <c r="HI166" s="10">
        <v>0</v>
      </c>
      <c r="HJ166" s="10">
        <v>0</v>
      </c>
      <c r="HK166" s="10">
        <v>0</v>
      </c>
      <c r="HL166" s="10">
        <v>0</v>
      </c>
      <c r="HM166" s="10">
        <v>0</v>
      </c>
      <c r="HN166" s="10">
        <v>0</v>
      </c>
      <c r="HO166" s="10">
        <v>0</v>
      </c>
      <c r="HP166" s="10">
        <v>0</v>
      </c>
      <c r="HQ166" s="10">
        <v>0</v>
      </c>
      <c r="HR166" s="10">
        <v>0</v>
      </c>
      <c r="HS166" s="10">
        <v>0</v>
      </c>
      <c r="HT166" s="10">
        <v>0</v>
      </c>
      <c r="HU166" s="10">
        <v>0</v>
      </c>
    </row>
    <row r="167" spans="1:229" x14ac:dyDescent="0.25">
      <c r="A167" s="10">
        <v>0</v>
      </c>
      <c r="B167" s="2" t="s">
        <v>322</v>
      </c>
      <c r="C167" s="2" t="s">
        <v>323</v>
      </c>
      <c r="D167" s="2">
        <v>13.661</v>
      </c>
      <c r="E167" s="2">
        <v>20.38</v>
      </c>
      <c r="F167" s="2">
        <v>2.5299999999999998</v>
      </c>
      <c r="G167" s="2"/>
      <c r="H167" s="2">
        <v>1.76</v>
      </c>
      <c r="I167" s="2">
        <v>704</v>
      </c>
      <c r="J167" s="2">
        <v>6.4589999999999996</v>
      </c>
      <c r="K167" s="2">
        <v>1.149</v>
      </c>
      <c r="L167" s="3"/>
      <c r="M167" s="2" t="str">
        <f t="shared" si="9"/>
        <v>01229</v>
      </c>
      <c r="N167" s="3">
        <v>0.45534531646154969</v>
      </c>
      <c r="O167" s="3">
        <v>1.5446546835384509</v>
      </c>
      <c r="P167" s="17">
        <v>0.45534531646152765</v>
      </c>
      <c r="Q167" s="3">
        <v>1.5446546835384478</v>
      </c>
      <c r="R167" s="3">
        <v>2.5837314805135634</v>
      </c>
      <c r="S167" s="3" t="e">
        <v>#DIV/0!</v>
      </c>
      <c r="T167" s="3">
        <v>0.4553453164615483</v>
      </c>
      <c r="U167" s="3">
        <v>0.45534531646154952</v>
      </c>
      <c r="V167" s="10">
        <v>1.5446546835382788</v>
      </c>
      <c r="W167" s="3">
        <v>2.6162653059926324</v>
      </c>
      <c r="X167" s="3">
        <v>6.2204723681809293</v>
      </c>
      <c r="Y167" s="3">
        <v>31.480062450513564</v>
      </c>
      <c r="Z167" s="3">
        <v>6.5368406456993151</v>
      </c>
      <c r="AA167" s="3">
        <v>0.64973398296550577</v>
      </c>
      <c r="AB167" s="3">
        <v>0.80140775697232502</v>
      </c>
      <c r="AC167" s="10">
        <v>320.56310278893085</v>
      </c>
      <c r="AD167" s="3">
        <v>9.9769246009737422</v>
      </c>
      <c r="AE167" s="3">
        <v>3.0060888365855347</v>
      </c>
      <c r="AF167" s="3">
        <v>0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0</v>
      </c>
      <c r="AT167" s="3">
        <v>0</v>
      </c>
      <c r="AU167" s="3">
        <v>0</v>
      </c>
      <c r="AV167" s="3">
        <v>0</v>
      </c>
      <c r="AW167" s="3">
        <v>0</v>
      </c>
      <c r="AX167" s="3">
        <v>0</v>
      </c>
      <c r="AY167" s="3">
        <v>0</v>
      </c>
      <c r="AZ167" s="3">
        <v>0</v>
      </c>
      <c r="BA167" s="10">
        <v>0</v>
      </c>
      <c r="BB167" s="10">
        <v>0</v>
      </c>
      <c r="BC167" s="10">
        <v>0</v>
      </c>
      <c r="BD167" s="10">
        <v>0</v>
      </c>
      <c r="BE167" s="10">
        <v>0</v>
      </c>
      <c r="BF167" s="10">
        <v>0</v>
      </c>
      <c r="BG167" s="10">
        <v>0</v>
      </c>
      <c r="BH167" s="10">
        <v>0</v>
      </c>
      <c r="BI167" s="10">
        <v>0</v>
      </c>
      <c r="BJ167" s="10">
        <v>0</v>
      </c>
      <c r="BK167" s="10">
        <v>0</v>
      </c>
      <c r="BL167" s="10">
        <v>0</v>
      </c>
      <c r="BM167" s="10">
        <v>0</v>
      </c>
      <c r="BN167" s="10">
        <v>0</v>
      </c>
      <c r="BO167" s="10">
        <v>0</v>
      </c>
      <c r="BP167" s="10">
        <v>0</v>
      </c>
      <c r="BQ167" s="10">
        <v>0</v>
      </c>
      <c r="BR167" s="10">
        <v>0</v>
      </c>
      <c r="BS167" s="10">
        <v>0</v>
      </c>
      <c r="BT167" s="10">
        <v>0</v>
      </c>
      <c r="BU167" s="10">
        <v>0</v>
      </c>
      <c r="BV167" s="10">
        <v>0</v>
      </c>
      <c r="BW167" s="10">
        <v>0</v>
      </c>
      <c r="BX167" s="10">
        <v>0</v>
      </c>
      <c r="BY167" s="10">
        <v>0</v>
      </c>
      <c r="BZ167" s="10">
        <v>0</v>
      </c>
      <c r="CA167" s="10">
        <v>0.38197059863680244</v>
      </c>
      <c r="CB167" s="10">
        <v>0</v>
      </c>
      <c r="CC167" s="10">
        <v>0</v>
      </c>
      <c r="CD167" s="10">
        <v>0</v>
      </c>
      <c r="CE167" s="10">
        <v>0</v>
      </c>
      <c r="CF167" s="10">
        <v>0</v>
      </c>
      <c r="CG167" s="10">
        <v>0</v>
      </c>
      <c r="CH167" s="10">
        <v>0</v>
      </c>
      <c r="CI167" s="10">
        <v>0</v>
      </c>
      <c r="CJ167" s="10">
        <v>0</v>
      </c>
      <c r="CK167" s="10">
        <v>0</v>
      </c>
      <c r="CL167" s="10">
        <v>0</v>
      </c>
      <c r="CM167" s="10">
        <v>0</v>
      </c>
      <c r="CN167" s="10">
        <v>0</v>
      </c>
      <c r="CO167" s="10">
        <v>0</v>
      </c>
      <c r="CP167" s="10">
        <v>0</v>
      </c>
      <c r="CQ167" s="10">
        <v>0</v>
      </c>
      <c r="CR167" s="10">
        <v>0</v>
      </c>
      <c r="CS167" s="10">
        <v>0</v>
      </c>
      <c r="CT167" s="10">
        <v>0</v>
      </c>
      <c r="CU167" s="10">
        <v>0</v>
      </c>
      <c r="CV167" s="10">
        <v>0</v>
      </c>
      <c r="CW167" s="10">
        <v>0</v>
      </c>
      <c r="CX167" s="10">
        <v>0</v>
      </c>
      <c r="CY167" s="10">
        <v>0</v>
      </c>
      <c r="CZ167" s="10">
        <v>0</v>
      </c>
      <c r="DA167" s="10">
        <v>0</v>
      </c>
      <c r="DB167" s="10">
        <v>0</v>
      </c>
      <c r="DC167" s="10">
        <v>0</v>
      </c>
      <c r="DD167" s="10">
        <v>0</v>
      </c>
      <c r="DE167" s="10">
        <v>0</v>
      </c>
      <c r="DF167" s="10">
        <v>0</v>
      </c>
      <c r="DG167" s="10">
        <v>0</v>
      </c>
      <c r="DH167" s="10">
        <v>0</v>
      </c>
      <c r="DI167" s="10">
        <v>0</v>
      </c>
      <c r="DJ167" s="10">
        <v>0</v>
      </c>
      <c r="DK167" s="10">
        <v>0</v>
      </c>
      <c r="DL167" s="10">
        <v>0</v>
      </c>
      <c r="DM167" s="10">
        <v>0</v>
      </c>
      <c r="DN167" s="10">
        <v>0</v>
      </c>
      <c r="DO167" s="10">
        <v>0</v>
      </c>
      <c r="DP167" s="10">
        <v>0</v>
      </c>
      <c r="DQ167" s="10">
        <v>0</v>
      </c>
      <c r="DR167" s="10">
        <v>0</v>
      </c>
      <c r="DS167" s="10">
        <v>0</v>
      </c>
      <c r="DT167" s="10">
        <v>0</v>
      </c>
      <c r="DU167" s="10">
        <v>0</v>
      </c>
      <c r="DV167" s="10">
        <v>0</v>
      </c>
      <c r="DW167" s="10">
        <v>0</v>
      </c>
      <c r="DX167" s="10">
        <v>0</v>
      </c>
      <c r="DY167" s="10">
        <v>0.4324934574857846</v>
      </c>
      <c r="DZ167" s="10">
        <v>0</v>
      </c>
      <c r="EA167" s="10">
        <v>0</v>
      </c>
      <c r="EB167" s="10">
        <v>0</v>
      </c>
      <c r="EC167" s="10">
        <v>0</v>
      </c>
      <c r="ED167" s="10">
        <v>0</v>
      </c>
      <c r="EE167" s="10">
        <v>0</v>
      </c>
      <c r="EF167" s="10">
        <v>0</v>
      </c>
      <c r="EG167" s="10">
        <v>0</v>
      </c>
      <c r="EH167" s="10">
        <v>0</v>
      </c>
      <c r="EI167" s="10">
        <v>0</v>
      </c>
      <c r="EJ167" s="10">
        <v>0</v>
      </c>
      <c r="EK167" s="10">
        <v>0</v>
      </c>
      <c r="EL167" s="10">
        <v>0</v>
      </c>
      <c r="EM167" s="10">
        <v>0</v>
      </c>
      <c r="EN167" s="10">
        <v>0</v>
      </c>
      <c r="EO167" s="10">
        <v>0</v>
      </c>
      <c r="EP167" s="10">
        <v>0</v>
      </c>
      <c r="EQ167" s="10">
        <v>0</v>
      </c>
      <c r="ER167" s="10">
        <v>0</v>
      </c>
      <c r="ES167" s="10">
        <v>0</v>
      </c>
      <c r="ET167" s="10">
        <v>0</v>
      </c>
      <c r="EU167" s="10">
        <v>0</v>
      </c>
      <c r="EV167" s="10">
        <v>0</v>
      </c>
      <c r="EW167" s="10">
        <v>0</v>
      </c>
      <c r="EX167" s="10">
        <v>0</v>
      </c>
      <c r="EY167" s="10">
        <v>0</v>
      </c>
      <c r="EZ167" s="10">
        <v>0</v>
      </c>
      <c r="FA167" s="10">
        <v>0</v>
      </c>
      <c r="FB167" s="10">
        <v>0</v>
      </c>
      <c r="FC167" s="10">
        <v>0</v>
      </c>
      <c r="FD167" s="10">
        <v>0</v>
      </c>
      <c r="FE167" s="10">
        <v>0</v>
      </c>
      <c r="FF167" s="10">
        <v>0</v>
      </c>
      <c r="FG167" s="10">
        <v>0</v>
      </c>
      <c r="FH167" s="10">
        <v>0</v>
      </c>
      <c r="FI167" s="10">
        <v>0</v>
      </c>
      <c r="FJ167" s="10">
        <v>0</v>
      </c>
      <c r="FK167" s="10">
        <v>0</v>
      </c>
      <c r="FL167" s="10">
        <v>0</v>
      </c>
      <c r="FM167" s="10">
        <v>0</v>
      </c>
      <c r="FN167" s="10">
        <v>0</v>
      </c>
      <c r="FO167" s="10">
        <v>0</v>
      </c>
      <c r="FP167" s="10">
        <v>0</v>
      </c>
      <c r="FQ167" s="10">
        <v>0</v>
      </c>
      <c r="FR167" s="10">
        <v>0</v>
      </c>
      <c r="FS167" s="10">
        <v>0</v>
      </c>
      <c r="FT167" s="10">
        <v>0</v>
      </c>
      <c r="FU167" s="10">
        <v>0</v>
      </c>
      <c r="FV167" s="10">
        <v>0</v>
      </c>
      <c r="FW167" s="10">
        <v>0</v>
      </c>
      <c r="FX167" s="10">
        <v>0</v>
      </c>
      <c r="FY167" s="10">
        <v>0</v>
      </c>
      <c r="FZ167" s="10">
        <v>0</v>
      </c>
      <c r="GA167" s="10">
        <v>5.86643355663942E-2</v>
      </c>
      <c r="GB167" s="10">
        <v>0.11660860022205352</v>
      </c>
      <c r="GC167" s="10">
        <v>0</v>
      </c>
      <c r="GD167" s="10">
        <v>0</v>
      </c>
      <c r="GE167" s="10">
        <v>0</v>
      </c>
      <c r="GF167" s="10">
        <v>0</v>
      </c>
      <c r="GG167" s="10">
        <v>0</v>
      </c>
      <c r="GH167" s="10">
        <v>0</v>
      </c>
      <c r="GI167" s="10">
        <v>0</v>
      </c>
      <c r="GJ167" s="10">
        <v>0</v>
      </c>
      <c r="GK167" s="10">
        <v>0</v>
      </c>
      <c r="GL167" s="10">
        <v>0</v>
      </c>
      <c r="GM167" s="10">
        <v>0</v>
      </c>
      <c r="GN167" s="10">
        <v>0</v>
      </c>
      <c r="GO167" s="10">
        <v>0</v>
      </c>
      <c r="GP167" s="10">
        <v>0</v>
      </c>
      <c r="GQ167" s="10">
        <v>0</v>
      </c>
      <c r="GR167" s="10">
        <v>0</v>
      </c>
      <c r="GS167" s="10">
        <v>0</v>
      </c>
      <c r="GT167" s="10">
        <v>0</v>
      </c>
      <c r="GU167" s="10">
        <v>0</v>
      </c>
      <c r="GV167" s="10">
        <v>0</v>
      </c>
      <c r="GW167" s="10">
        <v>1.0263008088965398E-2</v>
      </c>
      <c r="GX167" s="10">
        <v>0</v>
      </c>
      <c r="GY167" s="10">
        <v>0</v>
      </c>
      <c r="GZ167" s="10">
        <v>0</v>
      </c>
      <c r="HA167" s="10">
        <v>0</v>
      </c>
      <c r="HB167" s="10">
        <v>0</v>
      </c>
      <c r="HC167" s="10">
        <v>0</v>
      </c>
      <c r="HD167" s="10">
        <v>0</v>
      </c>
      <c r="HE167" s="10">
        <v>0</v>
      </c>
      <c r="HF167" s="10">
        <v>0</v>
      </c>
      <c r="HG167" s="10">
        <v>0</v>
      </c>
      <c r="HH167" s="10">
        <v>0</v>
      </c>
      <c r="HI167" s="10">
        <v>0</v>
      </c>
      <c r="HJ167" s="10">
        <v>0</v>
      </c>
      <c r="HK167" s="10">
        <v>0</v>
      </c>
      <c r="HL167" s="10">
        <v>0</v>
      </c>
      <c r="HM167" s="10">
        <v>0</v>
      </c>
      <c r="HN167" s="10">
        <v>0</v>
      </c>
      <c r="HO167" s="10">
        <v>0</v>
      </c>
      <c r="HP167" s="10">
        <v>0</v>
      </c>
      <c r="HQ167" s="10">
        <v>0</v>
      </c>
      <c r="HR167" s="10">
        <v>0</v>
      </c>
      <c r="HS167" s="10">
        <v>0</v>
      </c>
      <c r="HT167" s="10">
        <v>0</v>
      </c>
      <c r="HU167" s="10">
        <v>0</v>
      </c>
    </row>
    <row r="168" spans="1:229" x14ac:dyDescent="0.25">
      <c r="A168" s="10">
        <v>0</v>
      </c>
      <c r="B168" s="2" t="s">
        <v>324</v>
      </c>
      <c r="C168" s="2" t="s">
        <v>325</v>
      </c>
      <c r="D168" s="2">
        <v>1.899</v>
      </c>
      <c r="E168" s="2">
        <v>3.21</v>
      </c>
      <c r="F168" s="2">
        <v>4.88</v>
      </c>
      <c r="G168" s="2">
        <v>0</v>
      </c>
      <c r="H168" s="2">
        <v>4.88</v>
      </c>
      <c r="I168" s="2">
        <v>105</v>
      </c>
      <c r="J168" s="2">
        <v>0.82699999999999996</v>
      </c>
      <c r="K168" s="2">
        <v>0.19800000000000001</v>
      </c>
      <c r="L168" s="3"/>
      <c r="M168" s="2" t="str">
        <f t="shared" si="9"/>
        <v>01230</v>
      </c>
      <c r="N168" s="3">
        <v>0.42528970227390539</v>
      </c>
      <c r="O168" s="3">
        <v>1.5747102977260949</v>
      </c>
      <c r="P168" s="17">
        <v>0.42528970227395774</v>
      </c>
      <c r="Q168" s="3">
        <v>1.5747102977260834</v>
      </c>
      <c r="R168" s="3">
        <v>0.98292113594605535</v>
      </c>
      <c r="S168" s="3" t="e">
        <v>#DIV/0!</v>
      </c>
      <c r="T168" s="3">
        <v>0.42528970227390545</v>
      </c>
      <c r="U168" s="3">
        <v>0.4252897022739055</v>
      </c>
      <c r="V168" s="10">
        <v>1.5747102977260736</v>
      </c>
      <c r="W168" s="3">
        <v>2.5796874313299289</v>
      </c>
      <c r="X168" s="3">
        <v>0.80762514461824575</v>
      </c>
      <c r="Y168" s="3">
        <v>5.0548200557007279</v>
      </c>
      <c r="Z168" s="3">
        <v>4.7966551434167499</v>
      </c>
      <c r="AA168" s="3">
        <v>6.4734722375443098E-3</v>
      </c>
      <c r="AB168" s="3">
        <v>2.0754137470966585</v>
      </c>
      <c r="AC168" s="10">
        <v>44.655418738760076</v>
      </c>
      <c r="AD168" s="3">
        <v>1.3022854162194628</v>
      </c>
      <c r="AE168" s="3">
        <v>0.51077811140332596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0</v>
      </c>
      <c r="AT168" s="3">
        <v>0</v>
      </c>
      <c r="AU168" s="3">
        <v>0</v>
      </c>
      <c r="AV168" s="3">
        <v>0</v>
      </c>
      <c r="AW168" s="3">
        <v>0</v>
      </c>
      <c r="AX168" s="3">
        <v>0</v>
      </c>
      <c r="AY168" s="3">
        <v>0</v>
      </c>
      <c r="AZ168" s="3">
        <v>0</v>
      </c>
      <c r="BA168" s="10">
        <v>0</v>
      </c>
      <c r="BB168" s="10">
        <v>0</v>
      </c>
      <c r="BC168" s="10">
        <v>0</v>
      </c>
      <c r="BD168" s="10">
        <v>0</v>
      </c>
      <c r="BE168" s="10">
        <v>0</v>
      </c>
      <c r="BF168" s="10">
        <v>0</v>
      </c>
      <c r="BG168" s="10">
        <v>0</v>
      </c>
      <c r="BH168" s="10">
        <v>0</v>
      </c>
      <c r="BI168" s="10">
        <v>0</v>
      </c>
      <c r="BJ168" s="10">
        <v>0</v>
      </c>
      <c r="BK168" s="10">
        <v>0</v>
      </c>
      <c r="BL168" s="10">
        <v>0</v>
      </c>
      <c r="BM168" s="10">
        <v>0</v>
      </c>
      <c r="BN168" s="10">
        <v>0</v>
      </c>
      <c r="BO168" s="10">
        <v>0</v>
      </c>
      <c r="BP168" s="10">
        <v>0</v>
      </c>
      <c r="BQ168" s="10">
        <v>0</v>
      </c>
      <c r="BR168" s="10">
        <v>0</v>
      </c>
      <c r="BS168" s="10">
        <v>0</v>
      </c>
      <c r="BT168" s="10">
        <v>0</v>
      </c>
      <c r="BU168" s="10">
        <v>0</v>
      </c>
      <c r="BV168" s="10">
        <v>0</v>
      </c>
      <c r="BW168" s="10">
        <v>0</v>
      </c>
      <c r="BX168" s="10">
        <v>0</v>
      </c>
      <c r="BY168" s="10">
        <v>0</v>
      </c>
      <c r="BZ168" s="10">
        <v>0</v>
      </c>
      <c r="CA168" s="10">
        <v>0.54761566826688646</v>
      </c>
      <c r="CB168" s="10">
        <v>0</v>
      </c>
      <c r="CC168" s="10">
        <v>0</v>
      </c>
      <c r="CD168" s="10">
        <v>0</v>
      </c>
      <c r="CE168" s="10">
        <v>0</v>
      </c>
      <c r="CF168" s="10">
        <v>0</v>
      </c>
      <c r="CG168" s="10">
        <v>0</v>
      </c>
      <c r="CH168" s="10">
        <v>0</v>
      </c>
      <c r="CI168" s="10">
        <v>0</v>
      </c>
      <c r="CJ168" s="10">
        <v>0</v>
      </c>
      <c r="CK168" s="10">
        <v>0</v>
      </c>
      <c r="CL168" s="10">
        <v>0</v>
      </c>
      <c r="CM168" s="10">
        <v>0</v>
      </c>
      <c r="CN168" s="10">
        <v>0</v>
      </c>
      <c r="CO168" s="10">
        <v>0</v>
      </c>
      <c r="CP168" s="10">
        <v>0</v>
      </c>
      <c r="CQ168" s="10">
        <v>0</v>
      </c>
      <c r="CR168" s="10">
        <v>0</v>
      </c>
      <c r="CS168" s="10">
        <v>0</v>
      </c>
      <c r="CT168" s="10">
        <v>0</v>
      </c>
      <c r="CU168" s="10">
        <v>0</v>
      </c>
      <c r="CV168" s="10">
        <v>0</v>
      </c>
      <c r="CW168" s="10">
        <v>0</v>
      </c>
      <c r="CX168" s="10">
        <v>0</v>
      </c>
      <c r="CY168" s="10">
        <v>0</v>
      </c>
      <c r="CZ168" s="10">
        <v>0</v>
      </c>
      <c r="DA168" s="10">
        <v>0</v>
      </c>
      <c r="DB168" s="10">
        <v>0</v>
      </c>
      <c r="DC168" s="10">
        <v>0</v>
      </c>
      <c r="DD168" s="10">
        <v>0.15144570517176084</v>
      </c>
      <c r="DE168" s="10">
        <v>0</v>
      </c>
      <c r="DF168" s="10">
        <v>0</v>
      </c>
      <c r="DG168" s="10">
        <v>0</v>
      </c>
      <c r="DH168" s="10">
        <v>0</v>
      </c>
      <c r="DI168" s="10">
        <v>0</v>
      </c>
      <c r="DJ168" s="10">
        <v>0</v>
      </c>
      <c r="DK168" s="10">
        <v>0</v>
      </c>
      <c r="DL168" s="10">
        <v>0</v>
      </c>
      <c r="DM168" s="10">
        <v>0</v>
      </c>
      <c r="DN168" s="10">
        <v>0</v>
      </c>
      <c r="DO168" s="10">
        <v>0</v>
      </c>
      <c r="DP168" s="10">
        <v>0</v>
      </c>
      <c r="DQ168" s="10">
        <v>0</v>
      </c>
      <c r="DR168" s="10">
        <v>0</v>
      </c>
      <c r="DS168" s="10">
        <v>5.0584629887939422E-3</v>
      </c>
      <c r="DT168" s="10">
        <v>0</v>
      </c>
      <c r="DU168" s="10">
        <v>0</v>
      </c>
      <c r="DV168" s="10">
        <v>0</v>
      </c>
      <c r="DW168" s="10">
        <v>0</v>
      </c>
      <c r="DX168" s="10">
        <v>0</v>
      </c>
      <c r="DY168" s="10">
        <v>0</v>
      </c>
      <c r="DZ168" s="10">
        <v>0</v>
      </c>
      <c r="EA168" s="10">
        <v>0</v>
      </c>
      <c r="EB168" s="10">
        <v>0</v>
      </c>
      <c r="EC168" s="10">
        <v>0</v>
      </c>
      <c r="ED168" s="10">
        <v>0</v>
      </c>
      <c r="EE168" s="10">
        <v>0</v>
      </c>
      <c r="EF168" s="10">
        <v>0</v>
      </c>
      <c r="EG168" s="10">
        <v>0</v>
      </c>
      <c r="EH168" s="10">
        <v>0</v>
      </c>
      <c r="EI168" s="10">
        <v>0</v>
      </c>
      <c r="EJ168" s="10">
        <v>0</v>
      </c>
      <c r="EK168" s="10">
        <v>0</v>
      </c>
      <c r="EL168" s="10">
        <v>0</v>
      </c>
      <c r="EM168" s="10">
        <v>0</v>
      </c>
      <c r="EN168" s="10">
        <v>0</v>
      </c>
      <c r="EO168" s="10">
        <v>0</v>
      </c>
      <c r="EP168" s="10">
        <v>0</v>
      </c>
      <c r="EQ168" s="10">
        <v>0</v>
      </c>
      <c r="ER168" s="10">
        <v>0</v>
      </c>
      <c r="ES168" s="10">
        <v>0</v>
      </c>
      <c r="ET168" s="10">
        <v>0</v>
      </c>
      <c r="EU168" s="10">
        <v>0</v>
      </c>
      <c r="EV168" s="10">
        <v>0</v>
      </c>
      <c r="EW168" s="10">
        <v>0</v>
      </c>
      <c r="EX168" s="10">
        <v>0</v>
      </c>
      <c r="EY168" s="10">
        <v>0</v>
      </c>
      <c r="EZ168" s="10">
        <v>0</v>
      </c>
      <c r="FA168" s="10">
        <v>0</v>
      </c>
      <c r="FB168" s="10">
        <v>0</v>
      </c>
      <c r="FC168" s="10">
        <v>0</v>
      </c>
      <c r="FD168" s="10">
        <v>0</v>
      </c>
      <c r="FE168" s="10">
        <v>0</v>
      </c>
      <c r="FF168" s="10">
        <v>0</v>
      </c>
      <c r="FG168" s="10">
        <v>0</v>
      </c>
      <c r="FH168" s="10">
        <v>0</v>
      </c>
      <c r="FI168" s="10">
        <v>0</v>
      </c>
      <c r="FJ168" s="10">
        <v>0</v>
      </c>
      <c r="FK168" s="10">
        <v>0</v>
      </c>
      <c r="FL168" s="10">
        <v>0</v>
      </c>
      <c r="FM168" s="10">
        <v>0</v>
      </c>
      <c r="FN168" s="10">
        <v>0</v>
      </c>
      <c r="FO168" s="10">
        <v>0</v>
      </c>
      <c r="FP168" s="10">
        <v>0</v>
      </c>
      <c r="FQ168" s="10">
        <v>0</v>
      </c>
      <c r="FR168" s="10">
        <v>0</v>
      </c>
      <c r="FS168" s="10">
        <v>0</v>
      </c>
      <c r="FT168" s="10">
        <v>0</v>
      </c>
      <c r="FU168" s="10">
        <v>0</v>
      </c>
      <c r="FV168" s="10">
        <v>0</v>
      </c>
      <c r="FW168" s="10">
        <v>0</v>
      </c>
      <c r="FX168" s="10">
        <v>0</v>
      </c>
      <c r="FY168" s="10">
        <v>0</v>
      </c>
      <c r="FZ168" s="10">
        <v>0</v>
      </c>
      <c r="GA168" s="10">
        <v>0</v>
      </c>
      <c r="GB168" s="10">
        <v>0</v>
      </c>
      <c r="GC168" s="10">
        <v>0</v>
      </c>
      <c r="GD168" s="10">
        <v>0</v>
      </c>
      <c r="GE168" s="10">
        <v>0</v>
      </c>
      <c r="GF168" s="10">
        <v>0</v>
      </c>
      <c r="GG168" s="10">
        <v>0</v>
      </c>
      <c r="GH168" s="10">
        <v>0</v>
      </c>
      <c r="GI168" s="10">
        <v>0</v>
      </c>
      <c r="GJ168" s="10">
        <v>0</v>
      </c>
      <c r="GK168" s="10">
        <v>0</v>
      </c>
      <c r="GL168" s="10">
        <v>0</v>
      </c>
      <c r="GM168" s="10">
        <v>0</v>
      </c>
      <c r="GN168" s="10">
        <v>0</v>
      </c>
      <c r="GO168" s="10">
        <v>0</v>
      </c>
      <c r="GP168" s="10">
        <v>0</v>
      </c>
      <c r="GQ168" s="10">
        <v>0</v>
      </c>
      <c r="GR168" s="10">
        <v>0</v>
      </c>
      <c r="GS168" s="10">
        <v>0</v>
      </c>
      <c r="GT168" s="10">
        <v>0</v>
      </c>
      <c r="GU168" s="10">
        <v>0</v>
      </c>
      <c r="GV168" s="10">
        <v>0.28663234609035276</v>
      </c>
      <c r="GW168" s="10">
        <v>0</v>
      </c>
      <c r="GX168" s="10">
        <v>0</v>
      </c>
      <c r="GY168" s="10">
        <v>0</v>
      </c>
      <c r="GZ168" s="10">
        <v>0</v>
      </c>
      <c r="HA168" s="10">
        <v>0</v>
      </c>
      <c r="HB168" s="10">
        <v>0</v>
      </c>
      <c r="HC168" s="10">
        <v>0</v>
      </c>
      <c r="HD168" s="10">
        <v>0</v>
      </c>
      <c r="HE168" s="10">
        <v>0</v>
      </c>
      <c r="HF168" s="10">
        <v>0</v>
      </c>
      <c r="HG168" s="10">
        <v>9.2478174822061571E-3</v>
      </c>
      <c r="HH168" s="10">
        <v>0</v>
      </c>
      <c r="HI168" s="10">
        <v>0</v>
      </c>
      <c r="HJ168" s="10">
        <v>0</v>
      </c>
      <c r="HK168" s="10">
        <v>0</v>
      </c>
      <c r="HL168" s="10">
        <v>0</v>
      </c>
      <c r="HM168" s="10">
        <v>0</v>
      </c>
      <c r="HN168" s="10">
        <v>0</v>
      </c>
      <c r="HO168" s="10">
        <v>0</v>
      </c>
      <c r="HP168" s="10">
        <v>0</v>
      </c>
      <c r="HQ168" s="10">
        <v>0</v>
      </c>
      <c r="HR168" s="10">
        <v>0</v>
      </c>
      <c r="HS168" s="10">
        <v>0</v>
      </c>
      <c r="HT168" s="10">
        <v>0</v>
      </c>
      <c r="HU168" s="10">
        <v>0</v>
      </c>
    </row>
    <row r="169" spans="1:229" x14ac:dyDescent="0.25">
      <c r="A169" s="10">
        <v>0</v>
      </c>
      <c r="B169" s="2" t="s">
        <v>326</v>
      </c>
      <c r="C169" s="2" t="s">
        <v>327</v>
      </c>
      <c r="D169" s="2">
        <v>0.752</v>
      </c>
      <c r="E169" s="2">
        <v>4.93</v>
      </c>
      <c r="F169" s="2">
        <v>13.8</v>
      </c>
      <c r="G169" s="2">
        <v>0</v>
      </c>
      <c r="H169" s="2">
        <v>5.43</v>
      </c>
      <c r="I169" s="2">
        <v>66</v>
      </c>
      <c r="J169" s="2">
        <v>0.313</v>
      </c>
      <c r="K169" s="2">
        <v>3.5000000000000003E-2</v>
      </c>
      <c r="L169" s="3"/>
      <c r="M169" s="2" t="str">
        <f t="shared" si="9"/>
        <v>01231</v>
      </c>
      <c r="N169" s="3">
        <v>0.5548782049292712</v>
      </c>
      <c r="O169" s="3">
        <v>1.4451217950707287</v>
      </c>
      <c r="P169" s="17">
        <v>0.55487820492907491</v>
      </c>
      <c r="Q169" s="3">
        <v>1.6825175508254893</v>
      </c>
      <c r="R169" s="3">
        <v>0.29011546791536147</v>
      </c>
      <c r="S169" s="3" t="e">
        <v>#DIV/0!</v>
      </c>
      <c r="T169" s="3">
        <v>0.55487820492927009</v>
      </c>
      <c r="U169" s="3">
        <v>0.5548782049292712</v>
      </c>
      <c r="V169" s="10">
        <v>1.4451217950714528</v>
      </c>
      <c r="W169" s="3">
        <v>4.5111283829951399</v>
      </c>
      <c r="X169" s="3">
        <v>0.41726841010666438</v>
      </c>
      <c r="Y169" s="3">
        <v>8.2948115255696617</v>
      </c>
      <c r="Z169" s="3">
        <v>4.0035934572319887</v>
      </c>
      <c r="AA169" s="3">
        <v>0</v>
      </c>
      <c r="AB169" s="3">
        <v>3.0129886527659364</v>
      </c>
      <c r="AC169" s="10">
        <v>36.621961525331898</v>
      </c>
      <c r="AD169" s="3">
        <v>0.45232312185736473</v>
      </c>
      <c r="AE169" s="3">
        <v>0.15788949340482991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0</v>
      </c>
      <c r="AV169" s="3">
        <v>0</v>
      </c>
      <c r="AW169" s="3">
        <v>0</v>
      </c>
      <c r="AX169" s="3">
        <v>0</v>
      </c>
      <c r="AY169" s="3">
        <v>0</v>
      </c>
      <c r="AZ169" s="3">
        <v>0</v>
      </c>
      <c r="BA169" s="10">
        <v>0</v>
      </c>
      <c r="BB169" s="10">
        <v>0</v>
      </c>
      <c r="BC169" s="10">
        <v>0</v>
      </c>
      <c r="BD169" s="10">
        <v>0</v>
      </c>
      <c r="BE169" s="10">
        <v>0</v>
      </c>
      <c r="BF169" s="10">
        <v>0</v>
      </c>
      <c r="BG169" s="10">
        <v>0</v>
      </c>
      <c r="BH169" s="10">
        <v>0</v>
      </c>
      <c r="BI169" s="10">
        <v>0</v>
      </c>
      <c r="BJ169" s="10">
        <v>0</v>
      </c>
      <c r="BK169" s="10">
        <v>0</v>
      </c>
      <c r="BL169" s="10">
        <v>0</v>
      </c>
      <c r="BM169" s="10">
        <v>0</v>
      </c>
      <c r="BN169" s="10">
        <v>0</v>
      </c>
      <c r="BO169" s="10">
        <v>0</v>
      </c>
      <c r="BP169" s="10">
        <v>0</v>
      </c>
      <c r="BQ169" s="10">
        <v>0</v>
      </c>
      <c r="BR169" s="10">
        <v>0</v>
      </c>
      <c r="BS169" s="10">
        <v>0</v>
      </c>
      <c r="BT169" s="10">
        <v>0</v>
      </c>
      <c r="BU169" s="10">
        <v>0</v>
      </c>
      <c r="BV169" s="10">
        <v>0</v>
      </c>
      <c r="BW169" s="10">
        <v>0</v>
      </c>
      <c r="BX169" s="10">
        <v>0</v>
      </c>
      <c r="BY169" s="10">
        <v>0</v>
      </c>
      <c r="BZ169" s="10">
        <v>0</v>
      </c>
      <c r="CA169" s="10">
        <v>0.15242593361511458</v>
      </c>
      <c r="CB169" s="10">
        <v>0</v>
      </c>
      <c r="CC169" s="10">
        <v>0</v>
      </c>
      <c r="CD169" s="10">
        <v>0</v>
      </c>
      <c r="CE169" s="10">
        <v>0</v>
      </c>
      <c r="CF169" s="10">
        <v>0</v>
      </c>
      <c r="CG169" s="10">
        <v>0</v>
      </c>
      <c r="CH169" s="10">
        <v>0</v>
      </c>
      <c r="CI169" s="10">
        <v>0</v>
      </c>
      <c r="CJ169" s="10">
        <v>0</v>
      </c>
      <c r="CK169" s="10">
        <v>0</v>
      </c>
      <c r="CL169" s="10">
        <v>0</v>
      </c>
      <c r="CM169" s="10">
        <v>0</v>
      </c>
      <c r="CN169" s="10">
        <v>0</v>
      </c>
      <c r="CO169" s="10">
        <v>0</v>
      </c>
      <c r="CP169" s="10">
        <v>0</v>
      </c>
      <c r="CQ169" s="10">
        <v>0</v>
      </c>
      <c r="CR169" s="10">
        <v>0</v>
      </c>
      <c r="CS169" s="10">
        <v>4.4650594923798068E-2</v>
      </c>
      <c r="CT169" s="10">
        <v>0</v>
      </c>
      <c r="CU169" s="10">
        <v>0</v>
      </c>
      <c r="CV169" s="10">
        <v>0</v>
      </c>
      <c r="CW169" s="10">
        <v>0</v>
      </c>
      <c r="CX169" s="10">
        <v>0</v>
      </c>
      <c r="CY169" s="10">
        <v>0</v>
      </c>
      <c r="CZ169" s="10">
        <v>0</v>
      </c>
      <c r="DA169" s="10">
        <v>0</v>
      </c>
      <c r="DB169" s="10">
        <v>0</v>
      </c>
      <c r="DC169" s="10">
        <v>0</v>
      </c>
      <c r="DD169" s="10">
        <v>5.8184918321061381E-2</v>
      </c>
      <c r="DE169" s="10">
        <v>0</v>
      </c>
      <c r="DF169" s="10">
        <v>0</v>
      </c>
      <c r="DG169" s="10">
        <v>0</v>
      </c>
      <c r="DH169" s="10">
        <v>0</v>
      </c>
      <c r="DI169" s="10">
        <v>0</v>
      </c>
      <c r="DJ169" s="10">
        <v>0</v>
      </c>
      <c r="DK169" s="10">
        <v>0</v>
      </c>
      <c r="DL169" s="10">
        <v>0</v>
      </c>
      <c r="DM169" s="10">
        <v>0</v>
      </c>
      <c r="DN169" s="10">
        <v>0</v>
      </c>
      <c r="DO169" s="10">
        <v>0</v>
      </c>
      <c r="DP169" s="10">
        <v>0</v>
      </c>
      <c r="DQ169" s="10">
        <v>0</v>
      </c>
      <c r="DR169" s="10">
        <v>0</v>
      </c>
      <c r="DS169" s="10">
        <v>0</v>
      </c>
      <c r="DT169" s="10">
        <v>0</v>
      </c>
      <c r="DU169" s="10">
        <v>0</v>
      </c>
      <c r="DV169" s="10">
        <v>0</v>
      </c>
      <c r="DW169" s="10">
        <v>0</v>
      </c>
      <c r="DX169" s="10">
        <v>0</v>
      </c>
      <c r="DY169" s="10">
        <v>0</v>
      </c>
      <c r="DZ169" s="10">
        <v>0</v>
      </c>
      <c r="EA169" s="10">
        <v>0</v>
      </c>
      <c r="EB169" s="10">
        <v>0</v>
      </c>
      <c r="EC169" s="10">
        <v>0</v>
      </c>
      <c r="ED169" s="10">
        <v>0</v>
      </c>
      <c r="EE169" s="10">
        <v>0</v>
      </c>
      <c r="EF169" s="10">
        <v>0</v>
      </c>
      <c r="EG169" s="10">
        <v>0</v>
      </c>
      <c r="EH169" s="10">
        <v>0</v>
      </c>
      <c r="EI169" s="10">
        <v>0</v>
      </c>
      <c r="EJ169" s="10">
        <v>0</v>
      </c>
      <c r="EK169" s="10">
        <v>0</v>
      </c>
      <c r="EL169" s="10">
        <v>0</v>
      </c>
      <c r="EM169" s="10">
        <v>0</v>
      </c>
      <c r="EN169" s="10">
        <v>0</v>
      </c>
      <c r="EO169" s="10">
        <v>0</v>
      </c>
      <c r="EP169" s="10">
        <v>0</v>
      </c>
      <c r="EQ169" s="10">
        <v>0</v>
      </c>
      <c r="ER169" s="10">
        <v>0</v>
      </c>
      <c r="ES169" s="10">
        <v>0</v>
      </c>
      <c r="ET169" s="10">
        <v>0</v>
      </c>
      <c r="EU169" s="10">
        <v>0</v>
      </c>
      <c r="EV169" s="10">
        <v>0</v>
      </c>
      <c r="EW169" s="10">
        <v>0</v>
      </c>
      <c r="EX169" s="10">
        <v>0</v>
      </c>
      <c r="EY169" s="10">
        <v>0</v>
      </c>
      <c r="EZ169" s="10">
        <v>0</v>
      </c>
      <c r="FA169" s="10">
        <v>0</v>
      </c>
      <c r="FB169" s="10">
        <v>0</v>
      </c>
      <c r="FC169" s="10">
        <v>0</v>
      </c>
      <c r="FD169" s="10">
        <v>0</v>
      </c>
      <c r="FE169" s="10">
        <v>0</v>
      </c>
      <c r="FF169" s="10">
        <v>0</v>
      </c>
      <c r="FG169" s="10">
        <v>0</v>
      </c>
      <c r="FH169" s="10">
        <v>0</v>
      </c>
      <c r="FI169" s="10">
        <v>0</v>
      </c>
      <c r="FJ169" s="10">
        <v>0</v>
      </c>
      <c r="FK169" s="10">
        <v>0</v>
      </c>
      <c r="FL169" s="10">
        <v>0</v>
      </c>
      <c r="FM169" s="10">
        <v>0</v>
      </c>
      <c r="FN169" s="10">
        <v>0</v>
      </c>
      <c r="FO169" s="10">
        <v>0</v>
      </c>
      <c r="FP169" s="10">
        <v>0</v>
      </c>
      <c r="FQ169" s="10">
        <v>0</v>
      </c>
      <c r="FR169" s="10">
        <v>0</v>
      </c>
      <c r="FS169" s="10">
        <v>0</v>
      </c>
      <c r="FT169" s="10">
        <v>0</v>
      </c>
      <c r="FU169" s="10">
        <v>0</v>
      </c>
      <c r="FV169" s="10">
        <v>0</v>
      </c>
      <c r="FW169" s="10">
        <v>0</v>
      </c>
      <c r="FX169" s="10">
        <v>0</v>
      </c>
      <c r="FY169" s="10">
        <v>0</v>
      </c>
      <c r="FZ169" s="10">
        <v>0</v>
      </c>
      <c r="GA169" s="10">
        <v>0</v>
      </c>
      <c r="GB169" s="10">
        <v>0</v>
      </c>
      <c r="GC169" s="10">
        <v>0</v>
      </c>
      <c r="GD169" s="10">
        <v>0</v>
      </c>
      <c r="GE169" s="10">
        <v>0</v>
      </c>
      <c r="GF169" s="10">
        <v>0</v>
      </c>
      <c r="GG169" s="10">
        <v>0</v>
      </c>
      <c r="GH169" s="10">
        <v>0</v>
      </c>
      <c r="GI169" s="10">
        <v>0</v>
      </c>
      <c r="GJ169" s="10">
        <v>0</v>
      </c>
      <c r="GK169" s="10">
        <v>0</v>
      </c>
      <c r="GL169" s="10">
        <v>0</v>
      </c>
      <c r="GM169" s="10">
        <v>0</v>
      </c>
      <c r="GN169" s="10">
        <v>0</v>
      </c>
      <c r="GO169" s="10">
        <v>0</v>
      </c>
      <c r="GP169" s="10">
        <v>0</v>
      </c>
      <c r="GQ169" s="10">
        <v>0</v>
      </c>
      <c r="GR169" s="10">
        <v>0</v>
      </c>
      <c r="GS169" s="10">
        <v>0</v>
      </c>
      <c r="GT169" s="10">
        <v>0</v>
      </c>
      <c r="GU169" s="10">
        <v>0</v>
      </c>
      <c r="GV169" s="10">
        <v>0.74473855314002579</v>
      </c>
      <c r="GW169" s="10">
        <v>0</v>
      </c>
      <c r="GX169" s="10">
        <v>0</v>
      </c>
      <c r="GY169" s="10">
        <v>0</v>
      </c>
      <c r="GZ169" s="10">
        <v>0</v>
      </c>
      <c r="HA169" s="10">
        <v>0</v>
      </c>
      <c r="HB169" s="10">
        <v>0</v>
      </c>
      <c r="HC169" s="10">
        <v>0</v>
      </c>
      <c r="HD169" s="10">
        <v>0</v>
      </c>
      <c r="HE169" s="10">
        <v>0</v>
      </c>
      <c r="HF169" s="10">
        <v>0</v>
      </c>
      <c r="HG169" s="10">
        <v>0</v>
      </c>
      <c r="HH169" s="10">
        <v>0</v>
      </c>
      <c r="HI169" s="10">
        <v>0</v>
      </c>
      <c r="HJ169" s="10">
        <v>0</v>
      </c>
      <c r="HK169" s="10">
        <v>0</v>
      </c>
      <c r="HL169" s="10">
        <v>0</v>
      </c>
      <c r="HM169" s="10">
        <v>0</v>
      </c>
      <c r="HN169" s="10">
        <v>0</v>
      </c>
      <c r="HO169" s="10">
        <v>0</v>
      </c>
      <c r="HP169" s="10">
        <v>0</v>
      </c>
      <c r="HQ169" s="10">
        <v>0</v>
      </c>
      <c r="HR169" s="10">
        <v>0</v>
      </c>
      <c r="HS169" s="10">
        <v>0</v>
      </c>
      <c r="HT169" s="10">
        <v>0</v>
      </c>
      <c r="HU169" s="10">
        <v>0</v>
      </c>
    </row>
    <row r="170" spans="1:229" x14ac:dyDescent="0.25">
      <c r="A170" s="10">
        <v>0</v>
      </c>
      <c r="B170" s="2" t="s">
        <v>328</v>
      </c>
      <c r="C170" s="2" t="s">
        <v>329</v>
      </c>
      <c r="D170" s="2">
        <v>0.48799999999999999</v>
      </c>
      <c r="E170" s="2">
        <v>4.4000000000000004</v>
      </c>
      <c r="F170" s="2">
        <v>19.7</v>
      </c>
      <c r="G170" s="2">
        <v>2</v>
      </c>
      <c r="H170" s="2">
        <v>12.61</v>
      </c>
      <c r="I170" s="2">
        <v>81</v>
      </c>
      <c r="J170" s="2">
        <v>0.20499999999999999</v>
      </c>
      <c r="K170" s="2">
        <v>0.03</v>
      </c>
      <c r="L170" s="3"/>
      <c r="M170" s="2" t="str">
        <f t="shared" si="9"/>
        <v>01235</v>
      </c>
      <c r="N170" s="3">
        <v>0.46562915052690523</v>
      </c>
      <c r="O170" s="3">
        <v>1.5343708494730941</v>
      </c>
      <c r="P170" s="17">
        <v>0.46562915052696163</v>
      </c>
      <c r="Q170" s="3">
        <v>1.8650526154552691</v>
      </c>
      <c r="R170" s="3">
        <v>0.35736222535620005</v>
      </c>
      <c r="S170" s="3">
        <v>0.14128087313856599</v>
      </c>
      <c r="T170" s="3">
        <v>0.46562915052690851</v>
      </c>
      <c r="U170" s="3">
        <v>0.46562915052690557</v>
      </c>
      <c r="V170" s="10">
        <v>1.5343708494731592</v>
      </c>
      <c r="W170" s="3">
        <v>4.1911877792822603</v>
      </c>
      <c r="X170" s="3">
        <v>0.22722702545715728</v>
      </c>
      <c r="Y170" s="3">
        <v>8.2062315080031851</v>
      </c>
      <c r="Z170" s="3">
        <v>7.0400358395171407</v>
      </c>
      <c r="AA170" s="3">
        <v>0.28256174627713199</v>
      </c>
      <c r="AB170" s="3">
        <v>5.8715835881443157</v>
      </c>
      <c r="AC170" s="10">
        <v>37.715961192679352</v>
      </c>
      <c r="AD170" s="3">
        <v>0.31454602414199762</v>
      </c>
      <c r="AE170" s="3">
        <v>0.1257356333784678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0</v>
      </c>
      <c r="AV170" s="3">
        <v>0</v>
      </c>
      <c r="AW170" s="3">
        <v>0</v>
      </c>
      <c r="AX170" s="3">
        <v>0</v>
      </c>
      <c r="AY170" s="3">
        <v>0</v>
      </c>
      <c r="AZ170" s="3">
        <v>0</v>
      </c>
      <c r="BA170" s="10">
        <v>0</v>
      </c>
      <c r="BB170" s="10">
        <v>0</v>
      </c>
      <c r="BC170" s="10">
        <v>0</v>
      </c>
      <c r="BD170" s="10">
        <v>0</v>
      </c>
      <c r="BE170" s="10">
        <v>0</v>
      </c>
      <c r="BF170" s="10">
        <v>0</v>
      </c>
      <c r="BG170" s="10">
        <v>0</v>
      </c>
      <c r="BH170" s="10">
        <v>0</v>
      </c>
      <c r="BI170" s="10">
        <v>0</v>
      </c>
      <c r="BJ170" s="10">
        <v>0</v>
      </c>
      <c r="BK170" s="10">
        <v>0</v>
      </c>
      <c r="BL170" s="10">
        <v>0</v>
      </c>
      <c r="BM170" s="10">
        <v>0</v>
      </c>
      <c r="BN170" s="10">
        <v>0</v>
      </c>
      <c r="BO170" s="10">
        <v>0</v>
      </c>
      <c r="BP170" s="10">
        <v>0</v>
      </c>
      <c r="BQ170" s="10">
        <v>0</v>
      </c>
      <c r="BR170" s="10">
        <v>0</v>
      </c>
      <c r="BS170" s="10">
        <v>0</v>
      </c>
      <c r="BT170" s="10">
        <v>0</v>
      </c>
      <c r="BU170" s="10">
        <v>0</v>
      </c>
      <c r="BV170" s="10">
        <v>0</v>
      </c>
      <c r="BW170" s="10">
        <v>0</v>
      </c>
      <c r="BX170" s="10">
        <v>0</v>
      </c>
      <c r="BY170" s="10">
        <v>0</v>
      </c>
      <c r="BZ170" s="10">
        <v>0</v>
      </c>
      <c r="CA170" s="10">
        <v>0.14854719921864501</v>
      </c>
      <c r="CB170" s="10">
        <v>0</v>
      </c>
      <c r="CC170" s="10">
        <v>0</v>
      </c>
      <c r="CD170" s="10">
        <v>0</v>
      </c>
      <c r="CE170" s="10">
        <v>0</v>
      </c>
      <c r="CF170" s="10">
        <v>0</v>
      </c>
      <c r="CG170" s="10">
        <v>0</v>
      </c>
      <c r="CH170" s="10">
        <v>0</v>
      </c>
      <c r="CI170" s="10">
        <v>0</v>
      </c>
      <c r="CJ170" s="10">
        <v>0</v>
      </c>
      <c r="CK170" s="10">
        <v>0</v>
      </c>
      <c r="CL170" s="10">
        <v>0</v>
      </c>
      <c r="CM170" s="10">
        <v>0</v>
      </c>
      <c r="CN170" s="10">
        <v>0</v>
      </c>
      <c r="CO170" s="10">
        <v>0</v>
      </c>
      <c r="CP170" s="10">
        <v>0</v>
      </c>
      <c r="CQ170" s="10">
        <v>0</v>
      </c>
      <c r="CR170" s="10">
        <v>0</v>
      </c>
      <c r="CS170" s="10">
        <v>0</v>
      </c>
      <c r="CT170" s="10">
        <v>0</v>
      </c>
      <c r="CU170" s="10">
        <v>0</v>
      </c>
      <c r="CV170" s="10">
        <v>0</v>
      </c>
      <c r="CW170" s="10">
        <v>0</v>
      </c>
      <c r="CX170" s="10">
        <v>0</v>
      </c>
      <c r="CY170" s="10">
        <v>0</v>
      </c>
      <c r="CZ170" s="10">
        <v>0</v>
      </c>
      <c r="DA170" s="10">
        <v>0</v>
      </c>
      <c r="DB170" s="10">
        <v>0</v>
      </c>
      <c r="DC170" s="10">
        <v>0</v>
      </c>
      <c r="DD170" s="10">
        <v>1.0134267278732562E-2</v>
      </c>
      <c r="DE170" s="10">
        <v>0</v>
      </c>
      <c r="DF170" s="10">
        <v>0</v>
      </c>
      <c r="DG170" s="10">
        <v>0</v>
      </c>
      <c r="DH170" s="10">
        <v>0</v>
      </c>
      <c r="DI170" s="10">
        <v>0</v>
      </c>
      <c r="DJ170" s="10">
        <v>0</v>
      </c>
      <c r="DK170" s="10">
        <v>0</v>
      </c>
      <c r="DL170" s="10">
        <v>0</v>
      </c>
      <c r="DM170" s="10">
        <v>0</v>
      </c>
      <c r="DN170" s="10">
        <v>0</v>
      </c>
      <c r="DO170" s="10">
        <v>0</v>
      </c>
      <c r="DP170" s="10">
        <v>0</v>
      </c>
      <c r="DQ170" s="10">
        <v>0</v>
      </c>
      <c r="DR170" s="10">
        <v>0</v>
      </c>
      <c r="DS170" s="10">
        <v>0</v>
      </c>
      <c r="DT170" s="10">
        <v>0</v>
      </c>
      <c r="DU170" s="10">
        <v>0</v>
      </c>
      <c r="DV170" s="10">
        <v>0</v>
      </c>
      <c r="DW170" s="10">
        <v>0</v>
      </c>
      <c r="DX170" s="10">
        <v>0</v>
      </c>
      <c r="DY170" s="10">
        <v>0</v>
      </c>
      <c r="DZ170" s="10">
        <v>0</v>
      </c>
      <c r="EA170" s="10">
        <v>0</v>
      </c>
      <c r="EB170" s="10">
        <v>0</v>
      </c>
      <c r="EC170" s="10">
        <v>0</v>
      </c>
      <c r="ED170" s="10">
        <v>0</v>
      </c>
      <c r="EE170" s="10">
        <v>0</v>
      </c>
      <c r="EF170" s="10">
        <v>0</v>
      </c>
      <c r="EG170" s="10">
        <v>0</v>
      </c>
      <c r="EH170" s="10">
        <v>0</v>
      </c>
      <c r="EI170" s="10">
        <v>0</v>
      </c>
      <c r="EJ170" s="10">
        <v>0</v>
      </c>
      <c r="EK170" s="10">
        <v>0</v>
      </c>
      <c r="EL170" s="10">
        <v>0</v>
      </c>
      <c r="EM170" s="10">
        <v>0</v>
      </c>
      <c r="EN170" s="10">
        <v>0</v>
      </c>
      <c r="EO170" s="10">
        <v>0</v>
      </c>
      <c r="EP170" s="10">
        <v>0</v>
      </c>
      <c r="EQ170" s="10">
        <v>0</v>
      </c>
      <c r="ER170" s="10">
        <v>0</v>
      </c>
      <c r="ES170" s="10">
        <v>0</v>
      </c>
      <c r="ET170" s="10">
        <v>0</v>
      </c>
      <c r="EU170" s="10">
        <v>0</v>
      </c>
      <c r="EV170" s="10">
        <v>0</v>
      </c>
      <c r="EW170" s="10">
        <v>0</v>
      </c>
      <c r="EX170" s="10">
        <v>0</v>
      </c>
      <c r="EY170" s="10">
        <v>0</v>
      </c>
      <c r="EZ170" s="10">
        <v>0</v>
      </c>
      <c r="FA170" s="10">
        <v>0</v>
      </c>
      <c r="FB170" s="10">
        <v>0</v>
      </c>
      <c r="FC170" s="10">
        <v>0</v>
      </c>
      <c r="FD170" s="10">
        <v>0</v>
      </c>
      <c r="FE170" s="10">
        <v>0</v>
      </c>
      <c r="FF170" s="10">
        <v>0</v>
      </c>
      <c r="FG170" s="10">
        <v>0</v>
      </c>
      <c r="FH170" s="10">
        <v>0</v>
      </c>
      <c r="FI170" s="10">
        <v>0</v>
      </c>
      <c r="FJ170" s="10">
        <v>0</v>
      </c>
      <c r="FK170" s="10">
        <v>0</v>
      </c>
      <c r="FL170" s="10">
        <v>0</v>
      </c>
      <c r="FM170" s="10">
        <v>0</v>
      </c>
      <c r="FN170" s="10">
        <v>0</v>
      </c>
      <c r="FO170" s="10">
        <v>0</v>
      </c>
      <c r="FP170" s="10">
        <v>0</v>
      </c>
      <c r="FQ170" s="10">
        <v>0</v>
      </c>
      <c r="FR170" s="10">
        <v>0</v>
      </c>
      <c r="FS170" s="10">
        <v>0</v>
      </c>
      <c r="FT170" s="10">
        <v>0</v>
      </c>
      <c r="FU170" s="10">
        <v>0</v>
      </c>
      <c r="FV170" s="10">
        <v>0</v>
      </c>
      <c r="FW170" s="10">
        <v>0</v>
      </c>
      <c r="FX170" s="10">
        <v>0</v>
      </c>
      <c r="FY170" s="10">
        <v>0</v>
      </c>
      <c r="FZ170" s="10">
        <v>0</v>
      </c>
      <c r="GA170" s="10">
        <v>0</v>
      </c>
      <c r="GB170" s="10">
        <v>0</v>
      </c>
      <c r="GC170" s="10">
        <v>0</v>
      </c>
      <c r="GD170" s="10">
        <v>0</v>
      </c>
      <c r="GE170" s="10">
        <v>0</v>
      </c>
      <c r="GF170" s="10">
        <v>0</v>
      </c>
      <c r="GG170" s="10">
        <v>0</v>
      </c>
      <c r="GH170" s="10">
        <v>0</v>
      </c>
      <c r="GI170" s="10">
        <v>0</v>
      </c>
      <c r="GJ170" s="10">
        <v>0</v>
      </c>
      <c r="GK170" s="10">
        <v>0</v>
      </c>
      <c r="GL170" s="10">
        <v>0</v>
      </c>
      <c r="GM170" s="10">
        <v>0</v>
      </c>
      <c r="GN170" s="10">
        <v>0</v>
      </c>
      <c r="GO170" s="10">
        <v>0</v>
      </c>
      <c r="GP170" s="10">
        <v>0</v>
      </c>
      <c r="GQ170" s="10">
        <v>0</v>
      </c>
      <c r="GR170" s="10">
        <v>0</v>
      </c>
      <c r="GS170" s="10">
        <v>0</v>
      </c>
      <c r="GT170" s="10">
        <v>0</v>
      </c>
      <c r="GU170" s="10">
        <v>0</v>
      </c>
      <c r="GV170" s="10">
        <v>0.43765889596386259</v>
      </c>
      <c r="GW170" s="10">
        <v>0</v>
      </c>
      <c r="GX170" s="10">
        <v>0</v>
      </c>
      <c r="GY170" s="10">
        <v>0</v>
      </c>
      <c r="GZ170" s="10">
        <v>0</v>
      </c>
      <c r="HA170" s="10">
        <v>0</v>
      </c>
      <c r="HB170" s="10">
        <v>0</v>
      </c>
      <c r="HC170" s="10">
        <v>0</v>
      </c>
      <c r="HD170" s="10">
        <v>0</v>
      </c>
      <c r="HE170" s="10">
        <v>0</v>
      </c>
      <c r="HF170" s="10">
        <v>0</v>
      </c>
      <c r="HG170" s="10">
        <v>0.40365963753876</v>
      </c>
      <c r="HH170" s="10">
        <v>0</v>
      </c>
      <c r="HI170" s="10">
        <v>0</v>
      </c>
      <c r="HJ170" s="10">
        <v>0</v>
      </c>
      <c r="HK170" s="10">
        <v>0</v>
      </c>
      <c r="HL170" s="10">
        <v>0</v>
      </c>
      <c r="HM170" s="10">
        <v>0</v>
      </c>
      <c r="HN170" s="10">
        <v>0</v>
      </c>
      <c r="HO170" s="10">
        <v>0</v>
      </c>
      <c r="HP170" s="10">
        <v>0</v>
      </c>
      <c r="HQ170" s="10">
        <v>0</v>
      </c>
      <c r="HR170" s="10">
        <v>0</v>
      </c>
      <c r="HS170" s="10">
        <v>0</v>
      </c>
      <c r="HT170" s="10">
        <v>0</v>
      </c>
      <c r="HU170" s="10">
        <v>0</v>
      </c>
    </row>
    <row r="171" spans="1:229" x14ac:dyDescent="0.25">
      <c r="A171" s="10">
        <v>0</v>
      </c>
      <c r="B171" s="2" t="s">
        <v>330</v>
      </c>
      <c r="C171" s="2" t="s">
        <v>331</v>
      </c>
      <c r="D171" s="2">
        <v>7.46</v>
      </c>
      <c r="E171" s="2">
        <v>4.0999999999999996</v>
      </c>
      <c r="F171" s="2">
        <v>22.2</v>
      </c>
      <c r="G171" s="2">
        <v>0.7</v>
      </c>
      <c r="H171" s="2">
        <v>21.16</v>
      </c>
      <c r="I171" s="2">
        <v>61</v>
      </c>
      <c r="J171" s="2">
        <v>3.49</v>
      </c>
      <c r="K171" s="2">
        <v>0.46</v>
      </c>
      <c r="L171" s="3"/>
      <c r="M171" s="2" t="str">
        <f t="shared" si="9"/>
        <v>01236</v>
      </c>
      <c r="N171" s="3">
        <v>0.56976193000255115</v>
      </c>
      <c r="O171" s="3">
        <v>1.4302380699974488</v>
      </c>
      <c r="P171" s="17">
        <v>0.56976193000255226</v>
      </c>
      <c r="Q171" s="3">
        <v>1.5451704549764091</v>
      </c>
      <c r="R171" s="3">
        <v>0.24320663069541726</v>
      </c>
      <c r="S171" s="3">
        <v>0</v>
      </c>
      <c r="T171" s="3">
        <v>0.16571180777851277</v>
      </c>
      <c r="U171" s="3">
        <v>0.56976193000255104</v>
      </c>
      <c r="V171" s="3">
        <v>1.4302380699974424</v>
      </c>
      <c r="W171" s="3">
        <v>3.8307518068359201</v>
      </c>
      <c r="X171" s="3">
        <v>4.2504239978190395</v>
      </c>
      <c r="Y171" s="3">
        <v>6.3351988654032771</v>
      </c>
      <c r="Z171" s="3">
        <v>5.3991872014382629</v>
      </c>
      <c r="AA171" s="3">
        <v>0</v>
      </c>
      <c r="AB171" s="3">
        <v>3.50646185259333</v>
      </c>
      <c r="AC171" s="3">
        <v>34.755477730155611</v>
      </c>
      <c r="AD171" s="3">
        <v>4.9915308642910743</v>
      </c>
      <c r="AE171" s="3">
        <v>1.7621458311445233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0</v>
      </c>
      <c r="AV171" s="3">
        <v>0</v>
      </c>
      <c r="AW171" s="3">
        <v>0</v>
      </c>
      <c r="AX171" s="3">
        <v>0</v>
      </c>
      <c r="AY171" s="3">
        <v>0</v>
      </c>
      <c r="AZ171" s="3">
        <v>0</v>
      </c>
      <c r="BA171" s="10">
        <v>0</v>
      </c>
      <c r="BB171" s="10">
        <v>0</v>
      </c>
      <c r="BC171" s="10">
        <v>0</v>
      </c>
      <c r="BD171" s="10">
        <v>0</v>
      </c>
      <c r="BE171" s="10">
        <v>0</v>
      </c>
      <c r="BF171" s="10">
        <v>0</v>
      </c>
      <c r="BG171" s="10">
        <v>0</v>
      </c>
      <c r="BH171" s="10">
        <v>0</v>
      </c>
      <c r="BI171" s="10">
        <v>0</v>
      </c>
      <c r="BJ171" s="10">
        <v>0</v>
      </c>
      <c r="BK171" s="10">
        <v>0</v>
      </c>
      <c r="BL171" s="10">
        <v>0</v>
      </c>
      <c r="BM171" s="10">
        <v>0</v>
      </c>
      <c r="BN171" s="10">
        <v>0</v>
      </c>
      <c r="BO171" s="10">
        <v>0</v>
      </c>
      <c r="BP171" s="10">
        <v>0</v>
      </c>
      <c r="BQ171" s="10">
        <v>0</v>
      </c>
      <c r="BR171" s="10">
        <v>0</v>
      </c>
      <c r="BS171" s="10">
        <v>0</v>
      </c>
      <c r="BT171" s="10">
        <v>0</v>
      </c>
      <c r="BU171" s="10">
        <v>0</v>
      </c>
      <c r="BV171" s="10">
        <v>0</v>
      </c>
      <c r="BW171" s="10">
        <v>0</v>
      </c>
      <c r="BX171" s="10">
        <v>0</v>
      </c>
      <c r="BY171" s="10">
        <v>0</v>
      </c>
      <c r="BZ171" s="10">
        <v>0</v>
      </c>
      <c r="CA171" s="10">
        <v>0.18940902454628511</v>
      </c>
      <c r="CB171" s="10">
        <v>0</v>
      </c>
      <c r="CC171" s="10">
        <v>0</v>
      </c>
      <c r="CD171" s="10">
        <v>0</v>
      </c>
      <c r="CE171" s="10">
        <v>0</v>
      </c>
      <c r="CF171" s="10">
        <v>0</v>
      </c>
      <c r="CG171" s="10">
        <v>0</v>
      </c>
      <c r="CH171" s="10">
        <v>0</v>
      </c>
      <c r="CI171" s="10">
        <v>0</v>
      </c>
      <c r="CJ171" s="10">
        <v>0</v>
      </c>
      <c r="CK171" s="10">
        <v>0</v>
      </c>
      <c r="CL171" s="10">
        <v>0</v>
      </c>
      <c r="CM171" s="10">
        <v>0</v>
      </c>
      <c r="CN171" s="10">
        <v>0</v>
      </c>
      <c r="CO171" s="10">
        <v>0</v>
      </c>
      <c r="CP171" s="10">
        <v>0</v>
      </c>
      <c r="CQ171" s="10">
        <v>0</v>
      </c>
      <c r="CR171" s="10">
        <v>0</v>
      </c>
      <c r="CS171" s="10">
        <v>0</v>
      </c>
      <c r="CT171" s="10">
        <v>0</v>
      </c>
      <c r="CU171" s="10">
        <v>0</v>
      </c>
      <c r="CV171" s="10">
        <v>0</v>
      </c>
      <c r="CW171" s="10">
        <v>0</v>
      </c>
      <c r="CX171" s="10">
        <v>0</v>
      </c>
      <c r="CY171" s="10">
        <v>0</v>
      </c>
      <c r="CZ171" s="10">
        <v>0</v>
      </c>
      <c r="DA171" s="10">
        <v>0</v>
      </c>
      <c r="DB171" s="10">
        <v>0</v>
      </c>
      <c r="DC171" s="10">
        <v>0</v>
      </c>
      <c r="DD171" s="10">
        <v>0.4822323706697077</v>
      </c>
      <c r="DE171" s="10">
        <v>0</v>
      </c>
      <c r="DF171" s="10">
        <v>0</v>
      </c>
      <c r="DG171" s="10">
        <v>0</v>
      </c>
      <c r="DH171" s="10">
        <v>0</v>
      </c>
      <c r="DI171" s="10">
        <v>0</v>
      </c>
      <c r="DJ171" s="10">
        <v>0</v>
      </c>
      <c r="DK171" s="10">
        <v>0</v>
      </c>
      <c r="DL171" s="10">
        <v>0</v>
      </c>
      <c r="DM171" s="10">
        <v>0</v>
      </c>
      <c r="DN171" s="10">
        <v>0</v>
      </c>
      <c r="DO171" s="10">
        <v>0</v>
      </c>
      <c r="DP171" s="10">
        <v>0</v>
      </c>
      <c r="DQ171" s="10">
        <v>0</v>
      </c>
      <c r="DR171" s="10">
        <v>0</v>
      </c>
      <c r="DS171" s="10">
        <v>0.32835860478400686</v>
      </c>
      <c r="DT171" s="10">
        <v>0</v>
      </c>
      <c r="DU171" s="10">
        <v>0</v>
      </c>
      <c r="DV171" s="10">
        <v>0</v>
      </c>
      <c r="DW171" s="10">
        <v>0</v>
      </c>
      <c r="DX171" s="10">
        <v>0</v>
      </c>
      <c r="DY171" s="10">
        <v>0</v>
      </c>
      <c r="DZ171" s="10">
        <v>0</v>
      </c>
      <c r="EA171" s="10">
        <v>0</v>
      </c>
      <c r="EB171" s="10">
        <v>0</v>
      </c>
      <c r="EC171" s="10">
        <v>0</v>
      </c>
      <c r="ED171" s="10">
        <v>0</v>
      </c>
      <c r="EE171" s="10">
        <v>0</v>
      </c>
      <c r="EF171" s="10">
        <v>0</v>
      </c>
      <c r="EG171" s="10">
        <v>0</v>
      </c>
      <c r="EH171" s="10">
        <v>0</v>
      </c>
      <c r="EI171" s="10">
        <v>0</v>
      </c>
      <c r="EJ171" s="10">
        <v>0</v>
      </c>
      <c r="EK171" s="10">
        <v>0</v>
      </c>
      <c r="EL171" s="10">
        <v>0</v>
      </c>
      <c r="EM171" s="10">
        <v>0</v>
      </c>
      <c r="EN171" s="10">
        <v>0</v>
      </c>
      <c r="EO171" s="10">
        <v>0</v>
      </c>
      <c r="EP171" s="10">
        <v>0</v>
      </c>
      <c r="EQ171" s="10">
        <v>0</v>
      </c>
      <c r="ER171" s="10">
        <v>0</v>
      </c>
      <c r="ES171" s="10">
        <v>0</v>
      </c>
      <c r="ET171" s="10">
        <v>0</v>
      </c>
      <c r="EU171" s="10">
        <v>0</v>
      </c>
      <c r="EV171" s="10">
        <v>0</v>
      </c>
      <c r="EW171" s="10">
        <v>0</v>
      </c>
      <c r="EX171" s="10">
        <v>0</v>
      </c>
      <c r="EY171" s="10">
        <v>0</v>
      </c>
      <c r="EZ171" s="10">
        <v>0</v>
      </c>
      <c r="FA171" s="10">
        <v>0</v>
      </c>
      <c r="FB171" s="10">
        <v>0</v>
      </c>
      <c r="FC171" s="10">
        <v>0</v>
      </c>
      <c r="FD171" s="10">
        <v>0</v>
      </c>
      <c r="FE171" s="10">
        <v>0</v>
      </c>
      <c r="FF171" s="10">
        <v>0</v>
      </c>
      <c r="FG171" s="10">
        <v>0</v>
      </c>
      <c r="FH171" s="10">
        <v>0</v>
      </c>
      <c r="FI171" s="10">
        <v>0</v>
      </c>
      <c r="FJ171" s="10">
        <v>0</v>
      </c>
      <c r="FK171" s="10">
        <v>0</v>
      </c>
      <c r="FL171" s="10">
        <v>0</v>
      </c>
      <c r="FM171" s="10">
        <v>0</v>
      </c>
      <c r="FN171" s="10">
        <v>0</v>
      </c>
      <c r="FO171" s="10">
        <v>0</v>
      </c>
      <c r="FP171" s="10">
        <v>0</v>
      </c>
      <c r="FQ171" s="10">
        <v>0</v>
      </c>
      <c r="FR171" s="10">
        <v>0</v>
      </c>
      <c r="FS171" s="10">
        <v>0</v>
      </c>
      <c r="FT171" s="10">
        <v>0</v>
      </c>
      <c r="FU171" s="10">
        <v>0</v>
      </c>
      <c r="FV171" s="10">
        <v>0</v>
      </c>
      <c r="FW171" s="10">
        <v>0</v>
      </c>
      <c r="FX171" s="10">
        <v>0</v>
      </c>
      <c r="FY171" s="10">
        <v>0</v>
      </c>
      <c r="FZ171" s="10">
        <v>0</v>
      </c>
      <c r="GA171" s="10">
        <v>0</v>
      </c>
      <c r="GB171" s="10">
        <v>0</v>
      </c>
      <c r="GC171" s="10">
        <v>0</v>
      </c>
      <c r="GD171" s="10">
        <v>0</v>
      </c>
      <c r="GE171" s="10">
        <v>0</v>
      </c>
      <c r="GF171" s="10">
        <v>0</v>
      </c>
      <c r="GG171" s="10">
        <v>0</v>
      </c>
      <c r="GH171" s="10">
        <v>0</v>
      </c>
      <c r="GI171" s="10">
        <v>0</v>
      </c>
      <c r="GJ171" s="10">
        <v>0</v>
      </c>
      <c r="GK171" s="10">
        <v>0</v>
      </c>
      <c r="GL171" s="10">
        <v>0</v>
      </c>
      <c r="GM171" s="10">
        <v>0</v>
      </c>
      <c r="GN171" s="10">
        <v>0</v>
      </c>
      <c r="GO171" s="10">
        <v>0</v>
      </c>
      <c r="GP171" s="10">
        <v>0</v>
      </c>
      <c r="GQ171" s="10">
        <v>0</v>
      </c>
      <c r="GR171" s="10">
        <v>0</v>
      </c>
      <c r="GS171" s="10">
        <v>0</v>
      </c>
      <c r="GT171" s="10">
        <v>0</v>
      </c>
      <c r="GU171" s="10">
        <v>0</v>
      </c>
      <c r="GV171" s="10">
        <v>0</v>
      </c>
      <c r="GW171" s="10">
        <v>0</v>
      </c>
      <c r="GX171" s="10">
        <v>0</v>
      </c>
      <c r="GY171" s="10">
        <v>0</v>
      </c>
      <c r="GZ171" s="10">
        <v>0</v>
      </c>
      <c r="HA171" s="10">
        <v>0</v>
      </c>
      <c r="HB171" s="10">
        <v>0</v>
      </c>
      <c r="HC171" s="10">
        <v>0</v>
      </c>
      <c r="HD171" s="10">
        <v>0</v>
      </c>
      <c r="HE171" s="10">
        <v>0</v>
      </c>
      <c r="HF171" s="10">
        <v>0</v>
      </c>
      <c r="HG171" s="10">
        <v>0</v>
      </c>
      <c r="HH171" s="10">
        <v>0</v>
      </c>
      <c r="HI171" s="10">
        <v>0</v>
      </c>
      <c r="HJ171" s="10">
        <v>0</v>
      </c>
      <c r="HK171" s="10">
        <v>0</v>
      </c>
      <c r="HL171" s="10">
        <v>0</v>
      </c>
      <c r="HM171" s="10">
        <v>0</v>
      </c>
      <c r="HN171" s="10">
        <v>0</v>
      </c>
      <c r="HO171" s="10">
        <v>0</v>
      </c>
      <c r="HP171" s="10">
        <v>0</v>
      </c>
      <c r="HQ171" s="10">
        <v>0</v>
      </c>
      <c r="HR171" s="10">
        <v>0</v>
      </c>
      <c r="HS171" s="10">
        <v>0</v>
      </c>
      <c r="HT171" s="10">
        <v>0</v>
      </c>
      <c r="HU171" s="10">
        <v>0</v>
      </c>
    </row>
    <row r="172" spans="1:229" x14ac:dyDescent="0.25">
      <c r="A172" s="10">
        <v>0</v>
      </c>
      <c r="B172" s="2" t="s">
        <v>332</v>
      </c>
      <c r="C172" s="2" t="s">
        <v>333</v>
      </c>
      <c r="D172" s="2">
        <v>13.202</v>
      </c>
      <c r="E172" s="2">
        <v>4.0999999999999996</v>
      </c>
      <c r="F172" s="2">
        <v>24.5</v>
      </c>
      <c r="G172" s="2">
        <v>0.8</v>
      </c>
      <c r="H172" s="2">
        <v>18.3</v>
      </c>
      <c r="I172" s="2">
        <v>68</v>
      </c>
      <c r="J172" s="2">
        <v>6.3869999999999996</v>
      </c>
      <c r="K172" s="2">
        <v>3.2570000000000001</v>
      </c>
      <c r="L172" s="3"/>
      <c r="M172" s="2" t="str">
        <f t="shared" si="9"/>
        <v>01237</v>
      </c>
      <c r="N172" s="3">
        <v>0.57629580378408685</v>
      </c>
      <c r="O172" s="3">
        <v>1.4237041962159132</v>
      </c>
      <c r="P172" s="17">
        <v>0.57629580378409839</v>
      </c>
      <c r="Q172" s="3">
        <v>2.9612252715335932</v>
      </c>
      <c r="R172" s="3">
        <v>0.17575608090990197</v>
      </c>
      <c r="S172" s="3">
        <v>0</v>
      </c>
      <c r="T172" s="3">
        <v>0.11255848698066181</v>
      </c>
      <c r="U172" s="3">
        <v>0.57629580378408796</v>
      </c>
      <c r="V172" s="10">
        <v>1.4237041962159067</v>
      </c>
      <c r="W172" s="3">
        <v>0.98992356115980862</v>
      </c>
      <c r="X172" s="3">
        <v>7.6082572015576675</v>
      </c>
      <c r="Y172" s="3">
        <v>12.14102361328773</v>
      </c>
      <c r="Z172" s="3">
        <v>4.3060239822925981</v>
      </c>
      <c r="AA172" s="3">
        <v>0</v>
      </c>
      <c r="AB172" s="3">
        <v>2.0598203117461114</v>
      </c>
      <c r="AC172" s="10">
        <v>39.188114657317982</v>
      </c>
      <c r="AD172" s="3">
        <v>9.0931987012309961</v>
      </c>
      <c r="AE172" s="3">
        <v>3.2241810386974969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0</v>
      </c>
      <c r="AS172" s="3">
        <v>0</v>
      </c>
      <c r="AT172" s="3">
        <v>0</v>
      </c>
      <c r="AU172" s="3">
        <v>0</v>
      </c>
      <c r="AV172" s="3">
        <v>0</v>
      </c>
      <c r="AW172" s="3">
        <v>0</v>
      </c>
      <c r="AX172" s="3">
        <v>0</v>
      </c>
      <c r="AY172" s="3">
        <v>0</v>
      </c>
      <c r="AZ172" s="3">
        <v>0</v>
      </c>
      <c r="BA172" s="10">
        <v>0</v>
      </c>
      <c r="BB172" s="10">
        <v>0</v>
      </c>
      <c r="BC172" s="10">
        <v>0</v>
      </c>
      <c r="BD172" s="10">
        <v>0</v>
      </c>
      <c r="BE172" s="10">
        <v>0</v>
      </c>
      <c r="BF172" s="10">
        <v>0</v>
      </c>
      <c r="BG172" s="10">
        <v>0</v>
      </c>
      <c r="BH172" s="10">
        <v>0</v>
      </c>
      <c r="BI172" s="10">
        <v>0</v>
      </c>
      <c r="BJ172" s="10">
        <v>0</v>
      </c>
      <c r="BK172" s="10">
        <v>0</v>
      </c>
      <c r="BL172" s="10">
        <v>0</v>
      </c>
      <c r="BM172" s="10">
        <v>0</v>
      </c>
      <c r="BN172" s="10">
        <v>0</v>
      </c>
      <c r="BO172" s="10">
        <v>0</v>
      </c>
      <c r="BP172" s="10">
        <v>0</v>
      </c>
      <c r="BQ172" s="10">
        <v>0</v>
      </c>
      <c r="BR172" s="10">
        <v>0</v>
      </c>
      <c r="BS172" s="10">
        <v>0</v>
      </c>
      <c r="BT172" s="10">
        <v>0</v>
      </c>
      <c r="BU172" s="10">
        <v>0</v>
      </c>
      <c r="BV172" s="10">
        <v>0</v>
      </c>
      <c r="BW172" s="10">
        <v>0</v>
      </c>
      <c r="BX172" s="10">
        <v>0</v>
      </c>
      <c r="BY172" s="10">
        <v>0</v>
      </c>
      <c r="BZ172" s="10">
        <v>0</v>
      </c>
      <c r="CA172" s="10">
        <v>0</v>
      </c>
      <c r="CB172" s="10">
        <v>0</v>
      </c>
      <c r="CC172" s="10">
        <v>0</v>
      </c>
      <c r="CD172" s="10">
        <v>0</v>
      </c>
      <c r="CE172" s="10">
        <v>0</v>
      </c>
      <c r="CF172" s="10">
        <v>0</v>
      </c>
      <c r="CG172" s="10">
        <v>0</v>
      </c>
      <c r="CH172" s="10">
        <v>0</v>
      </c>
      <c r="CI172" s="10">
        <v>0</v>
      </c>
      <c r="CJ172" s="10">
        <v>0</v>
      </c>
      <c r="CK172" s="10">
        <v>0</v>
      </c>
      <c r="CL172" s="10">
        <v>0</v>
      </c>
      <c r="CM172" s="10">
        <v>0</v>
      </c>
      <c r="CN172" s="10">
        <v>0</v>
      </c>
      <c r="CO172" s="10">
        <v>0</v>
      </c>
      <c r="CP172" s="10">
        <v>0</v>
      </c>
      <c r="CQ172" s="10">
        <v>0</v>
      </c>
      <c r="CR172" s="10">
        <v>0</v>
      </c>
      <c r="CS172" s="10">
        <v>5.6631927752654521E-2</v>
      </c>
      <c r="CT172" s="10">
        <v>0</v>
      </c>
      <c r="CU172" s="10">
        <v>0</v>
      </c>
      <c r="CV172" s="10">
        <v>0</v>
      </c>
      <c r="CW172" s="10">
        <v>0</v>
      </c>
      <c r="CX172" s="10">
        <v>0</v>
      </c>
      <c r="CY172" s="10">
        <v>0</v>
      </c>
      <c r="CZ172" s="10">
        <v>0</v>
      </c>
      <c r="DA172" s="10">
        <v>0</v>
      </c>
      <c r="DB172" s="10">
        <v>0</v>
      </c>
      <c r="DC172" s="10">
        <v>0</v>
      </c>
      <c r="DD172" s="10">
        <v>0.20204672883266331</v>
      </c>
      <c r="DE172" s="10">
        <v>0</v>
      </c>
      <c r="DF172" s="10">
        <v>0</v>
      </c>
      <c r="DG172" s="10">
        <v>0</v>
      </c>
      <c r="DH172" s="10">
        <v>0</v>
      </c>
      <c r="DI172" s="10">
        <v>0</v>
      </c>
      <c r="DJ172" s="10">
        <v>0</v>
      </c>
      <c r="DK172" s="10">
        <v>0</v>
      </c>
      <c r="DL172" s="10">
        <v>0</v>
      </c>
      <c r="DM172" s="10">
        <v>0</v>
      </c>
      <c r="DN172" s="10">
        <v>0</v>
      </c>
      <c r="DO172" s="10">
        <v>0</v>
      </c>
      <c r="DP172" s="10">
        <v>0</v>
      </c>
      <c r="DQ172" s="10">
        <v>0</v>
      </c>
      <c r="DR172" s="10">
        <v>0</v>
      </c>
      <c r="DS172" s="10">
        <v>0.74132134341468214</v>
      </c>
      <c r="DT172" s="10">
        <v>0</v>
      </c>
      <c r="DU172" s="10">
        <v>0</v>
      </c>
      <c r="DV172" s="10">
        <v>0</v>
      </c>
      <c r="DW172" s="10">
        <v>0</v>
      </c>
      <c r="DX172" s="10">
        <v>0</v>
      </c>
      <c r="DY172" s="10">
        <v>0</v>
      </c>
      <c r="DZ172" s="10">
        <v>0</v>
      </c>
      <c r="EA172" s="10">
        <v>0</v>
      </c>
      <c r="EB172" s="10">
        <v>0</v>
      </c>
      <c r="EC172" s="10">
        <v>0</v>
      </c>
      <c r="ED172" s="10">
        <v>0</v>
      </c>
      <c r="EE172" s="10">
        <v>0</v>
      </c>
      <c r="EF172" s="10">
        <v>0</v>
      </c>
      <c r="EG172" s="10">
        <v>0</v>
      </c>
      <c r="EH172" s="10">
        <v>0</v>
      </c>
      <c r="EI172" s="10">
        <v>0</v>
      </c>
      <c r="EJ172" s="10">
        <v>0</v>
      </c>
      <c r="EK172" s="10">
        <v>0</v>
      </c>
      <c r="EL172" s="10">
        <v>0</v>
      </c>
      <c r="EM172" s="10">
        <v>0</v>
      </c>
      <c r="EN172" s="10">
        <v>0</v>
      </c>
      <c r="EO172" s="10">
        <v>0</v>
      </c>
      <c r="EP172" s="10">
        <v>0</v>
      </c>
      <c r="EQ172" s="10">
        <v>0</v>
      </c>
      <c r="ER172" s="10">
        <v>0</v>
      </c>
      <c r="ES172" s="10">
        <v>0</v>
      </c>
      <c r="ET172" s="10">
        <v>0</v>
      </c>
      <c r="EU172" s="10">
        <v>0</v>
      </c>
      <c r="EV172" s="10">
        <v>0</v>
      </c>
      <c r="EW172" s="10">
        <v>0</v>
      </c>
      <c r="EX172" s="10">
        <v>0</v>
      </c>
      <c r="EY172" s="10">
        <v>0</v>
      </c>
      <c r="EZ172" s="10">
        <v>0</v>
      </c>
      <c r="FA172" s="10">
        <v>0</v>
      </c>
      <c r="FB172" s="10">
        <v>0</v>
      </c>
      <c r="FC172" s="10">
        <v>0</v>
      </c>
      <c r="FD172" s="10">
        <v>0</v>
      </c>
      <c r="FE172" s="10">
        <v>0</v>
      </c>
      <c r="FF172" s="10">
        <v>0</v>
      </c>
      <c r="FG172" s="10">
        <v>0</v>
      </c>
      <c r="FH172" s="10">
        <v>0</v>
      </c>
      <c r="FI172" s="10">
        <v>0</v>
      </c>
      <c r="FJ172" s="10">
        <v>0</v>
      </c>
      <c r="FK172" s="10">
        <v>0</v>
      </c>
      <c r="FL172" s="10">
        <v>0</v>
      </c>
      <c r="FM172" s="10">
        <v>0</v>
      </c>
      <c r="FN172" s="10">
        <v>0</v>
      </c>
      <c r="FO172" s="10">
        <v>0</v>
      </c>
      <c r="FP172" s="10">
        <v>0</v>
      </c>
      <c r="FQ172" s="10">
        <v>0</v>
      </c>
      <c r="FR172" s="10">
        <v>0</v>
      </c>
      <c r="FS172" s="10">
        <v>0</v>
      </c>
      <c r="FT172" s="10">
        <v>0</v>
      </c>
      <c r="FU172" s="10">
        <v>0</v>
      </c>
      <c r="FV172" s="10">
        <v>0</v>
      </c>
      <c r="FW172" s="10">
        <v>0</v>
      </c>
      <c r="FX172" s="10">
        <v>0</v>
      </c>
      <c r="FY172" s="10">
        <v>0</v>
      </c>
      <c r="FZ172" s="10">
        <v>0</v>
      </c>
      <c r="GA172" s="10">
        <v>0</v>
      </c>
      <c r="GB172" s="10">
        <v>0</v>
      </c>
      <c r="GC172" s="10">
        <v>0</v>
      </c>
      <c r="GD172" s="10">
        <v>0</v>
      </c>
      <c r="GE172" s="10">
        <v>0</v>
      </c>
      <c r="GF172" s="10">
        <v>0</v>
      </c>
      <c r="GG172" s="10">
        <v>0</v>
      </c>
      <c r="GH172" s="10">
        <v>0</v>
      </c>
      <c r="GI172" s="10">
        <v>0</v>
      </c>
      <c r="GJ172" s="10">
        <v>0</v>
      </c>
      <c r="GK172" s="10">
        <v>0</v>
      </c>
      <c r="GL172" s="10">
        <v>0</v>
      </c>
      <c r="GM172" s="10">
        <v>0</v>
      </c>
      <c r="GN172" s="10">
        <v>0</v>
      </c>
      <c r="GO172" s="10">
        <v>0</v>
      </c>
      <c r="GP172" s="10">
        <v>0</v>
      </c>
      <c r="GQ172" s="10">
        <v>0</v>
      </c>
      <c r="GR172" s="10">
        <v>0</v>
      </c>
      <c r="GS172" s="10">
        <v>0</v>
      </c>
      <c r="GT172" s="10">
        <v>0</v>
      </c>
      <c r="GU172" s="10">
        <v>0</v>
      </c>
      <c r="GV172" s="10">
        <v>0</v>
      </c>
      <c r="GW172" s="10">
        <v>0</v>
      </c>
      <c r="GX172" s="10">
        <v>0</v>
      </c>
      <c r="GY172" s="10">
        <v>0</v>
      </c>
      <c r="GZ172" s="10">
        <v>0</v>
      </c>
      <c r="HA172" s="10">
        <v>0</v>
      </c>
      <c r="HB172" s="10">
        <v>0</v>
      </c>
      <c r="HC172" s="10">
        <v>0</v>
      </c>
      <c r="HD172" s="10">
        <v>0</v>
      </c>
      <c r="HE172" s="10">
        <v>0</v>
      </c>
      <c r="HF172" s="10">
        <v>0</v>
      </c>
      <c r="HG172" s="10">
        <v>0</v>
      </c>
      <c r="HH172" s="10">
        <v>0</v>
      </c>
      <c r="HI172" s="10">
        <v>0</v>
      </c>
      <c r="HJ172" s="10">
        <v>0</v>
      </c>
      <c r="HK172" s="10">
        <v>0</v>
      </c>
      <c r="HL172" s="10">
        <v>0</v>
      </c>
      <c r="HM172" s="10">
        <v>0</v>
      </c>
      <c r="HN172" s="10">
        <v>0</v>
      </c>
      <c r="HO172" s="10">
        <v>0</v>
      </c>
      <c r="HP172" s="10">
        <v>0</v>
      </c>
      <c r="HQ172" s="10">
        <v>0</v>
      </c>
      <c r="HR172" s="10">
        <v>0</v>
      </c>
      <c r="HS172" s="10">
        <v>0</v>
      </c>
      <c r="HT172" s="10">
        <v>0</v>
      </c>
      <c r="HU172" s="10">
        <v>0</v>
      </c>
    </row>
    <row r="173" spans="1:229" x14ac:dyDescent="0.25">
      <c r="A173" s="10">
        <v>0</v>
      </c>
      <c r="B173" s="2" t="s">
        <v>334</v>
      </c>
      <c r="C173" s="2" t="s">
        <v>335</v>
      </c>
      <c r="D173" s="2">
        <v>2.3170000000000002</v>
      </c>
      <c r="E173" s="2">
        <v>4.29</v>
      </c>
      <c r="F173" s="2">
        <v>37.14</v>
      </c>
      <c r="G173" s="2">
        <v>0</v>
      </c>
      <c r="H173" s="2">
        <v>18.57</v>
      </c>
      <c r="I173" s="2">
        <v>129</v>
      </c>
      <c r="J173" s="2">
        <v>2.661</v>
      </c>
      <c r="K173" s="2">
        <v>2.2719999999999998</v>
      </c>
      <c r="L173" s="3"/>
      <c r="M173" s="2" t="str">
        <f t="shared" si="9"/>
        <v>01238</v>
      </c>
      <c r="N173" s="3">
        <v>0.65186416735323971</v>
      </c>
      <c r="O173" s="10">
        <v>1.3481358326467603</v>
      </c>
      <c r="P173" s="20">
        <v>0.65186416735332886</v>
      </c>
      <c r="Q173" s="3">
        <v>2.0049910114739689</v>
      </c>
      <c r="R173" s="3">
        <v>0.16311468826120296</v>
      </c>
      <c r="S173" s="3" t="e">
        <v>#DIV/0!</v>
      </c>
      <c r="T173" s="3">
        <v>3.366556189229937E-2</v>
      </c>
      <c r="U173" s="10">
        <v>0.6518641673532396</v>
      </c>
      <c r="V173" s="10">
        <v>1.3481358326467558</v>
      </c>
      <c r="W173" s="10">
        <v>0.49056389408758971</v>
      </c>
      <c r="X173" s="10">
        <v>1.510369275757663</v>
      </c>
      <c r="Y173" s="3">
        <v>8.6014114392233267</v>
      </c>
      <c r="Z173" s="10">
        <v>6.0580795220210781</v>
      </c>
      <c r="AA173" s="3">
        <v>0.7248542974889397</v>
      </c>
      <c r="AB173" s="10">
        <v>0.6251694843399993</v>
      </c>
      <c r="AC173" s="10">
        <v>84.090477588567907</v>
      </c>
      <c r="AD173" s="10">
        <v>3.5873894506730171</v>
      </c>
      <c r="AE173" s="10">
        <v>1.1145611673670037</v>
      </c>
      <c r="AF173" s="10">
        <v>0</v>
      </c>
      <c r="AG173" s="10">
        <v>0</v>
      </c>
      <c r="AH173" s="10">
        <v>0</v>
      </c>
      <c r="AI173" s="10">
        <v>0</v>
      </c>
      <c r="AJ173" s="10">
        <v>0</v>
      </c>
      <c r="AK173" s="3">
        <v>0</v>
      </c>
      <c r="AL173" s="10">
        <v>0</v>
      </c>
      <c r="AM173" s="10">
        <v>0</v>
      </c>
      <c r="AN173" s="10">
        <v>0</v>
      </c>
      <c r="AO173" s="10">
        <v>0</v>
      </c>
      <c r="AP173" s="10">
        <v>0</v>
      </c>
      <c r="AQ173" s="10">
        <v>0</v>
      </c>
      <c r="AR173" s="10">
        <v>0</v>
      </c>
      <c r="AS173" s="10">
        <v>0</v>
      </c>
      <c r="AT173" s="10">
        <v>0</v>
      </c>
      <c r="AU173" s="10">
        <v>0</v>
      </c>
      <c r="AV173" s="10">
        <v>0</v>
      </c>
      <c r="AW173" s="3">
        <v>0</v>
      </c>
      <c r="AX173" s="10">
        <v>0</v>
      </c>
      <c r="AY173" s="10">
        <v>0</v>
      </c>
      <c r="AZ173" s="3">
        <v>0</v>
      </c>
      <c r="BA173" s="10">
        <v>0</v>
      </c>
      <c r="BB173" s="10">
        <v>0</v>
      </c>
      <c r="BC173" s="10">
        <v>0</v>
      </c>
      <c r="BD173" s="10">
        <v>0</v>
      </c>
      <c r="BE173" s="10">
        <v>0</v>
      </c>
      <c r="BF173" s="10">
        <v>0</v>
      </c>
      <c r="BG173" s="10">
        <v>0</v>
      </c>
      <c r="BH173" s="10">
        <v>0</v>
      </c>
      <c r="BI173" s="10">
        <v>0</v>
      </c>
      <c r="BJ173" s="10">
        <v>0</v>
      </c>
      <c r="BK173" s="10">
        <v>0</v>
      </c>
      <c r="BL173" s="10">
        <v>0</v>
      </c>
      <c r="BM173" s="10">
        <v>0</v>
      </c>
      <c r="BN173" s="10">
        <v>0</v>
      </c>
      <c r="BO173" s="10">
        <v>0</v>
      </c>
      <c r="BP173" s="10">
        <v>0</v>
      </c>
      <c r="BQ173" s="10">
        <v>0</v>
      </c>
      <c r="BR173" s="10">
        <v>0</v>
      </c>
      <c r="BS173" s="10">
        <v>0</v>
      </c>
      <c r="BT173" s="10">
        <v>0</v>
      </c>
      <c r="BU173" s="10">
        <v>0</v>
      </c>
      <c r="BV173" s="10">
        <v>0</v>
      </c>
      <c r="BW173" s="10">
        <v>0</v>
      </c>
      <c r="BX173" s="10">
        <v>0</v>
      </c>
      <c r="BY173" s="10">
        <v>0</v>
      </c>
      <c r="BZ173" s="10">
        <v>0</v>
      </c>
      <c r="CA173" s="10">
        <v>0.82250912808200327</v>
      </c>
      <c r="CB173" s="10">
        <v>0</v>
      </c>
      <c r="CC173" s="10">
        <v>0</v>
      </c>
      <c r="CD173" s="10">
        <v>0</v>
      </c>
      <c r="CE173" s="10">
        <v>0</v>
      </c>
      <c r="CF173" s="10">
        <v>0</v>
      </c>
      <c r="CG173" s="10">
        <v>0</v>
      </c>
      <c r="CH173" s="10">
        <v>0</v>
      </c>
      <c r="CI173" s="10">
        <v>0</v>
      </c>
      <c r="CJ173" s="10">
        <v>0</v>
      </c>
      <c r="CK173" s="10">
        <v>0</v>
      </c>
      <c r="CL173" s="10">
        <v>0</v>
      </c>
      <c r="CM173" s="10">
        <v>0</v>
      </c>
      <c r="CN173" s="10">
        <v>0</v>
      </c>
      <c r="CO173" s="10">
        <v>0</v>
      </c>
      <c r="CP173" s="10">
        <v>0</v>
      </c>
      <c r="CQ173" s="10">
        <v>0</v>
      </c>
      <c r="CR173" s="10">
        <v>0</v>
      </c>
      <c r="CS173" s="10">
        <v>0</v>
      </c>
      <c r="CT173" s="10">
        <v>0</v>
      </c>
      <c r="CU173" s="10">
        <v>0</v>
      </c>
      <c r="CV173" s="10">
        <v>0</v>
      </c>
      <c r="CW173" s="10">
        <v>0</v>
      </c>
      <c r="CX173" s="10">
        <v>0</v>
      </c>
      <c r="CY173" s="10">
        <v>0</v>
      </c>
      <c r="CZ173" s="10">
        <v>0</v>
      </c>
      <c r="DA173" s="10">
        <v>0</v>
      </c>
      <c r="DB173" s="10">
        <v>0</v>
      </c>
      <c r="DC173" s="10">
        <v>0</v>
      </c>
      <c r="DD173" s="10">
        <v>0</v>
      </c>
      <c r="DE173" s="10">
        <v>0</v>
      </c>
      <c r="DF173" s="10">
        <v>0</v>
      </c>
      <c r="DG173" s="10">
        <v>0</v>
      </c>
      <c r="DH173" s="10">
        <v>0</v>
      </c>
      <c r="DI173" s="10">
        <v>0</v>
      </c>
      <c r="DJ173" s="10">
        <v>0</v>
      </c>
      <c r="DK173" s="10">
        <v>0</v>
      </c>
      <c r="DL173" s="10">
        <v>0</v>
      </c>
      <c r="DM173" s="10">
        <v>0</v>
      </c>
      <c r="DN173" s="10">
        <v>0</v>
      </c>
      <c r="DO173" s="10">
        <v>0</v>
      </c>
      <c r="DP173" s="10">
        <v>0</v>
      </c>
      <c r="DQ173" s="10">
        <v>0</v>
      </c>
      <c r="DR173" s="10">
        <v>0</v>
      </c>
      <c r="DS173" s="10">
        <v>7.5398717342089916E-2</v>
      </c>
      <c r="DT173" s="10">
        <v>0</v>
      </c>
      <c r="DU173" s="10">
        <v>0</v>
      </c>
      <c r="DV173" s="10">
        <v>0</v>
      </c>
      <c r="DW173" s="10">
        <v>0</v>
      </c>
      <c r="DX173" s="10">
        <v>0</v>
      </c>
      <c r="DY173" s="10">
        <v>0</v>
      </c>
      <c r="DZ173" s="10">
        <v>0</v>
      </c>
      <c r="EA173" s="10">
        <v>0</v>
      </c>
      <c r="EB173" s="10">
        <v>0</v>
      </c>
      <c r="EC173" s="10">
        <v>0</v>
      </c>
      <c r="ED173" s="10">
        <v>0</v>
      </c>
      <c r="EE173" s="10">
        <v>0</v>
      </c>
      <c r="EF173" s="10">
        <v>0</v>
      </c>
      <c r="EG173" s="10">
        <v>0</v>
      </c>
      <c r="EH173" s="10">
        <v>0</v>
      </c>
      <c r="EI173" s="10">
        <v>0</v>
      </c>
      <c r="EJ173" s="10">
        <v>0</v>
      </c>
      <c r="EK173" s="10">
        <v>0</v>
      </c>
      <c r="EL173" s="10">
        <v>0</v>
      </c>
      <c r="EM173" s="10">
        <v>0</v>
      </c>
      <c r="EN173" s="10">
        <v>0</v>
      </c>
      <c r="EO173" s="10">
        <v>0</v>
      </c>
      <c r="EP173" s="10">
        <v>0</v>
      </c>
      <c r="EQ173" s="10">
        <v>0</v>
      </c>
      <c r="ER173" s="10">
        <v>0</v>
      </c>
      <c r="ES173" s="10">
        <v>0</v>
      </c>
      <c r="ET173" s="10">
        <v>0</v>
      </c>
      <c r="EU173" s="10">
        <v>0</v>
      </c>
      <c r="EV173" s="10">
        <v>0</v>
      </c>
      <c r="EW173" s="10">
        <v>0</v>
      </c>
      <c r="EX173" s="10">
        <v>0</v>
      </c>
      <c r="EY173" s="10">
        <v>0</v>
      </c>
      <c r="EZ173" s="10">
        <v>0</v>
      </c>
      <c r="FA173" s="10">
        <v>0</v>
      </c>
      <c r="FB173" s="10">
        <v>0</v>
      </c>
      <c r="FC173" s="10">
        <v>0</v>
      </c>
      <c r="FD173" s="10">
        <v>0</v>
      </c>
      <c r="FE173" s="10">
        <v>0</v>
      </c>
      <c r="FF173" s="10">
        <v>0</v>
      </c>
      <c r="FG173" s="10">
        <v>0</v>
      </c>
      <c r="FH173" s="10">
        <v>0</v>
      </c>
      <c r="FI173" s="10">
        <v>0</v>
      </c>
      <c r="FJ173" s="10">
        <v>0</v>
      </c>
      <c r="FK173" s="10">
        <v>0</v>
      </c>
      <c r="FL173" s="10">
        <v>0</v>
      </c>
      <c r="FM173" s="10">
        <v>0</v>
      </c>
      <c r="FN173" s="10">
        <v>0</v>
      </c>
      <c r="FO173" s="10">
        <v>0</v>
      </c>
      <c r="FP173" s="10">
        <v>0</v>
      </c>
      <c r="FQ173" s="10">
        <v>0</v>
      </c>
      <c r="FR173" s="10">
        <v>0</v>
      </c>
      <c r="FS173" s="10">
        <v>0</v>
      </c>
      <c r="FT173" s="10">
        <v>0</v>
      </c>
      <c r="FU173" s="10">
        <v>0</v>
      </c>
      <c r="FV173" s="10">
        <v>0</v>
      </c>
      <c r="FW173" s="10">
        <v>0</v>
      </c>
      <c r="FX173" s="10">
        <v>0</v>
      </c>
      <c r="FY173" s="10">
        <v>0</v>
      </c>
      <c r="FZ173" s="10">
        <v>0</v>
      </c>
      <c r="GA173" s="10">
        <v>0.10209215457590701</v>
      </c>
      <c r="GB173" s="10">
        <v>0</v>
      </c>
      <c r="GC173" s="10">
        <v>0</v>
      </c>
      <c r="GD173" s="10">
        <v>0</v>
      </c>
      <c r="GE173" s="10">
        <v>0</v>
      </c>
      <c r="GF173" s="10">
        <v>0</v>
      </c>
      <c r="GG173" s="10">
        <v>0</v>
      </c>
      <c r="GH173" s="10">
        <v>0</v>
      </c>
      <c r="GI173" s="10">
        <v>0</v>
      </c>
      <c r="GJ173" s="10">
        <v>0</v>
      </c>
      <c r="GK173" s="10">
        <v>0</v>
      </c>
      <c r="GL173" s="10">
        <v>0</v>
      </c>
      <c r="GM173" s="10">
        <v>0</v>
      </c>
      <c r="GN173" s="10">
        <v>0</v>
      </c>
      <c r="GO173" s="10">
        <v>0</v>
      </c>
      <c r="GP173" s="10">
        <v>0</v>
      </c>
      <c r="GQ173" s="10">
        <v>0</v>
      </c>
      <c r="GR173" s="10">
        <v>0</v>
      </c>
      <c r="GS173" s="10">
        <v>0</v>
      </c>
      <c r="GT173" s="10">
        <v>0</v>
      </c>
      <c r="GU173" s="10">
        <v>0</v>
      </c>
      <c r="GV173" s="10">
        <v>0</v>
      </c>
      <c r="GW173" s="10">
        <v>0</v>
      </c>
      <c r="GX173" s="10">
        <v>0</v>
      </c>
      <c r="GY173" s="10">
        <v>0</v>
      </c>
      <c r="GZ173" s="10">
        <v>0</v>
      </c>
      <c r="HA173" s="10">
        <v>0</v>
      </c>
      <c r="HB173" s="10">
        <v>0</v>
      </c>
      <c r="HC173" s="10">
        <v>0</v>
      </c>
      <c r="HD173" s="10">
        <v>0</v>
      </c>
      <c r="HE173" s="10">
        <v>0</v>
      </c>
      <c r="HF173" s="10">
        <v>0</v>
      </c>
      <c r="HG173" s="10">
        <v>0</v>
      </c>
      <c r="HH173" s="10">
        <v>0</v>
      </c>
      <c r="HI173" s="10">
        <v>0</v>
      </c>
      <c r="HJ173" s="10">
        <v>0</v>
      </c>
      <c r="HK173" s="10">
        <v>0</v>
      </c>
      <c r="HL173" s="10">
        <v>0</v>
      </c>
      <c r="HM173" s="10">
        <v>0</v>
      </c>
      <c r="HN173" s="10">
        <v>0</v>
      </c>
      <c r="HO173" s="10">
        <v>0</v>
      </c>
      <c r="HP173" s="10">
        <v>0</v>
      </c>
      <c r="HQ173" s="10">
        <v>0</v>
      </c>
      <c r="HR173" s="10">
        <v>0</v>
      </c>
      <c r="HS173" s="10">
        <v>0</v>
      </c>
      <c r="HT173" s="10">
        <v>0</v>
      </c>
      <c r="HU173" s="10">
        <v>0</v>
      </c>
    </row>
    <row r="174" spans="1:229" x14ac:dyDescent="0.25">
      <c r="A174" s="10">
        <v>0</v>
      </c>
      <c r="B174" s="2" t="s">
        <v>336</v>
      </c>
      <c r="C174" s="2" t="s">
        <v>337</v>
      </c>
      <c r="D174" s="2">
        <v>1.663</v>
      </c>
      <c r="E174" s="2">
        <v>3.7</v>
      </c>
      <c r="F174" s="2">
        <v>39.6</v>
      </c>
      <c r="G174" s="2">
        <v>1.2</v>
      </c>
      <c r="H174" s="2">
        <v>21.3</v>
      </c>
      <c r="I174" s="2">
        <v>162</v>
      </c>
      <c r="J174" s="2">
        <v>4.1500000000000004</v>
      </c>
      <c r="K174" s="2">
        <v>0.84699999999999998</v>
      </c>
      <c r="L174" s="3"/>
      <c r="M174" s="2" t="str">
        <f t="shared" si="9"/>
        <v>01239</v>
      </c>
      <c r="N174" s="3">
        <v>0.8025201349834048</v>
      </c>
      <c r="O174" s="10">
        <v>1.197479865016595</v>
      </c>
      <c r="P174" s="20">
        <v>0.80252013498362074</v>
      </c>
      <c r="Q174" s="3">
        <v>4.1265412132848587</v>
      </c>
      <c r="R174" s="3">
        <v>0.21225486521462175</v>
      </c>
      <c r="S174" s="3">
        <v>1.5960179271314539</v>
      </c>
      <c r="T174" s="3">
        <v>7.3375304090684074E-2</v>
      </c>
      <c r="U174" s="10">
        <v>0.80252013498340458</v>
      </c>
      <c r="V174" s="10">
        <v>1.1974798650166221</v>
      </c>
      <c r="W174" s="10">
        <v>1.3750741879800763</v>
      </c>
      <c r="X174" s="10">
        <v>1.3345909844777613</v>
      </c>
      <c r="Y174" s="3">
        <v>15.268202489153978</v>
      </c>
      <c r="Z174" s="10">
        <v>8.4052926624990221</v>
      </c>
      <c r="AA174" s="3">
        <v>1.9152215125577445</v>
      </c>
      <c r="AB174" s="10">
        <v>1.5628939771315709</v>
      </c>
      <c r="AC174" s="10">
        <v>130.00826186731155</v>
      </c>
      <c r="AD174" s="10">
        <v>4.9695414398189817</v>
      </c>
      <c r="AE174" s="10">
        <v>1.1646878372191245</v>
      </c>
      <c r="AF174" s="10">
        <v>0</v>
      </c>
      <c r="AG174" s="10">
        <v>0</v>
      </c>
      <c r="AH174" s="10">
        <v>0</v>
      </c>
      <c r="AI174" s="10">
        <v>0</v>
      </c>
      <c r="AJ174" s="10">
        <v>0</v>
      </c>
      <c r="AK174" s="3">
        <v>0</v>
      </c>
      <c r="AL174" s="10">
        <v>0</v>
      </c>
      <c r="AM174" s="10">
        <v>0</v>
      </c>
      <c r="AN174" s="10">
        <v>0</v>
      </c>
      <c r="AO174" s="10">
        <v>0</v>
      </c>
      <c r="AP174" s="10">
        <v>0</v>
      </c>
      <c r="AQ174" s="10">
        <v>0</v>
      </c>
      <c r="AR174" s="10">
        <v>0</v>
      </c>
      <c r="AS174" s="10">
        <v>0</v>
      </c>
      <c r="AT174" s="10">
        <v>0</v>
      </c>
      <c r="AU174" s="10">
        <v>0</v>
      </c>
      <c r="AV174" s="10">
        <v>0</v>
      </c>
      <c r="AW174" s="3">
        <v>0</v>
      </c>
      <c r="AX174" s="10">
        <v>0</v>
      </c>
      <c r="AY174" s="10">
        <v>0</v>
      </c>
      <c r="AZ174" s="3">
        <v>0</v>
      </c>
      <c r="BA174" s="10">
        <v>0</v>
      </c>
      <c r="BB174" s="10">
        <v>0</v>
      </c>
      <c r="BC174" s="10">
        <v>0</v>
      </c>
      <c r="BD174" s="10">
        <v>0</v>
      </c>
      <c r="BE174" s="10">
        <v>0</v>
      </c>
      <c r="BF174" s="10">
        <v>0</v>
      </c>
      <c r="BG174" s="10">
        <v>0</v>
      </c>
      <c r="BH174" s="10">
        <v>0</v>
      </c>
      <c r="BI174" s="10">
        <v>0</v>
      </c>
      <c r="BJ174" s="10">
        <v>0</v>
      </c>
      <c r="BK174" s="10">
        <v>0</v>
      </c>
      <c r="BL174" s="10">
        <v>0</v>
      </c>
      <c r="BM174" s="10">
        <v>0</v>
      </c>
      <c r="BN174" s="10">
        <v>0</v>
      </c>
      <c r="BO174" s="10">
        <v>0</v>
      </c>
      <c r="BP174" s="10">
        <v>0</v>
      </c>
      <c r="BQ174" s="10">
        <v>0</v>
      </c>
      <c r="BR174" s="10">
        <v>0</v>
      </c>
      <c r="BS174" s="10">
        <v>0</v>
      </c>
      <c r="BT174" s="10">
        <v>0</v>
      </c>
      <c r="BU174" s="10">
        <v>0</v>
      </c>
      <c r="BV174" s="10">
        <v>0</v>
      </c>
      <c r="BW174" s="10">
        <v>0</v>
      </c>
      <c r="BX174" s="10">
        <v>0</v>
      </c>
      <c r="BY174" s="10">
        <v>0</v>
      </c>
      <c r="BZ174" s="10">
        <v>0</v>
      </c>
      <c r="CA174" s="10">
        <v>0.68984998793718089</v>
      </c>
      <c r="CB174" s="10">
        <v>0</v>
      </c>
      <c r="CC174" s="10">
        <v>0</v>
      </c>
      <c r="CD174" s="10">
        <v>0</v>
      </c>
      <c r="CE174" s="10">
        <v>0</v>
      </c>
      <c r="CF174" s="10">
        <v>0</v>
      </c>
      <c r="CG174" s="10">
        <v>0</v>
      </c>
      <c r="CH174" s="10">
        <v>0</v>
      </c>
      <c r="CI174" s="10">
        <v>0</v>
      </c>
      <c r="CJ174" s="10">
        <v>0</v>
      </c>
      <c r="CK174" s="10">
        <v>0</v>
      </c>
      <c r="CL174" s="10">
        <v>0</v>
      </c>
      <c r="CM174" s="10">
        <v>0</v>
      </c>
      <c r="CN174" s="10">
        <v>0</v>
      </c>
      <c r="CO174" s="10">
        <v>0</v>
      </c>
      <c r="CP174" s="10">
        <v>0</v>
      </c>
      <c r="CQ174" s="10">
        <v>0</v>
      </c>
      <c r="CR174" s="10">
        <v>0</v>
      </c>
      <c r="CS174" s="10">
        <v>0</v>
      </c>
      <c r="CT174" s="10">
        <v>0</v>
      </c>
      <c r="CU174" s="10">
        <v>0</v>
      </c>
      <c r="CV174" s="10">
        <v>0</v>
      </c>
      <c r="CW174" s="10">
        <v>0</v>
      </c>
      <c r="CX174" s="10">
        <v>0</v>
      </c>
      <c r="CY174" s="10">
        <v>0</v>
      </c>
      <c r="CZ174" s="10">
        <v>0</v>
      </c>
      <c r="DA174" s="10">
        <v>0</v>
      </c>
      <c r="DB174" s="10">
        <v>0</v>
      </c>
      <c r="DC174" s="10">
        <v>0</v>
      </c>
      <c r="DD174" s="10">
        <v>0</v>
      </c>
      <c r="DE174" s="10">
        <v>0</v>
      </c>
      <c r="DF174" s="10">
        <v>0</v>
      </c>
      <c r="DG174" s="10">
        <v>0</v>
      </c>
      <c r="DH174" s="10">
        <v>0</v>
      </c>
      <c r="DI174" s="10">
        <v>0</v>
      </c>
      <c r="DJ174" s="10">
        <v>0</v>
      </c>
      <c r="DK174" s="10">
        <v>0</v>
      </c>
      <c r="DL174" s="10">
        <v>0</v>
      </c>
      <c r="DM174" s="10">
        <v>0</v>
      </c>
      <c r="DN174" s="10">
        <v>0</v>
      </c>
      <c r="DO174" s="10">
        <v>0</v>
      </c>
      <c r="DP174" s="10">
        <v>0</v>
      </c>
      <c r="DQ174" s="10">
        <v>0</v>
      </c>
      <c r="DR174" s="10">
        <v>0</v>
      </c>
      <c r="DS174" s="10">
        <v>4.040050325186903E-2</v>
      </c>
      <c r="DT174" s="10">
        <v>0</v>
      </c>
      <c r="DU174" s="10">
        <v>0</v>
      </c>
      <c r="DV174" s="10">
        <v>0</v>
      </c>
      <c r="DW174" s="10">
        <v>0</v>
      </c>
      <c r="DX174" s="10">
        <v>0</v>
      </c>
      <c r="DY174" s="10">
        <v>0</v>
      </c>
      <c r="DZ174" s="10">
        <v>0</v>
      </c>
      <c r="EA174" s="10">
        <v>0</v>
      </c>
      <c r="EB174" s="10">
        <v>0</v>
      </c>
      <c r="EC174" s="10">
        <v>0</v>
      </c>
      <c r="ED174" s="10">
        <v>0</v>
      </c>
      <c r="EE174" s="10">
        <v>0</v>
      </c>
      <c r="EF174" s="10">
        <v>0</v>
      </c>
      <c r="EG174" s="10">
        <v>0</v>
      </c>
      <c r="EH174" s="10">
        <v>0</v>
      </c>
      <c r="EI174" s="10">
        <v>0</v>
      </c>
      <c r="EJ174" s="10">
        <v>0</v>
      </c>
      <c r="EK174" s="10">
        <v>0</v>
      </c>
      <c r="EL174" s="10">
        <v>0</v>
      </c>
      <c r="EM174" s="10">
        <v>0</v>
      </c>
      <c r="EN174" s="10">
        <v>0</v>
      </c>
      <c r="EO174" s="10">
        <v>0</v>
      </c>
      <c r="EP174" s="10">
        <v>0</v>
      </c>
      <c r="EQ174" s="10">
        <v>0</v>
      </c>
      <c r="ER174" s="10">
        <v>0</v>
      </c>
      <c r="ES174" s="10">
        <v>0</v>
      </c>
      <c r="ET174" s="10">
        <v>0</v>
      </c>
      <c r="EU174" s="10">
        <v>0</v>
      </c>
      <c r="EV174" s="10">
        <v>0</v>
      </c>
      <c r="EW174" s="10">
        <v>0</v>
      </c>
      <c r="EX174" s="10">
        <v>0</v>
      </c>
      <c r="EY174" s="10">
        <v>0</v>
      </c>
      <c r="EZ174" s="10">
        <v>0</v>
      </c>
      <c r="FA174" s="10">
        <v>0</v>
      </c>
      <c r="FB174" s="10">
        <v>0</v>
      </c>
      <c r="FC174" s="10">
        <v>0</v>
      </c>
      <c r="FD174" s="10">
        <v>0</v>
      </c>
      <c r="FE174" s="10">
        <v>0</v>
      </c>
      <c r="FF174" s="10">
        <v>0</v>
      </c>
      <c r="FG174" s="10">
        <v>0</v>
      </c>
      <c r="FH174" s="10">
        <v>0</v>
      </c>
      <c r="FI174" s="10">
        <v>0</v>
      </c>
      <c r="FJ174" s="10">
        <v>0</v>
      </c>
      <c r="FK174" s="10">
        <v>0</v>
      </c>
      <c r="FL174" s="10">
        <v>0</v>
      </c>
      <c r="FM174" s="10">
        <v>0</v>
      </c>
      <c r="FN174" s="10">
        <v>0</v>
      </c>
      <c r="FO174" s="10">
        <v>0</v>
      </c>
      <c r="FP174" s="10">
        <v>0</v>
      </c>
      <c r="FQ174" s="10">
        <v>0</v>
      </c>
      <c r="FR174" s="10">
        <v>0</v>
      </c>
      <c r="FS174" s="10">
        <v>0</v>
      </c>
      <c r="FT174" s="10">
        <v>0</v>
      </c>
      <c r="FU174" s="10">
        <v>0</v>
      </c>
      <c r="FV174" s="10">
        <v>0</v>
      </c>
      <c r="FW174" s="10">
        <v>0</v>
      </c>
      <c r="FX174" s="10">
        <v>0</v>
      </c>
      <c r="FY174" s="10">
        <v>0</v>
      </c>
      <c r="FZ174" s="10">
        <v>0</v>
      </c>
      <c r="GA174" s="10">
        <v>0.26974950881094995</v>
      </c>
      <c r="GB174" s="10">
        <v>0</v>
      </c>
      <c r="GC174" s="10">
        <v>0</v>
      </c>
      <c r="GD174" s="10">
        <v>0</v>
      </c>
      <c r="GE174" s="10">
        <v>0</v>
      </c>
      <c r="GF174" s="10">
        <v>0</v>
      </c>
      <c r="GG174" s="10">
        <v>0</v>
      </c>
      <c r="GH174" s="10">
        <v>0</v>
      </c>
      <c r="GI174" s="10">
        <v>0</v>
      </c>
      <c r="GJ174" s="10">
        <v>0</v>
      </c>
      <c r="GK174" s="10">
        <v>0</v>
      </c>
      <c r="GL174" s="10">
        <v>0</v>
      </c>
      <c r="GM174" s="10">
        <v>0</v>
      </c>
      <c r="GN174" s="10">
        <v>0</v>
      </c>
      <c r="GO174" s="10">
        <v>0</v>
      </c>
      <c r="GP174" s="10">
        <v>0</v>
      </c>
      <c r="GQ174" s="10">
        <v>0</v>
      </c>
      <c r="GR174" s="10">
        <v>0</v>
      </c>
      <c r="GS174" s="10">
        <v>0</v>
      </c>
      <c r="GT174" s="10">
        <v>0</v>
      </c>
      <c r="GU174" s="10">
        <v>0</v>
      </c>
      <c r="GV174" s="10">
        <v>0</v>
      </c>
      <c r="GW174" s="10">
        <v>0</v>
      </c>
      <c r="GX174" s="10">
        <v>0</v>
      </c>
      <c r="GY174" s="10">
        <v>0</v>
      </c>
      <c r="GZ174" s="10">
        <v>0</v>
      </c>
      <c r="HA174" s="10">
        <v>0</v>
      </c>
      <c r="HB174" s="10">
        <v>0</v>
      </c>
      <c r="HC174" s="10">
        <v>0</v>
      </c>
      <c r="HD174" s="10">
        <v>0</v>
      </c>
      <c r="HE174" s="10">
        <v>0</v>
      </c>
      <c r="HF174" s="10">
        <v>0</v>
      </c>
      <c r="HG174" s="10">
        <v>0</v>
      </c>
      <c r="HH174" s="10">
        <v>0</v>
      </c>
      <c r="HI174" s="10">
        <v>0</v>
      </c>
      <c r="HJ174" s="10">
        <v>0</v>
      </c>
      <c r="HK174" s="10">
        <v>0</v>
      </c>
      <c r="HL174" s="10">
        <v>0</v>
      </c>
      <c r="HM174" s="10">
        <v>0</v>
      </c>
      <c r="HN174" s="10">
        <v>0</v>
      </c>
      <c r="HO174" s="10">
        <v>0</v>
      </c>
      <c r="HP174" s="10">
        <v>0</v>
      </c>
      <c r="HQ174" s="10">
        <v>0</v>
      </c>
      <c r="HR174" s="10">
        <v>0</v>
      </c>
      <c r="HS174" s="10">
        <v>0</v>
      </c>
      <c r="HT174" s="10">
        <v>0</v>
      </c>
      <c r="HU174" s="10">
        <v>0</v>
      </c>
    </row>
    <row r="175" spans="1:229" x14ac:dyDescent="0.25">
      <c r="A175" s="10">
        <v>0</v>
      </c>
      <c r="B175" s="2" t="s">
        <v>338</v>
      </c>
      <c r="C175" s="2" t="s">
        <v>339</v>
      </c>
      <c r="D175" s="2">
        <v>11.458</v>
      </c>
      <c r="E175" s="2">
        <v>5.21</v>
      </c>
      <c r="F175" s="2">
        <v>34.380000000000003</v>
      </c>
      <c r="G175" s="2">
        <v>1</v>
      </c>
      <c r="H175" s="2">
        <v>25</v>
      </c>
      <c r="I175" s="2">
        <v>94</v>
      </c>
      <c r="J175" s="2">
        <v>7.34</v>
      </c>
      <c r="K175" s="2">
        <v>1.657</v>
      </c>
      <c r="L175" s="3"/>
      <c r="M175" s="2" t="str">
        <f t="shared" si="9"/>
        <v>01240</v>
      </c>
      <c r="N175" s="3">
        <v>0.65736138385586007</v>
      </c>
      <c r="O175" s="10">
        <v>1.3426386161441404</v>
      </c>
      <c r="P175" s="20">
        <v>0.6573613838559057</v>
      </c>
      <c r="Q175" s="3">
        <v>2.8316274009989115</v>
      </c>
      <c r="R175" s="3">
        <v>0.1294378149939456</v>
      </c>
      <c r="S175" s="3">
        <v>0.30510600044285358</v>
      </c>
      <c r="T175" s="3">
        <v>2.6979824915423629E-2</v>
      </c>
      <c r="U175" s="10">
        <v>0.65736138385585963</v>
      </c>
      <c r="V175" s="10">
        <v>1.3426386161441288</v>
      </c>
      <c r="W175" s="10">
        <v>2.0763989836653205</v>
      </c>
      <c r="X175" s="10">
        <v>7.532046736220968</v>
      </c>
      <c r="Y175" s="3">
        <v>14.752778759204329</v>
      </c>
      <c r="Z175" s="10">
        <v>4.45007207949185</v>
      </c>
      <c r="AA175" s="3">
        <v>0.30510600044285358</v>
      </c>
      <c r="AB175" s="10">
        <v>0.67449562288559073</v>
      </c>
      <c r="AC175" s="10">
        <v>61.791970082450803</v>
      </c>
      <c r="AD175" s="10">
        <v>9.8549674424979052</v>
      </c>
      <c r="AE175" s="10">
        <v>3.440593115933436</v>
      </c>
      <c r="AF175" s="10">
        <v>0</v>
      </c>
      <c r="AG175" s="10">
        <v>0</v>
      </c>
      <c r="AH175" s="10">
        <v>0</v>
      </c>
      <c r="AI175" s="10">
        <v>0</v>
      </c>
      <c r="AJ175" s="10">
        <v>0</v>
      </c>
      <c r="AK175" s="3">
        <v>0</v>
      </c>
      <c r="AL175" s="10">
        <v>0</v>
      </c>
      <c r="AM175" s="10">
        <v>0</v>
      </c>
      <c r="AN175" s="10">
        <v>0</v>
      </c>
      <c r="AO175" s="10">
        <v>0</v>
      </c>
      <c r="AP175" s="10">
        <v>0</v>
      </c>
      <c r="AQ175" s="10">
        <v>0</v>
      </c>
      <c r="AR175" s="10">
        <v>0</v>
      </c>
      <c r="AS175" s="10">
        <v>0</v>
      </c>
      <c r="AT175" s="10">
        <v>0</v>
      </c>
      <c r="AU175" s="10">
        <v>0</v>
      </c>
      <c r="AV175" s="10">
        <v>0</v>
      </c>
      <c r="AW175" s="3">
        <v>0</v>
      </c>
      <c r="AX175" s="10">
        <v>0</v>
      </c>
      <c r="AY175" s="10">
        <v>0</v>
      </c>
      <c r="AZ175" s="3">
        <v>0</v>
      </c>
      <c r="BA175" s="10">
        <v>0</v>
      </c>
      <c r="BB175" s="10">
        <v>0</v>
      </c>
      <c r="BC175" s="10">
        <v>0</v>
      </c>
      <c r="BD175" s="10">
        <v>0</v>
      </c>
      <c r="BE175" s="10">
        <v>0</v>
      </c>
      <c r="BF175" s="10">
        <v>0</v>
      </c>
      <c r="BG175" s="10">
        <v>0</v>
      </c>
      <c r="BH175" s="10">
        <v>0</v>
      </c>
      <c r="BI175" s="10">
        <v>0</v>
      </c>
      <c r="BJ175" s="10">
        <v>0</v>
      </c>
      <c r="BK175" s="10">
        <v>0</v>
      </c>
      <c r="BL175" s="10">
        <v>0</v>
      </c>
      <c r="BM175" s="10">
        <v>0</v>
      </c>
      <c r="BN175" s="10">
        <v>0</v>
      </c>
      <c r="BO175" s="10">
        <v>0</v>
      </c>
      <c r="BP175" s="10">
        <v>0</v>
      </c>
      <c r="BQ175" s="10">
        <v>0</v>
      </c>
      <c r="BR175" s="10">
        <v>0</v>
      </c>
      <c r="BS175" s="10">
        <v>0</v>
      </c>
      <c r="BT175" s="10">
        <v>0</v>
      </c>
      <c r="BU175" s="10">
        <v>0</v>
      </c>
      <c r="BV175" s="10">
        <v>0</v>
      </c>
      <c r="BW175" s="10">
        <v>0</v>
      </c>
      <c r="BX175" s="10">
        <v>0</v>
      </c>
      <c r="BY175" s="10">
        <v>0</v>
      </c>
      <c r="BZ175" s="10">
        <v>0</v>
      </c>
      <c r="CA175" s="10">
        <v>0.19073867701031219</v>
      </c>
      <c r="CB175" s="10">
        <v>0</v>
      </c>
      <c r="CC175" s="10">
        <v>0</v>
      </c>
      <c r="CD175" s="10">
        <v>0</v>
      </c>
      <c r="CE175" s="10">
        <v>0</v>
      </c>
      <c r="CF175" s="10">
        <v>0</v>
      </c>
      <c r="CG175" s="10">
        <v>0</v>
      </c>
      <c r="CH175" s="10">
        <v>0</v>
      </c>
      <c r="CI175" s="10">
        <v>0</v>
      </c>
      <c r="CJ175" s="10">
        <v>0</v>
      </c>
      <c r="CK175" s="10">
        <v>0</v>
      </c>
      <c r="CL175" s="10">
        <v>0</v>
      </c>
      <c r="CM175" s="10">
        <v>0</v>
      </c>
      <c r="CN175" s="10">
        <v>0</v>
      </c>
      <c r="CO175" s="10">
        <v>0</v>
      </c>
      <c r="CP175" s="10">
        <v>0</v>
      </c>
      <c r="CQ175" s="10">
        <v>0</v>
      </c>
      <c r="CR175" s="10">
        <v>0</v>
      </c>
      <c r="CS175" s="10">
        <v>0</v>
      </c>
      <c r="CT175" s="10">
        <v>0</v>
      </c>
      <c r="CU175" s="10">
        <v>0</v>
      </c>
      <c r="CV175" s="10">
        <v>0</v>
      </c>
      <c r="CW175" s="10">
        <v>0</v>
      </c>
      <c r="CX175" s="10">
        <v>0</v>
      </c>
      <c r="CY175" s="10">
        <v>0</v>
      </c>
      <c r="CZ175" s="10">
        <v>0</v>
      </c>
      <c r="DA175" s="10">
        <v>0</v>
      </c>
      <c r="DB175" s="10">
        <v>0</v>
      </c>
      <c r="DC175" s="10">
        <v>0</v>
      </c>
      <c r="DD175" s="10">
        <v>0</v>
      </c>
      <c r="DE175" s="10">
        <v>0</v>
      </c>
      <c r="DF175" s="10">
        <v>0</v>
      </c>
      <c r="DG175" s="10">
        <v>0</v>
      </c>
      <c r="DH175" s="10">
        <v>0</v>
      </c>
      <c r="DI175" s="10">
        <v>0</v>
      </c>
      <c r="DJ175" s="10">
        <v>0</v>
      </c>
      <c r="DK175" s="10">
        <v>0</v>
      </c>
      <c r="DL175" s="10">
        <v>0</v>
      </c>
      <c r="DM175" s="10">
        <v>0</v>
      </c>
      <c r="DN175" s="10">
        <v>0</v>
      </c>
      <c r="DO175" s="10">
        <v>0</v>
      </c>
      <c r="DP175" s="10">
        <v>0</v>
      </c>
      <c r="DQ175" s="10">
        <v>0</v>
      </c>
      <c r="DR175" s="10">
        <v>0</v>
      </c>
      <c r="DS175" s="10">
        <v>0.76628864687097575</v>
      </c>
      <c r="DT175" s="10">
        <v>0</v>
      </c>
      <c r="DU175" s="10">
        <v>0</v>
      </c>
      <c r="DV175" s="10">
        <v>0</v>
      </c>
      <c r="DW175" s="10">
        <v>0</v>
      </c>
      <c r="DX175" s="10">
        <v>0</v>
      </c>
      <c r="DY175" s="10">
        <v>0</v>
      </c>
      <c r="DZ175" s="10">
        <v>0</v>
      </c>
      <c r="EA175" s="10">
        <v>0</v>
      </c>
      <c r="EB175" s="10">
        <v>0</v>
      </c>
      <c r="EC175" s="10">
        <v>0</v>
      </c>
      <c r="ED175" s="10">
        <v>0</v>
      </c>
      <c r="EE175" s="10">
        <v>0</v>
      </c>
      <c r="EF175" s="10">
        <v>0</v>
      </c>
      <c r="EG175" s="10">
        <v>0</v>
      </c>
      <c r="EH175" s="10">
        <v>0</v>
      </c>
      <c r="EI175" s="10">
        <v>0</v>
      </c>
      <c r="EJ175" s="10">
        <v>0</v>
      </c>
      <c r="EK175" s="10">
        <v>0</v>
      </c>
      <c r="EL175" s="10">
        <v>0</v>
      </c>
      <c r="EM175" s="10">
        <v>0</v>
      </c>
      <c r="EN175" s="10">
        <v>0</v>
      </c>
      <c r="EO175" s="10">
        <v>0</v>
      </c>
      <c r="EP175" s="10">
        <v>0</v>
      </c>
      <c r="EQ175" s="10">
        <v>0</v>
      </c>
      <c r="ER175" s="10">
        <v>0</v>
      </c>
      <c r="ES175" s="10">
        <v>0</v>
      </c>
      <c r="ET175" s="10">
        <v>0</v>
      </c>
      <c r="EU175" s="10">
        <v>0</v>
      </c>
      <c r="EV175" s="10">
        <v>0</v>
      </c>
      <c r="EW175" s="10">
        <v>0</v>
      </c>
      <c r="EX175" s="10">
        <v>0</v>
      </c>
      <c r="EY175" s="10">
        <v>0</v>
      </c>
      <c r="EZ175" s="10">
        <v>0</v>
      </c>
      <c r="FA175" s="10">
        <v>0</v>
      </c>
      <c r="FB175" s="10">
        <v>0</v>
      </c>
      <c r="FC175" s="10">
        <v>0</v>
      </c>
      <c r="FD175" s="10">
        <v>0</v>
      </c>
      <c r="FE175" s="10">
        <v>0</v>
      </c>
      <c r="FF175" s="10">
        <v>0</v>
      </c>
      <c r="FG175" s="10">
        <v>0</v>
      </c>
      <c r="FH175" s="10">
        <v>0</v>
      </c>
      <c r="FI175" s="10">
        <v>0</v>
      </c>
      <c r="FJ175" s="10">
        <v>0</v>
      </c>
      <c r="FK175" s="10">
        <v>0</v>
      </c>
      <c r="FL175" s="10">
        <v>0</v>
      </c>
      <c r="FM175" s="10">
        <v>0</v>
      </c>
      <c r="FN175" s="10">
        <v>0</v>
      </c>
      <c r="FO175" s="10">
        <v>0</v>
      </c>
      <c r="FP175" s="10">
        <v>0</v>
      </c>
      <c r="FQ175" s="10">
        <v>0</v>
      </c>
      <c r="FR175" s="10">
        <v>0</v>
      </c>
      <c r="FS175" s="10">
        <v>0</v>
      </c>
      <c r="FT175" s="10">
        <v>0</v>
      </c>
      <c r="FU175" s="10">
        <v>0</v>
      </c>
      <c r="FV175" s="10">
        <v>0</v>
      </c>
      <c r="FW175" s="10">
        <v>0</v>
      </c>
      <c r="FX175" s="10">
        <v>0</v>
      </c>
      <c r="FY175" s="10">
        <v>0</v>
      </c>
      <c r="FZ175" s="10">
        <v>0</v>
      </c>
      <c r="GA175" s="10">
        <v>4.2972676118711771E-2</v>
      </c>
      <c r="GB175" s="10">
        <v>0</v>
      </c>
      <c r="GC175" s="10">
        <v>0</v>
      </c>
      <c r="GD175" s="10">
        <v>0</v>
      </c>
      <c r="GE175" s="10">
        <v>0</v>
      </c>
      <c r="GF175" s="10">
        <v>0</v>
      </c>
      <c r="GG175" s="10">
        <v>0</v>
      </c>
      <c r="GH175" s="10">
        <v>0</v>
      </c>
      <c r="GI175" s="10">
        <v>0</v>
      </c>
      <c r="GJ175" s="10">
        <v>0</v>
      </c>
      <c r="GK175" s="10">
        <v>0</v>
      </c>
      <c r="GL175" s="10">
        <v>0</v>
      </c>
      <c r="GM175" s="10">
        <v>0</v>
      </c>
      <c r="GN175" s="10">
        <v>0</v>
      </c>
      <c r="GO175" s="10">
        <v>0</v>
      </c>
      <c r="GP175" s="10">
        <v>0</v>
      </c>
      <c r="GQ175" s="10">
        <v>0</v>
      </c>
      <c r="GR175" s="10">
        <v>0</v>
      </c>
      <c r="GS175" s="10">
        <v>0</v>
      </c>
      <c r="GT175" s="10">
        <v>0</v>
      </c>
      <c r="GU175" s="10">
        <v>0</v>
      </c>
      <c r="GV175" s="10">
        <v>0</v>
      </c>
      <c r="GW175" s="10">
        <v>0</v>
      </c>
      <c r="GX175" s="10">
        <v>0</v>
      </c>
      <c r="GY175" s="10">
        <v>0</v>
      </c>
      <c r="GZ175" s="10">
        <v>0</v>
      </c>
      <c r="HA175" s="10">
        <v>0</v>
      </c>
      <c r="HB175" s="10">
        <v>0</v>
      </c>
      <c r="HC175" s="10">
        <v>0</v>
      </c>
      <c r="HD175" s="10">
        <v>0</v>
      </c>
      <c r="HE175" s="10">
        <v>0</v>
      </c>
      <c r="HF175" s="10">
        <v>0</v>
      </c>
      <c r="HG175" s="10">
        <v>0</v>
      </c>
      <c r="HH175" s="10">
        <v>0</v>
      </c>
      <c r="HI175" s="10">
        <v>0</v>
      </c>
      <c r="HJ175" s="10">
        <v>0</v>
      </c>
      <c r="HK175" s="10">
        <v>0</v>
      </c>
      <c r="HL175" s="10">
        <v>0</v>
      </c>
      <c r="HM175" s="10">
        <v>0</v>
      </c>
      <c r="HN175" s="10">
        <v>0</v>
      </c>
      <c r="HO175" s="10">
        <v>0</v>
      </c>
      <c r="HP175" s="10">
        <v>0</v>
      </c>
      <c r="HQ175" s="10">
        <v>0</v>
      </c>
      <c r="HR175" s="10">
        <v>0</v>
      </c>
      <c r="HS175" s="10">
        <v>0</v>
      </c>
      <c r="HT175" s="10">
        <v>0</v>
      </c>
      <c r="HU175" s="10">
        <v>0</v>
      </c>
    </row>
    <row r="176" spans="1:229" x14ac:dyDescent="0.25">
      <c r="A176" s="10">
        <v>0</v>
      </c>
      <c r="B176" s="2" t="s">
        <v>340</v>
      </c>
      <c r="C176" s="2" t="s">
        <v>341</v>
      </c>
      <c r="D176" s="2">
        <v>0.82099999999999995</v>
      </c>
      <c r="E176" s="2">
        <v>4.29</v>
      </c>
      <c r="F176" s="2">
        <v>39.64</v>
      </c>
      <c r="G176" s="2">
        <v>0</v>
      </c>
      <c r="H176" s="2">
        <v>17.86</v>
      </c>
      <c r="I176" s="2">
        <v>146</v>
      </c>
      <c r="J176" s="2">
        <v>0.94199999999999995</v>
      </c>
      <c r="K176" s="2">
        <v>0.80500000000000005</v>
      </c>
      <c r="L176" s="3"/>
      <c r="M176" s="2" t="str">
        <f t="shared" si="9"/>
        <v>01241</v>
      </c>
      <c r="N176" s="3">
        <v>0.43837245811512277</v>
      </c>
      <c r="O176" s="10">
        <v>1.5616275418848773</v>
      </c>
      <c r="P176" s="20">
        <v>0.43837245811542069</v>
      </c>
      <c r="Q176" s="3">
        <v>1.5616275418848491</v>
      </c>
      <c r="R176" s="3">
        <v>0.2518914956871619</v>
      </c>
      <c r="S176" s="3" t="e">
        <v>#DIV/0!</v>
      </c>
      <c r="T176" s="3">
        <v>0.30354800987394193</v>
      </c>
      <c r="U176" s="10">
        <v>0.43837245811512343</v>
      </c>
      <c r="V176" s="10">
        <v>1.5616275418847889</v>
      </c>
      <c r="W176" s="10">
        <v>0.45707629682229217</v>
      </c>
      <c r="X176" s="10">
        <v>0.35990378811276036</v>
      </c>
      <c r="Y176" s="3">
        <v>6.6993821546860026</v>
      </c>
      <c r="Z176" s="10">
        <v>9.9849788890390982</v>
      </c>
      <c r="AA176" s="3">
        <v>1.099152321185128</v>
      </c>
      <c r="AB176" s="10">
        <v>5.4213674563486025</v>
      </c>
      <c r="AC176" s="10">
        <v>64.002378884808024</v>
      </c>
      <c r="AD176" s="10">
        <v>1.4710531444554711</v>
      </c>
      <c r="AE176" s="10">
        <v>0.36794641894194524</v>
      </c>
      <c r="AF176" s="10">
        <v>0</v>
      </c>
      <c r="AG176" s="10">
        <v>0</v>
      </c>
      <c r="AH176" s="10">
        <v>0</v>
      </c>
      <c r="AI176" s="10">
        <v>0</v>
      </c>
      <c r="AJ176" s="10">
        <v>0</v>
      </c>
      <c r="AK176" s="3">
        <v>0</v>
      </c>
      <c r="AL176" s="10">
        <v>0</v>
      </c>
      <c r="AM176" s="10">
        <v>0</v>
      </c>
      <c r="AN176" s="10">
        <v>0</v>
      </c>
      <c r="AO176" s="10">
        <v>0</v>
      </c>
      <c r="AP176" s="10">
        <v>0</v>
      </c>
      <c r="AQ176" s="10">
        <v>0</v>
      </c>
      <c r="AR176" s="10">
        <v>0</v>
      </c>
      <c r="AS176" s="10">
        <v>0</v>
      </c>
      <c r="AT176" s="10">
        <v>0</v>
      </c>
      <c r="AU176" s="10">
        <v>0</v>
      </c>
      <c r="AV176" s="10">
        <v>0</v>
      </c>
      <c r="AW176" s="3">
        <v>0</v>
      </c>
      <c r="AX176" s="10">
        <v>0</v>
      </c>
      <c r="AY176" s="10">
        <v>0</v>
      </c>
      <c r="AZ176" s="3">
        <v>0</v>
      </c>
      <c r="BA176" s="10">
        <v>0</v>
      </c>
      <c r="BB176" s="10">
        <v>0</v>
      </c>
      <c r="BC176" s="10">
        <v>0</v>
      </c>
      <c r="BD176" s="10">
        <v>0</v>
      </c>
      <c r="BE176" s="10">
        <v>0</v>
      </c>
      <c r="BF176" s="10">
        <v>0</v>
      </c>
      <c r="BG176" s="10">
        <v>0</v>
      </c>
      <c r="BH176" s="10">
        <v>0</v>
      </c>
      <c r="BI176" s="10">
        <v>0</v>
      </c>
      <c r="BJ176" s="10">
        <v>0</v>
      </c>
      <c r="BK176" s="10">
        <v>0</v>
      </c>
      <c r="BL176" s="10">
        <v>0</v>
      </c>
      <c r="BM176" s="10">
        <v>0</v>
      </c>
      <c r="BN176" s="10">
        <v>0</v>
      </c>
      <c r="BO176" s="10">
        <v>0</v>
      </c>
      <c r="BP176" s="10">
        <v>0</v>
      </c>
      <c r="BQ176" s="10">
        <v>0</v>
      </c>
      <c r="BR176" s="10">
        <v>0</v>
      </c>
      <c r="BS176" s="10">
        <v>0</v>
      </c>
      <c r="BT176" s="10">
        <v>0</v>
      </c>
      <c r="BU176" s="10">
        <v>0</v>
      </c>
      <c r="BV176" s="10">
        <v>0</v>
      </c>
      <c r="BW176" s="10">
        <v>0</v>
      </c>
      <c r="BX176" s="10">
        <v>0</v>
      </c>
      <c r="BY176" s="10">
        <v>0</v>
      </c>
      <c r="BZ176" s="10">
        <v>0</v>
      </c>
      <c r="CA176" s="10">
        <v>0.27447884536551775</v>
      </c>
      <c r="CB176" s="10">
        <v>0</v>
      </c>
      <c r="CC176" s="10">
        <v>0</v>
      </c>
      <c r="CD176" s="10">
        <v>0</v>
      </c>
      <c r="CE176" s="10">
        <v>0</v>
      </c>
      <c r="CF176" s="10">
        <v>0</v>
      </c>
      <c r="CG176" s="10">
        <v>0</v>
      </c>
      <c r="CH176" s="10">
        <v>0</v>
      </c>
      <c r="CI176" s="10">
        <v>0</v>
      </c>
      <c r="CJ176" s="10">
        <v>0</v>
      </c>
      <c r="CK176" s="10">
        <v>0</v>
      </c>
      <c r="CL176" s="10">
        <v>0</v>
      </c>
      <c r="CM176" s="10">
        <v>0</v>
      </c>
      <c r="CN176" s="10">
        <v>0</v>
      </c>
      <c r="CO176" s="10">
        <v>0</v>
      </c>
      <c r="CP176" s="10">
        <v>0</v>
      </c>
      <c r="CQ176" s="10">
        <v>0</v>
      </c>
      <c r="CR176" s="10">
        <v>0</v>
      </c>
      <c r="CS176" s="10">
        <v>0</v>
      </c>
      <c r="CT176" s="10">
        <v>0</v>
      </c>
      <c r="CU176" s="10">
        <v>0</v>
      </c>
      <c r="CV176" s="10">
        <v>0</v>
      </c>
      <c r="CW176" s="10">
        <v>0</v>
      </c>
      <c r="CX176" s="10">
        <v>0</v>
      </c>
      <c r="CY176" s="10">
        <v>0</v>
      </c>
      <c r="CZ176" s="10">
        <v>0</v>
      </c>
      <c r="DA176" s="10">
        <v>0</v>
      </c>
      <c r="DB176" s="10">
        <v>0</v>
      </c>
      <c r="DC176" s="10">
        <v>0</v>
      </c>
      <c r="DD176" s="10">
        <v>0</v>
      </c>
      <c r="DE176" s="10">
        <v>0</v>
      </c>
      <c r="DF176" s="10">
        <v>0</v>
      </c>
      <c r="DG176" s="10">
        <v>0</v>
      </c>
      <c r="DH176" s="10">
        <v>0</v>
      </c>
      <c r="DI176" s="10">
        <v>0</v>
      </c>
      <c r="DJ176" s="10">
        <v>0</v>
      </c>
      <c r="DK176" s="10">
        <v>0</v>
      </c>
      <c r="DL176" s="10">
        <v>0</v>
      </c>
      <c r="DM176" s="10">
        <v>0</v>
      </c>
      <c r="DN176" s="10">
        <v>0</v>
      </c>
      <c r="DO176" s="10">
        <v>0</v>
      </c>
      <c r="DP176" s="10">
        <v>0</v>
      </c>
      <c r="DQ176" s="10">
        <v>0</v>
      </c>
      <c r="DR176" s="10">
        <v>0</v>
      </c>
      <c r="DS176" s="10">
        <v>0</v>
      </c>
      <c r="DT176" s="10">
        <v>0</v>
      </c>
      <c r="DU176" s="10">
        <v>0</v>
      </c>
      <c r="DV176" s="10">
        <v>0</v>
      </c>
      <c r="DW176" s="10">
        <v>0</v>
      </c>
      <c r="DX176" s="10">
        <v>0</v>
      </c>
      <c r="DY176" s="10">
        <v>0</v>
      </c>
      <c r="DZ176" s="10">
        <v>0</v>
      </c>
      <c r="EA176" s="10">
        <v>0</v>
      </c>
      <c r="EB176" s="10">
        <v>0</v>
      </c>
      <c r="EC176" s="10">
        <v>0</v>
      </c>
      <c r="ED176" s="10">
        <v>0</v>
      </c>
      <c r="EE176" s="10">
        <v>0</v>
      </c>
      <c r="EF176" s="10">
        <v>0</v>
      </c>
      <c r="EG176" s="10">
        <v>0</v>
      </c>
      <c r="EH176" s="10">
        <v>0</v>
      </c>
      <c r="EI176" s="10">
        <v>0</v>
      </c>
      <c r="EJ176" s="10">
        <v>0</v>
      </c>
      <c r="EK176" s="10">
        <v>0</v>
      </c>
      <c r="EL176" s="10">
        <v>0</v>
      </c>
      <c r="EM176" s="10">
        <v>0</v>
      </c>
      <c r="EN176" s="10">
        <v>0</v>
      </c>
      <c r="EO176" s="10">
        <v>0</v>
      </c>
      <c r="EP176" s="10">
        <v>0</v>
      </c>
      <c r="EQ176" s="10">
        <v>0</v>
      </c>
      <c r="ER176" s="10">
        <v>0</v>
      </c>
      <c r="ES176" s="10">
        <v>0</v>
      </c>
      <c r="ET176" s="10">
        <v>0</v>
      </c>
      <c r="EU176" s="10">
        <v>0</v>
      </c>
      <c r="EV176" s="10">
        <v>0</v>
      </c>
      <c r="EW176" s="10">
        <v>0</v>
      </c>
      <c r="EX176" s="10">
        <v>0</v>
      </c>
      <c r="EY176" s="10">
        <v>0</v>
      </c>
      <c r="EZ176" s="10">
        <v>0</v>
      </c>
      <c r="FA176" s="10">
        <v>0</v>
      </c>
      <c r="FB176" s="10">
        <v>0</v>
      </c>
      <c r="FC176" s="10">
        <v>0</v>
      </c>
      <c r="FD176" s="10">
        <v>0</v>
      </c>
      <c r="FE176" s="10">
        <v>0</v>
      </c>
      <c r="FF176" s="10">
        <v>0</v>
      </c>
      <c r="FG176" s="10">
        <v>0</v>
      </c>
      <c r="FH176" s="10">
        <v>0</v>
      </c>
      <c r="FI176" s="10">
        <v>0</v>
      </c>
      <c r="FJ176" s="10">
        <v>0</v>
      </c>
      <c r="FK176" s="10">
        <v>0</v>
      </c>
      <c r="FL176" s="10">
        <v>0</v>
      </c>
      <c r="FM176" s="10">
        <v>0</v>
      </c>
      <c r="FN176" s="10">
        <v>0</v>
      </c>
      <c r="FO176" s="10">
        <v>0</v>
      </c>
      <c r="FP176" s="10">
        <v>0</v>
      </c>
      <c r="FQ176" s="10">
        <v>0</v>
      </c>
      <c r="FR176" s="10">
        <v>0</v>
      </c>
      <c r="FS176" s="10">
        <v>0</v>
      </c>
      <c r="FT176" s="10">
        <v>0</v>
      </c>
      <c r="FU176" s="10">
        <v>0</v>
      </c>
      <c r="FV176" s="10">
        <v>0</v>
      </c>
      <c r="FW176" s="10">
        <v>0</v>
      </c>
      <c r="FX176" s="10">
        <v>0</v>
      </c>
      <c r="FY176" s="10">
        <v>0</v>
      </c>
      <c r="FZ176" s="10">
        <v>0</v>
      </c>
      <c r="GA176" s="10">
        <v>2.6150099857454274E-2</v>
      </c>
      <c r="GB176" s="10">
        <v>0</v>
      </c>
      <c r="GC176" s="10">
        <v>0</v>
      </c>
      <c r="GD176" s="10">
        <v>0</v>
      </c>
      <c r="GE176" s="10">
        <v>0</v>
      </c>
      <c r="GF176" s="10">
        <v>0</v>
      </c>
      <c r="GG176" s="10">
        <v>0</v>
      </c>
      <c r="GH176" s="10">
        <v>0</v>
      </c>
      <c r="GI176" s="10">
        <v>0</v>
      </c>
      <c r="GJ176" s="10">
        <v>0</v>
      </c>
      <c r="GK176" s="10">
        <v>0</v>
      </c>
      <c r="GL176" s="10">
        <v>0</v>
      </c>
      <c r="GM176" s="10">
        <v>0</v>
      </c>
      <c r="GN176" s="10">
        <v>0</v>
      </c>
      <c r="GO176" s="10">
        <v>0</v>
      </c>
      <c r="GP176" s="10">
        <v>0</v>
      </c>
      <c r="GQ176" s="10">
        <v>0.28261791590218843</v>
      </c>
      <c r="GR176" s="10">
        <v>0</v>
      </c>
      <c r="GS176" s="10">
        <v>0</v>
      </c>
      <c r="GT176" s="10">
        <v>0</v>
      </c>
      <c r="GU176" s="10">
        <v>0</v>
      </c>
      <c r="GV176" s="10">
        <v>0</v>
      </c>
      <c r="GW176" s="10">
        <v>0</v>
      </c>
      <c r="GX176" s="10">
        <v>0</v>
      </c>
      <c r="GY176" s="10">
        <v>0</v>
      </c>
      <c r="GZ176" s="10">
        <v>0</v>
      </c>
      <c r="HA176" s="10">
        <v>0</v>
      </c>
      <c r="HB176" s="10">
        <v>0</v>
      </c>
      <c r="HC176" s="10">
        <v>0</v>
      </c>
      <c r="HD176" s="10">
        <v>0</v>
      </c>
      <c r="HE176" s="10">
        <v>0</v>
      </c>
      <c r="HF176" s="10">
        <v>0</v>
      </c>
      <c r="HG176" s="10">
        <v>0.41675313887483995</v>
      </c>
      <c r="HH176" s="10">
        <v>0</v>
      </c>
      <c r="HI176" s="10">
        <v>0</v>
      </c>
      <c r="HJ176" s="10">
        <v>0</v>
      </c>
      <c r="HK176" s="10">
        <v>0</v>
      </c>
      <c r="HL176" s="10">
        <v>0</v>
      </c>
      <c r="HM176" s="10">
        <v>0</v>
      </c>
      <c r="HN176" s="10">
        <v>0</v>
      </c>
      <c r="HO176" s="10">
        <v>0</v>
      </c>
      <c r="HP176" s="10">
        <v>0</v>
      </c>
      <c r="HQ176" s="10">
        <v>0</v>
      </c>
      <c r="HR176" s="10">
        <v>0</v>
      </c>
      <c r="HS176" s="10">
        <v>0</v>
      </c>
      <c r="HT176" s="10">
        <v>0</v>
      </c>
      <c r="HU176" s="10">
        <v>0</v>
      </c>
    </row>
    <row r="177" spans="1:229" x14ac:dyDescent="0.25">
      <c r="A177" s="10">
        <v>0</v>
      </c>
      <c r="B177" s="2" t="s">
        <v>342</v>
      </c>
      <c r="C177" s="2" t="s">
        <v>343</v>
      </c>
      <c r="D177" s="2">
        <v>0.82099999999999995</v>
      </c>
      <c r="E177" s="2">
        <v>5.71</v>
      </c>
      <c r="F177" s="2">
        <v>42.86</v>
      </c>
      <c r="G177" s="2">
        <v>7.1</v>
      </c>
      <c r="H177" s="2">
        <v>6.58</v>
      </c>
      <c r="I177" s="2">
        <v>164</v>
      </c>
      <c r="J177" s="2">
        <v>0.94199999999999995</v>
      </c>
      <c r="K177" s="2">
        <v>0.80500000000000005</v>
      </c>
      <c r="L177" s="3"/>
      <c r="M177" s="2" t="str">
        <f t="shared" si="9"/>
        <v>01242</v>
      </c>
      <c r="N177" s="3">
        <v>0.41015792507143345</v>
      </c>
      <c r="O177" s="10">
        <v>1.5898420749285662</v>
      </c>
      <c r="P177" s="20">
        <v>0.41015792507148829</v>
      </c>
      <c r="Q177" s="3">
        <v>1.589842074928556</v>
      </c>
      <c r="R177" s="3">
        <v>0.15515443884316266</v>
      </c>
      <c r="S177" s="3">
        <v>0.12349919173449221</v>
      </c>
      <c r="T177" s="3">
        <v>0.41015792507142945</v>
      </c>
      <c r="U177" s="10">
        <v>0.4101579250714335</v>
      </c>
      <c r="V177" s="10">
        <v>1.5898420749286415</v>
      </c>
      <c r="W177" s="10">
        <v>0.40864587786647649</v>
      </c>
      <c r="X177" s="10">
        <v>0.33673965648369186</v>
      </c>
      <c r="Y177" s="3">
        <v>9.0779982478420553</v>
      </c>
      <c r="Z177" s="10">
        <v>6.6499192488179517</v>
      </c>
      <c r="AA177" s="3">
        <v>0.87684426131489468</v>
      </c>
      <c r="AB177" s="10">
        <v>2.6988391469700059</v>
      </c>
      <c r="AC177" s="10">
        <v>67.265899711715093</v>
      </c>
      <c r="AD177" s="10">
        <v>1.4976312345827802</v>
      </c>
      <c r="AE177" s="10">
        <v>0.32895993168251358</v>
      </c>
      <c r="AF177" s="10">
        <v>0</v>
      </c>
      <c r="AG177" s="10">
        <v>0</v>
      </c>
      <c r="AH177" s="10">
        <v>0</v>
      </c>
      <c r="AI177" s="10">
        <v>0</v>
      </c>
      <c r="AJ177" s="10">
        <v>0</v>
      </c>
      <c r="AK177" s="3">
        <v>0</v>
      </c>
      <c r="AL177" s="10">
        <v>0</v>
      </c>
      <c r="AM177" s="10">
        <v>0</v>
      </c>
      <c r="AN177" s="10">
        <v>0</v>
      </c>
      <c r="AO177" s="10">
        <v>0</v>
      </c>
      <c r="AP177" s="10">
        <v>0</v>
      </c>
      <c r="AQ177" s="10">
        <v>0</v>
      </c>
      <c r="AR177" s="10">
        <v>0</v>
      </c>
      <c r="AS177" s="10">
        <v>0</v>
      </c>
      <c r="AT177" s="10">
        <v>0</v>
      </c>
      <c r="AU177" s="10">
        <v>0</v>
      </c>
      <c r="AV177" s="10">
        <v>0</v>
      </c>
      <c r="AW177" s="3">
        <v>0</v>
      </c>
      <c r="AX177" s="10">
        <v>0</v>
      </c>
      <c r="AY177" s="10">
        <v>0</v>
      </c>
      <c r="AZ177" s="3">
        <v>0</v>
      </c>
      <c r="BA177" s="10">
        <v>0</v>
      </c>
      <c r="BB177" s="10">
        <v>0</v>
      </c>
      <c r="BC177" s="10">
        <v>0</v>
      </c>
      <c r="BD177" s="10">
        <v>0</v>
      </c>
      <c r="BE177" s="10">
        <v>0</v>
      </c>
      <c r="BF177" s="10">
        <v>0</v>
      </c>
      <c r="BG177" s="10">
        <v>0</v>
      </c>
      <c r="BH177" s="10">
        <v>0</v>
      </c>
      <c r="BI177" s="10">
        <v>0</v>
      </c>
      <c r="BJ177" s="10">
        <v>0</v>
      </c>
      <c r="BK177" s="10">
        <v>0</v>
      </c>
      <c r="BL177" s="10">
        <v>0</v>
      </c>
      <c r="BM177" s="10">
        <v>0</v>
      </c>
      <c r="BN177" s="10">
        <v>0</v>
      </c>
      <c r="BO177" s="10">
        <v>0</v>
      </c>
      <c r="BP177" s="10">
        <v>0</v>
      </c>
      <c r="BQ177" s="10">
        <v>0</v>
      </c>
      <c r="BR177" s="10">
        <v>0</v>
      </c>
      <c r="BS177" s="10">
        <v>0</v>
      </c>
      <c r="BT177" s="10">
        <v>0</v>
      </c>
      <c r="BU177" s="10">
        <v>0</v>
      </c>
      <c r="BV177" s="10">
        <v>0</v>
      </c>
      <c r="BW177" s="10">
        <v>0</v>
      </c>
      <c r="BX177" s="10">
        <v>0</v>
      </c>
      <c r="BY177" s="10">
        <v>0</v>
      </c>
      <c r="BZ177" s="10">
        <v>0</v>
      </c>
      <c r="CA177" s="10">
        <v>0.19226503138698764</v>
      </c>
      <c r="CB177" s="10">
        <v>0</v>
      </c>
      <c r="CC177" s="10">
        <v>0</v>
      </c>
      <c r="CD177" s="10">
        <v>0</v>
      </c>
      <c r="CE177" s="10">
        <v>0</v>
      </c>
      <c r="CF177" s="10">
        <v>0</v>
      </c>
      <c r="CG177" s="10">
        <v>0</v>
      </c>
      <c r="CH177" s="10">
        <v>0</v>
      </c>
      <c r="CI177" s="10">
        <v>0</v>
      </c>
      <c r="CJ177" s="10">
        <v>0</v>
      </c>
      <c r="CK177" s="10">
        <v>0</v>
      </c>
      <c r="CL177" s="10">
        <v>0</v>
      </c>
      <c r="CM177" s="10">
        <v>0</v>
      </c>
      <c r="CN177" s="10">
        <v>0</v>
      </c>
      <c r="CO177" s="10">
        <v>0</v>
      </c>
      <c r="CP177" s="10">
        <v>0</v>
      </c>
      <c r="CQ177" s="10">
        <v>0</v>
      </c>
      <c r="CR177" s="10">
        <v>0</v>
      </c>
      <c r="CS177" s="10">
        <v>0</v>
      </c>
      <c r="CT177" s="10">
        <v>0</v>
      </c>
      <c r="CU177" s="10">
        <v>0</v>
      </c>
      <c r="CV177" s="10">
        <v>0</v>
      </c>
      <c r="CW177" s="10">
        <v>0</v>
      </c>
      <c r="CX177" s="10">
        <v>0</v>
      </c>
      <c r="CY177" s="10">
        <v>0</v>
      </c>
      <c r="CZ177" s="10">
        <v>0</v>
      </c>
      <c r="DA177" s="10">
        <v>0</v>
      </c>
      <c r="DB177" s="10">
        <v>0</v>
      </c>
      <c r="DC177" s="10">
        <v>0</v>
      </c>
      <c r="DD177" s="10">
        <v>0</v>
      </c>
      <c r="DE177" s="10">
        <v>0</v>
      </c>
      <c r="DF177" s="10">
        <v>0</v>
      </c>
      <c r="DG177" s="10">
        <v>0</v>
      </c>
      <c r="DH177" s="10">
        <v>0</v>
      </c>
      <c r="DI177" s="10">
        <v>0</v>
      </c>
      <c r="DJ177" s="10">
        <v>0</v>
      </c>
      <c r="DK177" s="10">
        <v>0</v>
      </c>
      <c r="DL177" s="10">
        <v>0</v>
      </c>
      <c r="DM177" s="10">
        <v>0</v>
      </c>
      <c r="DN177" s="10">
        <v>0</v>
      </c>
      <c r="DO177" s="10">
        <v>0</v>
      </c>
      <c r="DP177" s="10">
        <v>0</v>
      </c>
      <c r="DQ177" s="10">
        <v>0</v>
      </c>
      <c r="DR177" s="10">
        <v>0</v>
      </c>
      <c r="DS177" s="10">
        <v>0</v>
      </c>
      <c r="DT177" s="10">
        <v>0</v>
      </c>
      <c r="DU177" s="10">
        <v>0</v>
      </c>
      <c r="DV177" s="10">
        <v>0</v>
      </c>
      <c r="DW177" s="10">
        <v>0</v>
      </c>
      <c r="DX177" s="10">
        <v>0</v>
      </c>
      <c r="DY177" s="10">
        <v>0</v>
      </c>
      <c r="DZ177" s="10">
        <v>0</v>
      </c>
      <c r="EA177" s="10">
        <v>0</v>
      </c>
      <c r="EB177" s="10">
        <v>0</v>
      </c>
      <c r="EC177" s="10">
        <v>0</v>
      </c>
      <c r="ED177" s="10">
        <v>0</v>
      </c>
      <c r="EE177" s="10">
        <v>0</v>
      </c>
      <c r="EF177" s="10">
        <v>0</v>
      </c>
      <c r="EG177" s="10">
        <v>0</v>
      </c>
      <c r="EH177" s="10">
        <v>0</v>
      </c>
      <c r="EI177" s="10">
        <v>0</v>
      </c>
      <c r="EJ177" s="10">
        <v>0</v>
      </c>
      <c r="EK177" s="10">
        <v>0</v>
      </c>
      <c r="EL177" s="10">
        <v>0</v>
      </c>
      <c r="EM177" s="10">
        <v>0</v>
      </c>
      <c r="EN177" s="10">
        <v>0</v>
      </c>
      <c r="EO177" s="10">
        <v>0</v>
      </c>
      <c r="EP177" s="10">
        <v>0</v>
      </c>
      <c r="EQ177" s="10">
        <v>0</v>
      </c>
      <c r="ER177" s="10">
        <v>0</v>
      </c>
      <c r="ES177" s="10">
        <v>0</v>
      </c>
      <c r="ET177" s="10">
        <v>0</v>
      </c>
      <c r="EU177" s="10">
        <v>0</v>
      </c>
      <c r="EV177" s="10">
        <v>0</v>
      </c>
      <c r="EW177" s="10">
        <v>0</v>
      </c>
      <c r="EX177" s="10">
        <v>0</v>
      </c>
      <c r="EY177" s="10">
        <v>0</v>
      </c>
      <c r="EZ177" s="10">
        <v>0</v>
      </c>
      <c r="FA177" s="10">
        <v>0</v>
      </c>
      <c r="FB177" s="10">
        <v>0</v>
      </c>
      <c r="FC177" s="10">
        <v>0</v>
      </c>
      <c r="FD177" s="10">
        <v>0</v>
      </c>
      <c r="FE177" s="10">
        <v>0</v>
      </c>
      <c r="FF177" s="10">
        <v>0</v>
      </c>
      <c r="FG177" s="10">
        <v>0</v>
      </c>
      <c r="FH177" s="10">
        <v>0</v>
      </c>
      <c r="FI177" s="10">
        <v>0</v>
      </c>
      <c r="FJ177" s="10">
        <v>0</v>
      </c>
      <c r="FK177" s="10">
        <v>0</v>
      </c>
      <c r="FL177" s="10">
        <v>0</v>
      </c>
      <c r="FM177" s="10">
        <v>0</v>
      </c>
      <c r="FN177" s="10">
        <v>0</v>
      </c>
      <c r="FO177" s="10">
        <v>0</v>
      </c>
      <c r="FP177" s="10">
        <v>0</v>
      </c>
      <c r="FQ177" s="10">
        <v>0</v>
      </c>
      <c r="FR177" s="10">
        <v>0</v>
      </c>
      <c r="FS177" s="10">
        <v>0</v>
      </c>
      <c r="FT177" s="10">
        <v>0</v>
      </c>
      <c r="FU177" s="10">
        <v>0</v>
      </c>
      <c r="FV177" s="10">
        <v>0</v>
      </c>
      <c r="FW177" s="10">
        <v>0</v>
      </c>
      <c r="FX177" s="10">
        <v>0</v>
      </c>
      <c r="FY177" s="10">
        <v>0</v>
      </c>
      <c r="FZ177" s="10">
        <v>0</v>
      </c>
      <c r="GA177" s="10">
        <v>4.6477488360765505E-2</v>
      </c>
      <c r="GB177" s="10">
        <v>0</v>
      </c>
      <c r="GC177" s="10">
        <v>0</v>
      </c>
      <c r="GD177" s="10">
        <v>0</v>
      </c>
      <c r="GE177" s="10">
        <v>0</v>
      </c>
      <c r="GF177" s="10">
        <v>0</v>
      </c>
      <c r="GG177" s="10">
        <v>0</v>
      </c>
      <c r="GH177" s="10">
        <v>0</v>
      </c>
      <c r="GI177" s="10">
        <v>0</v>
      </c>
      <c r="GJ177" s="10">
        <v>0</v>
      </c>
      <c r="GK177" s="10">
        <v>0</v>
      </c>
      <c r="GL177" s="10">
        <v>0</v>
      </c>
      <c r="GM177" s="10">
        <v>0</v>
      </c>
      <c r="GN177" s="10">
        <v>0</v>
      </c>
      <c r="GO177" s="10">
        <v>0</v>
      </c>
      <c r="GP177" s="10">
        <v>0</v>
      </c>
      <c r="GQ177" s="10">
        <v>0.24383980908033248</v>
      </c>
      <c r="GR177" s="10">
        <v>0</v>
      </c>
      <c r="GS177" s="10">
        <v>0</v>
      </c>
      <c r="GT177" s="10">
        <v>0</v>
      </c>
      <c r="GU177" s="10">
        <v>0</v>
      </c>
      <c r="GV177" s="10">
        <v>0.50255122263373142</v>
      </c>
      <c r="GW177" s="10">
        <v>0</v>
      </c>
      <c r="GX177" s="10">
        <v>0</v>
      </c>
      <c r="GY177" s="10">
        <v>0</v>
      </c>
      <c r="GZ177" s="10">
        <v>0</v>
      </c>
      <c r="HA177" s="10">
        <v>0</v>
      </c>
      <c r="HB177" s="10">
        <v>0</v>
      </c>
      <c r="HC177" s="10">
        <v>0</v>
      </c>
      <c r="HD177" s="10">
        <v>0</v>
      </c>
      <c r="HE177" s="10">
        <v>0</v>
      </c>
      <c r="HF177" s="10">
        <v>0</v>
      </c>
      <c r="HG177" s="10">
        <v>1.4866448538182945E-2</v>
      </c>
      <c r="HH177" s="10">
        <v>0</v>
      </c>
      <c r="HI177" s="10">
        <v>0</v>
      </c>
      <c r="HJ177" s="10">
        <v>0</v>
      </c>
      <c r="HK177" s="10">
        <v>0</v>
      </c>
      <c r="HL177" s="10">
        <v>0</v>
      </c>
      <c r="HM177" s="10">
        <v>0</v>
      </c>
      <c r="HN177" s="10">
        <v>0</v>
      </c>
      <c r="HO177" s="10">
        <v>0</v>
      </c>
      <c r="HP177" s="10">
        <v>0</v>
      </c>
      <c r="HQ177" s="10">
        <v>0</v>
      </c>
      <c r="HR177" s="10">
        <v>0</v>
      </c>
      <c r="HS177" s="10">
        <v>0</v>
      </c>
      <c r="HT177" s="10">
        <v>0</v>
      </c>
      <c r="HU177" s="10">
        <v>0</v>
      </c>
    </row>
    <row r="178" spans="1:229" x14ac:dyDescent="0.25">
      <c r="A178" s="10">
        <v>0</v>
      </c>
      <c r="B178" s="2" t="s">
        <v>344</v>
      </c>
      <c r="C178" s="2" t="s">
        <v>345</v>
      </c>
      <c r="D178" s="2">
        <v>0.23200000000000001</v>
      </c>
      <c r="E178" s="2">
        <v>4.4000000000000004</v>
      </c>
      <c r="F178" s="2">
        <v>11.88</v>
      </c>
      <c r="G178" s="2">
        <v>2.2000000000000002</v>
      </c>
      <c r="H178" s="2">
        <v>2.64</v>
      </c>
      <c r="I178" s="2">
        <v>92</v>
      </c>
      <c r="J178" s="2">
        <v>2.3180000000000001</v>
      </c>
      <c r="K178" s="2">
        <v>0.39500000000000002</v>
      </c>
      <c r="L178" s="3"/>
      <c r="M178" s="2" t="str">
        <f t="shared" si="9"/>
        <v>01250</v>
      </c>
      <c r="N178" s="3">
        <v>1.0000000000002249</v>
      </c>
      <c r="O178" s="10">
        <v>0.99999999999977507</v>
      </c>
      <c r="P178" s="20">
        <v>0.99999999999975342</v>
      </c>
      <c r="Q178" s="3">
        <v>0.99999999999992051</v>
      </c>
      <c r="R178" s="3">
        <v>1.000000000000101</v>
      </c>
      <c r="S178" s="3">
        <v>0.99999999999975331</v>
      </c>
      <c r="T178" s="10">
        <v>1.0000000000001874</v>
      </c>
      <c r="U178" s="10">
        <v>0.99999999999993683</v>
      </c>
      <c r="V178" s="10">
        <v>0.99999999999975342</v>
      </c>
      <c r="W178" s="10">
        <v>0.99999999999975331</v>
      </c>
      <c r="X178" s="10">
        <v>0.23199999999994281</v>
      </c>
      <c r="Y178" s="3">
        <v>4.3999999999996504</v>
      </c>
      <c r="Z178" s="10">
        <v>11.880000000001202</v>
      </c>
      <c r="AA178" s="10">
        <v>2.1999999999994575</v>
      </c>
      <c r="AB178" s="10">
        <v>2.6400000000004948</v>
      </c>
      <c r="AC178" s="10">
        <v>91.999999999994188</v>
      </c>
      <c r="AD178" s="10">
        <v>2.3179999999994285</v>
      </c>
      <c r="AE178" s="10">
        <v>0.3949999999999026</v>
      </c>
      <c r="AF178" s="10">
        <v>0</v>
      </c>
      <c r="AG178" s="10">
        <v>0</v>
      </c>
      <c r="AH178" s="10">
        <v>0</v>
      </c>
      <c r="AI178" s="10">
        <v>0</v>
      </c>
      <c r="AJ178" s="10">
        <v>0</v>
      </c>
      <c r="AK178" s="3">
        <v>0</v>
      </c>
      <c r="AL178" s="10">
        <v>0</v>
      </c>
      <c r="AM178" s="10">
        <v>0</v>
      </c>
      <c r="AN178" s="10">
        <v>0</v>
      </c>
      <c r="AO178" s="10">
        <v>0</v>
      </c>
      <c r="AP178" s="10">
        <v>0</v>
      </c>
      <c r="AQ178" s="10">
        <v>0</v>
      </c>
      <c r="AR178" s="10">
        <v>0</v>
      </c>
      <c r="AS178" s="10">
        <v>0</v>
      </c>
      <c r="AT178" s="10">
        <v>0</v>
      </c>
      <c r="AU178" s="10">
        <v>0</v>
      </c>
      <c r="AV178" s="10">
        <v>0</v>
      </c>
      <c r="AW178" s="3">
        <v>0</v>
      </c>
      <c r="AX178" s="10">
        <v>0</v>
      </c>
      <c r="AY178" s="10">
        <v>0</v>
      </c>
      <c r="AZ178" s="3">
        <v>0</v>
      </c>
      <c r="BA178" s="10">
        <v>0</v>
      </c>
      <c r="BB178" s="10">
        <v>0</v>
      </c>
      <c r="BC178" s="10">
        <v>0</v>
      </c>
      <c r="BD178" s="10">
        <v>0</v>
      </c>
      <c r="BE178" s="10">
        <v>0</v>
      </c>
      <c r="BF178" s="10">
        <v>0</v>
      </c>
      <c r="BG178" s="10">
        <v>0</v>
      </c>
      <c r="BH178" s="10">
        <v>0</v>
      </c>
      <c r="BI178" s="10">
        <v>0</v>
      </c>
      <c r="BJ178" s="10">
        <v>0</v>
      </c>
      <c r="BK178" s="10">
        <v>0</v>
      </c>
      <c r="BL178" s="10">
        <v>0</v>
      </c>
      <c r="BM178" s="10">
        <v>0</v>
      </c>
      <c r="BN178" s="10">
        <v>0</v>
      </c>
      <c r="BO178" s="10">
        <v>0</v>
      </c>
      <c r="BP178" s="10">
        <v>0</v>
      </c>
      <c r="BQ178" s="10">
        <v>0</v>
      </c>
      <c r="BR178" s="10">
        <v>0</v>
      </c>
      <c r="BS178" s="10">
        <v>0</v>
      </c>
      <c r="BT178" s="10">
        <v>0</v>
      </c>
      <c r="BU178" s="10">
        <v>0</v>
      </c>
      <c r="BV178" s="10">
        <v>0</v>
      </c>
      <c r="BW178" s="10">
        <v>0</v>
      </c>
      <c r="BX178" s="10">
        <v>0</v>
      </c>
      <c r="BY178" s="10">
        <v>0</v>
      </c>
      <c r="BZ178" s="10">
        <v>0</v>
      </c>
      <c r="CA178" s="10">
        <v>0</v>
      </c>
      <c r="CB178" s="10">
        <v>0</v>
      </c>
      <c r="CC178" s="10">
        <v>0</v>
      </c>
      <c r="CD178" s="10">
        <v>0</v>
      </c>
      <c r="CE178" s="10">
        <v>0</v>
      </c>
      <c r="CF178" s="10">
        <v>0</v>
      </c>
      <c r="CG178" s="10">
        <v>0</v>
      </c>
      <c r="CH178" s="10">
        <v>0</v>
      </c>
      <c r="CI178" s="10">
        <v>0</v>
      </c>
      <c r="CJ178" s="10">
        <v>0</v>
      </c>
      <c r="CK178" s="10">
        <v>0</v>
      </c>
      <c r="CL178" s="10">
        <v>0</v>
      </c>
      <c r="CM178" s="10">
        <v>0</v>
      </c>
      <c r="CN178" s="10">
        <v>0</v>
      </c>
      <c r="CO178" s="10">
        <v>0</v>
      </c>
      <c r="CP178" s="10">
        <v>0</v>
      </c>
      <c r="CQ178" s="10">
        <v>0</v>
      </c>
      <c r="CR178" s="10">
        <v>0</v>
      </c>
      <c r="CS178" s="10">
        <v>0</v>
      </c>
      <c r="CT178" s="10">
        <v>0</v>
      </c>
      <c r="CU178" s="10">
        <v>0</v>
      </c>
      <c r="CV178" s="10">
        <v>0</v>
      </c>
      <c r="CW178" s="10">
        <v>0</v>
      </c>
      <c r="CX178" s="10">
        <v>0</v>
      </c>
      <c r="CY178" s="10">
        <v>0</v>
      </c>
      <c r="CZ178" s="10">
        <v>0</v>
      </c>
      <c r="DA178" s="10">
        <v>0</v>
      </c>
      <c r="DB178" s="10">
        <v>0</v>
      </c>
      <c r="DC178" s="10">
        <v>0</v>
      </c>
      <c r="DD178" s="10">
        <v>0</v>
      </c>
      <c r="DE178" s="10">
        <v>0</v>
      </c>
      <c r="DF178" s="10">
        <v>0</v>
      </c>
      <c r="DG178" s="10">
        <v>0</v>
      </c>
      <c r="DH178" s="10">
        <v>0</v>
      </c>
      <c r="DI178" s="10">
        <v>0</v>
      </c>
      <c r="DJ178" s="10">
        <v>0</v>
      </c>
      <c r="DK178" s="10">
        <v>0</v>
      </c>
      <c r="DL178" s="10">
        <v>0</v>
      </c>
      <c r="DM178" s="10">
        <v>0</v>
      </c>
      <c r="DN178" s="10">
        <v>0</v>
      </c>
      <c r="DO178" s="10">
        <v>0</v>
      </c>
      <c r="DP178" s="10">
        <v>0</v>
      </c>
      <c r="DQ178" s="10">
        <v>0</v>
      </c>
      <c r="DR178" s="10">
        <v>0</v>
      </c>
      <c r="DS178" s="10">
        <v>0</v>
      </c>
      <c r="DT178" s="10">
        <v>0</v>
      </c>
      <c r="DU178" s="10">
        <v>0</v>
      </c>
      <c r="DV178" s="10">
        <v>0</v>
      </c>
      <c r="DW178" s="10">
        <v>0</v>
      </c>
      <c r="DX178" s="10">
        <v>0</v>
      </c>
      <c r="DY178" s="10">
        <v>0</v>
      </c>
      <c r="DZ178" s="10">
        <v>0</v>
      </c>
      <c r="EA178" s="10">
        <v>0</v>
      </c>
      <c r="EB178" s="10">
        <v>0</v>
      </c>
      <c r="EC178" s="10">
        <v>0</v>
      </c>
      <c r="ED178" s="10">
        <v>0</v>
      </c>
      <c r="EE178" s="10">
        <v>0</v>
      </c>
      <c r="EF178" s="10">
        <v>0</v>
      </c>
      <c r="EG178" s="10">
        <v>0</v>
      </c>
      <c r="EH178" s="10">
        <v>0</v>
      </c>
      <c r="EI178" s="10">
        <v>0</v>
      </c>
      <c r="EJ178" s="10">
        <v>0</v>
      </c>
      <c r="EK178" s="10">
        <v>0</v>
      </c>
      <c r="EL178" s="10">
        <v>0</v>
      </c>
      <c r="EM178" s="10">
        <v>0</v>
      </c>
      <c r="EN178" s="10">
        <v>0</v>
      </c>
      <c r="EO178" s="10">
        <v>0</v>
      </c>
      <c r="EP178" s="10">
        <v>0</v>
      </c>
      <c r="EQ178" s="10">
        <v>0</v>
      </c>
      <c r="ER178" s="10">
        <v>0</v>
      </c>
      <c r="ES178" s="10">
        <v>0</v>
      </c>
      <c r="ET178" s="10">
        <v>0</v>
      </c>
      <c r="EU178" s="10">
        <v>0</v>
      </c>
      <c r="EV178" s="10">
        <v>0</v>
      </c>
      <c r="EW178" s="10">
        <v>0</v>
      </c>
      <c r="EX178" s="10">
        <v>5.5913674528346123E-14</v>
      </c>
      <c r="EY178" s="10">
        <v>0</v>
      </c>
      <c r="EZ178" s="10">
        <v>0</v>
      </c>
      <c r="FA178" s="10">
        <v>0</v>
      </c>
      <c r="FB178" s="10">
        <v>0</v>
      </c>
      <c r="FC178" s="10">
        <v>0</v>
      </c>
      <c r="FD178" s="10">
        <v>0</v>
      </c>
      <c r="FE178" s="10">
        <v>0</v>
      </c>
      <c r="FF178" s="10">
        <v>0</v>
      </c>
      <c r="FG178" s="10">
        <v>0</v>
      </c>
      <c r="FH178" s="10">
        <v>0</v>
      </c>
      <c r="FI178" s="10">
        <v>0</v>
      </c>
      <c r="FJ178" s="10">
        <v>0</v>
      </c>
      <c r="FK178" s="10">
        <v>0</v>
      </c>
      <c r="FL178" s="10">
        <v>0</v>
      </c>
      <c r="FM178" s="10">
        <v>0</v>
      </c>
      <c r="FN178" s="10">
        <v>0</v>
      </c>
      <c r="FO178" s="10">
        <v>0</v>
      </c>
      <c r="FP178" s="10">
        <v>0</v>
      </c>
      <c r="FQ178" s="10">
        <v>0</v>
      </c>
      <c r="FR178" s="10">
        <v>0</v>
      </c>
      <c r="FS178" s="10">
        <v>0</v>
      </c>
      <c r="FT178" s="10">
        <v>0</v>
      </c>
      <c r="FU178" s="10">
        <v>0</v>
      </c>
      <c r="FV178" s="10">
        <v>0</v>
      </c>
      <c r="FW178" s="10">
        <v>0</v>
      </c>
      <c r="FX178" s="10">
        <v>0</v>
      </c>
      <c r="FY178" s="10">
        <v>0</v>
      </c>
      <c r="FZ178" s="10">
        <v>0</v>
      </c>
      <c r="GA178" s="10">
        <v>0</v>
      </c>
      <c r="GB178" s="10">
        <v>0</v>
      </c>
      <c r="GC178" s="10">
        <v>0</v>
      </c>
      <c r="GD178" s="10">
        <v>0</v>
      </c>
      <c r="GE178" s="10">
        <v>0</v>
      </c>
      <c r="GF178" s="10">
        <v>0</v>
      </c>
      <c r="GG178" s="10">
        <v>0</v>
      </c>
      <c r="GH178" s="10">
        <v>0</v>
      </c>
      <c r="GI178" s="10">
        <v>0</v>
      </c>
      <c r="GJ178" s="10">
        <v>0</v>
      </c>
      <c r="GK178" s="10">
        <v>0</v>
      </c>
      <c r="GL178" s="10">
        <v>0</v>
      </c>
      <c r="GM178" s="10">
        <v>0</v>
      </c>
      <c r="GN178" s="10">
        <v>0</v>
      </c>
      <c r="GO178" s="10">
        <v>0</v>
      </c>
      <c r="GP178" s="10">
        <v>0</v>
      </c>
      <c r="GQ178" s="10">
        <v>0.99999999999975342</v>
      </c>
      <c r="GR178" s="10">
        <v>0</v>
      </c>
      <c r="GS178" s="10">
        <v>0</v>
      </c>
      <c r="GT178" s="10">
        <v>0</v>
      </c>
      <c r="GU178" s="10">
        <v>0</v>
      </c>
      <c r="GV178" s="10">
        <v>0</v>
      </c>
      <c r="GW178" s="10">
        <v>0</v>
      </c>
      <c r="GX178" s="10">
        <v>0</v>
      </c>
      <c r="GY178" s="10">
        <v>0</v>
      </c>
      <c r="GZ178" s="10">
        <v>0</v>
      </c>
      <c r="HA178" s="10">
        <v>0</v>
      </c>
      <c r="HB178" s="10">
        <v>0</v>
      </c>
      <c r="HC178" s="10">
        <v>0</v>
      </c>
      <c r="HD178" s="10">
        <v>0</v>
      </c>
      <c r="HE178" s="10">
        <v>0</v>
      </c>
      <c r="HF178" s="10">
        <v>0</v>
      </c>
      <c r="HG178" s="10">
        <v>0</v>
      </c>
      <c r="HH178" s="10">
        <v>0</v>
      </c>
      <c r="HI178" s="10">
        <v>0</v>
      </c>
      <c r="HJ178" s="10">
        <v>0</v>
      </c>
      <c r="HK178" s="10">
        <v>0</v>
      </c>
      <c r="HL178" s="10">
        <v>0</v>
      </c>
      <c r="HM178" s="10">
        <v>0</v>
      </c>
      <c r="HN178" s="10">
        <v>0</v>
      </c>
      <c r="HO178" s="10">
        <v>0</v>
      </c>
      <c r="HP178" s="10">
        <v>1.9116648107243094E-13</v>
      </c>
      <c r="HQ178" s="10">
        <v>0</v>
      </c>
      <c r="HR178" s="10">
        <v>0</v>
      </c>
      <c r="HS178" s="10">
        <v>0</v>
      </c>
      <c r="HT178" s="10">
        <v>0</v>
      </c>
      <c r="HU178" s="10">
        <v>0</v>
      </c>
    </row>
    <row r="179" spans="1:229" x14ac:dyDescent="0.25">
      <c r="A179" s="10">
        <v>0</v>
      </c>
      <c r="B179" s="2" t="s">
        <v>346</v>
      </c>
      <c r="C179" s="2" t="s">
        <v>347</v>
      </c>
      <c r="D179" s="2">
        <v>17.027000000000001</v>
      </c>
      <c r="E179" s="2">
        <v>23.54</v>
      </c>
      <c r="F179" s="2">
        <v>1.75</v>
      </c>
      <c r="G179" s="2">
        <v>0</v>
      </c>
      <c r="H179" s="2">
        <v>1.23</v>
      </c>
      <c r="I179" s="2">
        <v>338</v>
      </c>
      <c r="J179" s="2">
        <v>7.8710000000000004</v>
      </c>
      <c r="K179" s="2">
        <v>0.86399999999999999</v>
      </c>
      <c r="L179" s="3"/>
      <c r="M179" s="2" t="str">
        <f t="shared" si="9"/>
        <v>01251</v>
      </c>
      <c r="N179" s="3">
        <v>0.64936275744866434</v>
      </c>
      <c r="O179" s="10">
        <v>1.3506372425513358</v>
      </c>
      <c r="P179" s="20">
        <v>0.64936275744864946</v>
      </c>
      <c r="Q179" s="3">
        <v>1.350637242551336</v>
      </c>
      <c r="R179" s="3">
        <v>2.7402373793911758</v>
      </c>
      <c r="S179" s="3" t="e">
        <v>#DIV/0!</v>
      </c>
      <c r="T179" s="10">
        <v>0.64936275744867222</v>
      </c>
      <c r="U179" s="10">
        <v>0.64936275744866412</v>
      </c>
      <c r="V179" s="10">
        <v>1.3506372425513149</v>
      </c>
      <c r="W179" s="10">
        <v>3.8105238170391202</v>
      </c>
      <c r="X179" s="10">
        <v>11.056699671078155</v>
      </c>
      <c r="Y179" s="3">
        <v>31.79400068965845</v>
      </c>
      <c r="Z179" s="10">
        <v>4.7954154139345579</v>
      </c>
      <c r="AA179" s="10">
        <v>0.30903268754408014</v>
      </c>
      <c r="AB179" s="10">
        <v>0.7987161916618668</v>
      </c>
      <c r="AC179" s="10">
        <v>219.48461201764846</v>
      </c>
      <c r="AD179" s="10">
        <v>10.6308657361214</v>
      </c>
      <c r="AE179" s="10">
        <v>3.2922925779218</v>
      </c>
      <c r="AF179" s="10">
        <v>0</v>
      </c>
      <c r="AG179" s="10">
        <v>0</v>
      </c>
      <c r="AH179" s="10">
        <v>0</v>
      </c>
      <c r="AI179" s="10">
        <v>0</v>
      </c>
      <c r="AJ179" s="10">
        <v>0</v>
      </c>
      <c r="AK179" s="3">
        <v>0</v>
      </c>
      <c r="AL179" s="10">
        <v>0</v>
      </c>
      <c r="AM179" s="10">
        <v>0</v>
      </c>
      <c r="AN179" s="10">
        <v>0</v>
      </c>
      <c r="AO179" s="10">
        <v>0</v>
      </c>
      <c r="AP179" s="10">
        <v>0</v>
      </c>
      <c r="AQ179" s="10">
        <v>0</v>
      </c>
      <c r="AR179" s="10">
        <v>0</v>
      </c>
      <c r="AS179" s="10">
        <v>0</v>
      </c>
      <c r="AT179" s="10">
        <v>0</v>
      </c>
      <c r="AU179" s="10">
        <v>0</v>
      </c>
      <c r="AV179" s="10">
        <v>0</v>
      </c>
      <c r="AW179" s="3">
        <v>0</v>
      </c>
      <c r="AX179" s="10">
        <v>0</v>
      </c>
      <c r="AY179" s="10">
        <v>0</v>
      </c>
      <c r="AZ179" s="3">
        <v>0</v>
      </c>
      <c r="BA179" s="10">
        <v>0</v>
      </c>
      <c r="BB179" s="10">
        <v>0</v>
      </c>
      <c r="BC179" s="10">
        <v>0</v>
      </c>
      <c r="BD179" s="10">
        <v>0</v>
      </c>
      <c r="BE179" s="10">
        <v>0</v>
      </c>
      <c r="BF179" s="10">
        <v>0</v>
      </c>
      <c r="BG179" s="10">
        <v>0</v>
      </c>
      <c r="BH179" s="10">
        <v>0</v>
      </c>
      <c r="BI179" s="10">
        <v>0</v>
      </c>
      <c r="BJ179" s="10">
        <v>0</v>
      </c>
      <c r="BK179" s="10">
        <v>0</v>
      </c>
      <c r="BL179" s="10">
        <v>0</v>
      </c>
      <c r="BM179" s="10">
        <v>0</v>
      </c>
      <c r="BN179" s="10">
        <v>0</v>
      </c>
      <c r="BO179" s="10">
        <v>0</v>
      </c>
      <c r="BP179" s="10">
        <v>0</v>
      </c>
      <c r="BQ179" s="10">
        <v>0</v>
      </c>
      <c r="BR179" s="10">
        <v>0</v>
      </c>
      <c r="BS179" s="10">
        <v>0</v>
      </c>
      <c r="BT179" s="10">
        <v>0</v>
      </c>
      <c r="BU179" s="10">
        <v>0</v>
      </c>
      <c r="BV179" s="10">
        <v>0</v>
      </c>
      <c r="BW179" s="10">
        <v>0</v>
      </c>
      <c r="BX179" s="10">
        <v>0</v>
      </c>
      <c r="BY179" s="10">
        <v>0</v>
      </c>
      <c r="BZ179" s="10">
        <v>0</v>
      </c>
      <c r="CA179" s="10">
        <v>0</v>
      </c>
      <c r="CB179" s="10">
        <v>0</v>
      </c>
      <c r="CC179" s="10">
        <v>0</v>
      </c>
      <c r="CD179" s="10">
        <v>0</v>
      </c>
      <c r="CE179" s="10">
        <v>0</v>
      </c>
      <c r="CF179" s="10">
        <v>0</v>
      </c>
      <c r="CG179" s="10">
        <v>0</v>
      </c>
      <c r="CH179" s="10">
        <v>0</v>
      </c>
      <c r="CI179" s="10">
        <v>0</v>
      </c>
      <c r="CJ179" s="10">
        <v>0</v>
      </c>
      <c r="CK179" s="10">
        <v>0</v>
      </c>
      <c r="CL179" s="10">
        <v>0</v>
      </c>
      <c r="CM179" s="10">
        <v>0</v>
      </c>
      <c r="CN179" s="10">
        <v>0</v>
      </c>
      <c r="CO179" s="10">
        <v>0</v>
      </c>
      <c r="CP179" s="10">
        <v>0</v>
      </c>
      <c r="CQ179" s="10">
        <v>0</v>
      </c>
      <c r="CR179" s="10">
        <v>0</v>
      </c>
      <c r="CS179" s="10">
        <v>0</v>
      </c>
      <c r="CT179" s="10">
        <v>0</v>
      </c>
      <c r="CU179" s="10">
        <v>0</v>
      </c>
      <c r="CV179" s="10">
        <v>0</v>
      </c>
      <c r="CW179" s="10">
        <v>0</v>
      </c>
      <c r="CX179" s="10">
        <v>0</v>
      </c>
      <c r="CY179" s="10">
        <v>0</v>
      </c>
      <c r="CZ179" s="10">
        <v>0</v>
      </c>
      <c r="DA179" s="10">
        <v>0</v>
      </c>
      <c r="DB179" s="10">
        <v>0</v>
      </c>
      <c r="DC179" s="10">
        <v>0</v>
      </c>
      <c r="DD179" s="10">
        <v>0</v>
      </c>
      <c r="DE179" s="10">
        <v>0</v>
      </c>
      <c r="DF179" s="10">
        <v>0</v>
      </c>
      <c r="DG179" s="10">
        <v>0</v>
      </c>
      <c r="DH179" s="10">
        <v>0</v>
      </c>
      <c r="DI179" s="10">
        <v>0</v>
      </c>
      <c r="DJ179" s="10">
        <v>0</v>
      </c>
      <c r="DK179" s="10">
        <v>0</v>
      </c>
      <c r="DL179" s="10">
        <v>0</v>
      </c>
      <c r="DM179" s="10">
        <v>0</v>
      </c>
      <c r="DN179" s="10">
        <v>0</v>
      </c>
      <c r="DO179" s="10">
        <v>0</v>
      </c>
      <c r="DP179" s="10">
        <v>0</v>
      </c>
      <c r="DQ179" s="10">
        <v>0</v>
      </c>
      <c r="DR179" s="10">
        <v>0</v>
      </c>
      <c r="DS179" s="10">
        <v>0</v>
      </c>
      <c r="DT179" s="10">
        <v>0.36153350982942978</v>
      </c>
      <c r="DU179" s="10">
        <v>0</v>
      </c>
      <c r="DV179" s="10">
        <v>0</v>
      </c>
      <c r="DW179" s="10">
        <v>0</v>
      </c>
      <c r="DX179" s="10">
        <v>0</v>
      </c>
      <c r="DY179" s="10">
        <v>0.19466456381236016</v>
      </c>
      <c r="DZ179" s="10">
        <v>3.8662205033113406E-2</v>
      </c>
      <c r="EA179" s="10">
        <v>0</v>
      </c>
      <c r="EB179" s="10">
        <v>0</v>
      </c>
      <c r="EC179" s="10">
        <v>0</v>
      </c>
      <c r="ED179" s="10">
        <v>0</v>
      </c>
      <c r="EE179" s="10">
        <v>0</v>
      </c>
      <c r="EF179" s="10">
        <v>0</v>
      </c>
      <c r="EG179" s="10">
        <v>0</v>
      </c>
      <c r="EH179" s="10">
        <v>0</v>
      </c>
      <c r="EI179" s="10">
        <v>0</v>
      </c>
      <c r="EJ179" s="10">
        <v>0</v>
      </c>
      <c r="EK179" s="10">
        <v>0</v>
      </c>
      <c r="EL179" s="10">
        <v>0</v>
      </c>
      <c r="EM179" s="10">
        <v>0</v>
      </c>
      <c r="EN179" s="10">
        <v>0</v>
      </c>
      <c r="EO179" s="10">
        <v>0</v>
      </c>
      <c r="EP179" s="10">
        <v>0</v>
      </c>
      <c r="EQ179" s="10">
        <v>0</v>
      </c>
      <c r="ER179" s="10">
        <v>0</v>
      </c>
      <c r="ES179" s="10">
        <v>0</v>
      </c>
      <c r="ET179" s="10">
        <v>0.25062337755305658</v>
      </c>
      <c r="EU179" s="10">
        <v>0</v>
      </c>
      <c r="EV179" s="10">
        <v>0</v>
      </c>
      <c r="EW179" s="10">
        <v>0</v>
      </c>
      <c r="EX179" s="10">
        <v>0</v>
      </c>
      <c r="EY179" s="10">
        <v>0</v>
      </c>
      <c r="EZ179" s="10">
        <v>0</v>
      </c>
      <c r="FA179" s="10">
        <v>0</v>
      </c>
      <c r="FB179" s="10">
        <v>0</v>
      </c>
      <c r="FC179" s="10">
        <v>0</v>
      </c>
      <c r="FD179" s="10">
        <v>0</v>
      </c>
      <c r="FE179" s="10">
        <v>0</v>
      </c>
      <c r="FF179" s="10">
        <v>0</v>
      </c>
      <c r="FG179" s="10">
        <v>0</v>
      </c>
      <c r="FH179" s="10">
        <v>0</v>
      </c>
      <c r="FI179" s="10">
        <v>0</v>
      </c>
      <c r="FJ179" s="10">
        <v>0</v>
      </c>
      <c r="FK179" s="10">
        <v>0</v>
      </c>
      <c r="FL179" s="10">
        <v>0</v>
      </c>
      <c r="FM179" s="10">
        <v>0</v>
      </c>
      <c r="FN179" s="10">
        <v>0</v>
      </c>
      <c r="FO179" s="10">
        <v>0</v>
      </c>
      <c r="FP179" s="10">
        <v>0</v>
      </c>
      <c r="FQ179" s="10">
        <v>0</v>
      </c>
      <c r="FR179" s="10">
        <v>0</v>
      </c>
      <c r="FS179" s="10">
        <v>0</v>
      </c>
      <c r="FT179" s="10">
        <v>0</v>
      </c>
      <c r="FU179" s="10">
        <v>0</v>
      </c>
      <c r="FV179" s="10">
        <v>0</v>
      </c>
      <c r="FW179" s="10">
        <v>0</v>
      </c>
      <c r="FX179" s="10">
        <v>0</v>
      </c>
      <c r="FY179" s="10">
        <v>0</v>
      </c>
      <c r="FZ179" s="10">
        <v>0</v>
      </c>
      <c r="GA179" s="10">
        <v>0</v>
      </c>
      <c r="GB179" s="10">
        <v>0.15451634377204007</v>
      </c>
      <c r="GC179" s="10">
        <v>0</v>
      </c>
      <c r="GD179" s="10">
        <v>0</v>
      </c>
      <c r="GE179" s="10">
        <v>0</v>
      </c>
      <c r="GF179" s="10">
        <v>0</v>
      </c>
      <c r="GG179" s="10">
        <v>0</v>
      </c>
      <c r="GH179" s="10">
        <v>0</v>
      </c>
      <c r="GI179" s="10">
        <v>0</v>
      </c>
      <c r="GJ179" s="10">
        <v>0</v>
      </c>
      <c r="GK179" s="10">
        <v>0</v>
      </c>
      <c r="GL179" s="10">
        <v>0</v>
      </c>
      <c r="GM179" s="10">
        <v>0</v>
      </c>
      <c r="GN179" s="10">
        <v>0</v>
      </c>
      <c r="GO179" s="10">
        <v>0</v>
      </c>
      <c r="GP179" s="10">
        <v>0</v>
      </c>
      <c r="GQ179" s="10">
        <v>0</v>
      </c>
      <c r="GR179" s="10">
        <v>0</v>
      </c>
      <c r="GS179" s="10">
        <v>0</v>
      </c>
      <c r="GT179" s="10">
        <v>0</v>
      </c>
      <c r="GU179" s="10">
        <v>0</v>
      </c>
      <c r="GV179" s="10">
        <v>0</v>
      </c>
      <c r="GW179" s="10">
        <v>0</v>
      </c>
      <c r="GX179" s="10">
        <v>0</v>
      </c>
      <c r="GY179" s="10">
        <v>0</v>
      </c>
      <c r="GZ179" s="10">
        <v>0</v>
      </c>
      <c r="HA179" s="10">
        <v>0</v>
      </c>
      <c r="HB179" s="10">
        <v>0</v>
      </c>
      <c r="HC179" s="10">
        <v>0</v>
      </c>
      <c r="HD179" s="10">
        <v>0</v>
      </c>
      <c r="HE179" s="10">
        <v>0</v>
      </c>
      <c r="HF179" s="10">
        <v>0</v>
      </c>
      <c r="HG179" s="10">
        <v>0</v>
      </c>
      <c r="HH179" s="10">
        <v>0</v>
      </c>
      <c r="HI179" s="10">
        <v>0</v>
      </c>
      <c r="HJ179" s="10">
        <v>0</v>
      </c>
      <c r="HK179" s="10">
        <v>0</v>
      </c>
      <c r="HL179" s="10">
        <v>0</v>
      </c>
      <c r="HM179" s="10">
        <v>0</v>
      </c>
      <c r="HN179" s="10">
        <v>0</v>
      </c>
      <c r="HO179" s="10">
        <v>0</v>
      </c>
      <c r="HP179" s="10">
        <v>0</v>
      </c>
      <c r="HQ179" s="10">
        <v>0</v>
      </c>
      <c r="HR179" s="10">
        <v>0</v>
      </c>
      <c r="HS179" s="10">
        <v>0</v>
      </c>
      <c r="HT179" s="10">
        <v>0</v>
      </c>
      <c r="HU179" s="10">
        <v>0</v>
      </c>
    </row>
    <row r="180" spans="1:229" x14ac:dyDescent="0.25">
      <c r="A180" s="10">
        <v>0</v>
      </c>
      <c r="B180" s="2" t="s">
        <v>348</v>
      </c>
      <c r="C180" s="2" t="s">
        <v>349</v>
      </c>
      <c r="D180" s="2">
        <v>12.930999999999999</v>
      </c>
      <c r="E180" s="2">
        <v>16.09</v>
      </c>
      <c r="F180" s="2">
        <v>8.85</v>
      </c>
      <c r="G180" s="2">
        <v>0</v>
      </c>
      <c r="H180" s="2">
        <v>6.24</v>
      </c>
      <c r="I180" s="2">
        <v>1279</v>
      </c>
      <c r="J180" s="2">
        <v>5.6550000000000002</v>
      </c>
      <c r="K180" s="2">
        <v>0.99</v>
      </c>
      <c r="L180" s="3"/>
      <c r="M180" s="2" t="str">
        <f t="shared" si="9"/>
        <v>01252</v>
      </c>
      <c r="N180" s="3">
        <v>0.32551344712195934</v>
      </c>
      <c r="O180" s="3">
        <v>1.6744865528780404</v>
      </c>
      <c r="P180" s="16">
        <v>0.32551344712197944</v>
      </c>
      <c r="Q180" s="3">
        <v>1.8528414958420443</v>
      </c>
      <c r="R180" s="3">
        <v>1.0208439088023615</v>
      </c>
      <c r="S180" s="3" t="e">
        <v>#DIV/0!</v>
      </c>
      <c r="T180" s="3">
        <v>0.3255134471219574</v>
      </c>
      <c r="U180" s="3">
        <v>0.21787289962387504</v>
      </c>
      <c r="V180" s="3">
        <v>1.6744865528780393</v>
      </c>
      <c r="W180" s="3">
        <v>2.3993332491328081</v>
      </c>
      <c r="X180" s="3">
        <v>4.2092143847343158</v>
      </c>
      <c r="Y180" s="3">
        <v>29.812219668098493</v>
      </c>
      <c r="Z180" s="3">
        <v>9.0344685929008985</v>
      </c>
      <c r="AA180" s="3">
        <v>2.5256651070562524</v>
      </c>
      <c r="AB180" s="3">
        <v>2.0312039100410142</v>
      </c>
      <c r="AC180" s="3">
        <v>278.65943861893618</v>
      </c>
      <c r="AD180" s="3">
        <v>9.4692214565253128</v>
      </c>
      <c r="AE180" s="3">
        <v>2.3753399166414799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0</v>
      </c>
      <c r="AU180" s="3">
        <v>0</v>
      </c>
      <c r="AV180" s="3">
        <v>0</v>
      </c>
      <c r="AW180" s="3">
        <v>0</v>
      </c>
      <c r="AX180" s="3">
        <v>0</v>
      </c>
      <c r="AY180" s="3">
        <v>0</v>
      </c>
      <c r="AZ180" s="3">
        <v>0</v>
      </c>
      <c r="BA180" s="10">
        <v>0</v>
      </c>
      <c r="BB180" s="10">
        <v>0</v>
      </c>
      <c r="BC180" s="10">
        <v>0</v>
      </c>
      <c r="BD180" s="10">
        <v>0</v>
      </c>
      <c r="BE180" s="10">
        <v>0</v>
      </c>
      <c r="BF180" s="10">
        <v>0</v>
      </c>
      <c r="BG180" s="10">
        <v>0</v>
      </c>
      <c r="BH180" s="10">
        <v>0</v>
      </c>
      <c r="BI180" s="10">
        <v>0</v>
      </c>
      <c r="BJ180" s="10">
        <v>0</v>
      </c>
      <c r="BK180" s="10">
        <v>0</v>
      </c>
      <c r="BL180" s="10">
        <v>0</v>
      </c>
      <c r="BM180" s="10">
        <v>0</v>
      </c>
      <c r="BN180" s="10">
        <v>0</v>
      </c>
      <c r="BO180" s="10">
        <v>0</v>
      </c>
      <c r="BP180" s="10">
        <v>0</v>
      </c>
      <c r="BQ180" s="10">
        <v>0</v>
      </c>
      <c r="BR180" s="10">
        <v>0</v>
      </c>
      <c r="BS180" s="10">
        <v>0</v>
      </c>
      <c r="BT180" s="10">
        <v>0</v>
      </c>
      <c r="BU180" s="10">
        <v>0</v>
      </c>
      <c r="BV180" s="10">
        <v>0</v>
      </c>
      <c r="BW180" s="10">
        <v>0</v>
      </c>
      <c r="BX180" s="10">
        <v>0</v>
      </c>
      <c r="BY180" s="10">
        <v>0</v>
      </c>
      <c r="BZ180" s="10">
        <v>0</v>
      </c>
      <c r="CA180" s="10">
        <v>0.38989051586593404</v>
      </c>
      <c r="CB180" s="10">
        <v>0</v>
      </c>
      <c r="CC180" s="10">
        <v>0</v>
      </c>
      <c r="CD180" s="10">
        <v>0</v>
      </c>
      <c r="CE180" s="10">
        <v>0</v>
      </c>
      <c r="CF180" s="10">
        <v>0</v>
      </c>
      <c r="CG180" s="10">
        <v>0</v>
      </c>
      <c r="CH180" s="10">
        <v>0</v>
      </c>
      <c r="CI180" s="10">
        <v>0</v>
      </c>
      <c r="CJ180" s="10">
        <v>0</v>
      </c>
      <c r="CK180" s="10">
        <v>0</v>
      </c>
      <c r="CL180" s="10">
        <v>0</v>
      </c>
      <c r="CM180" s="10">
        <v>0</v>
      </c>
      <c r="CN180" s="10">
        <v>0</v>
      </c>
      <c r="CO180" s="10">
        <v>0</v>
      </c>
      <c r="CP180" s="10">
        <v>0</v>
      </c>
      <c r="CQ180" s="10">
        <v>0</v>
      </c>
      <c r="CR180" s="10">
        <v>0</v>
      </c>
      <c r="CS180" s="10">
        <v>0</v>
      </c>
      <c r="CT180" s="10">
        <v>0</v>
      </c>
      <c r="CU180" s="10">
        <v>0</v>
      </c>
      <c r="CV180" s="10">
        <v>0</v>
      </c>
      <c r="CW180" s="10">
        <v>0</v>
      </c>
      <c r="CX180" s="10">
        <v>0</v>
      </c>
      <c r="CY180" s="10">
        <v>0</v>
      </c>
      <c r="CZ180" s="10">
        <v>0</v>
      </c>
      <c r="DA180" s="10">
        <v>0</v>
      </c>
      <c r="DB180" s="10">
        <v>0</v>
      </c>
      <c r="DC180" s="10">
        <v>0</v>
      </c>
      <c r="DD180" s="10">
        <v>0</v>
      </c>
      <c r="DE180" s="10">
        <v>0</v>
      </c>
      <c r="DF180" s="10">
        <v>0</v>
      </c>
      <c r="DG180" s="10">
        <v>0</v>
      </c>
      <c r="DH180" s="10">
        <v>0</v>
      </c>
      <c r="DI180" s="10">
        <v>0</v>
      </c>
      <c r="DJ180" s="10">
        <v>0</v>
      </c>
      <c r="DK180" s="10">
        <v>0</v>
      </c>
      <c r="DL180" s="10">
        <v>0</v>
      </c>
      <c r="DM180" s="10">
        <v>0</v>
      </c>
      <c r="DN180" s="10">
        <v>0</v>
      </c>
      <c r="DO180" s="10">
        <v>0</v>
      </c>
      <c r="DP180" s="10">
        <v>0</v>
      </c>
      <c r="DQ180" s="10">
        <v>0</v>
      </c>
      <c r="DR180" s="10">
        <v>0</v>
      </c>
      <c r="DS180" s="10">
        <v>0</v>
      </c>
      <c r="DT180" s="10">
        <v>0</v>
      </c>
      <c r="DU180" s="10">
        <v>0</v>
      </c>
      <c r="DV180" s="10">
        <v>0</v>
      </c>
      <c r="DW180" s="10">
        <v>0</v>
      </c>
      <c r="DX180" s="10">
        <v>0</v>
      </c>
      <c r="DY180" s="10">
        <v>0.25438200426698787</v>
      </c>
      <c r="DZ180" s="10">
        <v>0</v>
      </c>
      <c r="EA180" s="10">
        <v>0</v>
      </c>
      <c r="EB180" s="10">
        <v>0</v>
      </c>
      <c r="EC180" s="10">
        <v>0</v>
      </c>
      <c r="ED180" s="10">
        <v>0</v>
      </c>
      <c r="EE180" s="10">
        <v>0</v>
      </c>
      <c r="EF180" s="10">
        <v>0</v>
      </c>
      <c r="EG180" s="10">
        <v>0</v>
      </c>
      <c r="EH180" s="10">
        <v>0</v>
      </c>
      <c r="EI180" s="10">
        <v>0</v>
      </c>
      <c r="EJ180" s="10">
        <v>0</v>
      </c>
      <c r="EK180" s="10">
        <v>0</v>
      </c>
      <c r="EL180" s="10">
        <v>0</v>
      </c>
      <c r="EM180" s="10">
        <v>0</v>
      </c>
      <c r="EN180" s="10">
        <v>0</v>
      </c>
      <c r="EO180" s="10">
        <v>0</v>
      </c>
      <c r="EP180" s="10">
        <v>0</v>
      </c>
      <c r="EQ180" s="10">
        <v>0</v>
      </c>
      <c r="ER180" s="10">
        <v>0</v>
      </c>
      <c r="ES180" s="10">
        <v>0</v>
      </c>
      <c r="ET180" s="10">
        <v>0</v>
      </c>
      <c r="EU180" s="10">
        <v>0</v>
      </c>
      <c r="EV180" s="10">
        <v>0</v>
      </c>
      <c r="EW180" s="10">
        <v>0</v>
      </c>
      <c r="EX180" s="10">
        <v>0</v>
      </c>
      <c r="EY180" s="10">
        <v>0</v>
      </c>
      <c r="EZ180" s="10">
        <v>0</v>
      </c>
      <c r="FA180" s="10">
        <v>0</v>
      </c>
      <c r="FB180" s="10">
        <v>0</v>
      </c>
      <c r="FC180" s="10">
        <v>0</v>
      </c>
      <c r="FD180" s="10">
        <v>0</v>
      </c>
      <c r="FE180" s="10">
        <v>0</v>
      </c>
      <c r="FF180" s="10">
        <v>0</v>
      </c>
      <c r="FG180" s="10">
        <v>0</v>
      </c>
      <c r="FH180" s="10">
        <v>0</v>
      </c>
      <c r="FI180" s="10">
        <v>0</v>
      </c>
      <c r="FJ180" s="10">
        <v>0</v>
      </c>
      <c r="FK180" s="10">
        <v>0</v>
      </c>
      <c r="FL180" s="10">
        <v>0</v>
      </c>
      <c r="FM180" s="10">
        <v>0</v>
      </c>
      <c r="FN180" s="10">
        <v>0</v>
      </c>
      <c r="FO180" s="10">
        <v>0</v>
      </c>
      <c r="FP180" s="10">
        <v>0</v>
      </c>
      <c r="FQ180" s="10">
        <v>0</v>
      </c>
      <c r="FR180" s="10">
        <v>0</v>
      </c>
      <c r="FS180" s="10">
        <v>0</v>
      </c>
      <c r="FT180" s="10">
        <v>0</v>
      </c>
      <c r="FU180" s="10">
        <v>0</v>
      </c>
      <c r="FV180" s="10">
        <v>0</v>
      </c>
      <c r="FW180" s="10">
        <v>0</v>
      </c>
      <c r="FX180" s="10">
        <v>0</v>
      </c>
      <c r="FY180" s="10">
        <v>0</v>
      </c>
      <c r="FZ180" s="10">
        <v>0</v>
      </c>
      <c r="GA180" s="10">
        <v>0.35572747986707781</v>
      </c>
      <c r="GB180" s="10">
        <v>0</v>
      </c>
      <c r="GC180" s="10">
        <v>0</v>
      </c>
      <c r="GD180" s="10">
        <v>0</v>
      </c>
      <c r="GE180" s="10">
        <v>0</v>
      </c>
      <c r="GF180" s="10">
        <v>0</v>
      </c>
      <c r="GG180" s="10">
        <v>0</v>
      </c>
      <c r="GH180" s="10">
        <v>0</v>
      </c>
      <c r="GI180" s="10">
        <v>0</v>
      </c>
      <c r="GJ180" s="10">
        <v>0</v>
      </c>
      <c r="GK180" s="10">
        <v>0</v>
      </c>
      <c r="GL180" s="10">
        <v>0</v>
      </c>
      <c r="GM180" s="10">
        <v>0</v>
      </c>
      <c r="GN180" s="10">
        <v>0</v>
      </c>
      <c r="GO180" s="10">
        <v>0</v>
      </c>
      <c r="GP180" s="10">
        <v>0</v>
      </c>
      <c r="GQ180" s="10">
        <v>0</v>
      </c>
      <c r="GR180" s="10">
        <v>0</v>
      </c>
      <c r="GS180" s="10">
        <v>0</v>
      </c>
      <c r="GT180" s="10">
        <v>0</v>
      </c>
      <c r="GU180" s="10">
        <v>0</v>
      </c>
      <c r="GV180" s="10">
        <v>0</v>
      </c>
      <c r="GW180" s="10">
        <v>0</v>
      </c>
      <c r="GX180" s="10">
        <v>0</v>
      </c>
      <c r="GY180" s="10">
        <v>0</v>
      </c>
      <c r="GZ180" s="10">
        <v>0</v>
      </c>
      <c r="HA180" s="10">
        <v>0</v>
      </c>
      <c r="HB180" s="10">
        <v>0</v>
      </c>
      <c r="HC180" s="10">
        <v>0</v>
      </c>
      <c r="HD180" s="10">
        <v>0</v>
      </c>
      <c r="HE180" s="10">
        <v>0</v>
      </c>
      <c r="HF180" s="10">
        <v>0</v>
      </c>
      <c r="HG180" s="10">
        <v>0</v>
      </c>
      <c r="HH180" s="10">
        <v>0</v>
      </c>
      <c r="HI180" s="10">
        <v>0</v>
      </c>
      <c r="HJ180" s="10">
        <v>0</v>
      </c>
      <c r="HK180" s="10">
        <v>0</v>
      </c>
      <c r="HL180" s="10">
        <v>0</v>
      </c>
      <c r="HM180" s="10">
        <v>0</v>
      </c>
      <c r="HN180" s="10">
        <v>0</v>
      </c>
      <c r="HO180" s="10">
        <v>0</v>
      </c>
      <c r="HP180" s="10">
        <v>0</v>
      </c>
      <c r="HQ180" s="10">
        <v>0</v>
      </c>
      <c r="HR180" s="10">
        <v>0</v>
      </c>
      <c r="HS180" s="10">
        <v>0</v>
      </c>
      <c r="HT180" s="10">
        <v>0</v>
      </c>
      <c r="HU180" s="10">
        <v>0</v>
      </c>
    </row>
    <row r="181" spans="1:229" x14ac:dyDescent="0.25">
      <c r="A181" s="10">
        <v>0</v>
      </c>
      <c r="B181" s="2" t="s">
        <v>350</v>
      </c>
      <c r="C181" s="2" t="s">
        <v>351</v>
      </c>
      <c r="D181" s="2">
        <v>15.057</v>
      </c>
      <c r="E181" s="2">
        <v>16.86</v>
      </c>
      <c r="F181" s="2">
        <v>8.56</v>
      </c>
      <c r="G181" s="2">
        <v>0</v>
      </c>
      <c r="H181" s="2">
        <v>5.59</v>
      </c>
      <c r="I181" s="2">
        <v>1441</v>
      </c>
      <c r="J181" s="2">
        <v>6.8460000000000001</v>
      </c>
      <c r="K181" s="2">
        <v>1.0489999999999999</v>
      </c>
      <c r="L181" s="3"/>
      <c r="M181" s="2" t="str">
        <f t="shared" si="9"/>
        <v>01254</v>
      </c>
      <c r="N181" s="3">
        <v>0.36715462571557594</v>
      </c>
      <c r="O181" s="3">
        <v>1.6328453742844238</v>
      </c>
      <c r="P181" s="17">
        <v>0.36715462571565738</v>
      </c>
      <c r="Q181" s="3">
        <v>2.0591499586753539</v>
      </c>
      <c r="R181" s="3">
        <v>1.0322021924583793</v>
      </c>
      <c r="S181" s="3" t="e">
        <v>#DIV/0!</v>
      </c>
      <c r="T181" s="3">
        <v>0.36715462571557334</v>
      </c>
      <c r="U181" s="3">
        <v>0.23015764963089907</v>
      </c>
      <c r="V181" s="10">
        <v>1.6328453742844968</v>
      </c>
      <c r="W181" s="3">
        <v>2.7689419873893164</v>
      </c>
      <c r="X181" s="3">
        <v>5.5282471994006537</v>
      </c>
      <c r="Y181" s="3">
        <v>34.717268303266465</v>
      </c>
      <c r="Z181" s="3">
        <v>8.8356507674437275</v>
      </c>
      <c r="AA181" s="3">
        <v>2.5520140000044464</v>
      </c>
      <c r="AB181" s="3">
        <v>2.052394357750055</v>
      </c>
      <c r="AC181" s="10">
        <v>331.65717311812557</v>
      </c>
      <c r="AD181" s="3">
        <v>11.178459432351666</v>
      </c>
      <c r="AE181" s="3">
        <v>2.9046201447713926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0</v>
      </c>
      <c r="AU181" s="3">
        <v>0</v>
      </c>
      <c r="AV181" s="3">
        <v>0</v>
      </c>
      <c r="AW181" s="3">
        <v>0</v>
      </c>
      <c r="AX181" s="3">
        <v>0</v>
      </c>
      <c r="AY181" s="3">
        <v>0</v>
      </c>
      <c r="AZ181" s="3">
        <v>0</v>
      </c>
      <c r="BA181" s="10">
        <v>0</v>
      </c>
      <c r="BB181" s="10">
        <v>0</v>
      </c>
      <c r="BC181" s="10">
        <v>0</v>
      </c>
      <c r="BD181" s="10">
        <v>0</v>
      </c>
      <c r="BE181" s="10">
        <v>0</v>
      </c>
      <c r="BF181" s="10">
        <v>0</v>
      </c>
      <c r="BG181" s="10">
        <v>0</v>
      </c>
      <c r="BH181" s="10">
        <v>0</v>
      </c>
      <c r="BI181" s="10">
        <v>0</v>
      </c>
      <c r="BJ181" s="10">
        <v>0</v>
      </c>
      <c r="BK181" s="10">
        <v>0</v>
      </c>
      <c r="BL181" s="10">
        <v>0</v>
      </c>
      <c r="BM181" s="10">
        <v>0</v>
      </c>
      <c r="BN181" s="10">
        <v>0</v>
      </c>
      <c r="BO181" s="10">
        <v>0</v>
      </c>
      <c r="BP181" s="10">
        <v>0</v>
      </c>
      <c r="BQ181" s="10">
        <v>0</v>
      </c>
      <c r="BR181" s="10">
        <v>0</v>
      </c>
      <c r="BS181" s="10">
        <v>0</v>
      </c>
      <c r="BT181" s="10">
        <v>0</v>
      </c>
      <c r="BU181" s="10">
        <v>0</v>
      </c>
      <c r="BV181" s="10">
        <v>0</v>
      </c>
      <c r="BW181" s="10">
        <v>0</v>
      </c>
      <c r="BX181" s="10">
        <v>0</v>
      </c>
      <c r="BY181" s="10">
        <v>0</v>
      </c>
      <c r="BZ181" s="10">
        <v>0</v>
      </c>
      <c r="CA181" s="10">
        <v>0.28029689477075637</v>
      </c>
      <c r="CB181" s="10">
        <v>0</v>
      </c>
      <c r="CC181" s="10">
        <v>0</v>
      </c>
      <c r="CD181" s="10">
        <v>0</v>
      </c>
      <c r="CE181" s="10">
        <v>0</v>
      </c>
      <c r="CF181" s="10">
        <v>0</v>
      </c>
      <c r="CG181" s="10">
        <v>0</v>
      </c>
      <c r="CH181" s="10">
        <v>0</v>
      </c>
      <c r="CI181" s="10">
        <v>0</v>
      </c>
      <c r="CJ181" s="10">
        <v>0</v>
      </c>
      <c r="CK181" s="10">
        <v>0</v>
      </c>
      <c r="CL181" s="10">
        <v>0</v>
      </c>
      <c r="CM181" s="10">
        <v>0</v>
      </c>
      <c r="CN181" s="10">
        <v>0</v>
      </c>
      <c r="CO181" s="10">
        <v>0</v>
      </c>
      <c r="CP181" s="10">
        <v>0</v>
      </c>
      <c r="CQ181" s="10">
        <v>0</v>
      </c>
      <c r="CR181" s="10">
        <v>0</v>
      </c>
      <c r="CS181" s="10">
        <v>0</v>
      </c>
      <c r="CT181" s="10">
        <v>0</v>
      </c>
      <c r="CU181" s="10">
        <v>0</v>
      </c>
      <c r="CV181" s="10">
        <v>0</v>
      </c>
      <c r="CW181" s="10">
        <v>0</v>
      </c>
      <c r="CX181" s="10">
        <v>0</v>
      </c>
      <c r="CY181" s="10">
        <v>0</v>
      </c>
      <c r="CZ181" s="10">
        <v>0</v>
      </c>
      <c r="DA181" s="10">
        <v>0</v>
      </c>
      <c r="DB181" s="10">
        <v>0</v>
      </c>
      <c r="DC181" s="10">
        <v>0</v>
      </c>
      <c r="DD181" s="10">
        <v>0</v>
      </c>
      <c r="DE181" s="10">
        <v>0</v>
      </c>
      <c r="DF181" s="10">
        <v>0</v>
      </c>
      <c r="DG181" s="10">
        <v>0</v>
      </c>
      <c r="DH181" s="10">
        <v>0</v>
      </c>
      <c r="DI181" s="10">
        <v>0</v>
      </c>
      <c r="DJ181" s="10">
        <v>0</v>
      </c>
      <c r="DK181" s="10">
        <v>0</v>
      </c>
      <c r="DL181" s="10">
        <v>0</v>
      </c>
      <c r="DM181" s="10">
        <v>0</v>
      </c>
      <c r="DN181" s="10">
        <v>0</v>
      </c>
      <c r="DO181" s="10">
        <v>0</v>
      </c>
      <c r="DP181" s="10">
        <v>0</v>
      </c>
      <c r="DQ181" s="10">
        <v>0</v>
      </c>
      <c r="DR181" s="10">
        <v>0</v>
      </c>
      <c r="DS181" s="10">
        <v>0</v>
      </c>
      <c r="DT181" s="10">
        <v>0</v>
      </c>
      <c r="DU181" s="10">
        <v>0</v>
      </c>
      <c r="DV181" s="10">
        <v>0</v>
      </c>
      <c r="DW181" s="10">
        <v>0</v>
      </c>
      <c r="DX181" s="10">
        <v>0</v>
      </c>
      <c r="DY181" s="10">
        <v>0.36026451367932139</v>
      </c>
      <c r="DZ181" s="10">
        <v>0</v>
      </c>
      <c r="EA181" s="10">
        <v>0</v>
      </c>
      <c r="EB181" s="10">
        <v>0</v>
      </c>
      <c r="EC181" s="10">
        <v>0</v>
      </c>
      <c r="ED181" s="10">
        <v>0</v>
      </c>
      <c r="EE181" s="10">
        <v>0</v>
      </c>
      <c r="EF181" s="10">
        <v>0</v>
      </c>
      <c r="EG181" s="10">
        <v>0</v>
      </c>
      <c r="EH181" s="10">
        <v>0</v>
      </c>
      <c r="EI181" s="10">
        <v>0</v>
      </c>
      <c r="EJ181" s="10">
        <v>0</v>
      </c>
      <c r="EK181" s="10">
        <v>0</v>
      </c>
      <c r="EL181" s="10">
        <v>0</v>
      </c>
      <c r="EM181" s="10">
        <v>0</v>
      </c>
      <c r="EN181" s="10">
        <v>0</v>
      </c>
      <c r="EO181" s="10">
        <v>0</v>
      </c>
      <c r="EP181" s="10">
        <v>0</v>
      </c>
      <c r="EQ181" s="10">
        <v>0</v>
      </c>
      <c r="ER181" s="10">
        <v>0</v>
      </c>
      <c r="ES181" s="10">
        <v>0</v>
      </c>
      <c r="ET181" s="10">
        <v>0</v>
      </c>
      <c r="EU181" s="10">
        <v>0</v>
      </c>
      <c r="EV181" s="10">
        <v>0</v>
      </c>
      <c r="EW181" s="10">
        <v>0</v>
      </c>
      <c r="EX181" s="10">
        <v>0</v>
      </c>
      <c r="EY181" s="10">
        <v>0</v>
      </c>
      <c r="EZ181" s="10">
        <v>0</v>
      </c>
      <c r="FA181" s="10">
        <v>0</v>
      </c>
      <c r="FB181" s="10">
        <v>0</v>
      </c>
      <c r="FC181" s="10">
        <v>0</v>
      </c>
      <c r="FD181" s="10">
        <v>0</v>
      </c>
      <c r="FE181" s="10">
        <v>0</v>
      </c>
      <c r="FF181" s="10">
        <v>0</v>
      </c>
      <c r="FG181" s="10">
        <v>0</v>
      </c>
      <c r="FH181" s="10">
        <v>0</v>
      </c>
      <c r="FI181" s="10">
        <v>0</v>
      </c>
      <c r="FJ181" s="10">
        <v>0</v>
      </c>
      <c r="FK181" s="10">
        <v>0</v>
      </c>
      <c r="FL181" s="10">
        <v>0</v>
      </c>
      <c r="FM181" s="10">
        <v>0</v>
      </c>
      <c r="FN181" s="10">
        <v>0</v>
      </c>
      <c r="FO181" s="10">
        <v>0</v>
      </c>
      <c r="FP181" s="10">
        <v>0</v>
      </c>
      <c r="FQ181" s="10">
        <v>0</v>
      </c>
      <c r="FR181" s="10">
        <v>0</v>
      </c>
      <c r="FS181" s="10">
        <v>0</v>
      </c>
      <c r="FT181" s="10">
        <v>0</v>
      </c>
      <c r="FU181" s="10">
        <v>0</v>
      </c>
      <c r="FV181" s="10">
        <v>0</v>
      </c>
      <c r="FW181" s="10">
        <v>0</v>
      </c>
      <c r="FX181" s="10">
        <v>0</v>
      </c>
      <c r="FY181" s="10">
        <v>0</v>
      </c>
      <c r="FZ181" s="10">
        <v>0</v>
      </c>
      <c r="GA181" s="10">
        <v>0.35943859154992208</v>
      </c>
      <c r="GB181" s="10">
        <v>0</v>
      </c>
      <c r="GC181" s="10">
        <v>0</v>
      </c>
      <c r="GD181" s="10">
        <v>0</v>
      </c>
      <c r="GE181" s="10">
        <v>0</v>
      </c>
      <c r="GF181" s="10">
        <v>0</v>
      </c>
      <c r="GG181" s="10">
        <v>0</v>
      </c>
      <c r="GH181" s="10">
        <v>0</v>
      </c>
      <c r="GI181" s="10">
        <v>0</v>
      </c>
      <c r="GJ181" s="10">
        <v>0</v>
      </c>
      <c r="GK181" s="10">
        <v>0</v>
      </c>
      <c r="GL181" s="10">
        <v>0</v>
      </c>
      <c r="GM181" s="10">
        <v>0</v>
      </c>
      <c r="GN181" s="10">
        <v>0</v>
      </c>
      <c r="GO181" s="10">
        <v>0</v>
      </c>
      <c r="GP181" s="10">
        <v>0</v>
      </c>
      <c r="GQ181" s="10">
        <v>0</v>
      </c>
      <c r="GR181" s="10">
        <v>0</v>
      </c>
      <c r="GS181" s="10">
        <v>0</v>
      </c>
      <c r="GT181" s="10">
        <v>0</v>
      </c>
      <c r="GU181" s="10">
        <v>0</v>
      </c>
      <c r="GV181" s="10">
        <v>0</v>
      </c>
      <c r="GW181" s="10">
        <v>0</v>
      </c>
      <c r="GX181" s="10">
        <v>0</v>
      </c>
      <c r="GY181" s="10">
        <v>0</v>
      </c>
      <c r="GZ181" s="10">
        <v>0</v>
      </c>
      <c r="HA181" s="10">
        <v>0</v>
      </c>
      <c r="HB181" s="10">
        <v>0</v>
      </c>
      <c r="HC181" s="10">
        <v>0</v>
      </c>
      <c r="HD181" s="10">
        <v>0</v>
      </c>
      <c r="HE181" s="10">
        <v>0</v>
      </c>
      <c r="HF181" s="10">
        <v>0</v>
      </c>
      <c r="HG181" s="10">
        <v>0</v>
      </c>
      <c r="HH181" s="10">
        <v>0</v>
      </c>
      <c r="HI181" s="10">
        <v>0</v>
      </c>
      <c r="HJ181" s="10">
        <v>0</v>
      </c>
      <c r="HK181" s="10">
        <v>0</v>
      </c>
      <c r="HL181" s="10">
        <v>0</v>
      </c>
      <c r="HM181" s="10">
        <v>0</v>
      </c>
      <c r="HN181" s="10">
        <v>0</v>
      </c>
      <c r="HO181" s="10">
        <v>0</v>
      </c>
      <c r="HP181" s="10">
        <v>0</v>
      </c>
      <c r="HQ181" s="10">
        <v>0</v>
      </c>
      <c r="HR181" s="10">
        <v>0</v>
      </c>
      <c r="HS181" s="10">
        <v>0</v>
      </c>
      <c r="HT181" s="10">
        <v>0</v>
      </c>
      <c r="HU181" s="10">
        <v>0</v>
      </c>
    </row>
    <row r="182" spans="1:229" x14ac:dyDescent="0.25">
      <c r="A182" s="10">
        <v>0</v>
      </c>
      <c r="B182" s="2" t="s">
        <v>352</v>
      </c>
      <c r="C182" s="2" t="s">
        <v>353</v>
      </c>
      <c r="D182" s="2">
        <v>3.1779999999999999</v>
      </c>
      <c r="E182" s="2">
        <v>10.97</v>
      </c>
      <c r="F182" s="2">
        <v>0.83</v>
      </c>
      <c r="G182" s="2">
        <v>0</v>
      </c>
      <c r="H182" s="2">
        <v>7.0000000000000007E-2</v>
      </c>
      <c r="I182" s="2">
        <v>3663</v>
      </c>
      <c r="J182" s="2">
        <v>4</v>
      </c>
      <c r="K182" s="2">
        <v>1.627</v>
      </c>
      <c r="L182" s="3"/>
      <c r="M182" s="2" t="str">
        <f t="shared" si="9"/>
        <v>01255</v>
      </c>
      <c r="N182" s="3">
        <v>0.88393845564143136</v>
      </c>
      <c r="O182" s="3">
        <v>1.1160615443585691</v>
      </c>
      <c r="P182" s="17">
        <v>0.88393845563971418</v>
      </c>
      <c r="Q182" s="3">
        <v>1.1160615443585657</v>
      </c>
      <c r="R182" s="3">
        <v>5.4197755829337275</v>
      </c>
      <c r="S182" s="3" t="e">
        <v>#DIV/0!</v>
      </c>
      <c r="T182" s="3">
        <v>0.8839384556414247</v>
      </c>
      <c r="U182" s="3">
        <v>4.2955751487712829E-2</v>
      </c>
      <c r="V182" s="3">
        <v>1.1160615443586044</v>
      </c>
      <c r="W182" s="3">
        <v>0.96289469113282999</v>
      </c>
      <c r="X182" s="3">
        <v>2.8091564120230115</v>
      </c>
      <c r="Y182" s="3">
        <v>12.243195141613466</v>
      </c>
      <c r="Z182" s="3">
        <v>4.4984137338349939</v>
      </c>
      <c r="AA182" s="3">
        <v>7.693825086756359E-2</v>
      </c>
      <c r="AB182" s="3">
        <v>6.1875691894899734E-2</v>
      </c>
      <c r="AC182" s="3">
        <v>157.34691769949208</v>
      </c>
      <c r="AD182" s="3">
        <v>4.4642461774344175</v>
      </c>
      <c r="AE182" s="3">
        <v>1.5666296624731144</v>
      </c>
      <c r="AF182" s="3">
        <v>0</v>
      </c>
      <c r="AG182" s="3">
        <v>0</v>
      </c>
      <c r="AH182" s="3">
        <v>0</v>
      </c>
      <c r="AI182" s="10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10">
        <v>0</v>
      </c>
      <c r="AU182" s="10">
        <v>0</v>
      </c>
      <c r="AV182" s="3">
        <v>0</v>
      </c>
      <c r="AW182" s="3">
        <v>0</v>
      </c>
      <c r="AX182" s="3">
        <v>0</v>
      </c>
      <c r="AY182" s="3">
        <v>0</v>
      </c>
      <c r="AZ182" s="3">
        <v>0</v>
      </c>
      <c r="BA182" s="10">
        <v>0</v>
      </c>
      <c r="BB182" s="10">
        <v>0</v>
      </c>
      <c r="BC182" s="10">
        <v>0</v>
      </c>
      <c r="BD182" s="10">
        <v>0</v>
      </c>
      <c r="BE182" s="10">
        <v>0</v>
      </c>
      <c r="BF182" s="10">
        <v>0</v>
      </c>
      <c r="BG182" s="10">
        <v>0</v>
      </c>
      <c r="BH182" s="10">
        <v>0</v>
      </c>
      <c r="BI182" s="10">
        <v>0</v>
      </c>
      <c r="BJ182" s="10">
        <v>0</v>
      </c>
      <c r="BK182" s="10">
        <v>0</v>
      </c>
      <c r="BL182" s="10">
        <v>0</v>
      </c>
      <c r="BM182" s="10">
        <v>0</v>
      </c>
      <c r="BN182" s="10">
        <v>0</v>
      </c>
      <c r="BO182" s="10">
        <v>0</v>
      </c>
      <c r="BP182" s="10">
        <v>0</v>
      </c>
      <c r="BQ182" s="10">
        <v>0</v>
      </c>
      <c r="BR182" s="10">
        <v>0</v>
      </c>
      <c r="BS182" s="10">
        <v>0</v>
      </c>
      <c r="BT182" s="10">
        <v>0</v>
      </c>
      <c r="BU182" s="10">
        <v>0</v>
      </c>
      <c r="BV182" s="10">
        <v>0</v>
      </c>
      <c r="BW182" s="10">
        <v>0</v>
      </c>
      <c r="BX182" s="10">
        <v>0</v>
      </c>
      <c r="BY182" s="10">
        <v>0</v>
      </c>
      <c r="BZ182" s="10">
        <v>0</v>
      </c>
      <c r="CA182" s="10">
        <v>0.81143517649536867</v>
      </c>
      <c r="CB182" s="10">
        <v>0</v>
      </c>
      <c r="CC182" s="10">
        <v>0</v>
      </c>
      <c r="CD182" s="10">
        <v>0</v>
      </c>
      <c r="CE182" s="10">
        <v>0</v>
      </c>
      <c r="CF182" s="10">
        <v>0</v>
      </c>
      <c r="CG182" s="10">
        <v>0</v>
      </c>
      <c r="CH182" s="10">
        <v>0</v>
      </c>
      <c r="CI182" s="10">
        <v>0</v>
      </c>
      <c r="CJ182" s="10">
        <v>0</v>
      </c>
      <c r="CK182" s="10">
        <v>0</v>
      </c>
      <c r="CL182" s="10">
        <v>0</v>
      </c>
      <c r="CM182" s="10">
        <v>0</v>
      </c>
      <c r="CN182" s="10">
        <v>0</v>
      </c>
      <c r="CO182" s="10">
        <v>0</v>
      </c>
      <c r="CP182" s="10">
        <v>0</v>
      </c>
      <c r="CQ182" s="10">
        <v>0</v>
      </c>
      <c r="CR182" s="10">
        <v>0</v>
      </c>
      <c r="CS182" s="10">
        <v>0</v>
      </c>
      <c r="CT182" s="10">
        <v>0</v>
      </c>
      <c r="CU182" s="10">
        <v>0</v>
      </c>
      <c r="CV182" s="10">
        <v>0</v>
      </c>
      <c r="CW182" s="10">
        <v>0</v>
      </c>
      <c r="CX182" s="10">
        <v>0</v>
      </c>
      <c r="CY182" s="10">
        <v>0</v>
      </c>
      <c r="CZ182" s="10">
        <v>0</v>
      </c>
      <c r="DA182" s="10">
        <v>0</v>
      </c>
      <c r="DB182" s="10">
        <v>0</v>
      </c>
      <c r="DC182" s="10">
        <v>0</v>
      </c>
      <c r="DD182" s="10">
        <v>0</v>
      </c>
      <c r="DE182" s="10">
        <v>0</v>
      </c>
      <c r="DF182" s="10">
        <v>0</v>
      </c>
      <c r="DG182" s="10">
        <v>0</v>
      </c>
      <c r="DH182" s="10">
        <v>0</v>
      </c>
      <c r="DI182" s="10">
        <v>0</v>
      </c>
      <c r="DJ182" s="10">
        <v>0</v>
      </c>
      <c r="DK182" s="10">
        <v>0</v>
      </c>
      <c r="DL182" s="10">
        <v>0</v>
      </c>
      <c r="DM182" s="10">
        <v>0</v>
      </c>
      <c r="DN182" s="10">
        <v>0</v>
      </c>
      <c r="DO182" s="10">
        <v>0</v>
      </c>
      <c r="DP182" s="10">
        <v>0</v>
      </c>
      <c r="DQ182" s="10">
        <v>0</v>
      </c>
      <c r="DR182" s="10">
        <v>0</v>
      </c>
      <c r="DS182" s="10">
        <v>0</v>
      </c>
      <c r="DT182" s="10">
        <v>0</v>
      </c>
      <c r="DU182" s="10">
        <v>0</v>
      </c>
      <c r="DV182" s="10">
        <v>0</v>
      </c>
      <c r="DW182" s="10">
        <v>0</v>
      </c>
      <c r="DX182" s="10">
        <v>0</v>
      </c>
      <c r="DY182" s="10">
        <v>0.16423343666109211</v>
      </c>
      <c r="DZ182" s="10">
        <v>0</v>
      </c>
      <c r="EA182" s="10">
        <v>0</v>
      </c>
      <c r="EB182" s="10">
        <v>0</v>
      </c>
      <c r="EC182" s="10">
        <v>0</v>
      </c>
      <c r="ED182" s="10">
        <v>0</v>
      </c>
      <c r="EE182" s="10">
        <v>0</v>
      </c>
      <c r="EF182" s="10">
        <v>0</v>
      </c>
      <c r="EG182" s="10">
        <v>0</v>
      </c>
      <c r="EH182" s="10">
        <v>0</v>
      </c>
      <c r="EI182" s="10">
        <v>0</v>
      </c>
      <c r="EJ182" s="10">
        <v>0</v>
      </c>
      <c r="EK182" s="10">
        <v>0</v>
      </c>
      <c r="EL182" s="10">
        <v>0</v>
      </c>
      <c r="EM182" s="10">
        <v>0</v>
      </c>
      <c r="EN182" s="10">
        <v>0</v>
      </c>
      <c r="EO182" s="10">
        <v>0</v>
      </c>
      <c r="EP182" s="10">
        <v>0</v>
      </c>
      <c r="EQ182" s="10">
        <v>0</v>
      </c>
      <c r="ER182" s="10">
        <v>0</v>
      </c>
      <c r="ES182" s="10">
        <v>0</v>
      </c>
      <c r="ET182" s="10">
        <v>0</v>
      </c>
      <c r="EU182" s="10">
        <v>0</v>
      </c>
      <c r="EV182" s="10">
        <v>0</v>
      </c>
      <c r="EW182" s="10">
        <v>0</v>
      </c>
      <c r="EX182" s="10">
        <v>0</v>
      </c>
      <c r="EY182" s="10">
        <v>0</v>
      </c>
      <c r="EZ182" s="10">
        <v>0</v>
      </c>
      <c r="FA182" s="10">
        <v>0</v>
      </c>
      <c r="FB182" s="10">
        <v>0</v>
      </c>
      <c r="FC182" s="10">
        <v>0</v>
      </c>
      <c r="FD182" s="10">
        <v>0</v>
      </c>
      <c r="FE182" s="10">
        <v>0</v>
      </c>
      <c r="FF182" s="10">
        <v>0</v>
      </c>
      <c r="FG182" s="10">
        <v>0</v>
      </c>
      <c r="FH182" s="10">
        <v>0</v>
      </c>
      <c r="FI182" s="10">
        <v>0</v>
      </c>
      <c r="FJ182" s="10">
        <v>0</v>
      </c>
      <c r="FK182" s="10">
        <v>0</v>
      </c>
      <c r="FL182" s="10">
        <v>0</v>
      </c>
      <c r="FM182" s="10">
        <v>0</v>
      </c>
      <c r="FN182" s="10">
        <v>0</v>
      </c>
      <c r="FO182" s="10">
        <v>0</v>
      </c>
      <c r="FP182" s="10">
        <v>0</v>
      </c>
      <c r="FQ182" s="10">
        <v>0</v>
      </c>
      <c r="FR182" s="10">
        <v>0</v>
      </c>
      <c r="FS182" s="10">
        <v>0</v>
      </c>
      <c r="FT182" s="10">
        <v>0</v>
      </c>
      <c r="FU182" s="10">
        <v>0</v>
      </c>
      <c r="FV182" s="10">
        <v>0</v>
      </c>
      <c r="FW182" s="10">
        <v>0</v>
      </c>
      <c r="FX182" s="10">
        <v>0</v>
      </c>
      <c r="FY182" s="10">
        <v>0</v>
      </c>
      <c r="FZ182" s="10">
        <v>0</v>
      </c>
      <c r="GA182" s="10">
        <v>1.0836373361628675E-2</v>
      </c>
      <c r="GB182" s="10">
        <v>0</v>
      </c>
      <c r="GC182" s="10">
        <v>0</v>
      </c>
      <c r="GD182" s="10">
        <v>0</v>
      </c>
      <c r="GE182" s="10">
        <v>0</v>
      </c>
      <c r="GF182" s="10">
        <v>0</v>
      </c>
      <c r="GG182" s="10">
        <v>0</v>
      </c>
      <c r="GH182" s="10">
        <v>0</v>
      </c>
      <c r="GI182" s="10">
        <v>0</v>
      </c>
      <c r="GJ182" s="10">
        <v>0</v>
      </c>
      <c r="GK182" s="10">
        <v>0</v>
      </c>
      <c r="GL182" s="10">
        <v>0</v>
      </c>
      <c r="GM182" s="10">
        <v>0</v>
      </c>
      <c r="GN182" s="10">
        <v>0</v>
      </c>
      <c r="GO182" s="10">
        <v>0</v>
      </c>
      <c r="GP182" s="10">
        <v>0</v>
      </c>
      <c r="GQ182" s="10">
        <v>0</v>
      </c>
      <c r="GR182" s="10">
        <v>0</v>
      </c>
      <c r="GS182" s="10">
        <v>0</v>
      </c>
      <c r="GT182" s="10">
        <v>0</v>
      </c>
      <c r="GU182" s="10">
        <v>0</v>
      </c>
      <c r="GV182" s="10">
        <v>0</v>
      </c>
      <c r="GW182" s="10">
        <v>1.3495013481910491E-2</v>
      </c>
      <c r="GX182" s="10">
        <v>0</v>
      </c>
      <c r="GY182" s="10">
        <v>0</v>
      </c>
      <c r="GZ182" s="10">
        <v>0</v>
      </c>
      <c r="HA182" s="10">
        <v>0</v>
      </c>
      <c r="HB182" s="10">
        <v>0</v>
      </c>
      <c r="HC182" s="10">
        <v>0</v>
      </c>
      <c r="HD182" s="10">
        <v>0</v>
      </c>
      <c r="HE182" s="10">
        <v>0</v>
      </c>
      <c r="HF182" s="10">
        <v>0</v>
      </c>
      <c r="HG182" s="10">
        <v>0</v>
      </c>
      <c r="HH182" s="10">
        <v>0</v>
      </c>
      <c r="HI182" s="10">
        <v>0</v>
      </c>
      <c r="HJ182" s="10">
        <v>0</v>
      </c>
      <c r="HK182" s="10">
        <v>0</v>
      </c>
      <c r="HL182" s="10">
        <v>0</v>
      </c>
      <c r="HM182" s="10">
        <v>0</v>
      </c>
      <c r="HN182" s="10">
        <v>0</v>
      </c>
      <c r="HO182" s="10">
        <v>0</v>
      </c>
      <c r="HP182" s="10">
        <v>0</v>
      </c>
      <c r="HQ182" s="10">
        <v>0</v>
      </c>
      <c r="HR182" s="10">
        <v>0</v>
      </c>
      <c r="HS182" s="10">
        <v>0</v>
      </c>
      <c r="HT182" s="10">
        <v>0</v>
      </c>
      <c r="HU182" s="10">
        <v>0</v>
      </c>
    </row>
    <row r="183" spans="1:229" x14ac:dyDescent="0.25">
      <c r="A183" s="10">
        <v>3.7633240063005301E-2</v>
      </c>
      <c r="B183" s="2" t="s">
        <v>354</v>
      </c>
      <c r="C183" s="2" t="s">
        <v>355</v>
      </c>
      <c r="D183" s="2">
        <v>0.11700000000000001</v>
      </c>
      <c r="E183" s="2">
        <v>10.19</v>
      </c>
      <c r="F183" s="2">
        <v>3.6</v>
      </c>
      <c r="G183" s="2">
        <v>0</v>
      </c>
      <c r="H183" s="2">
        <v>3.24</v>
      </c>
      <c r="I183" s="2">
        <v>36</v>
      </c>
      <c r="J183" s="2">
        <v>5.2999999999999999E-2</v>
      </c>
      <c r="K183" s="2">
        <v>1.2E-2</v>
      </c>
      <c r="L183" s="3"/>
      <c r="M183" s="2" t="str">
        <f t="shared" si="9"/>
        <v>01256</v>
      </c>
      <c r="N183" s="3">
        <v>1.0000000000001168</v>
      </c>
      <c r="O183" s="3">
        <v>0.99999999999988298</v>
      </c>
      <c r="P183" s="17">
        <v>0.9999999999998217</v>
      </c>
      <c r="Q183" s="3">
        <v>0.99999999999987776</v>
      </c>
      <c r="R183" s="3">
        <v>1.0000000000006561</v>
      </c>
      <c r="S183" s="3" t="e">
        <v>#DIV/0!</v>
      </c>
      <c r="T183" s="3">
        <v>1.0000000000001141</v>
      </c>
      <c r="U183" s="3">
        <v>1.0000000000001192</v>
      </c>
      <c r="V183" s="3">
        <v>0.9999999999998217</v>
      </c>
      <c r="W183" s="3">
        <v>0.99999999999982181</v>
      </c>
      <c r="X183" s="3">
        <v>0.11699999999997915</v>
      </c>
      <c r="Y183" s="3">
        <v>10.189999999998754</v>
      </c>
      <c r="Z183" s="3">
        <v>3.6000000000023622</v>
      </c>
      <c r="AA183" s="3">
        <v>0</v>
      </c>
      <c r="AB183" s="3">
        <v>3.2400000000003701</v>
      </c>
      <c r="AC183" s="3">
        <v>36.000000000004292</v>
      </c>
      <c r="AD183" s="3">
        <v>5.2999999999990548E-2</v>
      </c>
      <c r="AE183" s="3">
        <v>1.1999999999997861E-2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0</v>
      </c>
      <c r="AU183" s="3">
        <v>0</v>
      </c>
      <c r="AV183" s="3">
        <v>0</v>
      </c>
      <c r="AW183" s="3">
        <v>0</v>
      </c>
      <c r="AX183" s="3">
        <v>0</v>
      </c>
      <c r="AY183" s="3">
        <v>0</v>
      </c>
      <c r="AZ183" s="3">
        <v>0</v>
      </c>
      <c r="BA183" s="10">
        <v>0</v>
      </c>
      <c r="BB183" s="10">
        <v>0</v>
      </c>
      <c r="BC183" s="10">
        <v>0</v>
      </c>
      <c r="BD183" s="10">
        <v>0</v>
      </c>
      <c r="BE183" s="10">
        <v>0</v>
      </c>
      <c r="BF183" s="10">
        <v>0</v>
      </c>
      <c r="BG183" s="10">
        <v>0</v>
      </c>
      <c r="BH183" s="10">
        <v>0</v>
      </c>
      <c r="BI183" s="10">
        <v>0</v>
      </c>
      <c r="BJ183" s="10">
        <v>0</v>
      </c>
      <c r="BK183" s="10">
        <v>0</v>
      </c>
      <c r="BL183" s="10">
        <v>0</v>
      </c>
      <c r="BM183" s="10">
        <v>0</v>
      </c>
      <c r="BN183" s="10">
        <v>0</v>
      </c>
      <c r="BO183" s="10">
        <v>0</v>
      </c>
      <c r="BP183" s="10">
        <v>0</v>
      </c>
      <c r="BQ183" s="10">
        <v>0</v>
      </c>
      <c r="BR183" s="10">
        <v>0</v>
      </c>
      <c r="BS183" s="10">
        <v>0</v>
      </c>
      <c r="BT183" s="10">
        <v>0</v>
      </c>
      <c r="BU183" s="10">
        <v>0</v>
      </c>
      <c r="BV183" s="10">
        <v>0</v>
      </c>
      <c r="BW183" s="10">
        <v>0</v>
      </c>
      <c r="BX183" s="10">
        <v>0</v>
      </c>
      <c r="BY183" s="10">
        <v>0</v>
      </c>
      <c r="BZ183" s="10">
        <v>0</v>
      </c>
      <c r="CA183" s="10">
        <v>0</v>
      </c>
      <c r="CB183" s="10">
        <v>0</v>
      </c>
      <c r="CC183" s="10">
        <v>0</v>
      </c>
      <c r="CD183" s="10">
        <v>0</v>
      </c>
      <c r="CE183" s="10">
        <v>0</v>
      </c>
      <c r="CF183" s="10">
        <v>0</v>
      </c>
      <c r="CG183" s="10">
        <v>0</v>
      </c>
      <c r="CH183" s="10">
        <v>0</v>
      </c>
      <c r="CI183" s="10">
        <v>0</v>
      </c>
      <c r="CJ183" s="10">
        <v>0</v>
      </c>
      <c r="CK183" s="10">
        <v>0</v>
      </c>
      <c r="CL183" s="10">
        <v>0</v>
      </c>
      <c r="CM183" s="10">
        <v>0</v>
      </c>
      <c r="CN183" s="10">
        <v>0</v>
      </c>
      <c r="CO183" s="10">
        <v>0</v>
      </c>
      <c r="CP183" s="10">
        <v>0</v>
      </c>
      <c r="CQ183" s="10">
        <v>0</v>
      </c>
      <c r="CR183" s="10">
        <v>0</v>
      </c>
      <c r="CS183" s="10">
        <v>0</v>
      </c>
      <c r="CT183" s="10">
        <v>0</v>
      </c>
      <c r="CU183" s="10">
        <v>0</v>
      </c>
      <c r="CV183" s="10">
        <v>0</v>
      </c>
      <c r="CW183" s="10">
        <v>0</v>
      </c>
      <c r="CX183" s="10">
        <v>0</v>
      </c>
      <c r="CY183" s="10">
        <v>0</v>
      </c>
      <c r="CZ183" s="10">
        <v>0</v>
      </c>
      <c r="DA183" s="10">
        <v>0</v>
      </c>
      <c r="DB183" s="10">
        <v>0</v>
      </c>
      <c r="DC183" s="10">
        <v>0</v>
      </c>
      <c r="DD183" s="10">
        <v>0</v>
      </c>
      <c r="DE183" s="10">
        <v>0</v>
      </c>
      <c r="DF183" s="10">
        <v>0</v>
      </c>
      <c r="DG183" s="10">
        <v>0</v>
      </c>
      <c r="DH183" s="10">
        <v>0</v>
      </c>
      <c r="DI183" s="10">
        <v>0</v>
      </c>
      <c r="DJ183" s="10">
        <v>0</v>
      </c>
      <c r="DK183" s="10">
        <v>0</v>
      </c>
      <c r="DL183" s="10">
        <v>0</v>
      </c>
      <c r="DM183" s="10">
        <v>0</v>
      </c>
      <c r="DN183" s="10">
        <v>0</v>
      </c>
      <c r="DO183" s="10">
        <v>0</v>
      </c>
      <c r="DP183" s="10">
        <v>0</v>
      </c>
      <c r="DQ183" s="10">
        <v>0</v>
      </c>
      <c r="DR183" s="10">
        <v>0</v>
      </c>
      <c r="DS183" s="10">
        <v>0</v>
      </c>
      <c r="DT183" s="10">
        <v>0</v>
      </c>
      <c r="DU183" s="10">
        <v>0</v>
      </c>
      <c r="DV183" s="10">
        <v>0</v>
      </c>
      <c r="DW183" s="10">
        <v>0</v>
      </c>
      <c r="DX183" s="10">
        <v>0</v>
      </c>
      <c r="DY183" s="10">
        <v>0</v>
      </c>
      <c r="DZ183" s="10">
        <v>6.1065484423374912E-16</v>
      </c>
      <c r="EA183" s="10">
        <v>0</v>
      </c>
      <c r="EB183" s="10">
        <v>0</v>
      </c>
      <c r="EC183" s="10">
        <v>0</v>
      </c>
      <c r="ED183" s="10">
        <v>0</v>
      </c>
      <c r="EE183" s="10">
        <v>0</v>
      </c>
      <c r="EF183" s="10">
        <v>0</v>
      </c>
      <c r="EG183" s="10">
        <v>0</v>
      </c>
      <c r="EH183" s="10">
        <v>0</v>
      </c>
      <c r="EI183" s="10">
        <v>0</v>
      </c>
      <c r="EJ183" s="10">
        <v>0</v>
      </c>
      <c r="EK183" s="10">
        <v>0</v>
      </c>
      <c r="EL183" s="10">
        <v>0</v>
      </c>
      <c r="EM183" s="10">
        <v>0</v>
      </c>
      <c r="EN183" s="10">
        <v>0</v>
      </c>
      <c r="EO183" s="10">
        <v>0</v>
      </c>
      <c r="EP183" s="10">
        <v>0</v>
      </c>
      <c r="EQ183" s="10">
        <v>0</v>
      </c>
      <c r="ER183" s="10">
        <v>0</v>
      </c>
      <c r="ES183" s="10">
        <v>0</v>
      </c>
      <c r="ET183" s="10">
        <v>0</v>
      </c>
      <c r="EU183" s="10">
        <v>0</v>
      </c>
      <c r="EV183" s="10">
        <v>0</v>
      </c>
      <c r="EW183" s="10">
        <v>0</v>
      </c>
      <c r="EX183" s="10">
        <v>1.7575916314951709E-14</v>
      </c>
      <c r="EY183" s="10">
        <v>0</v>
      </c>
      <c r="EZ183" s="10">
        <v>0</v>
      </c>
      <c r="FA183" s="10">
        <v>0</v>
      </c>
      <c r="FB183" s="10">
        <v>0</v>
      </c>
      <c r="FC183" s="10">
        <v>0</v>
      </c>
      <c r="FD183" s="10">
        <v>0</v>
      </c>
      <c r="FE183" s="10">
        <v>0</v>
      </c>
      <c r="FF183" s="10">
        <v>0</v>
      </c>
      <c r="FG183" s="10">
        <v>0</v>
      </c>
      <c r="FH183" s="10">
        <v>0</v>
      </c>
      <c r="FI183" s="10">
        <v>0</v>
      </c>
      <c r="FJ183" s="10">
        <v>0</v>
      </c>
      <c r="FK183" s="10">
        <v>0</v>
      </c>
      <c r="FL183" s="10">
        <v>0</v>
      </c>
      <c r="FM183" s="10">
        <v>0</v>
      </c>
      <c r="FN183" s="10">
        <v>0</v>
      </c>
      <c r="FO183" s="10">
        <v>0</v>
      </c>
      <c r="FP183" s="10">
        <v>0</v>
      </c>
      <c r="FQ183" s="10">
        <v>0</v>
      </c>
      <c r="FR183" s="10">
        <v>0</v>
      </c>
      <c r="FS183" s="10">
        <v>0</v>
      </c>
      <c r="FT183" s="10">
        <v>0</v>
      </c>
      <c r="FU183" s="10">
        <v>0</v>
      </c>
      <c r="FV183" s="10">
        <v>0</v>
      </c>
      <c r="FW183" s="10">
        <v>0</v>
      </c>
      <c r="FX183" s="10">
        <v>0</v>
      </c>
      <c r="FY183" s="10">
        <v>0</v>
      </c>
      <c r="FZ183" s="10">
        <v>0</v>
      </c>
      <c r="GA183" s="10">
        <v>0</v>
      </c>
      <c r="GB183" s="10">
        <v>0</v>
      </c>
      <c r="GC183" s="10">
        <v>0</v>
      </c>
      <c r="GD183" s="10">
        <v>0</v>
      </c>
      <c r="GE183" s="10">
        <v>0</v>
      </c>
      <c r="GF183" s="10">
        <v>0</v>
      </c>
      <c r="GG183" s="10">
        <v>0</v>
      </c>
      <c r="GH183" s="10">
        <v>0</v>
      </c>
      <c r="GI183" s="10">
        <v>0</v>
      </c>
      <c r="GJ183" s="10">
        <v>0</v>
      </c>
      <c r="GK183" s="10">
        <v>0</v>
      </c>
      <c r="GL183" s="10">
        <v>0</v>
      </c>
      <c r="GM183" s="10">
        <v>0</v>
      </c>
      <c r="GN183" s="10">
        <v>0</v>
      </c>
      <c r="GO183" s="10">
        <v>0</v>
      </c>
      <c r="GP183" s="10">
        <v>0</v>
      </c>
      <c r="GQ183" s="10">
        <v>0</v>
      </c>
      <c r="GR183" s="10">
        <v>0</v>
      </c>
      <c r="GS183" s="10">
        <v>0</v>
      </c>
      <c r="GT183" s="10">
        <v>0</v>
      </c>
      <c r="GU183" s="10">
        <v>0</v>
      </c>
      <c r="GV183" s="10">
        <v>0.9999999999998217</v>
      </c>
      <c r="GW183" s="10">
        <v>0</v>
      </c>
      <c r="GX183" s="10">
        <v>0</v>
      </c>
      <c r="GY183" s="10">
        <v>0</v>
      </c>
      <c r="GZ183" s="10">
        <v>0</v>
      </c>
      <c r="HA183" s="10">
        <v>0</v>
      </c>
      <c r="HB183" s="10">
        <v>0</v>
      </c>
      <c r="HC183" s="10">
        <v>0</v>
      </c>
      <c r="HD183" s="10">
        <v>0</v>
      </c>
      <c r="HE183" s="10">
        <v>0</v>
      </c>
      <c r="HF183" s="10">
        <v>0</v>
      </c>
      <c r="HG183" s="10">
        <v>0</v>
      </c>
      <c r="HH183" s="10">
        <v>0</v>
      </c>
      <c r="HI183" s="10">
        <v>0</v>
      </c>
      <c r="HJ183" s="10">
        <v>0</v>
      </c>
      <c r="HK183" s="10">
        <v>0</v>
      </c>
      <c r="HL183" s="10">
        <v>0</v>
      </c>
      <c r="HM183" s="10">
        <v>0</v>
      </c>
      <c r="HN183" s="10">
        <v>0</v>
      </c>
      <c r="HO183" s="10">
        <v>0</v>
      </c>
      <c r="HP183" s="10">
        <v>1.6004452707298846E-13</v>
      </c>
      <c r="HQ183" s="10">
        <v>0</v>
      </c>
      <c r="HR183" s="10">
        <v>0</v>
      </c>
      <c r="HS183" s="10">
        <v>0</v>
      </c>
      <c r="HT183" s="10">
        <v>0</v>
      </c>
      <c r="HU183" s="10">
        <v>0</v>
      </c>
    </row>
    <row r="184" spans="1:229" x14ac:dyDescent="0.25">
      <c r="A184" s="10">
        <v>0</v>
      </c>
      <c r="B184" s="2" t="s">
        <v>356</v>
      </c>
      <c r="C184" s="2" t="s">
        <v>357</v>
      </c>
      <c r="D184" s="2">
        <v>0.11799999999999999</v>
      </c>
      <c r="E184" s="2">
        <v>84.08</v>
      </c>
      <c r="F184" s="2">
        <v>4.51</v>
      </c>
      <c r="G184" s="2">
        <v>0</v>
      </c>
      <c r="H184" s="2">
        <v>0</v>
      </c>
      <c r="I184" s="2">
        <v>1299</v>
      </c>
      <c r="J184" s="2">
        <v>0.125</v>
      </c>
      <c r="K184" s="2">
        <v>4.4999999999999998E-2</v>
      </c>
      <c r="L184" s="3"/>
      <c r="M184" s="2" t="str">
        <f t="shared" si="9"/>
        <v>01258</v>
      </c>
      <c r="N184" s="3">
        <v>1.0000000000000007</v>
      </c>
      <c r="O184" s="3">
        <v>0.99999999999999933</v>
      </c>
      <c r="P184" s="17">
        <v>1.0000000000000002</v>
      </c>
      <c r="Q184" s="3">
        <v>1.0000000000000002</v>
      </c>
      <c r="R184" s="3">
        <v>1.0000000000000002</v>
      </c>
      <c r="S184" s="3" t="e">
        <v>#DIV/0!</v>
      </c>
      <c r="T184" s="3" t="e">
        <v>#DIV/0!</v>
      </c>
      <c r="U184" s="3">
        <v>1.0000000000000002</v>
      </c>
      <c r="V184" s="3">
        <v>1.0000000000000002</v>
      </c>
      <c r="W184" s="3">
        <v>1.0000000000000002</v>
      </c>
      <c r="X184" s="3">
        <v>0.11800000000000002</v>
      </c>
      <c r="Y184" s="3">
        <v>84.080000000000013</v>
      </c>
      <c r="Z184" s="3">
        <v>4.5100000000000007</v>
      </c>
      <c r="AA184" s="3">
        <v>0</v>
      </c>
      <c r="AB184" s="3">
        <v>0</v>
      </c>
      <c r="AC184" s="3">
        <v>1299.0000000000002</v>
      </c>
      <c r="AD184" s="3">
        <v>0.12500000000000003</v>
      </c>
      <c r="AE184" s="3">
        <v>4.5000000000000005E-2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0</v>
      </c>
      <c r="AU184" s="3">
        <v>0</v>
      </c>
      <c r="AV184" s="3">
        <v>0</v>
      </c>
      <c r="AW184" s="3">
        <v>0</v>
      </c>
      <c r="AX184" s="3">
        <v>0</v>
      </c>
      <c r="AY184" s="3">
        <v>0</v>
      </c>
      <c r="AZ184" s="3">
        <v>0</v>
      </c>
      <c r="BA184" s="10">
        <v>0</v>
      </c>
      <c r="BB184" s="10">
        <v>0</v>
      </c>
      <c r="BC184" s="10">
        <v>0</v>
      </c>
      <c r="BD184" s="10">
        <v>0</v>
      </c>
      <c r="BE184" s="10">
        <v>0</v>
      </c>
      <c r="BF184" s="10">
        <v>0</v>
      </c>
      <c r="BG184" s="10">
        <v>0</v>
      </c>
      <c r="BH184" s="10">
        <v>0</v>
      </c>
      <c r="BI184" s="10">
        <v>0</v>
      </c>
      <c r="BJ184" s="10">
        <v>0</v>
      </c>
      <c r="BK184" s="10">
        <v>0</v>
      </c>
      <c r="BL184" s="10">
        <v>0</v>
      </c>
      <c r="BM184" s="10">
        <v>0</v>
      </c>
      <c r="BN184" s="10">
        <v>0</v>
      </c>
      <c r="BO184" s="10">
        <v>0</v>
      </c>
      <c r="BP184" s="10">
        <v>0</v>
      </c>
      <c r="BQ184" s="10">
        <v>0</v>
      </c>
      <c r="BR184" s="10">
        <v>0</v>
      </c>
      <c r="BS184" s="10">
        <v>0</v>
      </c>
      <c r="BT184" s="10">
        <v>0</v>
      </c>
      <c r="BU184" s="10">
        <v>0</v>
      </c>
      <c r="BV184" s="10">
        <v>0</v>
      </c>
      <c r="BW184" s="10">
        <v>0</v>
      </c>
      <c r="BX184" s="10">
        <v>0</v>
      </c>
      <c r="BY184" s="10">
        <v>0</v>
      </c>
      <c r="BZ184" s="10">
        <v>0</v>
      </c>
      <c r="CA184" s="10">
        <v>0</v>
      </c>
      <c r="CB184" s="10">
        <v>0</v>
      </c>
      <c r="CC184" s="10">
        <v>0</v>
      </c>
      <c r="CD184" s="10">
        <v>0</v>
      </c>
      <c r="CE184" s="10">
        <v>0</v>
      </c>
      <c r="CF184" s="10">
        <v>0</v>
      </c>
      <c r="CG184" s="10">
        <v>0</v>
      </c>
      <c r="CH184" s="10">
        <v>0</v>
      </c>
      <c r="CI184" s="10">
        <v>0</v>
      </c>
      <c r="CJ184" s="10">
        <v>0</v>
      </c>
      <c r="CK184" s="10">
        <v>0</v>
      </c>
      <c r="CL184" s="10">
        <v>0</v>
      </c>
      <c r="CM184" s="10">
        <v>0</v>
      </c>
      <c r="CN184" s="10">
        <v>0</v>
      </c>
      <c r="CO184" s="10">
        <v>0</v>
      </c>
      <c r="CP184" s="10">
        <v>0</v>
      </c>
      <c r="CQ184" s="10">
        <v>0</v>
      </c>
      <c r="CR184" s="10">
        <v>0</v>
      </c>
      <c r="CS184" s="10">
        <v>0</v>
      </c>
      <c r="CT184" s="10">
        <v>0</v>
      </c>
      <c r="CU184" s="10">
        <v>0</v>
      </c>
      <c r="CV184" s="10">
        <v>0</v>
      </c>
      <c r="CW184" s="10">
        <v>0</v>
      </c>
      <c r="CX184" s="10">
        <v>0</v>
      </c>
      <c r="CY184" s="10">
        <v>0</v>
      </c>
      <c r="CZ184" s="10">
        <v>0</v>
      </c>
      <c r="DA184" s="10">
        <v>0</v>
      </c>
      <c r="DB184" s="10">
        <v>0</v>
      </c>
      <c r="DC184" s="10">
        <v>0</v>
      </c>
      <c r="DD184" s="10">
        <v>0</v>
      </c>
      <c r="DE184" s="10">
        <v>0</v>
      </c>
      <c r="DF184" s="10">
        <v>0</v>
      </c>
      <c r="DG184" s="10">
        <v>0</v>
      </c>
      <c r="DH184" s="10">
        <v>0</v>
      </c>
      <c r="DI184" s="10">
        <v>0</v>
      </c>
      <c r="DJ184" s="10">
        <v>0</v>
      </c>
      <c r="DK184" s="10">
        <v>0</v>
      </c>
      <c r="DL184" s="10">
        <v>0</v>
      </c>
      <c r="DM184" s="10">
        <v>0</v>
      </c>
      <c r="DN184" s="10">
        <v>0</v>
      </c>
      <c r="DO184" s="10">
        <v>0</v>
      </c>
      <c r="DP184" s="10">
        <v>0</v>
      </c>
      <c r="DQ184" s="10">
        <v>0</v>
      </c>
      <c r="DR184" s="10">
        <v>0</v>
      </c>
      <c r="DS184" s="10">
        <v>0</v>
      </c>
      <c r="DT184" s="10">
        <v>0</v>
      </c>
      <c r="DU184" s="10">
        <v>0</v>
      </c>
      <c r="DV184" s="10">
        <v>0</v>
      </c>
      <c r="DW184" s="10">
        <v>0</v>
      </c>
      <c r="DX184" s="10">
        <v>0</v>
      </c>
      <c r="DY184" s="10">
        <v>8.7257871833204819E-20</v>
      </c>
      <c r="DZ184" s="10">
        <v>0</v>
      </c>
      <c r="EA184" s="10">
        <v>0</v>
      </c>
      <c r="EB184" s="10">
        <v>0</v>
      </c>
      <c r="EC184" s="10">
        <v>0</v>
      </c>
      <c r="ED184" s="10">
        <v>0</v>
      </c>
      <c r="EE184" s="10">
        <v>0</v>
      </c>
      <c r="EF184" s="10">
        <v>0</v>
      </c>
      <c r="EG184" s="10">
        <v>0</v>
      </c>
      <c r="EH184" s="10">
        <v>0</v>
      </c>
      <c r="EI184" s="10">
        <v>0</v>
      </c>
      <c r="EJ184" s="10">
        <v>0</v>
      </c>
      <c r="EK184" s="10">
        <v>0</v>
      </c>
      <c r="EL184" s="10">
        <v>0</v>
      </c>
      <c r="EM184" s="10">
        <v>0</v>
      </c>
      <c r="EN184" s="10">
        <v>0</v>
      </c>
      <c r="EO184" s="10">
        <v>0</v>
      </c>
      <c r="EP184" s="10">
        <v>0</v>
      </c>
      <c r="EQ184" s="10">
        <v>0</v>
      </c>
      <c r="ER184" s="10">
        <v>0</v>
      </c>
      <c r="ES184" s="10">
        <v>0</v>
      </c>
      <c r="ET184" s="10">
        <v>0</v>
      </c>
      <c r="EU184" s="10">
        <v>0</v>
      </c>
      <c r="EV184" s="10">
        <v>0</v>
      </c>
      <c r="EW184" s="10">
        <v>0</v>
      </c>
      <c r="EX184" s="10">
        <v>0</v>
      </c>
      <c r="EY184" s="10">
        <v>0</v>
      </c>
      <c r="EZ184" s="10">
        <v>0</v>
      </c>
      <c r="FA184" s="10">
        <v>0</v>
      </c>
      <c r="FB184" s="10">
        <v>0</v>
      </c>
      <c r="FC184" s="10">
        <v>0</v>
      </c>
      <c r="FD184" s="10">
        <v>0</v>
      </c>
      <c r="FE184" s="10">
        <v>0</v>
      </c>
      <c r="FF184" s="10">
        <v>0</v>
      </c>
      <c r="FG184" s="10">
        <v>0</v>
      </c>
      <c r="FH184" s="10">
        <v>0</v>
      </c>
      <c r="FI184" s="10">
        <v>0</v>
      </c>
      <c r="FJ184" s="10">
        <v>0</v>
      </c>
      <c r="FK184" s="10">
        <v>0</v>
      </c>
      <c r="FL184" s="10">
        <v>0</v>
      </c>
      <c r="FM184" s="10">
        <v>0</v>
      </c>
      <c r="FN184" s="10">
        <v>0</v>
      </c>
      <c r="FO184" s="10">
        <v>0</v>
      </c>
      <c r="FP184" s="10">
        <v>0</v>
      </c>
      <c r="FQ184" s="10">
        <v>0</v>
      </c>
      <c r="FR184" s="10">
        <v>0</v>
      </c>
      <c r="FS184" s="10">
        <v>0</v>
      </c>
      <c r="FT184" s="10">
        <v>0</v>
      </c>
      <c r="FU184" s="10">
        <v>0</v>
      </c>
      <c r="FV184" s="10">
        <v>0</v>
      </c>
      <c r="FW184" s="10">
        <v>0</v>
      </c>
      <c r="FX184" s="10">
        <v>0</v>
      </c>
      <c r="FY184" s="10">
        <v>0</v>
      </c>
      <c r="FZ184" s="10">
        <v>0</v>
      </c>
      <c r="GA184" s="10">
        <v>0</v>
      </c>
      <c r="GB184" s="10">
        <v>0</v>
      </c>
      <c r="GC184" s="10">
        <v>0</v>
      </c>
      <c r="GD184" s="10">
        <v>0</v>
      </c>
      <c r="GE184" s="10">
        <v>0</v>
      </c>
      <c r="GF184" s="10">
        <v>0</v>
      </c>
      <c r="GG184" s="10">
        <v>0</v>
      </c>
      <c r="GH184" s="10">
        <v>0</v>
      </c>
      <c r="GI184" s="10">
        <v>0</v>
      </c>
      <c r="GJ184" s="10">
        <v>0</v>
      </c>
      <c r="GK184" s="10">
        <v>0</v>
      </c>
      <c r="GL184" s="10">
        <v>0</v>
      </c>
      <c r="GM184" s="10">
        <v>0</v>
      </c>
      <c r="GN184" s="10">
        <v>0</v>
      </c>
      <c r="GO184" s="10">
        <v>0</v>
      </c>
      <c r="GP184" s="10">
        <v>0</v>
      </c>
      <c r="GQ184" s="10">
        <v>0</v>
      </c>
      <c r="GR184" s="10">
        <v>0</v>
      </c>
      <c r="GS184" s="10">
        <v>0</v>
      </c>
      <c r="GT184" s="10">
        <v>0</v>
      </c>
      <c r="GU184" s="10">
        <v>0</v>
      </c>
      <c r="GV184" s="10">
        <v>0</v>
      </c>
      <c r="GW184" s="10">
        <v>1.0000000000000002</v>
      </c>
      <c r="GX184" s="10">
        <v>0</v>
      </c>
      <c r="GY184" s="10">
        <v>0</v>
      </c>
      <c r="GZ184" s="10">
        <v>0</v>
      </c>
      <c r="HA184" s="10">
        <v>0</v>
      </c>
      <c r="HB184" s="10">
        <v>0</v>
      </c>
      <c r="HC184" s="10">
        <v>0</v>
      </c>
      <c r="HD184" s="10">
        <v>0</v>
      </c>
      <c r="HE184" s="10">
        <v>0</v>
      </c>
      <c r="HF184" s="10">
        <v>0</v>
      </c>
      <c r="HG184" s="10">
        <v>0</v>
      </c>
      <c r="HH184" s="10">
        <v>0</v>
      </c>
      <c r="HI184" s="10">
        <v>0</v>
      </c>
      <c r="HJ184" s="10">
        <v>0</v>
      </c>
      <c r="HK184" s="10">
        <v>0</v>
      </c>
      <c r="HL184" s="10">
        <v>0</v>
      </c>
      <c r="HM184" s="10">
        <v>0</v>
      </c>
      <c r="HN184" s="10">
        <v>0</v>
      </c>
      <c r="HO184" s="10">
        <v>0</v>
      </c>
      <c r="HP184" s="10">
        <v>0</v>
      </c>
      <c r="HQ184" s="10">
        <v>0</v>
      </c>
      <c r="HR184" s="10">
        <v>0</v>
      </c>
      <c r="HS184" s="10">
        <v>0</v>
      </c>
      <c r="HT184" s="10">
        <v>0</v>
      </c>
      <c r="HU184" s="10">
        <v>0</v>
      </c>
    </row>
    <row r="185" spans="1:229" x14ac:dyDescent="0.25">
      <c r="A185" s="10">
        <v>0</v>
      </c>
      <c r="B185" s="2" t="s">
        <v>358</v>
      </c>
      <c r="C185" s="2" t="s">
        <v>359</v>
      </c>
      <c r="D185" s="2">
        <v>5.6470000000000002</v>
      </c>
      <c r="E185" s="2">
        <v>13.41</v>
      </c>
      <c r="F185" s="2">
        <v>10.71</v>
      </c>
      <c r="G185" s="2">
        <v>0</v>
      </c>
      <c r="H185" s="2">
        <v>7.06</v>
      </c>
      <c r="I185" s="2">
        <v>1102</v>
      </c>
      <c r="J185" s="2">
        <v>2.4580000000000002</v>
      </c>
      <c r="K185" s="2">
        <v>0.41499999999999998</v>
      </c>
      <c r="L185" s="3"/>
      <c r="M185" s="2" t="str">
        <f t="shared" si="9"/>
        <v>01259</v>
      </c>
      <c r="N185" s="3">
        <v>0.19952827329315551</v>
      </c>
      <c r="O185" s="3">
        <v>1.8004717267068435</v>
      </c>
      <c r="P185" s="17">
        <v>0.19952827329286971</v>
      </c>
      <c r="Q185" s="3">
        <v>1.8004717267068415</v>
      </c>
      <c r="R185" s="3">
        <v>0.91666032805163544</v>
      </c>
      <c r="S185" s="3" t="e">
        <v>#DIV/0!</v>
      </c>
      <c r="T185" s="3">
        <v>0.19952827329315531</v>
      </c>
      <c r="U185" s="3">
        <v>0.19952827329315592</v>
      </c>
      <c r="V185" s="3">
        <v>1.8004717267067523</v>
      </c>
      <c r="W185" s="3">
        <v>2.4253600107378954</v>
      </c>
      <c r="X185" s="3">
        <v>1.1267361592848353</v>
      </c>
      <c r="Y185" s="3">
        <v>24.144325855138746</v>
      </c>
      <c r="Z185" s="3">
        <v>9.817432113433016</v>
      </c>
      <c r="AA185" s="3">
        <v>1.069354295699271</v>
      </c>
      <c r="AB185" s="3">
        <v>1.4086696094496765</v>
      </c>
      <c r="AC185" s="3">
        <v>219.88015716905784</v>
      </c>
      <c r="AD185" s="3">
        <v>4.4255595042451974</v>
      </c>
      <c r="AE185" s="3">
        <v>1.0065244044562265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0</v>
      </c>
      <c r="AU185" s="3">
        <v>0</v>
      </c>
      <c r="AV185" s="3">
        <v>0</v>
      </c>
      <c r="AW185" s="3">
        <v>0</v>
      </c>
      <c r="AX185" s="3">
        <v>0</v>
      </c>
      <c r="AY185" s="3">
        <v>0</v>
      </c>
      <c r="AZ185" s="3">
        <v>0</v>
      </c>
      <c r="BA185" s="10">
        <v>0</v>
      </c>
      <c r="BB185" s="10">
        <v>0</v>
      </c>
      <c r="BC185" s="10">
        <v>0</v>
      </c>
      <c r="BD185" s="10">
        <v>0</v>
      </c>
      <c r="BE185" s="10">
        <v>0</v>
      </c>
      <c r="BF185" s="10">
        <v>0</v>
      </c>
      <c r="BG185" s="10">
        <v>0</v>
      </c>
      <c r="BH185" s="10">
        <v>0</v>
      </c>
      <c r="BI185" s="10">
        <v>0</v>
      </c>
      <c r="BJ185" s="10">
        <v>0</v>
      </c>
      <c r="BK185" s="10">
        <v>0</v>
      </c>
      <c r="BL185" s="10">
        <v>0</v>
      </c>
      <c r="BM185" s="10">
        <v>0</v>
      </c>
      <c r="BN185" s="10">
        <v>0</v>
      </c>
      <c r="BO185" s="10">
        <v>0</v>
      </c>
      <c r="BP185" s="10">
        <v>0</v>
      </c>
      <c r="BQ185" s="10">
        <v>0</v>
      </c>
      <c r="BR185" s="10">
        <v>0</v>
      </c>
      <c r="BS185" s="10">
        <v>0</v>
      </c>
      <c r="BT185" s="10">
        <v>0</v>
      </c>
      <c r="BU185" s="10">
        <v>0</v>
      </c>
      <c r="BV185" s="10">
        <v>0</v>
      </c>
      <c r="BW185" s="10">
        <v>0</v>
      </c>
      <c r="BX185" s="10">
        <v>0</v>
      </c>
      <c r="BY185" s="10">
        <v>0</v>
      </c>
      <c r="BZ185" s="10">
        <v>0</v>
      </c>
      <c r="CA185" s="10">
        <v>0.59516373296062086</v>
      </c>
      <c r="CB185" s="10">
        <v>0</v>
      </c>
      <c r="CC185" s="10">
        <v>0</v>
      </c>
      <c r="CD185" s="10">
        <v>0</v>
      </c>
      <c r="CE185" s="10">
        <v>0</v>
      </c>
      <c r="CF185" s="10">
        <v>0</v>
      </c>
      <c r="CG185" s="10">
        <v>0</v>
      </c>
      <c r="CH185" s="10">
        <v>0</v>
      </c>
      <c r="CI185" s="10">
        <v>0</v>
      </c>
      <c r="CJ185" s="10">
        <v>0</v>
      </c>
      <c r="CK185" s="10">
        <v>0</v>
      </c>
      <c r="CL185" s="10">
        <v>0</v>
      </c>
      <c r="CM185" s="10">
        <v>0</v>
      </c>
      <c r="CN185" s="10">
        <v>0</v>
      </c>
      <c r="CO185" s="10">
        <v>0</v>
      </c>
      <c r="CP185" s="10">
        <v>0</v>
      </c>
      <c r="CQ185" s="10">
        <v>0</v>
      </c>
      <c r="CR185" s="10">
        <v>0</v>
      </c>
      <c r="CS185" s="10">
        <v>0</v>
      </c>
      <c r="CT185" s="10">
        <v>0</v>
      </c>
      <c r="CU185" s="10">
        <v>0</v>
      </c>
      <c r="CV185" s="10">
        <v>0</v>
      </c>
      <c r="CW185" s="10">
        <v>0</v>
      </c>
      <c r="CX185" s="10">
        <v>0</v>
      </c>
      <c r="CY185" s="10">
        <v>0</v>
      </c>
      <c r="CZ185" s="10">
        <v>0</v>
      </c>
      <c r="DA185" s="10">
        <v>0</v>
      </c>
      <c r="DB185" s="10">
        <v>0</v>
      </c>
      <c r="DC185" s="10">
        <v>0</v>
      </c>
      <c r="DD185" s="10">
        <v>0</v>
      </c>
      <c r="DE185" s="10">
        <v>0</v>
      </c>
      <c r="DF185" s="10">
        <v>0</v>
      </c>
      <c r="DG185" s="10">
        <v>0</v>
      </c>
      <c r="DH185" s="10">
        <v>0</v>
      </c>
      <c r="DI185" s="10">
        <v>0</v>
      </c>
      <c r="DJ185" s="10">
        <v>0</v>
      </c>
      <c r="DK185" s="10">
        <v>0</v>
      </c>
      <c r="DL185" s="10">
        <v>0</v>
      </c>
      <c r="DM185" s="10">
        <v>0</v>
      </c>
      <c r="DN185" s="10">
        <v>0</v>
      </c>
      <c r="DO185" s="10">
        <v>0</v>
      </c>
      <c r="DP185" s="10">
        <v>0</v>
      </c>
      <c r="DQ185" s="10">
        <v>0</v>
      </c>
      <c r="DR185" s="10">
        <v>0</v>
      </c>
      <c r="DS185" s="10">
        <v>0</v>
      </c>
      <c r="DT185" s="10">
        <v>0</v>
      </c>
      <c r="DU185" s="10">
        <v>0</v>
      </c>
      <c r="DV185" s="10">
        <v>0</v>
      </c>
      <c r="DW185" s="10">
        <v>0</v>
      </c>
      <c r="DX185" s="10">
        <v>0</v>
      </c>
      <c r="DY185" s="10">
        <v>2.1114634613690019E-2</v>
      </c>
      <c r="DZ185" s="10">
        <v>0</v>
      </c>
      <c r="EA185" s="10">
        <v>0</v>
      </c>
      <c r="EB185" s="10">
        <v>0</v>
      </c>
      <c r="EC185" s="10">
        <v>0</v>
      </c>
      <c r="ED185" s="10">
        <v>0</v>
      </c>
      <c r="EE185" s="10">
        <v>0</v>
      </c>
      <c r="EF185" s="10">
        <v>0</v>
      </c>
      <c r="EG185" s="10">
        <v>0</v>
      </c>
      <c r="EH185" s="10">
        <v>0</v>
      </c>
      <c r="EI185" s="10">
        <v>0</v>
      </c>
      <c r="EJ185" s="10">
        <v>0</v>
      </c>
      <c r="EK185" s="10">
        <v>0</v>
      </c>
      <c r="EL185" s="10">
        <v>0</v>
      </c>
      <c r="EM185" s="10">
        <v>0</v>
      </c>
      <c r="EN185" s="10">
        <v>0</v>
      </c>
      <c r="EO185" s="10">
        <v>0</v>
      </c>
      <c r="EP185" s="10">
        <v>0</v>
      </c>
      <c r="EQ185" s="10">
        <v>0</v>
      </c>
      <c r="ER185" s="10">
        <v>0</v>
      </c>
      <c r="ES185" s="10">
        <v>0</v>
      </c>
      <c r="ET185" s="10">
        <v>0</v>
      </c>
      <c r="EU185" s="10">
        <v>0</v>
      </c>
      <c r="EV185" s="10">
        <v>0</v>
      </c>
      <c r="EW185" s="10">
        <v>0</v>
      </c>
      <c r="EX185" s="10">
        <v>0</v>
      </c>
      <c r="EY185" s="10">
        <v>0</v>
      </c>
      <c r="EZ185" s="10">
        <v>0</v>
      </c>
      <c r="FA185" s="10">
        <v>0</v>
      </c>
      <c r="FB185" s="10">
        <v>0</v>
      </c>
      <c r="FC185" s="10">
        <v>0</v>
      </c>
      <c r="FD185" s="10">
        <v>0</v>
      </c>
      <c r="FE185" s="10">
        <v>0</v>
      </c>
      <c r="FF185" s="10">
        <v>0</v>
      </c>
      <c r="FG185" s="10">
        <v>0</v>
      </c>
      <c r="FH185" s="10">
        <v>0</v>
      </c>
      <c r="FI185" s="10">
        <v>0</v>
      </c>
      <c r="FJ185" s="10">
        <v>0</v>
      </c>
      <c r="FK185" s="10">
        <v>0</v>
      </c>
      <c r="FL185" s="10">
        <v>0</v>
      </c>
      <c r="FM185" s="10">
        <v>0</v>
      </c>
      <c r="FN185" s="10">
        <v>0</v>
      </c>
      <c r="FO185" s="10">
        <v>0</v>
      </c>
      <c r="FP185" s="10">
        <v>0</v>
      </c>
      <c r="FQ185" s="10">
        <v>0</v>
      </c>
      <c r="FR185" s="10">
        <v>0</v>
      </c>
      <c r="FS185" s="10">
        <v>0</v>
      </c>
      <c r="FT185" s="10">
        <v>0</v>
      </c>
      <c r="FU185" s="10">
        <v>0</v>
      </c>
      <c r="FV185" s="10">
        <v>0</v>
      </c>
      <c r="FW185" s="10">
        <v>0</v>
      </c>
      <c r="FX185" s="10">
        <v>0</v>
      </c>
      <c r="FY185" s="10">
        <v>0</v>
      </c>
      <c r="FZ185" s="10">
        <v>0</v>
      </c>
      <c r="GA185" s="10">
        <v>8.5988101525190333E-2</v>
      </c>
      <c r="GB185" s="10">
        <v>0.2294193874352099</v>
      </c>
      <c r="GC185" s="10">
        <v>0</v>
      </c>
      <c r="GD185" s="10">
        <v>0</v>
      </c>
      <c r="GE185" s="10">
        <v>0</v>
      </c>
      <c r="GF185" s="10">
        <v>0</v>
      </c>
      <c r="GG185" s="10">
        <v>0</v>
      </c>
      <c r="GH185" s="10">
        <v>0</v>
      </c>
      <c r="GI185" s="10">
        <v>0</v>
      </c>
      <c r="GJ185" s="10">
        <v>0</v>
      </c>
      <c r="GK185" s="10">
        <v>0</v>
      </c>
      <c r="GL185" s="10">
        <v>0</v>
      </c>
      <c r="GM185" s="10">
        <v>0</v>
      </c>
      <c r="GN185" s="10">
        <v>0</v>
      </c>
      <c r="GO185" s="10">
        <v>0</v>
      </c>
      <c r="GP185" s="10">
        <v>0</v>
      </c>
      <c r="GQ185" s="10">
        <v>0</v>
      </c>
      <c r="GR185" s="10">
        <v>0</v>
      </c>
      <c r="GS185" s="10">
        <v>0</v>
      </c>
      <c r="GT185" s="10">
        <v>0</v>
      </c>
      <c r="GU185" s="10">
        <v>0</v>
      </c>
      <c r="GV185" s="10">
        <v>0</v>
      </c>
      <c r="GW185" s="10">
        <v>6.8314143465288857E-2</v>
      </c>
      <c r="GX185" s="10">
        <v>0</v>
      </c>
      <c r="GY185" s="10">
        <v>0</v>
      </c>
      <c r="GZ185" s="10">
        <v>0</v>
      </c>
      <c r="HA185" s="10">
        <v>0</v>
      </c>
      <c r="HB185" s="10">
        <v>0</v>
      </c>
      <c r="HC185" s="10">
        <v>0</v>
      </c>
      <c r="HD185" s="10">
        <v>0</v>
      </c>
      <c r="HE185" s="10">
        <v>0</v>
      </c>
      <c r="HF185" s="10">
        <v>0</v>
      </c>
      <c r="HG185" s="10">
        <v>0</v>
      </c>
      <c r="HH185" s="10">
        <v>0</v>
      </c>
      <c r="HI185" s="10">
        <v>0</v>
      </c>
      <c r="HJ185" s="10">
        <v>0</v>
      </c>
      <c r="HK185" s="10">
        <v>0</v>
      </c>
      <c r="HL185" s="10">
        <v>0</v>
      </c>
      <c r="HM185" s="10">
        <v>0</v>
      </c>
      <c r="HN185" s="10">
        <v>0</v>
      </c>
      <c r="HO185" s="10">
        <v>0</v>
      </c>
      <c r="HP185" s="10">
        <v>0</v>
      </c>
      <c r="HQ185" s="10">
        <v>0</v>
      </c>
      <c r="HR185" s="10">
        <v>0</v>
      </c>
      <c r="HS185" s="10">
        <v>0</v>
      </c>
      <c r="HT185" s="10">
        <v>0</v>
      </c>
      <c r="HU185" s="10">
        <v>0</v>
      </c>
    </row>
    <row r="186" spans="1:229" x14ac:dyDescent="0.25">
      <c r="A186" s="10">
        <v>0</v>
      </c>
      <c r="B186" s="2" t="s">
        <v>360</v>
      </c>
      <c r="C186" s="2" t="s">
        <v>361</v>
      </c>
      <c r="D186" s="2">
        <v>12.602</v>
      </c>
      <c r="E186" s="2">
        <v>27.35</v>
      </c>
      <c r="F186" s="2">
        <v>4.0599999999999996</v>
      </c>
      <c r="G186" s="2">
        <v>0</v>
      </c>
      <c r="H186" s="2">
        <v>0.26</v>
      </c>
      <c r="I186" s="2">
        <v>628</v>
      </c>
      <c r="J186" s="2">
        <v>5.3040000000000003</v>
      </c>
      <c r="K186" s="2">
        <v>0.89300000000000002</v>
      </c>
      <c r="L186" s="3"/>
      <c r="M186" s="2" t="str">
        <f t="shared" si="9"/>
        <v>01260</v>
      </c>
      <c r="N186" s="3">
        <v>0.6498581757115639</v>
      </c>
      <c r="O186" s="3">
        <v>1.3501418242884358</v>
      </c>
      <c r="P186" s="17">
        <v>0.6498581757114249</v>
      </c>
      <c r="Q186" s="3">
        <v>1.3501418242884364</v>
      </c>
      <c r="R186" s="3">
        <v>0.52290426668841938</v>
      </c>
      <c r="S186" s="3" t="e">
        <v>#DIV/0!</v>
      </c>
      <c r="T186" s="3">
        <v>0.64985817571161819</v>
      </c>
      <c r="U186" s="3">
        <v>0.6498581757115639</v>
      </c>
      <c r="V186" s="3">
        <v>1.3501418242884515</v>
      </c>
      <c r="W186" s="3">
        <v>3.1066647602835724</v>
      </c>
      <c r="X186" s="3">
        <v>8.1895127303153767</v>
      </c>
      <c r="Y186" s="3">
        <v>36.926378894288739</v>
      </c>
      <c r="Z186" s="3">
        <v>2.1229913227549826</v>
      </c>
      <c r="AA186" s="3">
        <v>5.2151733614819841E-3</v>
      </c>
      <c r="AB186" s="3">
        <v>0.16896312568502073</v>
      </c>
      <c r="AC186" s="3">
        <v>408.11093434686211</v>
      </c>
      <c r="AD186" s="3">
        <v>7.1611522360259476</v>
      </c>
      <c r="AE186" s="3">
        <v>2.7742516309332301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0</v>
      </c>
      <c r="AU186" s="3">
        <v>0</v>
      </c>
      <c r="AV186" s="3">
        <v>0</v>
      </c>
      <c r="AW186" s="3">
        <v>0</v>
      </c>
      <c r="AX186" s="3">
        <v>0</v>
      </c>
      <c r="AY186" s="3">
        <v>0</v>
      </c>
      <c r="AZ186" s="3">
        <v>0</v>
      </c>
      <c r="BA186" s="10">
        <v>0</v>
      </c>
      <c r="BB186" s="10">
        <v>0</v>
      </c>
      <c r="BC186" s="10">
        <v>0</v>
      </c>
      <c r="BD186" s="10">
        <v>0</v>
      </c>
      <c r="BE186" s="10">
        <v>0</v>
      </c>
      <c r="BF186" s="10">
        <v>0</v>
      </c>
      <c r="BG186" s="10">
        <v>0</v>
      </c>
      <c r="BH186" s="10">
        <v>0</v>
      </c>
      <c r="BI186" s="10">
        <v>0</v>
      </c>
      <c r="BJ186" s="10">
        <v>0</v>
      </c>
      <c r="BK186" s="10">
        <v>0</v>
      </c>
      <c r="BL186" s="10">
        <v>0</v>
      </c>
      <c r="BM186" s="10">
        <v>0</v>
      </c>
      <c r="BN186" s="10">
        <v>0</v>
      </c>
      <c r="BO186" s="10">
        <v>0</v>
      </c>
      <c r="BP186" s="10">
        <v>0</v>
      </c>
      <c r="BQ186" s="10">
        <v>0</v>
      </c>
      <c r="BR186" s="10">
        <v>0</v>
      </c>
      <c r="BS186" s="10">
        <v>0</v>
      </c>
      <c r="BT186" s="10">
        <v>0</v>
      </c>
      <c r="BU186" s="10">
        <v>0</v>
      </c>
      <c r="BV186" s="10">
        <v>0</v>
      </c>
      <c r="BW186" s="10">
        <v>0</v>
      </c>
      <c r="BX186" s="10">
        <v>0</v>
      </c>
      <c r="BY186" s="10">
        <v>0</v>
      </c>
      <c r="BZ186" s="10">
        <v>0</v>
      </c>
      <c r="CA186" s="10">
        <v>0</v>
      </c>
      <c r="CB186" s="10">
        <v>0</v>
      </c>
      <c r="CC186" s="10">
        <v>0</v>
      </c>
      <c r="CD186" s="10">
        <v>0</v>
      </c>
      <c r="CE186" s="10">
        <v>0</v>
      </c>
      <c r="CF186" s="10">
        <v>0</v>
      </c>
      <c r="CG186" s="10">
        <v>0</v>
      </c>
      <c r="CH186" s="10">
        <v>0</v>
      </c>
      <c r="CI186" s="10">
        <v>0</v>
      </c>
      <c r="CJ186" s="10">
        <v>0</v>
      </c>
      <c r="CK186" s="10">
        <v>0</v>
      </c>
      <c r="CL186" s="10">
        <v>0</v>
      </c>
      <c r="CM186" s="10">
        <v>0</v>
      </c>
      <c r="CN186" s="10">
        <v>0</v>
      </c>
      <c r="CO186" s="10">
        <v>0</v>
      </c>
      <c r="CP186" s="10">
        <v>0</v>
      </c>
      <c r="CQ186" s="10">
        <v>0</v>
      </c>
      <c r="CR186" s="10">
        <v>0</v>
      </c>
      <c r="CS186" s="10">
        <v>0</v>
      </c>
      <c r="CT186" s="10">
        <v>0</v>
      </c>
      <c r="CU186" s="10">
        <v>0</v>
      </c>
      <c r="CV186" s="10">
        <v>0</v>
      </c>
      <c r="CW186" s="10">
        <v>0</v>
      </c>
      <c r="CX186" s="10">
        <v>0</v>
      </c>
      <c r="CY186" s="10">
        <v>0</v>
      </c>
      <c r="CZ186" s="10">
        <v>0</v>
      </c>
      <c r="DA186" s="10">
        <v>0</v>
      </c>
      <c r="DB186" s="10">
        <v>0</v>
      </c>
      <c r="DC186" s="10">
        <v>0</v>
      </c>
      <c r="DD186" s="10">
        <v>0</v>
      </c>
      <c r="DE186" s="10">
        <v>0</v>
      </c>
      <c r="DF186" s="10">
        <v>0</v>
      </c>
      <c r="DG186" s="10">
        <v>0</v>
      </c>
      <c r="DH186" s="10">
        <v>0</v>
      </c>
      <c r="DI186" s="10">
        <v>0</v>
      </c>
      <c r="DJ186" s="10">
        <v>0</v>
      </c>
      <c r="DK186" s="10">
        <v>0</v>
      </c>
      <c r="DL186" s="10">
        <v>0</v>
      </c>
      <c r="DM186" s="10">
        <v>0</v>
      </c>
      <c r="DN186" s="10">
        <v>0</v>
      </c>
      <c r="DO186" s="10">
        <v>0</v>
      </c>
      <c r="DP186" s="10">
        <v>0</v>
      </c>
      <c r="DQ186" s="10">
        <v>0</v>
      </c>
      <c r="DR186" s="10">
        <v>0</v>
      </c>
      <c r="DS186" s="10">
        <v>0</v>
      </c>
      <c r="DT186" s="10">
        <v>0.49014219991812003</v>
      </c>
      <c r="DU186" s="10">
        <v>0</v>
      </c>
      <c r="DV186" s="10">
        <v>0</v>
      </c>
      <c r="DW186" s="10">
        <v>0</v>
      </c>
      <c r="DX186" s="10">
        <v>0</v>
      </c>
      <c r="DY186" s="10">
        <v>4.3093347958772871E-2</v>
      </c>
      <c r="DZ186" s="10">
        <v>0.30066701447265692</v>
      </c>
      <c r="EA186" s="10">
        <v>0</v>
      </c>
      <c r="EB186" s="10">
        <v>0</v>
      </c>
      <c r="EC186" s="10">
        <v>0</v>
      </c>
      <c r="ED186" s="10">
        <v>0</v>
      </c>
      <c r="EE186" s="10">
        <v>0</v>
      </c>
      <c r="EF186" s="10">
        <v>0</v>
      </c>
      <c r="EG186" s="10">
        <v>0</v>
      </c>
      <c r="EH186" s="10">
        <v>0</v>
      </c>
      <c r="EI186" s="10">
        <v>0</v>
      </c>
      <c r="EJ186" s="10">
        <v>0</v>
      </c>
      <c r="EK186" s="10">
        <v>0</v>
      </c>
      <c r="EL186" s="10">
        <v>0</v>
      </c>
      <c r="EM186" s="10">
        <v>0</v>
      </c>
      <c r="EN186" s="10">
        <v>0</v>
      </c>
      <c r="EO186" s="10">
        <v>0</v>
      </c>
      <c r="EP186" s="10">
        <v>0</v>
      </c>
      <c r="EQ186" s="10">
        <v>0</v>
      </c>
      <c r="ER186" s="10">
        <v>0</v>
      </c>
      <c r="ES186" s="10">
        <v>0</v>
      </c>
      <c r="ET186" s="10">
        <v>0.16348985096970928</v>
      </c>
      <c r="EU186" s="10">
        <v>0</v>
      </c>
      <c r="EV186" s="10">
        <v>0</v>
      </c>
      <c r="EW186" s="10">
        <v>0</v>
      </c>
      <c r="EX186" s="10">
        <v>0</v>
      </c>
      <c r="EY186" s="10">
        <v>0</v>
      </c>
      <c r="EZ186" s="10">
        <v>0</v>
      </c>
      <c r="FA186" s="10">
        <v>0</v>
      </c>
      <c r="FB186" s="10">
        <v>0</v>
      </c>
      <c r="FC186" s="10">
        <v>0</v>
      </c>
      <c r="FD186" s="10">
        <v>0</v>
      </c>
      <c r="FE186" s="10">
        <v>0</v>
      </c>
      <c r="FF186" s="10">
        <v>0</v>
      </c>
      <c r="FG186" s="10">
        <v>0</v>
      </c>
      <c r="FH186" s="10">
        <v>0</v>
      </c>
      <c r="FI186" s="10">
        <v>0</v>
      </c>
      <c r="FJ186" s="10">
        <v>0</v>
      </c>
      <c r="FK186" s="10">
        <v>0</v>
      </c>
      <c r="FL186" s="10">
        <v>0</v>
      </c>
      <c r="FM186" s="10">
        <v>0</v>
      </c>
      <c r="FN186" s="10">
        <v>0</v>
      </c>
      <c r="FO186" s="10">
        <v>0</v>
      </c>
      <c r="FP186" s="10">
        <v>0</v>
      </c>
      <c r="FQ186" s="10">
        <v>0</v>
      </c>
      <c r="FR186" s="10">
        <v>0</v>
      </c>
      <c r="FS186" s="10">
        <v>0</v>
      </c>
      <c r="FT186" s="10">
        <v>0</v>
      </c>
      <c r="FU186" s="10">
        <v>0</v>
      </c>
      <c r="FV186" s="10">
        <v>0</v>
      </c>
      <c r="FW186" s="10">
        <v>0</v>
      </c>
      <c r="FX186" s="10">
        <v>0</v>
      </c>
      <c r="FY186" s="10">
        <v>0</v>
      </c>
      <c r="FZ186" s="10">
        <v>0</v>
      </c>
      <c r="GA186" s="10">
        <v>0</v>
      </c>
      <c r="GB186" s="10">
        <v>2.6075866807409921E-3</v>
      </c>
      <c r="GC186" s="10">
        <v>0</v>
      </c>
      <c r="GD186" s="10">
        <v>0</v>
      </c>
      <c r="GE186" s="10">
        <v>0</v>
      </c>
      <c r="GF186" s="10">
        <v>0</v>
      </c>
      <c r="GG186" s="10">
        <v>0</v>
      </c>
      <c r="GH186" s="10">
        <v>0</v>
      </c>
      <c r="GI186" s="10">
        <v>0</v>
      </c>
      <c r="GJ186" s="10">
        <v>0</v>
      </c>
      <c r="GK186" s="10">
        <v>0</v>
      </c>
      <c r="GL186" s="10">
        <v>0</v>
      </c>
      <c r="GM186" s="10">
        <v>0</v>
      </c>
      <c r="GN186" s="10">
        <v>0</v>
      </c>
      <c r="GO186" s="10">
        <v>0</v>
      </c>
      <c r="GP186" s="10">
        <v>0</v>
      </c>
      <c r="GQ186" s="10">
        <v>0</v>
      </c>
      <c r="GR186" s="10">
        <v>0</v>
      </c>
      <c r="GS186" s="10">
        <v>0</v>
      </c>
      <c r="GT186" s="10">
        <v>0</v>
      </c>
      <c r="GU186" s="10">
        <v>0</v>
      </c>
      <c r="GV186" s="10">
        <v>0</v>
      </c>
      <c r="GW186" s="10">
        <v>0</v>
      </c>
      <c r="GX186" s="10">
        <v>0</v>
      </c>
      <c r="GY186" s="10">
        <v>0</v>
      </c>
      <c r="GZ186" s="10">
        <v>0</v>
      </c>
      <c r="HA186" s="10">
        <v>0</v>
      </c>
      <c r="HB186" s="10">
        <v>0</v>
      </c>
      <c r="HC186" s="10">
        <v>0</v>
      </c>
      <c r="HD186" s="10">
        <v>0</v>
      </c>
      <c r="HE186" s="10">
        <v>0</v>
      </c>
      <c r="HF186" s="10">
        <v>0</v>
      </c>
      <c r="HG186" s="10">
        <v>0</v>
      </c>
      <c r="HH186" s="10">
        <v>0</v>
      </c>
      <c r="HI186" s="10">
        <v>0</v>
      </c>
      <c r="HJ186" s="10">
        <v>0</v>
      </c>
      <c r="HK186" s="10">
        <v>0</v>
      </c>
      <c r="HL186" s="10">
        <v>0</v>
      </c>
      <c r="HM186" s="10">
        <v>0</v>
      </c>
      <c r="HN186" s="10">
        <v>0</v>
      </c>
      <c r="HO186" s="10">
        <v>0</v>
      </c>
      <c r="HP186" s="10">
        <v>0</v>
      </c>
      <c r="HQ186" s="10">
        <v>0</v>
      </c>
      <c r="HR186" s="10">
        <v>0</v>
      </c>
      <c r="HS186" s="10">
        <v>0</v>
      </c>
      <c r="HT186" s="10">
        <v>0</v>
      </c>
      <c r="HU186" s="10">
        <v>0</v>
      </c>
    </row>
    <row r="187" spans="1:229" x14ac:dyDescent="0.25">
      <c r="A187" s="10">
        <v>0</v>
      </c>
      <c r="B187" s="2" t="s">
        <v>362</v>
      </c>
      <c r="C187" s="2" t="s">
        <v>363</v>
      </c>
      <c r="D187" s="2">
        <v>2.3490000000000002</v>
      </c>
      <c r="E187" s="2">
        <v>3.36</v>
      </c>
      <c r="F187" s="2">
        <v>23.15</v>
      </c>
      <c r="G187" s="2">
        <v>0</v>
      </c>
      <c r="H187" s="2">
        <v>19.46</v>
      </c>
      <c r="I187" s="2">
        <v>64</v>
      </c>
      <c r="J187" s="2">
        <v>1.0329999999999999</v>
      </c>
      <c r="K187" s="2">
        <v>0.125</v>
      </c>
      <c r="L187" s="3"/>
      <c r="M187" s="2" t="str">
        <f t="shared" si="9"/>
        <v>01263</v>
      </c>
      <c r="N187" s="3">
        <v>0.54569952529966947</v>
      </c>
      <c r="O187" s="3">
        <v>1.4543004747003305</v>
      </c>
      <c r="P187" s="17">
        <v>0.54569952529961296</v>
      </c>
      <c r="Q187" s="3">
        <v>1.4543004747003094</v>
      </c>
      <c r="R187" s="3">
        <v>0.34351033362098682</v>
      </c>
      <c r="S187" s="3" t="e">
        <v>#DIV/0!</v>
      </c>
      <c r="T187" s="3">
        <v>0.32275479250718137</v>
      </c>
      <c r="U187" s="3">
        <v>0.54569952529967058</v>
      </c>
      <c r="V187" s="3">
        <v>1.4543004747003061</v>
      </c>
      <c r="W187" s="3">
        <v>4.2994210185949093</v>
      </c>
      <c r="X187" s="3">
        <v>1.281848184928791</v>
      </c>
      <c r="Y187" s="3">
        <v>4.8864495949930395</v>
      </c>
      <c r="Z187" s="3">
        <v>7.9522642233258445</v>
      </c>
      <c r="AA187" s="3">
        <v>0.26225864953569156</v>
      </c>
      <c r="AB187" s="3">
        <v>6.2808082621897494</v>
      </c>
      <c r="AC187" s="3">
        <v>34.924769619178917</v>
      </c>
      <c r="AD187" s="3">
        <v>1.5022923903654162</v>
      </c>
      <c r="AE187" s="3">
        <v>0.53742762732436367</v>
      </c>
      <c r="AF187" s="3">
        <v>0</v>
      </c>
      <c r="AG187" s="3">
        <v>0</v>
      </c>
      <c r="AH187" s="3">
        <v>0</v>
      </c>
      <c r="AI187" s="3">
        <v>0</v>
      </c>
      <c r="AJ187" s="3">
        <v>0</v>
      </c>
      <c r="AK187" s="3">
        <v>0</v>
      </c>
      <c r="AL187" s="3">
        <v>0</v>
      </c>
      <c r="AM187" s="3">
        <v>0</v>
      </c>
      <c r="AN187" s="3">
        <v>0</v>
      </c>
      <c r="AO187" s="3">
        <v>0</v>
      </c>
      <c r="AP187" s="3">
        <v>0</v>
      </c>
      <c r="AQ187" s="3">
        <v>0</v>
      </c>
      <c r="AR187" s="3">
        <v>0</v>
      </c>
      <c r="AS187" s="3">
        <v>0</v>
      </c>
      <c r="AT187" s="3">
        <v>0</v>
      </c>
      <c r="AU187" s="3">
        <v>0</v>
      </c>
      <c r="AV187" s="3">
        <v>0</v>
      </c>
      <c r="AW187" s="3">
        <v>0</v>
      </c>
      <c r="AX187" s="3">
        <v>0</v>
      </c>
      <c r="AY187" s="3">
        <v>0</v>
      </c>
      <c r="AZ187" s="3">
        <v>0</v>
      </c>
      <c r="BA187" s="10">
        <v>0</v>
      </c>
      <c r="BB187" s="10">
        <v>0</v>
      </c>
      <c r="BC187" s="10">
        <v>0</v>
      </c>
      <c r="BD187" s="10">
        <v>0</v>
      </c>
      <c r="BE187" s="10">
        <v>0</v>
      </c>
      <c r="BF187" s="10">
        <v>0</v>
      </c>
      <c r="BG187" s="10">
        <v>0</v>
      </c>
      <c r="BH187" s="10">
        <v>0</v>
      </c>
      <c r="BI187" s="10">
        <v>0</v>
      </c>
      <c r="BJ187" s="10">
        <v>0</v>
      </c>
      <c r="BK187" s="10">
        <v>0</v>
      </c>
      <c r="BL187" s="10">
        <v>0</v>
      </c>
      <c r="BM187" s="10">
        <v>0</v>
      </c>
      <c r="BN187" s="10">
        <v>0</v>
      </c>
      <c r="BO187" s="10">
        <v>0</v>
      </c>
      <c r="BP187" s="10">
        <v>0</v>
      </c>
      <c r="BQ187" s="10">
        <v>0</v>
      </c>
      <c r="BR187" s="10">
        <v>0</v>
      </c>
      <c r="BS187" s="10">
        <v>0</v>
      </c>
      <c r="BT187" s="10">
        <v>0</v>
      </c>
      <c r="BU187" s="10">
        <v>0</v>
      </c>
      <c r="BV187" s="10">
        <v>0</v>
      </c>
      <c r="BW187" s="10">
        <v>0</v>
      </c>
      <c r="BX187" s="10">
        <v>0</v>
      </c>
      <c r="BY187" s="10">
        <v>0</v>
      </c>
      <c r="BZ187" s="10">
        <v>0</v>
      </c>
      <c r="CA187" s="10">
        <v>0.26571448222911725</v>
      </c>
      <c r="CB187" s="10">
        <v>0</v>
      </c>
      <c r="CC187" s="10">
        <v>0</v>
      </c>
      <c r="CD187" s="10">
        <v>0</v>
      </c>
      <c r="CE187" s="10">
        <v>0</v>
      </c>
      <c r="CF187" s="10">
        <v>0</v>
      </c>
      <c r="CG187" s="10">
        <v>0</v>
      </c>
      <c r="CH187" s="10">
        <v>0</v>
      </c>
      <c r="CI187" s="10">
        <v>0</v>
      </c>
      <c r="CJ187" s="10">
        <v>0</v>
      </c>
      <c r="CK187" s="10">
        <v>0</v>
      </c>
      <c r="CL187" s="10">
        <v>0</v>
      </c>
      <c r="CM187" s="10">
        <v>0</v>
      </c>
      <c r="CN187" s="10">
        <v>0</v>
      </c>
      <c r="CO187" s="10">
        <v>0</v>
      </c>
      <c r="CP187" s="10">
        <v>0</v>
      </c>
      <c r="CQ187" s="10">
        <v>0</v>
      </c>
      <c r="CR187" s="10">
        <v>0</v>
      </c>
      <c r="CS187" s="10">
        <v>0</v>
      </c>
      <c r="CT187" s="10">
        <v>0</v>
      </c>
      <c r="CU187" s="10">
        <v>0</v>
      </c>
      <c r="CV187" s="10">
        <v>0</v>
      </c>
      <c r="CW187" s="10">
        <v>0</v>
      </c>
      <c r="CX187" s="10">
        <v>0</v>
      </c>
      <c r="CY187" s="10">
        <v>0</v>
      </c>
      <c r="CZ187" s="10">
        <v>0</v>
      </c>
      <c r="DA187" s="10">
        <v>0</v>
      </c>
      <c r="DB187" s="10">
        <v>0</v>
      </c>
      <c r="DC187" s="10">
        <v>0</v>
      </c>
      <c r="DD187" s="10">
        <v>0.3176397585982883</v>
      </c>
      <c r="DE187" s="10">
        <v>0</v>
      </c>
      <c r="DF187" s="10">
        <v>0</v>
      </c>
      <c r="DG187" s="10">
        <v>0</v>
      </c>
      <c r="DH187" s="10">
        <v>0</v>
      </c>
      <c r="DI187" s="10">
        <v>0</v>
      </c>
      <c r="DJ187" s="10">
        <v>0</v>
      </c>
      <c r="DK187" s="10">
        <v>0</v>
      </c>
      <c r="DL187" s="10">
        <v>0</v>
      </c>
      <c r="DM187" s="10">
        <v>0</v>
      </c>
      <c r="DN187" s="10">
        <v>0</v>
      </c>
      <c r="DO187" s="10">
        <v>0</v>
      </c>
      <c r="DP187" s="10">
        <v>0</v>
      </c>
      <c r="DQ187" s="10">
        <v>0</v>
      </c>
      <c r="DR187" s="10">
        <v>0</v>
      </c>
      <c r="DS187" s="10">
        <v>4.199054555017892E-2</v>
      </c>
      <c r="DT187" s="10">
        <v>0</v>
      </c>
      <c r="DU187" s="10">
        <v>0</v>
      </c>
      <c r="DV187" s="10">
        <v>0</v>
      </c>
      <c r="DW187" s="10">
        <v>0</v>
      </c>
      <c r="DX187" s="10">
        <v>0</v>
      </c>
      <c r="DY187" s="10">
        <v>0</v>
      </c>
      <c r="DZ187" s="10">
        <v>0</v>
      </c>
      <c r="EA187" s="10">
        <v>0</v>
      </c>
      <c r="EB187" s="10">
        <v>0</v>
      </c>
      <c r="EC187" s="10">
        <v>0</v>
      </c>
      <c r="ED187" s="10">
        <v>0</v>
      </c>
      <c r="EE187" s="10">
        <v>0</v>
      </c>
      <c r="EF187" s="10">
        <v>0</v>
      </c>
      <c r="EG187" s="10">
        <v>0</v>
      </c>
      <c r="EH187" s="10">
        <v>0</v>
      </c>
      <c r="EI187" s="10">
        <v>0</v>
      </c>
      <c r="EJ187" s="10">
        <v>0</v>
      </c>
      <c r="EK187" s="10">
        <v>0</v>
      </c>
      <c r="EL187" s="10">
        <v>0</v>
      </c>
      <c r="EM187" s="10">
        <v>0</v>
      </c>
      <c r="EN187" s="10">
        <v>0</v>
      </c>
      <c r="EO187" s="10">
        <v>0</v>
      </c>
      <c r="EP187" s="10">
        <v>0</v>
      </c>
      <c r="EQ187" s="10">
        <v>0</v>
      </c>
      <c r="ER187" s="10">
        <v>0</v>
      </c>
      <c r="ES187" s="10">
        <v>0</v>
      </c>
      <c r="ET187" s="10">
        <v>0</v>
      </c>
      <c r="EU187" s="10">
        <v>0</v>
      </c>
      <c r="EV187" s="10">
        <v>0</v>
      </c>
      <c r="EW187" s="10">
        <v>0</v>
      </c>
      <c r="EX187" s="10">
        <v>0</v>
      </c>
      <c r="EY187" s="10">
        <v>0</v>
      </c>
      <c r="EZ187" s="10">
        <v>0</v>
      </c>
      <c r="FA187" s="10">
        <v>0</v>
      </c>
      <c r="FB187" s="10">
        <v>0</v>
      </c>
      <c r="FC187" s="10">
        <v>0</v>
      </c>
      <c r="FD187" s="10">
        <v>0</v>
      </c>
      <c r="FE187" s="10">
        <v>0</v>
      </c>
      <c r="FF187" s="10">
        <v>0</v>
      </c>
      <c r="FG187" s="10">
        <v>0</v>
      </c>
      <c r="FH187" s="10">
        <v>0</v>
      </c>
      <c r="FI187" s="10">
        <v>0</v>
      </c>
      <c r="FJ187" s="10">
        <v>0</v>
      </c>
      <c r="FK187" s="10">
        <v>0</v>
      </c>
      <c r="FL187" s="10">
        <v>0</v>
      </c>
      <c r="FM187" s="10">
        <v>0</v>
      </c>
      <c r="FN187" s="10">
        <v>0</v>
      </c>
      <c r="FO187" s="10">
        <v>0</v>
      </c>
      <c r="FP187" s="10">
        <v>0</v>
      </c>
      <c r="FQ187" s="10">
        <v>0</v>
      </c>
      <c r="FR187" s="10">
        <v>0</v>
      </c>
      <c r="FS187" s="10">
        <v>0</v>
      </c>
      <c r="FT187" s="10">
        <v>0</v>
      </c>
      <c r="FU187" s="10">
        <v>0</v>
      </c>
      <c r="FV187" s="10">
        <v>0</v>
      </c>
      <c r="FW187" s="10">
        <v>0</v>
      </c>
      <c r="FX187" s="10">
        <v>0</v>
      </c>
      <c r="FY187" s="10">
        <v>0</v>
      </c>
      <c r="FZ187" s="10">
        <v>0</v>
      </c>
      <c r="GA187" s="10">
        <v>0</v>
      </c>
      <c r="GB187" s="10">
        <v>0</v>
      </c>
      <c r="GC187" s="10">
        <v>0</v>
      </c>
      <c r="GD187" s="10">
        <v>0</v>
      </c>
      <c r="GE187" s="10">
        <v>0</v>
      </c>
      <c r="GF187" s="10">
        <v>0</v>
      </c>
      <c r="GG187" s="10">
        <v>0</v>
      </c>
      <c r="GH187" s="10">
        <v>0</v>
      </c>
      <c r="GI187" s="10">
        <v>0</v>
      </c>
      <c r="GJ187" s="10">
        <v>0</v>
      </c>
      <c r="GK187" s="10">
        <v>0</v>
      </c>
      <c r="GL187" s="10">
        <v>0</v>
      </c>
      <c r="GM187" s="10">
        <v>0</v>
      </c>
      <c r="GN187" s="10">
        <v>0</v>
      </c>
      <c r="GO187" s="10">
        <v>0</v>
      </c>
      <c r="GP187" s="10">
        <v>0</v>
      </c>
      <c r="GQ187" s="10">
        <v>0</v>
      </c>
      <c r="GR187" s="10">
        <v>0</v>
      </c>
      <c r="GS187" s="10">
        <v>0</v>
      </c>
      <c r="GT187" s="10">
        <v>0</v>
      </c>
      <c r="GU187" s="10">
        <v>0</v>
      </c>
      <c r="GV187" s="10">
        <v>0</v>
      </c>
      <c r="GW187" s="10">
        <v>0</v>
      </c>
      <c r="GX187" s="10">
        <v>0</v>
      </c>
      <c r="GY187" s="10">
        <v>0</v>
      </c>
      <c r="GZ187" s="10">
        <v>0</v>
      </c>
      <c r="HA187" s="10">
        <v>0</v>
      </c>
      <c r="HB187" s="10">
        <v>0</v>
      </c>
      <c r="HC187" s="10">
        <v>0</v>
      </c>
      <c r="HD187" s="10">
        <v>0</v>
      </c>
      <c r="HE187" s="10">
        <v>0</v>
      </c>
      <c r="HF187" s="10">
        <v>0</v>
      </c>
      <c r="HG187" s="10">
        <v>0.37465521362241655</v>
      </c>
      <c r="HH187" s="10">
        <v>0</v>
      </c>
      <c r="HI187" s="10">
        <v>0</v>
      </c>
      <c r="HJ187" s="10">
        <v>0</v>
      </c>
      <c r="HK187" s="10">
        <v>0</v>
      </c>
      <c r="HL187" s="10">
        <v>0</v>
      </c>
      <c r="HM187" s="10">
        <v>0</v>
      </c>
      <c r="HN187" s="10">
        <v>0</v>
      </c>
      <c r="HO187" s="10">
        <v>0</v>
      </c>
      <c r="HP187" s="10">
        <v>0</v>
      </c>
      <c r="HQ187" s="10">
        <v>0</v>
      </c>
      <c r="HR187" s="10">
        <v>0</v>
      </c>
      <c r="HS187" s="10">
        <v>0</v>
      </c>
      <c r="HT187" s="10">
        <v>0</v>
      </c>
      <c r="HU187" s="10">
        <v>0</v>
      </c>
    </row>
    <row r="188" spans="1:229" x14ac:dyDescent="0.25">
      <c r="A188" s="10">
        <v>0</v>
      </c>
      <c r="B188" s="2" t="s">
        <v>364</v>
      </c>
      <c r="C188" s="2" t="s">
        <v>365</v>
      </c>
      <c r="D188" s="2">
        <v>17.895</v>
      </c>
      <c r="E188" s="2">
        <v>2.11</v>
      </c>
      <c r="F188" s="2">
        <v>37.119999999999997</v>
      </c>
      <c r="G188" s="2">
        <v>1.1000000000000001</v>
      </c>
      <c r="H188" s="2">
        <v>21.05</v>
      </c>
      <c r="I188" s="2">
        <v>84</v>
      </c>
      <c r="J188" s="2">
        <v>1.173</v>
      </c>
      <c r="K188" s="2">
        <v>2.2080000000000002</v>
      </c>
      <c r="L188" s="3"/>
      <c r="M188" s="2" t="str">
        <f t="shared" si="9"/>
        <v>01264</v>
      </c>
      <c r="N188" s="3">
        <v>0.16459045940229425</v>
      </c>
      <c r="O188" s="3">
        <v>1.835409540597706</v>
      </c>
      <c r="P188" s="17">
        <v>0.16459045940229597</v>
      </c>
      <c r="Q188" s="3">
        <v>2.2093580041598679</v>
      </c>
      <c r="R188" s="3">
        <v>0.11976927847651481</v>
      </c>
      <c r="S188" s="3">
        <v>0</v>
      </c>
      <c r="T188" s="3">
        <v>0.1645904594022938</v>
      </c>
      <c r="U188" s="3">
        <v>0.16459045940229386</v>
      </c>
      <c r="V188" s="10">
        <v>1.8354095405977229</v>
      </c>
      <c r="W188" s="3">
        <v>0.26130123326454258</v>
      </c>
      <c r="X188" s="3">
        <v>2.9453462710040865</v>
      </c>
      <c r="Y188" s="3">
        <v>4.6617453887773213</v>
      </c>
      <c r="Z188" s="3">
        <v>4.4458356170482292</v>
      </c>
      <c r="AA188" s="3">
        <v>0</v>
      </c>
      <c r="AB188" s="3">
        <v>3.4646291704182848</v>
      </c>
      <c r="AC188" s="10">
        <v>13.825598589792683</v>
      </c>
      <c r="AD188" s="3">
        <v>2.1529353911211291</v>
      </c>
      <c r="AE188" s="3">
        <v>0.57695312304811008</v>
      </c>
      <c r="AF188" s="3">
        <v>0</v>
      </c>
      <c r="AG188" s="3">
        <v>0</v>
      </c>
      <c r="AH188" s="3">
        <v>0</v>
      </c>
      <c r="AI188" s="3">
        <v>0</v>
      </c>
      <c r="AJ188" s="3">
        <v>0</v>
      </c>
      <c r="AK188" s="3">
        <v>0</v>
      </c>
      <c r="AL188" s="3">
        <v>0</v>
      </c>
      <c r="AM188" s="3">
        <v>0</v>
      </c>
      <c r="AN188" s="3">
        <v>0</v>
      </c>
      <c r="AO188" s="3">
        <v>0</v>
      </c>
      <c r="AP188" s="3">
        <v>0</v>
      </c>
      <c r="AQ188" s="3">
        <v>0</v>
      </c>
      <c r="AR188" s="3">
        <v>0</v>
      </c>
      <c r="AS188" s="3">
        <v>0</v>
      </c>
      <c r="AT188" s="3">
        <v>0</v>
      </c>
      <c r="AU188" s="3">
        <v>0</v>
      </c>
      <c r="AV188" s="3">
        <v>0</v>
      </c>
      <c r="AW188" s="3">
        <v>0</v>
      </c>
      <c r="AX188" s="3">
        <v>0</v>
      </c>
      <c r="AY188" s="3">
        <v>0</v>
      </c>
      <c r="AZ188" s="3">
        <v>0</v>
      </c>
      <c r="BA188" s="10">
        <v>0</v>
      </c>
      <c r="BB188" s="10">
        <v>0</v>
      </c>
      <c r="BC188" s="10">
        <v>0</v>
      </c>
      <c r="BD188" s="10">
        <v>0</v>
      </c>
      <c r="BE188" s="10">
        <v>0</v>
      </c>
      <c r="BF188" s="10">
        <v>0</v>
      </c>
      <c r="BG188" s="10">
        <v>0</v>
      </c>
      <c r="BH188" s="10">
        <v>0</v>
      </c>
      <c r="BI188" s="10">
        <v>0</v>
      </c>
      <c r="BJ188" s="10">
        <v>0</v>
      </c>
      <c r="BK188" s="10">
        <v>0</v>
      </c>
      <c r="BL188" s="10">
        <v>0</v>
      </c>
      <c r="BM188" s="10">
        <v>0</v>
      </c>
      <c r="BN188" s="10">
        <v>0</v>
      </c>
      <c r="BO188" s="10">
        <v>0</v>
      </c>
      <c r="BP188" s="10">
        <v>0</v>
      </c>
      <c r="BQ188" s="10">
        <v>0</v>
      </c>
      <c r="BR188" s="10">
        <v>0</v>
      </c>
      <c r="BS188" s="10">
        <v>0</v>
      </c>
      <c r="BT188" s="10">
        <v>0</v>
      </c>
      <c r="BU188" s="10">
        <v>0</v>
      </c>
      <c r="BV188" s="10">
        <v>0</v>
      </c>
      <c r="BW188" s="10">
        <v>0</v>
      </c>
      <c r="BX188" s="10">
        <v>0</v>
      </c>
      <c r="BY188" s="10">
        <v>0</v>
      </c>
      <c r="BZ188" s="10">
        <v>0</v>
      </c>
      <c r="CA188" s="10">
        <v>0</v>
      </c>
      <c r="CB188" s="10">
        <v>0</v>
      </c>
      <c r="CC188" s="10">
        <v>0</v>
      </c>
      <c r="CD188" s="10">
        <v>0</v>
      </c>
      <c r="CE188" s="10">
        <v>0</v>
      </c>
      <c r="CF188" s="10">
        <v>0</v>
      </c>
      <c r="CG188" s="10">
        <v>0</v>
      </c>
      <c r="CH188" s="10">
        <v>0</v>
      </c>
      <c r="CI188" s="10">
        <v>0</v>
      </c>
      <c r="CJ188" s="10">
        <v>0</v>
      </c>
      <c r="CK188" s="10">
        <v>0</v>
      </c>
      <c r="CL188" s="10">
        <v>0</v>
      </c>
      <c r="CM188" s="10">
        <v>0</v>
      </c>
      <c r="CN188" s="10">
        <v>8.3500791134711511E-2</v>
      </c>
      <c r="CO188" s="10">
        <v>0</v>
      </c>
      <c r="CP188" s="10">
        <v>0</v>
      </c>
      <c r="CQ188" s="10">
        <v>0</v>
      </c>
      <c r="CR188" s="10">
        <v>0</v>
      </c>
      <c r="CS188" s="10">
        <v>0.76299669156060645</v>
      </c>
      <c r="CT188" s="10">
        <v>0</v>
      </c>
      <c r="CU188" s="10">
        <v>0</v>
      </c>
      <c r="CV188" s="10">
        <v>0</v>
      </c>
      <c r="CW188" s="10">
        <v>0</v>
      </c>
      <c r="CX188" s="10">
        <v>0</v>
      </c>
      <c r="CY188" s="10">
        <v>0</v>
      </c>
      <c r="CZ188" s="10">
        <v>0</v>
      </c>
      <c r="DA188" s="10">
        <v>0</v>
      </c>
      <c r="DB188" s="10">
        <v>0</v>
      </c>
      <c r="DC188" s="10">
        <v>0</v>
      </c>
      <c r="DD188" s="10">
        <v>0</v>
      </c>
      <c r="DE188" s="10">
        <v>0</v>
      </c>
      <c r="DF188" s="10">
        <v>4.3388363629717722E-2</v>
      </c>
      <c r="DG188" s="10">
        <v>0</v>
      </c>
      <c r="DH188" s="10">
        <v>0</v>
      </c>
      <c r="DI188" s="10">
        <v>0</v>
      </c>
      <c r="DJ188" s="10">
        <v>0</v>
      </c>
      <c r="DK188" s="10">
        <v>0</v>
      </c>
      <c r="DL188" s="10">
        <v>0</v>
      </c>
      <c r="DM188" s="10">
        <v>0</v>
      </c>
      <c r="DN188" s="10">
        <v>0</v>
      </c>
      <c r="DO188" s="10">
        <v>0</v>
      </c>
      <c r="DP188" s="10">
        <v>0</v>
      </c>
      <c r="DQ188" s="10">
        <v>0</v>
      </c>
      <c r="DR188" s="10">
        <v>0</v>
      </c>
      <c r="DS188" s="10">
        <v>0.11011415367496429</v>
      </c>
      <c r="DT188" s="10">
        <v>0</v>
      </c>
      <c r="DU188" s="10">
        <v>0</v>
      </c>
      <c r="DV188" s="10">
        <v>0</v>
      </c>
      <c r="DW188" s="10">
        <v>0</v>
      </c>
      <c r="DX188" s="10">
        <v>0</v>
      </c>
      <c r="DY188" s="10">
        <v>0</v>
      </c>
      <c r="DZ188" s="10">
        <v>0</v>
      </c>
      <c r="EA188" s="10">
        <v>0</v>
      </c>
      <c r="EB188" s="10">
        <v>0</v>
      </c>
      <c r="EC188" s="10">
        <v>0</v>
      </c>
      <c r="ED188" s="10">
        <v>0</v>
      </c>
      <c r="EE188" s="10">
        <v>0</v>
      </c>
      <c r="EF188" s="10">
        <v>0</v>
      </c>
      <c r="EG188" s="10">
        <v>0</v>
      </c>
      <c r="EH188" s="10">
        <v>0</v>
      </c>
      <c r="EI188" s="10">
        <v>0</v>
      </c>
      <c r="EJ188" s="10">
        <v>0</v>
      </c>
      <c r="EK188" s="10">
        <v>0</v>
      </c>
      <c r="EL188" s="10">
        <v>0</v>
      </c>
      <c r="EM188" s="10">
        <v>0</v>
      </c>
      <c r="EN188" s="10">
        <v>0</v>
      </c>
      <c r="EO188" s="10">
        <v>0</v>
      </c>
      <c r="EP188" s="10">
        <v>0</v>
      </c>
      <c r="EQ188" s="10">
        <v>0</v>
      </c>
      <c r="ER188" s="10">
        <v>0</v>
      </c>
      <c r="ES188" s="10">
        <v>0</v>
      </c>
      <c r="ET188" s="10">
        <v>0</v>
      </c>
      <c r="EU188" s="10">
        <v>0</v>
      </c>
      <c r="EV188" s="10">
        <v>0</v>
      </c>
      <c r="EW188" s="10">
        <v>0</v>
      </c>
      <c r="EX188" s="10">
        <v>0</v>
      </c>
      <c r="EY188" s="10">
        <v>0</v>
      </c>
      <c r="EZ188" s="10">
        <v>0</v>
      </c>
      <c r="FA188" s="10">
        <v>0</v>
      </c>
      <c r="FB188" s="10">
        <v>0</v>
      </c>
      <c r="FC188" s="10">
        <v>0</v>
      </c>
      <c r="FD188" s="10">
        <v>0</v>
      </c>
      <c r="FE188" s="10">
        <v>0</v>
      </c>
      <c r="FF188" s="10">
        <v>0</v>
      </c>
      <c r="FG188" s="10">
        <v>0</v>
      </c>
      <c r="FH188" s="10">
        <v>0</v>
      </c>
      <c r="FI188" s="10">
        <v>0</v>
      </c>
      <c r="FJ188" s="10">
        <v>0</v>
      </c>
      <c r="FK188" s="10">
        <v>0</v>
      </c>
      <c r="FL188" s="10">
        <v>0</v>
      </c>
      <c r="FM188" s="10">
        <v>0</v>
      </c>
      <c r="FN188" s="10">
        <v>0</v>
      </c>
      <c r="FO188" s="10">
        <v>0</v>
      </c>
      <c r="FP188" s="10">
        <v>0</v>
      </c>
      <c r="FQ188" s="10">
        <v>0</v>
      </c>
      <c r="FR188" s="10">
        <v>0</v>
      </c>
      <c r="FS188" s="10">
        <v>0</v>
      </c>
      <c r="FT188" s="10">
        <v>0</v>
      </c>
      <c r="FU188" s="10">
        <v>0</v>
      </c>
      <c r="FV188" s="10">
        <v>0</v>
      </c>
      <c r="FW188" s="10">
        <v>0</v>
      </c>
      <c r="FX188" s="10">
        <v>0</v>
      </c>
      <c r="FY188" s="10">
        <v>0</v>
      </c>
      <c r="FZ188" s="10">
        <v>0</v>
      </c>
      <c r="GA188" s="10">
        <v>0</v>
      </c>
      <c r="GB188" s="10">
        <v>0</v>
      </c>
      <c r="GC188" s="10">
        <v>0</v>
      </c>
      <c r="GD188" s="10">
        <v>0</v>
      </c>
      <c r="GE188" s="10">
        <v>0</v>
      </c>
      <c r="GF188" s="10">
        <v>0</v>
      </c>
      <c r="GG188" s="10">
        <v>0</v>
      </c>
      <c r="GH188" s="10">
        <v>0</v>
      </c>
      <c r="GI188" s="10">
        <v>0</v>
      </c>
      <c r="GJ188" s="10">
        <v>0</v>
      </c>
      <c r="GK188" s="10">
        <v>0</v>
      </c>
      <c r="GL188" s="10">
        <v>0</v>
      </c>
      <c r="GM188" s="10">
        <v>0</v>
      </c>
      <c r="GN188" s="10">
        <v>0</v>
      </c>
      <c r="GO188" s="10">
        <v>0</v>
      </c>
      <c r="GP188" s="10">
        <v>0</v>
      </c>
      <c r="GQ188" s="10">
        <v>0</v>
      </c>
      <c r="GR188" s="10">
        <v>0</v>
      </c>
      <c r="GS188" s="10">
        <v>0</v>
      </c>
      <c r="GT188" s="10">
        <v>0</v>
      </c>
      <c r="GU188" s="10">
        <v>0</v>
      </c>
      <c r="GV188" s="10">
        <v>0</v>
      </c>
      <c r="GW188" s="10">
        <v>0</v>
      </c>
      <c r="GX188" s="10">
        <v>0</v>
      </c>
      <c r="GY188" s="10">
        <v>0</v>
      </c>
      <c r="GZ188" s="10">
        <v>0</v>
      </c>
      <c r="HA188" s="10">
        <v>0</v>
      </c>
      <c r="HB188" s="10">
        <v>0</v>
      </c>
      <c r="HC188" s="10">
        <v>0</v>
      </c>
      <c r="HD188" s="10">
        <v>0</v>
      </c>
      <c r="HE188" s="10">
        <v>0</v>
      </c>
      <c r="HF188" s="10">
        <v>0</v>
      </c>
      <c r="HG188" s="10">
        <v>0</v>
      </c>
      <c r="HH188" s="10">
        <v>0</v>
      </c>
      <c r="HI188" s="10">
        <v>0</v>
      </c>
      <c r="HJ188" s="10">
        <v>0</v>
      </c>
      <c r="HK188" s="10">
        <v>0</v>
      </c>
      <c r="HL188" s="10">
        <v>0</v>
      </c>
      <c r="HM188" s="10">
        <v>0</v>
      </c>
      <c r="HN188" s="10">
        <v>0</v>
      </c>
      <c r="HO188" s="10">
        <v>0</v>
      </c>
      <c r="HP188" s="10">
        <v>0</v>
      </c>
      <c r="HQ188" s="10">
        <v>0</v>
      </c>
      <c r="HR188" s="10">
        <v>0</v>
      </c>
      <c r="HS188" s="10">
        <v>0</v>
      </c>
      <c r="HT188" s="10">
        <v>0</v>
      </c>
      <c r="HU188" s="10">
        <v>0</v>
      </c>
    </row>
    <row r="189" spans="1:229" x14ac:dyDescent="0.25">
      <c r="A189" s="10">
        <v>0</v>
      </c>
      <c r="B189" s="2" t="s">
        <v>366</v>
      </c>
      <c r="C189" s="2" t="s">
        <v>367</v>
      </c>
      <c r="D189" s="2">
        <v>0</v>
      </c>
      <c r="E189" s="2">
        <v>32.14</v>
      </c>
      <c r="F189" s="2">
        <v>7.14</v>
      </c>
      <c r="G189" s="2">
        <v>0</v>
      </c>
      <c r="H189" s="2">
        <v>0</v>
      </c>
      <c r="I189" s="2">
        <v>1000</v>
      </c>
      <c r="J189" s="2">
        <v>0</v>
      </c>
      <c r="K189" s="2">
        <v>0</v>
      </c>
      <c r="L189" s="3"/>
      <c r="M189" s="2" t="str">
        <f t="shared" si="9"/>
        <v>01265</v>
      </c>
      <c r="N189" s="3">
        <v>0.99999999999604539</v>
      </c>
      <c r="O189" s="3">
        <v>1.0000000000039548</v>
      </c>
      <c r="P189" s="17" t="e">
        <v>#DIV/0!</v>
      </c>
      <c r="Q189" s="3">
        <v>1.0000000000039575</v>
      </c>
      <c r="R189" s="3">
        <v>0.99999999999629319</v>
      </c>
      <c r="S189" s="3" t="e">
        <v>#DIV/0!</v>
      </c>
      <c r="T189" s="3" t="e">
        <v>#DIV/0!</v>
      </c>
      <c r="U189" s="3">
        <v>0.99999999999604539</v>
      </c>
      <c r="V189" s="3" t="e">
        <v>#DIV/0!</v>
      </c>
      <c r="W189" s="3" t="e">
        <v>#DIV/0!</v>
      </c>
      <c r="X189" s="8">
        <v>8.6407591420947481E-13</v>
      </c>
      <c r="Y189" s="10">
        <v>32.140000000127195</v>
      </c>
      <c r="Z189" s="3">
        <v>7.1399999999735329</v>
      </c>
      <c r="AA189" s="3">
        <v>6.503334068308087E-18</v>
      </c>
      <c r="AB189" s="3">
        <v>1.3006668136616174E-17</v>
      </c>
      <c r="AC189" s="3">
        <v>999.9999999960454</v>
      </c>
      <c r="AD189" s="3">
        <v>3.930180392587123E-13</v>
      </c>
      <c r="AE189" s="3">
        <v>7.0210848589915874E-14</v>
      </c>
      <c r="AF189" s="3">
        <v>0</v>
      </c>
      <c r="AG189" s="3">
        <v>0</v>
      </c>
      <c r="AH189" s="3">
        <v>0</v>
      </c>
      <c r="AI189" s="3">
        <v>0</v>
      </c>
      <c r="AJ189" s="3">
        <v>0</v>
      </c>
      <c r="AK189" s="3">
        <v>0</v>
      </c>
      <c r="AL189" s="3">
        <v>0</v>
      </c>
      <c r="AM189" s="3">
        <v>0</v>
      </c>
      <c r="AN189" s="3">
        <v>0</v>
      </c>
      <c r="AO189" s="3">
        <v>0</v>
      </c>
      <c r="AP189" s="3">
        <v>0</v>
      </c>
      <c r="AQ189" s="3">
        <v>0</v>
      </c>
      <c r="AR189" s="10">
        <v>0</v>
      </c>
      <c r="AS189" s="3">
        <v>0</v>
      </c>
      <c r="AT189" s="3">
        <v>0</v>
      </c>
      <c r="AU189" s="3">
        <v>0</v>
      </c>
      <c r="AV189" s="3">
        <v>0</v>
      </c>
      <c r="AW189" s="3">
        <v>0</v>
      </c>
      <c r="AX189" s="3">
        <v>0</v>
      </c>
      <c r="AY189" s="3">
        <v>0</v>
      </c>
      <c r="AZ189" s="3">
        <v>0</v>
      </c>
      <c r="BA189" s="10">
        <v>0</v>
      </c>
      <c r="BB189" s="10">
        <v>0</v>
      </c>
      <c r="BC189" s="10">
        <v>0</v>
      </c>
      <c r="BD189" s="10">
        <v>0</v>
      </c>
      <c r="BE189" s="10">
        <v>0</v>
      </c>
      <c r="BF189" s="10">
        <v>0</v>
      </c>
      <c r="BG189" s="10">
        <v>0</v>
      </c>
      <c r="BH189" s="10">
        <v>0</v>
      </c>
      <c r="BI189" s="10">
        <v>0</v>
      </c>
      <c r="BJ189" s="10">
        <v>0</v>
      </c>
      <c r="BK189" s="10">
        <v>0</v>
      </c>
      <c r="BL189" s="10">
        <v>0</v>
      </c>
      <c r="BM189" s="10">
        <v>0</v>
      </c>
      <c r="BN189" s="10">
        <v>0</v>
      </c>
      <c r="BO189" s="10">
        <v>0</v>
      </c>
      <c r="BP189" s="10">
        <v>0</v>
      </c>
      <c r="BQ189" s="10">
        <v>0</v>
      </c>
      <c r="BR189" s="10">
        <v>0</v>
      </c>
      <c r="BS189" s="10">
        <v>0</v>
      </c>
      <c r="BT189" s="10">
        <v>0</v>
      </c>
      <c r="BU189" s="10">
        <v>0</v>
      </c>
      <c r="BV189" s="10">
        <v>0</v>
      </c>
      <c r="BW189" s="10">
        <v>0</v>
      </c>
      <c r="BX189" s="10">
        <v>0</v>
      </c>
      <c r="BY189" s="10">
        <v>0</v>
      </c>
      <c r="BZ189" s="10">
        <v>0</v>
      </c>
      <c r="CA189" s="10">
        <v>3.1389442058818831E-14</v>
      </c>
      <c r="CB189" s="10">
        <v>0</v>
      </c>
      <c r="CC189" s="10">
        <v>0</v>
      </c>
      <c r="CD189" s="10">
        <v>0</v>
      </c>
      <c r="CE189" s="10">
        <v>0</v>
      </c>
      <c r="CF189" s="10">
        <v>0</v>
      </c>
      <c r="CG189" s="10">
        <v>0</v>
      </c>
      <c r="CH189" s="10">
        <v>0</v>
      </c>
      <c r="CI189" s="10">
        <v>0</v>
      </c>
      <c r="CJ189" s="10">
        <v>0</v>
      </c>
      <c r="CK189" s="10">
        <v>0</v>
      </c>
      <c r="CL189" s="10">
        <v>0</v>
      </c>
      <c r="CM189" s="10">
        <v>0</v>
      </c>
      <c r="CN189" s="10">
        <v>0</v>
      </c>
      <c r="CO189" s="10">
        <v>0</v>
      </c>
      <c r="CP189" s="10">
        <v>0</v>
      </c>
      <c r="CQ189" s="10">
        <v>5.1849709144829369E-12</v>
      </c>
      <c r="CR189" s="10">
        <v>0</v>
      </c>
      <c r="CS189" s="10">
        <v>0</v>
      </c>
      <c r="CT189" s="10">
        <v>0</v>
      </c>
      <c r="CU189" s="10">
        <v>0</v>
      </c>
      <c r="CV189" s="10">
        <v>0</v>
      </c>
      <c r="CW189" s="10">
        <v>0</v>
      </c>
      <c r="CX189" s="10">
        <v>0</v>
      </c>
      <c r="CY189" s="10">
        <v>0</v>
      </c>
      <c r="CZ189" s="10">
        <v>0</v>
      </c>
      <c r="DA189" s="10">
        <v>0</v>
      </c>
      <c r="DB189" s="10">
        <v>0</v>
      </c>
      <c r="DC189" s="10">
        <v>0</v>
      </c>
      <c r="DD189" s="10">
        <v>0</v>
      </c>
      <c r="DE189" s="10">
        <v>0</v>
      </c>
      <c r="DF189" s="10">
        <v>0</v>
      </c>
      <c r="DG189" s="10">
        <v>0</v>
      </c>
      <c r="DH189" s="10">
        <v>0</v>
      </c>
      <c r="DI189" s="10">
        <v>0</v>
      </c>
      <c r="DJ189" s="10">
        <v>0</v>
      </c>
      <c r="DK189" s="10">
        <v>0</v>
      </c>
      <c r="DL189" s="10">
        <v>0</v>
      </c>
      <c r="DM189" s="10">
        <v>0</v>
      </c>
      <c r="DN189" s="10">
        <v>0</v>
      </c>
      <c r="DO189" s="10">
        <v>0</v>
      </c>
      <c r="DP189" s="10">
        <v>0</v>
      </c>
      <c r="DQ189" s="10">
        <v>0</v>
      </c>
      <c r="DR189" s="10">
        <v>0</v>
      </c>
      <c r="DS189" s="10">
        <v>0</v>
      </c>
      <c r="DT189" s="10">
        <v>0</v>
      </c>
      <c r="DU189" s="10">
        <v>0</v>
      </c>
      <c r="DV189" s="10">
        <v>0</v>
      </c>
      <c r="DW189" s="10">
        <v>0</v>
      </c>
      <c r="DX189" s="10">
        <v>0</v>
      </c>
      <c r="DY189" s="10">
        <v>0</v>
      </c>
      <c r="DZ189" s="10">
        <v>6.1243619008406278E-12</v>
      </c>
      <c r="EA189" s="10">
        <v>0</v>
      </c>
      <c r="EB189" s="10">
        <v>0</v>
      </c>
      <c r="EC189" s="10">
        <v>0</v>
      </c>
      <c r="ED189" s="10">
        <v>0</v>
      </c>
      <c r="EE189" s="10">
        <v>0</v>
      </c>
      <c r="EF189" s="10">
        <v>0</v>
      </c>
      <c r="EG189" s="10">
        <v>0</v>
      </c>
      <c r="EH189" s="10">
        <v>0</v>
      </c>
      <c r="EI189" s="10">
        <v>0</v>
      </c>
      <c r="EJ189" s="10">
        <v>0</v>
      </c>
      <c r="EK189" s="10">
        <v>0</v>
      </c>
      <c r="EL189" s="10">
        <v>0</v>
      </c>
      <c r="EM189" s="10">
        <v>0</v>
      </c>
      <c r="EN189" s="10">
        <v>0</v>
      </c>
      <c r="EO189" s="10">
        <v>0</v>
      </c>
      <c r="EP189" s="10">
        <v>0</v>
      </c>
      <c r="EQ189" s="10">
        <v>0</v>
      </c>
      <c r="ER189" s="10">
        <v>0</v>
      </c>
      <c r="ES189" s="10">
        <v>0</v>
      </c>
      <c r="ET189" s="10">
        <v>0</v>
      </c>
      <c r="EU189" s="10">
        <v>0</v>
      </c>
      <c r="EV189" s="10">
        <v>0</v>
      </c>
      <c r="EW189" s="10">
        <v>0</v>
      </c>
      <c r="EX189" s="10">
        <v>0</v>
      </c>
      <c r="EY189" s="10">
        <v>0</v>
      </c>
      <c r="EZ189" s="10">
        <v>0</v>
      </c>
      <c r="FA189" s="10">
        <v>0</v>
      </c>
      <c r="FB189" s="10">
        <v>0</v>
      </c>
      <c r="FC189" s="10">
        <v>0</v>
      </c>
      <c r="FD189" s="10">
        <v>0</v>
      </c>
      <c r="FE189" s="10">
        <v>0</v>
      </c>
      <c r="FF189" s="10">
        <v>0</v>
      </c>
      <c r="FG189" s="10">
        <v>0</v>
      </c>
      <c r="FH189" s="10">
        <v>0</v>
      </c>
      <c r="FI189" s="10">
        <v>0</v>
      </c>
      <c r="FJ189" s="10">
        <v>0</v>
      </c>
      <c r="FK189" s="10">
        <v>0</v>
      </c>
      <c r="FL189" s="10">
        <v>0</v>
      </c>
      <c r="FM189" s="10">
        <v>0</v>
      </c>
      <c r="FN189" s="10">
        <v>0</v>
      </c>
      <c r="FO189" s="10">
        <v>0</v>
      </c>
      <c r="FP189" s="10">
        <v>0</v>
      </c>
      <c r="FQ189" s="10">
        <v>0</v>
      </c>
      <c r="FR189" s="10">
        <v>0</v>
      </c>
      <c r="FS189" s="10">
        <v>0</v>
      </c>
      <c r="FT189" s="10">
        <v>0</v>
      </c>
      <c r="FU189" s="10">
        <v>0</v>
      </c>
      <c r="FV189" s="10">
        <v>0</v>
      </c>
      <c r="FW189" s="10">
        <v>0</v>
      </c>
      <c r="FX189" s="10">
        <v>0</v>
      </c>
      <c r="FY189" s="10">
        <v>0</v>
      </c>
      <c r="FZ189" s="10">
        <v>0</v>
      </c>
      <c r="GA189" s="10">
        <v>0</v>
      </c>
      <c r="GB189" s="10">
        <v>3.2516670341540435E-18</v>
      </c>
      <c r="GC189" s="10">
        <v>0</v>
      </c>
      <c r="GD189" s="10">
        <v>0</v>
      </c>
      <c r="GE189" s="10">
        <v>0</v>
      </c>
      <c r="GF189" s="10">
        <v>0</v>
      </c>
      <c r="GG189" s="10">
        <v>0</v>
      </c>
      <c r="GH189" s="10">
        <v>0</v>
      </c>
      <c r="GI189" s="10">
        <v>0</v>
      </c>
      <c r="GJ189" s="10">
        <v>0</v>
      </c>
      <c r="GK189" s="10">
        <v>0</v>
      </c>
      <c r="GL189" s="10">
        <v>0</v>
      </c>
      <c r="GM189" s="10">
        <v>0</v>
      </c>
      <c r="GN189" s="10">
        <v>0</v>
      </c>
      <c r="GO189" s="10">
        <v>0</v>
      </c>
      <c r="GP189" s="10">
        <v>0</v>
      </c>
      <c r="GQ189" s="10">
        <v>0</v>
      </c>
      <c r="GR189" s="10">
        <v>0</v>
      </c>
      <c r="GS189" s="10">
        <v>0</v>
      </c>
      <c r="GT189" s="10">
        <v>0</v>
      </c>
      <c r="GU189" s="10">
        <v>0</v>
      </c>
      <c r="GV189" s="10">
        <v>0</v>
      </c>
      <c r="GW189" s="10">
        <v>0</v>
      </c>
      <c r="GX189" s="10">
        <v>0</v>
      </c>
      <c r="GY189" s="10">
        <v>0</v>
      </c>
      <c r="GZ189" s="10">
        <v>0</v>
      </c>
      <c r="HA189" s="10">
        <v>0</v>
      </c>
      <c r="HB189" s="10">
        <v>0.99999999998865796</v>
      </c>
      <c r="HC189" s="10">
        <v>0</v>
      </c>
      <c r="HD189" s="10">
        <v>0</v>
      </c>
      <c r="HE189" s="10">
        <v>0</v>
      </c>
      <c r="HF189" s="10">
        <v>0</v>
      </c>
      <c r="HG189" s="10">
        <v>0</v>
      </c>
      <c r="HH189" s="10">
        <v>0</v>
      </c>
      <c r="HI189" s="10">
        <v>0</v>
      </c>
      <c r="HJ189" s="10">
        <v>0</v>
      </c>
      <c r="HK189" s="10">
        <v>0</v>
      </c>
      <c r="HL189" s="10">
        <v>0</v>
      </c>
      <c r="HM189" s="10">
        <v>0</v>
      </c>
      <c r="HN189" s="10">
        <v>0</v>
      </c>
      <c r="HO189" s="10">
        <v>0</v>
      </c>
      <c r="HP189" s="10">
        <v>0</v>
      </c>
      <c r="HQ189" s="10">
        <v>0</v>
      </c>
      <c r="HR189" s="10">
        <v>0</v>
      </c>
      <c r="HS189" s="10">
        <v>0</v>
      </c>
      <c r="HT189" s="10">
        <v>0</v>
      </c>
      <c r="HU189" s="10">
        <v>0</v>
      </c>
    </row>
    <row r="190" spans="1:229" x14ac:dyDescent="0.25">
      <c r="A190" s="10">
        <v>0</v>
      </c>
      <c r="B190" s="2" t="s">
        <v>368</v>
      </c>
      <c r="C190" s="2" t="s">
        <v>369</v>
      </c>
      <c r="D190" s="2">
        <v>11.472</v>
      </c>
      <c r="E190" s="2">
        <v>23.63</v>
      </c>
      <c r="F190" s="2">
        <v>8.06</v>
      </c>
      <c r="G190" s="2">
        <v>0</v>
      </c>
      <c r="H190" s="2">
        <v>2.2400000000000002</v>
      </c>
      <c r="I190" s="2">
        <v>682</v>
      </c>
      <c r="J190" s="2">
        <v>5.1040000000000001</v>
      </c>
      <c r="K190" s="2">
        <v>0.86099999999999999</v>
      </c>
      <c r="L190" s="3"/>
      <c r="M190" s="2" t="str">
        <f t="shared" si="9"/>
        <v>01271</v>
      </c>
      <c r="N190" s="3">
        <v>0.47365104180876644</v>
      </c>
      <c r="O190" s="3">
        <v>1.5263489581912333</v>
      </c>
      <c r="P190" s="17">
        <v>0.47365104180876638</v>
      </c>
      <c r="Q190" s="3">
        <v>1.5263489581912335</v>
      </c>
      <c r="R190" s="3">
        <v>0.81945347696164683</v>
      </c>
      <c r="S190" s="3" t="e">
        <v>#DIV/0!</v>
      </c>
      <c r="T190" s="3">
        <v>0.47365104180877421</v>
      </c>
      <c r="U190" s="3">
        <v>0.47365104180876649</v>
      </c>
      <c r="V190" s="3">
        <v>1.5263489581912726</v>
      </c>
      <c r="W190" s="3">
        <v>3.4698298983716329</v>
      </c>
      <c r="X190" s="3">
        <v>5.4337247516301677</v>
      </c>
      <c r="Y190" s="3">
        <v>36.067625882058849</v>
      </c>
      <c r="Z190" s="3">
        <v>6.6047950243108735</v>
      </c>
      <c r="AA190" s="3">
        <v>0.48308033258110311</v>
      </c>
      <c r="AB190" s="3">
        <v>1.0609783336516543</v>
      </c>
      <c r="AC190" s="3">
        <v>323.03001051357876</v>
      </c>
      <c r="AD190" s="3">
        <v>7.7904850826082557</v>
      </c>
      <c r="AE190" s="3">
        <v>2.9875235424979758</v>
      </c>
      <c r="AF190" s="3">
        <v>0</v>
      </c>
      <c r="AG190" s="3">
        <v>0</v>
      </c>
      <c r="AH190" s="3">
        <v>0</v>
      </c>
      <c r="AI190" s="3">
        <v>0</v>
      </c>
      <c r="AJ190" s="3">
        <v>0</v>
      </c>
      <c r="AK190" s="3">
        <v>0</v>
      </c>
      <c r="AL190" s="3">
        <v>0</v>
      </c>
      <c r="AM190" s="3">
        <v>0</v>
      </c>
      <c r="AN190" s="3">
        <v>0</v>
      </c>
      <c r="AO190" s="3">
        <v>0</v>
      </c>
      <c r="AP190" s="3">
        <v>0</v>
      </c>
      <c r="AQ190" s="3">
        <v>0</v>
      </c>
      <c r="AR190" s="3">
        <v>0</v>
      </c>
      <c r="AS190" s="3">
        <v>0</v>
      </c>
      <c r="AT190" s="3">
        <v>0</v>
      </c>
      <c r="AU190" s="3">
        <v>0</v>
      </c>
      <c r="AV190" s="3">
        <v>0</v>
      </c>
      <c r="AW190" s="3">
        <v>0</v>
      </c>
      <c r="AX190" s="3">
        <v>0</v>
      </c>
      <c r="AY190" s="3">
        <v>0</v>
      </c>
      <c r="AZ190" s="3">
        <v>0</v>
      </c>
      <c r="BA190" s="10">
        <v>0</v>
      </c>
      <c r="BB190" s="10">
        <v>0</v>
      </c>
      <c r="BC190" s="10">
        <v>0</v>
      </c>
      <c r="BD190" s="10">
        <v>0</v>
      </c>
      <c r="BE190" s="10">
        <v>0</v>
      </c>
      <c r="BF190" s="10">
        <v>0</v>
      </c>
      <c r="BG190" s="10">
        <v>0</v>
      </c>
      <c r="BH190" s="10">
        <v>0</v>
      </c>
      <c r="BI190" s="10">
        <v>0</v>
      </c>
      <c r="BJ190" s="10">
        <v>0</v>
      </c>
      <c r="BK190" s="10">
        <v>0</v>
      </c>
      <c r="BL190" s="10">
        <v>0</v>
      </c>
      <c r="BM190" s="10">
        <v>0</v>
      </c>
      <c r="BN190" s="10">
        <v>0</v>
      </c>
      <c r="BO190" s="10">
        <v>0</v>
      </c>
      <c r="BP190" s="10">
        <v>0</v>
      </c>
      <c r="BQ190" s="10">
        <v>0</v>
      </c>
      <c r="BR190" s="10">
        <v>0</v>
      </c>
      <c r="BS190" s="10">
        <v>0</v>
      </c>
      <c r="BT190" s="10">
        <v>0</v>
      </c>
      <c r="BU190" s="10">
        <v>0</v>
      </c>
      <c r="BV190" s="10">
        <v>0</v>
      </c>
      <c r="BW190" s="10">
        <v>0</v>
      </c>
      <c r="BX190" s="10">
        <v>0</v>
      </c>
      <c r="BY190" s="10">
        <v>0</v>
      </c>
      <c r="BZ190" s="10">
        <v>0</v>
      </c>
      <c r="CA190" s="10">
        <v>0</v>
      </c>
      <c r="CB190" s="10">
        <v>0</v>
      </c>
      <c r="CC190" s="10">
        <v>0</v>
      </c>
      <c r="CD190" s="10">
        <v>0</v>
      </c>
      <c r="CE190" s="10">
        <v>0</v>
      </c>
      <c r="CF190" s="10">
        <v>0</v>
      </c>
      <c r="CG190" s="10">
        <v>0</v>
      </c>
      <c r="CH190" s="10">
        <v>0</v>
      </c>
      <c r="CI190" s="10">
        <v>0</v>
      </c>
      <c r="CJ190" s="10">
        <v>0</v>
      </c>
      <c r="CK190" s="10">
        <v>0</v>
      </c>
      <c r="CL190" s="10">
        <v>0</v>
      </c>
      <c r="CM190" s="10">
        <v>0</v>
      </c>
      <c r="CN190" s="10">
        <v>0</v>
      </c>
      <c r="CO190" s="10">
        <v>0</v>
      </c>
      <c r="CP190" s="10">
        <v>0</v>
      </c>
      <c r="CQ190" s="10">
        <v>0</v>
      </c>
      <c r="CR190" s="10">
        <v>0</v>
      </c>
      <c r="CS190" s="10">
        <v>0</v>
      </c>
      <c r="CT190" s="10">
        <v>0</v>
      </c>
      <c r="CU190" s="10">
        <v>0</v>
      </c>
      <c r="CV190" s="10">
        <v>0</v>
      </c>
      <c r="CW190" s="10">
        <v>0</v>
      </c>
      <c r="CX190" s="10">
        <v>0</v>
      </c>
      <c r="CY190" s="10">
        <v>0</v>
      </c>
      <c r="CZ190" s="10">
        <v>0</v>
      </c>
      <c r="DA190" s="10">
        <v>0</v>
      </c>
      <c r="DB190" s="10">
        <v>0</v>
      </c>
      <c r="DC190" s="10">
        <v>0</v>
      </c>
      <c r="DD190" s="10">
        <v>0</v>
      </c>
      <c r="DE190" s="10">
        <v>0</v>
      </c>
      <c r="DF190" s="10">
        <v>0</v>
      </c>
      <c r="DG190" s="10">
        <v>0</v>
      </c>
      <c r="DH190" s="10">
        <v>0</v>
      </c>
      <c r="DI190" s="10">
        <v>0</v>
      </c>
      <c r="DJ190" s="10">
        <v>0</v>
      </c>
      <c r="DK190" s="10">
        <v>0</v>
      </c>
      <c r="DL190" s="10">
        <v>0</v>
      </c>
      <c r="DM190" s="10">
        <v>0</v>
      </c>
      <c r="DN190" s="10">
        <v>0</v>
      </c>
      <c r="DO190" s="10">
        <v>0</v>
      </c>
      <c r="DP190" s="10">
        <v>0</v>
      </c>
      <c r="DQ190" s="10">
        <v>0</v>
      </c>
      <c r="DR190" s="10">
        <v>0</v>
      </c>
      <c r="DS190" s="10">
        <v>0</v>
      </c>
      <c r="DT190" s="10">
        <v>0.53857996140375775</v>
      </c>
      <c r="DU190" s="10">
        <v>0</v>
      </c>
      <c r="DV190" s="10">
        <v>0</v>
      </c>
      <c r="DW190" s="10">
        <v>0</v>
      </c>
      <c r="DX190" s="10">
        <v>0</v>
      </c>
      <c r="DY190" s="10">
        <v>1.2494520260669429E-2</v>
      </c>
      <c r="DZ190" s="10">
        <v>0.18974275068819105</v>
      </c>
      <c r="EA190" s="10">
        <v>0</v>
      </c>
      <c r="EB190" s="10">
        <v>0</v>
      </c>
      <c r="EC190" s="10">
        <v>0</v>
      </c>
      <c r="ED190" s="10">
        <v>0</v>
      </c>
      <c r="EE190" s="10">
        <v>0</v>
      </c>
      <c r="EF190" s="10">
        <v>0</v>
      </c>
      <c r="EG190" s="10">
        <v>0</v>
      </c>
      <c r="EH190" s="10">
        <v>0</v>
      </c>
      <c r="EI190" s="10">
        <v>0</v>
      </c>
      <c r="EJ190" s="10">
        <v>0</v>
      </c>
      <c r="EK190" s="10">
        <v>0</v>
      </c>
      <c r="EL190" s="10">
        <v>0</v>
      </c>
      <c r="EM190" s="10">
        <v>0</v>
      </c>
      <c r="EN190" s="10">
        <v>0</v>
      </c>
      <c r="EO190" s="10">
        <v>0</v>
      </c>
      <c r="EP190" s="10">
        <v>0</v>
      </c>
      <c r="EQ190" s="10">
        <v>0</v>
      </c>
      <c r="ER190" s="10">
        <v>0</v>
      </c>
      <c r="ES190" s="10">
        <v>0</v>
      </c>
      <c r="ET190" s="10">
        <v>1.7642601356830181E-2</v>
      </c>
      <c r="EU190" s="10">
        <v>0</v>
      </c>
      <c r="EV190" s="10">
        <v>0</v>
      </c>
      <c r="EW190" s="10">
        <v>0</v>
      </c>
      <c r="EX190" s="10">
        <v>0</v>
      </c>
      <c r="EY190" s="10">
        <v>0</v>
      </c>
      <c r="EZ190" s="10">
        <v>0</v>
      </c>
      <c r="FA190" s="10">
        <v>0</v>
      </c>
      <c r="FB190" s="10">
        <v>0</v>
      </c>
      <c r="FC190" s="10">
        <v>0</v>
      </c>
      <c r="FD190" s="10">
        <v>0</v>
      </c>
      <c r="FE190" s="10">
        <v>0</v>
      </c>
      <c r="FF190" s="10">
        <v>0</v>
      </c>
      <c r="FG190" s="10">
        <v>0</v>
      </c>
      <c r="FH190" s="10">
        <v>0</v>
      </c>
      <c r="FI190" s="10">
        <v>0</v>
      </c>
      <c r="FJ190" s="10">
        <v>0</v>
      </c>
      <c r="FK190" s="10">
        <v>0</v>
      </c>
      <c r="FL190" s="10">
        <v>0</v>
      </c>
      <c r="FM190" s="10">
        <v>0</v>
      </c>
      <c r="FN190" s="10">
        <v>0</v>
      </c>
      <c r="FO190" s="10">
        <v>0</v>
      </c>
      <c r="FP190" s="10">
        <v>0</v>
      </c>
      <c r="FQ190" s="10">
        <v>0</v>
      </c>
      <c r="FR190" s="10">
        <v>0</v>
      </c>
      <c r="FS190" s="10">
        <v>0</v>
      </c>
      <c r="FT190" s="10">
        <v>0</v>
      </c>
      <c r="FU190" s="10">
        <v>0</v>
      </c>
      <c r="FV190" s="10">
        <v>0</v>
      </c>
      <c r="FW190" s="10">
        <v>0</v>
      </c>
      <c r="FX190" s="10">
        <v>0</v>
      </c>
      <c r="FY190" s="10">
        <v>0</v>
      </c>
      <c r="FZ190" s="10">
        <v>0</v>
      </c>
      <c r="GA190" s="10">
        <v>0</v>
      </c>
      <c r="GB190" s="10">
        <v>0.24154016629055156</v>
      </c>
      <c r="GC190" s="10">
        <v>0</v>
      </c>
      <c r="GD190" s="10">
        <v>0</v>
      </c>
      <c r="GE190" s="10">
        <v>0</v>
      </c>
      <c r="GF190" s="10">
        <v>0</v>
      </c>
      <c r="GG190" s="10">
        <v>0</v>
      </c>
      <c r="GH190" s="10">
        <v>0</v>
      </c>
      <c r="GI190" s="10">
        <v>0</v>
      </c>
      <c r="GJ190" s="10">
        <v>0</v>
      </c>
      <c r="GK190" s="10">
        <v>0</v>
      </c>
      <c r="GL190" s="10">
        <v>0</v>
      </c>
      <c r="GM190" s="10">
        <v>0</v>
      </c>
      <c r="GN190" s="10">
        <v>0</v>
      </c>
      <c r="GO190" s="10">
        <v>0</v>
      </c>
      <c r="GP190" s="10">
        <v>0</v>
      </c>
      <c r="GQ190" s="10">
        <v>0</v>
      </c>
      <c r="GR190" s="10">
        <v>0</v>
      </c>
      <c r="GS190" s="10">
        <v>0</v>
      </c>
      <c r="GT190" s="10">
        <v>0</v>
      </c>
      <c r="GU190" s="10">
        <v>0</v>
      </c>
      <c r="GV190" s="10">
        <v>0</v>
      </c>
      <c r="GW190" s="10">
        <v>0</v>
      </c>
      <c r="GX190" s="10">
        <v>0</v>
      </c>
      <c r="GY190" s="10">
        <v>0</v>
      </c>
      <c r="GZ190" s="10">
        <v>0</v>
      </c>
      <c r="HA190" s="10">
        <v>0</v>
      </c>
      <c r="HB190" s="10">
        <v>0</v>
      </c>
      <c r="HC190" s="10">
        <v>0</v>
      </c>
      <c r="HD190" s="10">
        <v>0</v>
      </c>
      <c r="HE190" s="10">
        <v>0</v>
      </c>
      <c r="HF190" s="10">
        <v>0</v>
      </c>
      <c r="HG190" s="10">
        <v>0</v>
      </c>
      <c r="HH190" s="10">
        <v>0</v>
      </c>
      <c r="HI190" s="10">
        <v>0</v>
      </c>
      <c r="HJ190" s="10">
        <v>0</v>
      </c>
      <c r="HK190" s="10">
        <v>0</v>
      </c>
      <c r="HL190" s="10">
        <v>0</v>
      </c>
      <c r="HM190" s="10">
        <v>0</v>
      </c>
      <c r="HN190" s="10">
        <v>0</v>
      </c>
      <c r="HO190" s="10">
        <v>0</v>
      </c>
      <c r="HP190" s="10">
        <v>0</v>
      </c>
      <c r="HQ190" s="10">
        <v>0</v>
      </c>
      <c r="HR190" s="10">
        <v>0</v>
      </c>
      <c r="HS190" s="10">
        <v>0</v>
      </c>
      <c r="HT190" s="10">
        <v>0</v>
      </c>
      <c r="HU190" s="10">
        <v>0</v>
      </c>
    </row>
    <row r="191" spans="1:229" x14ac:dyDescent="0.25">
      <c r="A191" s="10">
        <v>0</v>
      </c>
      <c r="B191" s="2" t="s">
        <v>370</v>
      </c>
      <c r="C191" s="2" t="s">
        <v>371</v>
      </c>
      <c r="D191" s="2">
        <v>0.17799999999999999</v>
      </c>
      <c r="E191" s="2">
        <v>9.07</v>
      </c>
      <c r="F191" s="2">
        <v>8.09</v>
      </c>
      <c r="G191" s="2">
        <v>0.3</v>
      </c>
      <c r="H191" s="2">
        <v>7.61</v>
      </c>
      <c r="I191" s="2">
        <v>36</v>
      </c>
      <c r="J191" s="2">
        <v>0.06</v>
      </c>
      <c r="K191" s="2">
        <v>1.0999999999999999E-2</v>
      </c>
      <c r="L191" s="3"/>
      <c r="M191" s="2" t="str">
        <f t="shared" si="9"/>
        <v>01275</v>
      </c>
      <c r="N191" s="3">
        <v>0.95479208055098186</v>
      </c>
      <c r="O191" s="3">
        <v>1.0452079194490183</v>
      </c>
      <c r="P191" s="17">
        <v>0.95479208055051401</v>
      </c>
      <c r="Q191" s="3">
        <v>1.0452079194490087</v>
      </c>
      <c r="R191" s="3">
        <v>0.70015611568759251</v>
      </c>
      <c r="S191" s="3">
        <v>0.48186213858357696</v>
      </c>
      <c r="T191" s="3">
        <v>0.68437880046280386</v>
      </c>
      <c r="U191" s="3">
        <v>0.95479208055098197</v>
      </c>
      <c r="V191" s="3">
        <v>1.2071560340235745</v>
      </c>
      <c r="W191" s="3">
        <v>1.4238173831372309</v>
      </c>
      <c r="X191" s="3">
        <v>0.16995299033799149</v>
      </c>
      <c r="Y191" s="3">
        <v>9.4800358294025102</v>
      </c>
      <c r="Z191" s="3">
        <v>5.6642629759126235</v>
      </c>
      <c r="AA191" s="3">
        <v>0.14455864157507309</v>
      </c>
      <c r="AB191" s="3">
        <v>5.208122671521938</v>
      </c>
      <c r="AC191" s="3">
        <v>34.372514899835352</v>
      </c>
      <c r="AD191" s="3">
        <v>7.2429362041414466E-2</v>
      </c>
      <c r="AE191" s="3">
        <v>1.5661991214509539E-2</v>
      </c>
      <c r="AF191" s="3">
        <v>0</v>
      </c>
      <c r="AG191" s="3">
        <v>0</v>
      </c>
      <c r="AH191" s="3">
        <v>0</v>
      </c>
      <c r="AI191" s="3">
        <v>0</v>
      </c>
      <c r="AJ191" s="3">
        <v>0</v>
      </c>
      <c r="AK191" s="3">
        <v>0</v>
      </c>
      <c r="AL191" s="3">
        <v>0</v>
      </c>
      <c r="AM191" s="3">
        <v>0</v>
      </c>
      <c r="AN191" s="3">
        <v>0</v>
      </c>
      <c r="AO191" s="3">
        <v>0</v>
      </c>
      <c r="AP191" s="3">
        <v>0</v>
      </c>
      <c r="AQ191" s="3">
        <v>0</v>
      </c>
      <c r="AR191" s="3">
        <v>0</v>
      </c>
      <c r="AS191" s="3">
        <v>0</v>
      </c>
      <c r="AT191" s="3">
        <v>0</v>
      </c>
      <c r="AU191" s="3">
        <v>0</v>
      </c>
      <c r="AV191" s="3">
        <v>0</v>
      </c>
      <c r="AW191" s="3">
        <v>0</v>
      </c>
      <c r="AX191" s="3">
        <v>0</v>
      </c>
      <c r="AY191" s="3">
        <v>0</v>
      </c>
      <c r="AZ191" s="3">
        <v>0</v>
      </c>
      <c r="BA191" s="10">
        <v>0</v>
      </c>
      <c r="BB191" s="10">
        <v>0</v>
      </c>
      <c r="BC191" s="10">
        <v>0</v>
      </c>
      <c r="BD191" s="10">
        <v>0</v>
      </c>
      <c r="BE191" s="10">
        <v>0</v>
      </c>
      <c r="BF191" s="10">
        <v>0</v>
      </c>
      <c r="BG191" s="10">
        <v>0</v>
      </c>
      <c r="BH191" s="10">
        <v>0</v>
      </c>
      <c r="BI191" s="10">
        <v>0</v>
      </c>
      <c r="BJ191" s="10">
        <v>0</v>
      </c>
      <c r="BK191" s="10">
        <v>0</v>
      </c>
      <c r="BL191" s="10">
        <v>0</v>
      </c>
      <c r="BM191" s="10">
        <v>0</v>
      </c>
      <c r="BN191" s="10">
        <v>0</v>
      </c>
      <c r="BO191" s="10">
        <v>0</v>
      </c>
      <c r="BP191" s="10">
        <v>0</v>
      </c>
      <c r="BQ191" s="10">
        <v>0</v>
      </c>
      <c r="BR191" s="10">
        <v>0</v>
      </c>
      <c r="BS191" s="10">
        <v>0</v>
      </c>
      <c r="BT191" s="10">
        <v>0</v>
      </c>
      <c r="BU191" s="10">
        <v>0</v>
      </c>
      <c r="BV191" s="10">
        <v>0</v>
      </c>
      <c r="BW191" s="10">
        <v>0</v>
      </c>
      <c r="BX191" s="10">
        <v>0</v>
      </c>
      <c r="BY191" s="10">
        <v>0</v>
      </c>
      <c r="BZ191" s="10">
        <v>0</v>
      </c>
      <c r="CA191" s="10">
        <v>0</v>
      </c>
      <c r="CB191" s="10">
        <v>0</v>
      </c>
      <c r="CC191" s="10">
        <v>0</v>
      </c>
      <c r="CD191" s="10">
        <v>0</v>
      </c>
      <c r="CE191" s="10">
        <v>0</v>
      </c>
      <c r="CF191" s="10">
        <v>0</v>
      </c>
      <c r="CG191" s="10">
        <v>0</v>
      </c>
      <c r="CH191" s="10">
        <v>0</v>
      </c>
      <c r="CI191" s="10">
        <v>0</v>
      </c>
      <c r="CJ191" s="10">
        <v>0</v>
      </c>
      <c r="CK191" s="10">
        <v>0</v>
      </c>
      <c r="CL191" s="10">
        <v>0</v>
      </c>
      <c r="CM191" s="10">
        <v>0</v>
      </c>
      <c r="CN191" s="10">
        <v>0</v>
      </c>
      <c r="CO191" s="10">
        <v>0</v>
      </c>
      <c r="CP191" s="10">
        <v>0</v>
      </c>
      <c r="CQ191" s="10">
        <v>0</v>
      </c>
      <c r="CR191" s="10">
        <v>0</v>
      </c>
      <c r="CS191" s="10">
        <v>2.7414905826947947E-2</v>
      </c>
      <c r="CT191" s="10">
        <v>0</v>
      </c>
      <c r="CU191" s="10">
        <v>0</v>
      </c>
      <c r="CV191" s="10">
        <v>0</v>
      </c>
      <c r="CW191" s="10">
        <v>0</v>
      </c>
      <c r="CX191" s="10">
        <v>0</v>
      </c>
      <c r="CY191" s="10">
        <v>0</v>
      </c>
      <c r="CZ191" s="10">
        <v>0</v>
      </c>
      <c r="DA191" s="10">
        <v>0</v>
      </c>
      <c r="DB191" s="10">
        <v>0</v>
      </c>
      <c r="DC191" s="10">
        <v>0</v>
      </c>
      <c r="DD191" s="10">
        <v>0</v>
      </c>
      <c r="DE191" s="10">
        <v>0</v>
      </c>
      <c r="DF191" s="10">
        <v>0</v>
      </c>
      <c r="DG191" s="10">
        <v>0</v>
      </c>
      <c r="DH191" s="10">
        <v>0</v>
      </c>
      <c r="DI191" s="10">
        <v>0</v>
      </c>
      <c r="DJ191" s="10">
        <v>0</v>
      </c>
      <c r="DK191" s="10">
        <v>0</v>
      </c>
      <c r="DL191" s="10">
        <v>0</v>
      </c>
      <c r="DM191" s="10">
        <v>0</v>
      </c>
      <c r="DN191" s="10">
        <v>0</v>
      </c>
      <c r="DO191" s="10">
        <v>0</v>
      </c>
      <c r="DP191" s="10">
        <v>0</v>
      </c>
      <c r="DQ191" s="10">
        <v>0</v>
      </c>
      <c r="DR191" s="10">
        <v>0</v>
      </c>
      <c r="DS191" s="10">
        <v>0</v>
      </c>
      <c r="DT191" s="10">
        <v>0</v>
      </c>
      <c r="DU191" s="10">
        <v>0</v>
      </c>
      <c r="DV191" s="10">
        <v>0</v>
      </c>
      <c r="DW191" s="10">
        <v>0</v>
      </c>
      <c r="DX191" s="10">
        <v>0</v>
      </c>
      <c r="DY191" s="10">
        <v>0</v>
      </c>
      <c r="DZ191" s="10">
        <v>0</v>
      </c>
      <c r="EA191" s="10">
        <v>0</v>
      </c>
      <c r="EB191" s="10">
        <v>0</v>
      </c>
      <c r="EC191" s="10">
        <v>0</v>
      </c>
      <c r="ED191" s="10">
        <v>0</v>
      </c>
      <c r="EE191" s="10">
        <v>0</v>
      </c>
      <c r="EF191" s="10">
        <v>0</v>
      </c>
      <c r="EG191" s="10">
        <v>0</v>
      </c>
      <c r="EH191" s="10">
        <v>0</v>
      </c>
      <c r="EI191" s="10">
        <v>0</v>
      </c>
      <c r="EJ191" s="10">
        <v>0</v>
      </c>
      <c r="EK191" s="10">
        <v>0</v>
      </c>
      <c r="EL191" s="10">
        <v>0</v>
      </c>
      <c r="EM191" s="10">
        <v>0</v>
      </c>
      <c r="EN191" s="10">
        <v>0</v>
      </c>
      <c r="EO191" s="10">
        <v>0</v>
      </c>
      <c r="EP191" s="10">
        <v>0</v>
      </c>
      <c r="EQ191" s="10">
        <v>0</v>
      </c>
      <c r="ER191" s="10">
        <v>0</v>
      </c>
      <c r="ES191" s="10">
        <v>0</v>
      </c>
      <c r="ET191" s="10">
        <v>0</v>
      </c>
      <c r="EU191" s="10">
        <v>0</v>
      </c>
      <c r="EV191" s="10">
        <v>0</v>
      </c>
      <c r="EW191" s="10">
        <v>0</v>
      </c>
      <c r="EX191" s="10">
        <v>0</v>
      </c>
      <c r="EY191" s="10">
        <v>0</v>
      </c>
      <c r="EZ191" s="10">
        <v>0</v>
      </c>
      <c r="FA191" s="10">
        <v>0</v>
      </c>
      <c r="FB191" s="10">
        <v>0</v>
      </c>
      <c r="FC191" s="10">
        <v>0</v>
      </c>
      <c r="FD191" s="10">
        <v>0</v>
      </c>
      <c r="FE191" s="10">
        <v>0</v>
      </c>
      <c r="FF191" s="10">
        <v>0</v>
      </c>
      <c r="FG191" s="10">
        <v>0</v>
      </c>
      <c r="FH191" s="10">
        <v>0</v>
      </c>
      <c r="FI191" s="10">
        <v>0</v>
      </c>
      <c r="FJ191" s="10">
        <v>0</v>
      </c>
      <c r="FK191" s="10">
        <v>0</v>
      </c>
      <c r="FL191" s="10">
        <v>0</v>
      </c>
      <c r="FM191" s="10">
        <v>0</v>
      </c>
      <c r="FN191" s="10">
        <v>0</v>
      </c>
      <c r="FO191" s="10">
        <v>0</v>
      </c>
      <c r="FP191" s="10">
        <v>0</v>
      </c>
      <c r="FQ191" s="10">
        <v>0</v>
      </c>
      <c r="FR191" s="10">
        <v>0</v>
      </c>
      <c r="FS191" s="10">
        <v>0</v>
      </c>
      <c r="FT191" s="10">
        <v>0</v>
      </c>
      <c r="FU191" s="10">
        <v>0</v>
      </c>
      <c r="FV191" s="10">
        <v>0</v>
      </c>
      <c r="FW191" s="10">
        <v>0</v>
      </c>
      <c r="FX191" s="10">
        <v>0</v>
      </c>
      <c r="FY191" s="10">
        <v>0</v>
      </c>
      <c r="FZ191" s="10">
        <v>0</v>
      </c>
      <c r="GA191" s="10">
        <v>0</v>
      </c>
      <c r="GB191" s="10">
        <v>0</v>
      </c>
      <c r="GC191" s="10">
        <v>0</v>
      </c>
      <c r="GD191" s="10">
        <v>0</v>
      </c>
      <c r="GE191" s="10">
        <v>0</v>
      </c>
      <c r="GF191" s="10">
        <v>0</v>
      </c>
      <c r="GG191" s="10">
        <v>0</v>
      </c>
      <c r="GH191" s="10">
        <v>0</v>
      </c>
      <c r="GI191" s="10">
        <v>0</v>
      </c>
      <c r="GJ191" s="10">
        <v>0</v>
      </c>
      <c r="GK191" s="10">
        <v>0</v>
      </c>
      <c r="GL191" s="10">
        <v>0</v>
      </c>
      <c r="GM191" s="10">
        <v>0</v>
      </c>
      <c r="GN191" s="10">
        <v>0</v>
      </c>
      <c r="GO191" s="10">
        <v>0</v>
      </c>
      <c r="GP191" s="10">
        <v>0</v>
      </c>
      <c r="GQ191" s="10">
        <v>0</v>
      </c>
      <c r="GR191" s="10">
        <v>0</v>
      </c>
      <c r="GS191" s="10">
        <v>0</v>
      </c>
      <c r="GT191" s="10">
        <v>0</v>
      </c>
      <c r="GU191" s="10">
        <v>0</v>
      </c>
      <c r="GV191" s="10">
        <v>0.73165402488126352</v>
      </c>
      <c r="GW191" s="10">
        <v>0</v>
      </c>
      <c r="GX191" s="10">
        <v>0</v>
      </c>
      <c r="GY191" s="10">
        <v>0</v>
      </c>
      <c r="GZ191" s="10">
        <v>0</v>
      </c>
      <c r="HA191" s="10">
        <v>0</v>
      </c>
      <c r="HB191" s="10">
        <v>0</v>
      </c>
      <c r="HC191" s="10">
        <v>0</v>
      </c>
      <c r="HD191" s="10">
        <v>0</v>
      </c>
      <c r="HE191" s="10">
        <v>0</v>
      </c>
      <c r="HF191" s="10">
        <v>0</v>
      </c>
      <c r="HG191" s="10">
        <v>0</v>
      </c>
      <c r="HH191" s="10">
        <v>0</v>
      </c>
      <c r="HI191" s="10">
        <v>0.24093106929178848</v>
      </c>
      <c r="HJ191" s="10">
        <v>0</v>
      </c>
      <c r="HK191" s="10">
        <v>0</v>
      </c>
      <c r="HL191" s="10">
        <v>0</v>
      </c>
      <c r="HM191" s="10">
        <v>0</v>
      </c>
      <c r="HN191" s="10">
        <v>0</v>
      </c>
      <c r="HO191" s="10">
        <v>0</v>
      </c>
      <c r="HP191" s="10">
        <v>0</v>
      </c>
      <c r="HQ191" s="10">
        <v>0</v>
      </c>
      <c r="HR191" s="10">
        <v>0</v>
      </c>
      <c r="HS191" s="10">
        <v>0</v>
      </c>
      <c r="HT191" s="10">
        <v>0</v>
      </c>
      <c r="HU191" s="10">
        <v>0</v>
      </c>
    </row>
    <row r="192" spans="1:229" x14ac:dyDescent="0.25">
      <c r="A192" s="10">
        <v>0</v>
      </c>
      <c r="B192" s="2" t="s">
        <v>372</v>
      </c>
      <c r="C192" s="2" t="s">
        <v>373</v>
      </c>
      <c r="D192" s="2">
        <v>1.8320000000000001</v>
      </c>
      <c r="E192" s="2">
        <v>8.25</v>
      </c>
      <c r="F192" s="2">
        <v>11.67</v>
      </c>
      <c r="G192" s="2">
        <v>1</v>
      </c>
      <c r="H192" s="2">
        <v>11</v>
      </c>
      <c r="I192" s="2">
        <v>34</v>
      </c>
      <c r="J192" s="2">
        <v>0.745</v>
      </c>
      <c r="K192" s="2">
        <v>0.13100000000000001</v>
      </c>
      <c r="L192" s="3"/>
      <c r="M192" s="2" t="str">
        <f t="shared" si="9"/>
        <v>01276</v>
      </c>
      <c r="N192" s="3">
        <v>0.85312485556442696</v>
      </c>
      <c r="O192" s="3">
        <v>1.1468751444355729</v>
      </c>
      <c r="P192" s="17">
        <v>0.8531248555644213</v>
      </c>
      <c r="Q192" s="3">
        <v>1.1468751444355685</v>
      </c>
      <c r="R192" s="3">
        <v>0.31733072525538486</v>
      </c>
      <c r="S192" s="3">
        <v>0</v>
      </c>
      <c r="T192" s="3">
        <v>0.30162097008462441</v>
      </c>
      <c r="U192" s="3">
        <v>0.85312485556442752</v>
      </c>
      <c r="V192" s="3">
        <v>1.1468751444353571</v>
      </c>
      <c r="W192" s="3">
        <v>1.2200033119487315</v>
      </c>
      <c r="X192" s="3">
        <v>1.5629247353940199</v>
      </c>
      <c r="Y192" s="3">
        <v>9.4617199415934401</v>
      </c>
      <c r="Z192" s="3">
        <v>3.7032495637303411</v>
      </c>
      <c r="AA192" s="3">
        <v>0</v>
      </c>
      <c r="AB192" s="3">
        <v>3.3178306709308685</v>
      </c>
      <c r="AC192" s="3">
        <v>29.006245089190536</v>
      </c>
      <c r="AD192" s="3">
        <v>0.8544219826043411</v>
      </c>
      <c r="AE192" s="3">
        <v>0.15982043386528383</v>
      </c>
      <c r="AF192" s="3">
        <v>0</v>
      </c>
      <c r="AG192" s="3">
        <v>0</v>
      </c>
      <c r="AH192" s="3">
        <v>0</v>
      </c>
      <c r="AI192" s="3">
        <v>0</v>
      </c>
      <c r="AJ192" s="3">
        <v>0</v>
      </c>
      <c r="AK192" s="3">
        <v>0</v>
      </c>
      <c r="AL192" s="3">
        <v>0</v>
      </c>
      <c r="AM192" s="3">
        <v>0</v>
      </c>
      <c r="AN192" s="3">
        <v>0</v>
      </c>
      <c r="AO192" s="3">
        <v>0</v>
      </c>
      <c r="AP192" s="3">
        <v>0</v>
      </c>
      <c r="AQ192" s="3">
        <v>0</v>
      </c>
      <c r="AR192" s="3">
        <v>0</v>
      </c>
      <c r="AS192" s="3">
        <v>0</v>
      </c>
      <c r="AT192" s="3">
        <v>0</v>
      </c>
      <c r="AU192" s="3">
        <v>0</v>
      </c>
      <c r="AV192" s="3">
        <v>0</v>
      </c>
      <c r="AW192" s="3">
        <v>0</v>
      </c>
      <c r="AX192" s="3">
        <v>0</v>
      </c>
      <c r="AY192" s="3">
        <v>0</v>
      </c>
      <c r="AZ192" s="3">
        <v>0</v>
      </c>
      <c r="BA192" s="10">
        <v>0</v>
      </c>
      <c r="BB192" s="10">
        <v>0</v>
      </c>
      <c r="BC192" s="10">
        <v>0</v>
      </c>
      <c r="BD192" s="10">
        <v>0</v>
      </c>
      <c r="BE192" s="10">
        <v>0</v>
      </c>
      <c r="BF192" s="10">
        <v>0</v>
      </c>
      <c r="BG192" s="10">
        <v>0</v>
      </c>
      <c r="BH192" s="10">
        <v>0</v>
      </c>
      <c r="BI192" s="10">
        <v>0</v>
      </c>
      <c r="BJ192" s="10">
        <v>0</v>
      </c>
      <c r="BK192" s="10">
        <v>0</v>
      </c>
      <c r="BL192" s="10">
        <v>0</v>
      </c>
      <c r="BM192" s="10">
        <v>0</v>
      </c>
      <c r="BN192" s="10">
        <v>0</v>
      </c>
      <c r="BO192" s="10">
        <v>0</v>
      </c>
      <c r="BP192" s="10">
        <v>0</v>
      </c>
      <c r="BQ192" s="10">
        <v>0</v>
      </c>
      <c r="BR192" s="10">
        <v>0</v>
      </c>
      <c r="BS192" s="10">
        <v>0</v>
      </c>
      <c r="BT192" s="10">
        <v>0</v>
      </c>
      <c r="BU192" s="10">
        <v>0</v>
      </c>
      <c r="BV192" s="10">
        <v>0</v>
      </c>
      <c r="BW192" s="10">
        <v>0</v>
      </c>
      <c r="BX192" s="10">
        <v>0</v>
      </c>
      <c r="BY192" s="10">
        <v>0</v>
      </c>
      <c r="BZ192" s="10">
        <v>0</v>
      </c>
      <c r="CA192" s="10">
        <v>0</v>
      </c>
      <c r="CB192" s="10">
        <v>0</v>
      </c>
      <c r="CC192" s="10">
        <v>0</v>
      </c>
      <c r="CD192" s="10">
        <v>0</v>
      </c>
      <c r="CE192" s="10">
        <v>0</v>
      </c>
      <c r="CF192" s="10">
        <v>0</v>
      </c>
      <c r="CG192" s="10">
        <v>0</v>
      </c>
      <c r="CH192" s="10">
        <v>0</v>
      </c>
      <c r="CI192" s="10">
        <v>0</v>
      </c>
      <c r="CJ192" s="10">
        <v>0</v>
      </c>
      <c r="CK192" s="10">
        <v>0</v>
      </c>
      <c r="CL192" s="10">
        <v>0</v>
      </c>
      <c r="CM192" s="10">
        <v>0</v>
      </c>
      <c r="CN192" s="10">
        <v>0</v>
      </c>
      <c r="CO192" s="10">
        <v>0</v>
      </c>
      <c r="CP192" s="10">
        <v>0</v>
      </c>
      <c r="CQ192" s="10">
        <v>0</v>
      </c>
      <c r="CR192" s="10">
        <v>0</v>
      </c>
      <c r="CS192" s="10">
        <v>0.20072286102433634</v>
      </c>
      <c r="CT192" s="10">
        <v>0</v>
      </c>
      <c r="CU192" s="10">
        <v>0</v>
      </c>
      <c r="CV192" s="10">
        <v>0</v>
      </c>
      <c r="CW192" s="10">
        <v>0</v>
      </c>
      <c r="CX192" s="10">
        <v>0</v>
      </c>
      <c r="CY192" s="10">
        <v>0</v>
      </c>
      <c r="CZ192" s="10">
        <v>0</v>
      </c>
      <c r="DA192" s="10">
        <v>0</v>
      </c>
      <c r="DB192" s="10">
        <v>0</v>
      </c>
      <c r="DC192" s="10">
        <v>0</v>
      </c>
      <c r="DD192" s="10">
        <v>0</v>
      </c>
      <c r="DE192" s="10">
        <v>0</v>
      </c>
      <c r="DF192" s="10">
        <v>0</v>
      </c>
      <c r="DG192" s="10">
        <v>0</v>
      </c>
      <c r="DH192" s="10">
        <v>0</v>
      </c>
      <c r="DI192" s="10">
        <v>0</v>
      </c>
      <c r="DJ192" s="10">
        <v>0</v>
      </c>
      <c r="DK192" s="10">
        <v>0</v>
      </c>
      <c r="DL192" s="10">
        <v>0</v>
      </c>
      <c r="DM192" s="10">
        <v>0</v>
      </c>
      <c r="DN192" s="10">
        <v>0</v>
      </c>
      <c r="DO192" s="10">
        <v>0</v>
      </c>
      <c r="DP192" s="10">
        <v>0</v>
      </c>
      <c r="DQ192" s="10">
        <v>0</v>
      </c>
      <c r="DR192" s="10">
        <v>0</v>
      </c>
      <c r="DS192" s="10">
        <v>2.0335272213317091E-2</v>
      </c>
      <c r="DT192" s="10">
        <v>0</v>
      </c>
      <c r="DU192" s="10">
        <v>0</v>
      </c>
      <c r="DV192" s="10">
        <v>0</v>
      </c>
      <c r="DW192" s="10">
        <v>0</v>
      </c>
      <c r="DX192" s="10">
        <v>0</v>
      </c>
      <c r="DY192" s="10">
        <v>0</v>
      </c>
      <c r="DZ192" s="10">
        <v>0</v>
      </c>
      <c r="EA192" s="10">
        <v>0</v>
      </c>
      <c r="EB192" s="10">
        <v>0</v>
      </c>
      <c r="EC192" s="10">
        <v>0</v>
      </c>
      <c r="ED192" s="10">
        <v>0</v>
      </c>
      <c r="EE192" s="10">
        <v>0</v>
      </c>
      <c r="EF192" s="10">
        <v>0</v>
      </c>
      <c r="EG192" s="10">
        <v>0</v>
      </c>
      <c r="EH192" s="10">
        <v>0</v>
      </c>
      <c r="EI192" s="10">
        <v>0</v>
      </c>
      <c r="EJ192" s="10">
        <v>0</v>
      </c>
      <c r="EK192" s="10">
        <v>0</v>
      </c>
      <c r="EL192" s="10">
        <v>0</v>
      </c>
      <c r="EM192" s="10">
        <v>0</v>
      </c>
      <c r="EN192" s="10">
        <v>0</v>
      </c>
      <c r="EO192" s="10">
        <v>0</v>
      </c>
      <c r="EP192" s="10">
        <v>0</v>
      </c>
      <c r="EQ192" s="10">
        <v>0</v>
      </c>
      <c r="ER192" s="10">
        <v>0</v>
      </c>
      <c r="ES192" s="10">
        <v>0</v>
      </c>
      <c r="ET192" s="10">
        <v>4.0928250904412058E-2</v>
      </c>
      <c r="EU192" s="10">
        <v>0</v>
      </c>
      <c r="EV192" s="10">
        <v>0</v>
      </c>
      <c r="EW192" s="10">
        <v>0</v>
      </c>
      <c r="EX192" s="10">
        <v>0</v>
      </c>
      <c r="EY192" s="10">
        <v>0</v>
      </c>
      <c r="EZ192" s="10">
        <v>0</v>
      </c>
      <c r="FA192" s="10">
        <v>0</v>
      </c>
      <c r="FB192" s="10">
        <v>0</v>
      </c>
      <c r="FC192" s="10">
        <v>0</v>
      </c>
      <c r="FD192" s="10">
        <v>0</v>
      </c>
      <c r="FE192" s="10">
        <v>0</v>
      </c>
      <c r="FF192" s="10">
        <v>0</v>
      </c>
      <c r="FG192" s="10">
        <v>0</v>
      </c>
      <c r="FH192" s="10">
        <v>0</v>
      </c>
      <c r="FI192" s="10">
        <v>0</v>
      </c>
      <c r="FJ192" s="10">
        <v>0</v>
      </c>
      <c r="FK192" s="10">
        <v>0</v>
      </c>
      <c r="FL192" s="10">
        <v>0</v>
      </c>
      <c r="FM192" s="10">
        <v>0</v>
      </c>
      <c r="FN192" s="10">
        <v>0</v>
      </c>
      <c r="FO192" s="10">
        <v>0</v>
      </c>
      <c r="FP192" s="10">
        <v>0</v>
      </c>
      <c r="FQ192" s="10">
        <v>0</v>
      </c>
      <c r="FR192" s="10">
        <v>0</v>
      </c>
      <c r="FS192" s="10">
        <v>0</v>
      </c>
      <c r="FT192" s="10">
        <v>0</v>
      </c>
      <c r="FU192" s="10">
        <v>0</v>
      </c>
      <c r="FV192" s="10">
        <v>0</v>
      </c>
      <c r="FW192" s="10">
        <v>0</v>
      </c>
      <c r="FX192" s="10">
        <v>0</v>
      </c>
      <c r="FY192" s="10">
        <v>0</v>
      </c>
      <c r="FZ192" s="10">
        <v>0</v>
      </c>
      <c r="GA192" s="10">
        <v>0</v>
      </c>
      <c r="GB192" s="10">
        <v>0</v>
      </c>
      <c r="GC192" s="10">
        <v>0</v>
      </c>
      <c r="GD192" s="10">
        <v>0</v>
      </c>
      <c r="GE192" s="10">
        <v>0</v>
      </c>
      <c r="GF192" s="10">
        <v>0</v>
      </c>
      <c r="GG192" s="10">
        <v>0</v>
      </c>
      <c r="GH192" s="10">
        <v>0</v>
      </c>
      <c r="GI192" s="10">
        <v>0</v>
      </c>
      <c r="GJ192" s="10">
        <v>0</v>
      </c>
      <c r="GK192" s="10">
        <v>0</v>
      </c>
      <c r="GL192" s="10">
        <v>0</v>
      </c>
      <c r="GM192" s="10">
        <v>0</v>
      </c>
      <c r="GN192" s="10">
        <v>0</v>
      </c>
      <c r="GO192" s="10">
        <v>0</v>
      </c>
      <c r="GP192" s="10">
        <v>0</v>
      </c>
      <c r="GQ192" s="10">
        <v>0</v>
      </c>
      <c r="GR192" s="10">
        <v>0</v>
      </c>
      <c r="GS192" s="10">
        <v>0</v>
      </c>
      <c r="GT192" s="10">
        <v>0</v>
      </c>
      <c r="GU192" s="10">
        <v>0</v>
      </c>
      <c r="GV192" s="10">
        <v>0.73801361585793479</v>
      </c>
      <c r="GW192" s="10">
        <v>0</v>
      </c>
      <c r="GX192" s="10">
        <v>0</v>
      </c>
      <c r="GY192" s="10">
        <v>0</v>
      </c>
      <c r="GZ192" s="10">
        <v>0</v>
      </c>
      <c r="HA192" s="10">
        <v>0</v>
      </c>
      <c r="HB192" s="10">
        <v>0</v>
      </c>
      <c r="HC192" s="10">
        <v>0</v>
      </c>
      <c r="HD192" s="10">
        <v>0</v>
      </c>
      <c r="HE192" s="10">
        <v>0</v>
      </c>
      <c r="HF192" s="10">
        <v>0</v>
      </c>
      <c r="HG192" s="10">
        <v>0</v>
      </c>
      <c r="HH192" s="10">
        <v>0</v>
      </c>
      <c r="HI192" s="10">
        <v>0</v>
      </c>
      <c r="HJ192" s="10">
        <v>0</v>
      </c>
      <c r="HK192" s="10">
        <v>0</v>
      </c>
      <c r="HL192" s="10">
        <v>0</v>
      </c>
      <c r="HM192" s="10">
        <v>0</v>
      </c>
      <c r="HN192" s="10">
        <v>0</v>
      </c>
      <c r="HO192" s="10">
        <v>0</v>
      </c>
      <c r="HP192" s="10">
        <v>0</v>
      </c>
      <c r="HQ192" s="10">
        <v>0</v>
      </c>
      <c r="HR192" s="10">
        <v>0</v>
      </c>
      <c r="HS192" s="10">
        <v>0</v>
      </c>
      <c r="HT192" s="10">
        <v>0</v>
      </c>
      <c r="HU192" s="10">
        <v>0</v>
      </c>
    </row>
    <row r="193" spans="1:229" x14ac:dyDescent="0.25">
      <c r="A193" s="10">
        <v>0</v>
      </c>
      <c r="B193" s="2" t="s">
        <v>374</v>
      </c>
      <c r="C193" s="2" t="s">
        <v>375</v>
      </c>
      <c r="D193" s="2">
        <v>0.11</v>
      </c>
      <c r="E193" s="2">
        <v>8.0299999999999994</v>
      </c>
      <c r="F193" s="2">
        <v>12.53</v>
      </c>
      <c r="G193" s="2">
        <v>0.4</v>
      </c>
      <c r="H193" s="2">
        <v>11.63</v>
      </c>
      <c r="I193" s="2">
        <v>33</v>
      </c>
      <c r="J193" s="2">
        <v>2.4E-2</v>
      </c>
      <c r="K193" s="2">
        <v>8.0000000000000002E-3</v>
      </c>
      <c r="L193" s="3"/>
      <c r="M193" s="2" t="str">
        <f t="shared" si="9"/>
        <v>01280</v>
      </c>
      <c r="N193" s="3">
        <v>0.99815557666088994</v>
      </c>
      <c r="O193" s="3">
        <v>1.0018444233391097</v>
      </c>
      <c r="P193" s="17">
        <v>0.99815557666003163</v>
      </c>
      <c r="Q193" s="3">
        <v>1.0018444233390873</v>
      </c>
      <c r="R193" s="3">
        <v>0.95988220967203108</v>
      </c>
      <c r="S193" s="3">
        <v>1.4920883443988959</v>
      </c>
      <c r="T193" s="3">
        <v>0.96564758812060825</v>
      </c>
      <c r="U193" s="3">
        <v>0.99815557666088972</v>
      </c>
      <c r="V193" s="10">
        <v>1.1808681611422807</v>
      </c>
      <c r="W193" s="3">
        <v>1.7823781961936414</v>
      </c>
      <c r="X193" s="3">
        <v>0.10979711343260348</v>
      </c>
      <c r="Y193" s="3">
        <v>8.0448107194128706</v>
      </c>
      <c r="Z193" s="3">
        <v>12.027324087190548</v>
      </c>
      <c r="AA193" s="3">
        <v>0.59683533775955844</v>
      </c>
      <c r="AB193" s="3">
        <v>11.230481449842674</v>
      </c>
      <c r="AC193" s="10">
        <v>32.93913402980936</v>
      </c>
      <c r="AD193" s="3">
        <v>2.8340835867414736E-2</v>
      </c>
      <c r="AE193" s="3">
        <v>1.4259025569549132E-2</v>
      </c>
      <c r="AF193" s="3">
        <v>0</v>
      </c>
      <c r="AG193" s="3">
        <v>0</v>
      </c>
      <c r="AH193" s="3">
        <v>0</v>
      </c>
      <c r="AI193" s="3">
        <v>0</v>
      </c>
      <c r="AJ193" s="3">
        <v>0</v>
      </c>
      <c r="AK193" s="3">
        <v>0</v>
      </c>
      <c r="AL193" s="3">
        <v>0</v>
      </c>
      <c r="AM193" s="3">
        <v>0</v>
      </c>
      <c r="AN193" s="3">
        <v>0</v>
      </c>
      <c r="AO193" s="3">
        <v>0</v>
      </c>
      <c r="AP193" s="3">
        <v>0</v>
      </c>
      <c r="AQ193" s="3">
        <v>0</v>
      </c>
      <c r="AR193" s="3">
        <v>0</v>
      </c>
      <c r="AS193" s="3">
        <v>0</v>
      </c>
      <c r="AT193" s="3">
        <v>0</v>
      </c>
      <c r="AU193" s="3">
        <v>0</v>
      </c>
      <c r="AV193" s="3">
        <v>0</v>
      </c>
      <c r="AW193" s="3">
        <v>0</v>
      </c>
      <c r="AX193" s="3">
        <v>0</v>
      </c>
      <c r="AY193" s="3">
        <v>0</v>
      </c>
      <c r="AZ193" s="3">
        <v>0</v>
      </c>
      <c r="BA193" s="10">
        <v>0</v>
      </c>
      <c r="BB193" s="10">
        <v>0</v>
      </c>
      <c r="BC193" s="10">
        <v>0</v>
      </c>
      <c r="BD193" s="10">
        <v>0</v>
      </c>
      <c r="BE193" s="10">
        <v>0</v>
      </c>
      <c r="BF193" s="10">
        <v>0</v>
      </c>
      <c r="BG193" s="10">
        <v>0</v>
      </c>
      <c r="BH193" s="10">
        <v>0</v>
      </c>
      <c r="BI193" s="10">
        <v>0</v>
      </c>
      <c r="BJ193" s="10">
        <v>0</v>
      </c>
      <c r="BK193" s="10">
        <v>0</v>
      </c>
      <c r="BL193" s="10">
        <v>0</v>
      </c>
      <c r="BM193" s="10">
        <v>0</v>
      </c>
      <c r="BN193" s="10">
        <v>0</v>
      </c>
      <c r="BO193" s="10">
        <v>0</v>
      </c>
      <c r="BP193" s="10">
        <v>0</v>
      </c>
      <c r="BQ193" s="10">
        <v>0</v>
      </c>
      <c r="BR193" s="10">
        <v>0</v>
      </c>
      <c r="BS193" s="10">
        <v>0</v>
      </c>
      <c r="BT193" s="10">
        <v>0</v>
      </c>
      <c r="BU193" s="10">
        <v>0</v>
      </c>
      <c r="BV193" s="10">
        <v>0</v>
      </c>
      <c r="BW193" s="10">
        <v>0</v>
      </c>
      <c r="BX193" s="10">
        <v>0</v>
      </c>
      <c r="BY193" s="10">
        <v>0</v>
      </c>
      <c r="BZ193" s="10">
        <v>0</v>
      </c>
      <c r="CA193" s="10">
        <v>0</v>
      </c>
      <c r="CB193" s="10">
        <v>0</v>
      </c>
      <c r="CC193" s="10">
        <v>0</v>
      </c>
      <c r="CD193" s="10">
        <v>0</v>
      </c>
      <c r="CE193" s="10">
        <v>0</v>
      </c>
      <c r="CF193" s="10">
        <v>0</v>
      </c>
      <c r="CG193" s="10">
        <v>0</v>
      </c>
      <c r="CH193" s="10">
        <v>0</v>
      </c>
      <c r="CI193" s="10">
        <v>0</v>
      </c>
      <c r="CJ193" s="10">
        <v>0</v>
      </c>
      <c r="CK193" s="10">
        <v>0</v>
      </c>
      <c r="CL193" s="10">
        <v>0</v>
      </c>
      <c r="CM193" s="10">
        <v>0</v>
      </c>
      <c r="CN193" s="10">
        <v>0</v>
      </c>
      <c r="CO193" s="10">
        <v>0</v>
      </c>
      <c r="CP193" s="10">
        <v>0</v>
      </c>
      <c r="CQ193" s="10">
        <v>0</v>
      </c>
      <c r="CR193" s="10">
        <v>0</v>
      </c>
      <c r="CS193" s="10">
        <v>2.3239176179649826E-3</v>
      </c>
      <c r="CT193" s="10">
        <v>0</v>
      </c>
      <c r="CU193" s="10">
        <v>0</v>
      </c>
      <c r="CV193" s="10">
        <v>0</v>
      </c>
      <c r="CW193" s="10">
        <v>0</v>
      </c>
      <c r="CX193" s="10">
        <v>0</v>
      </c>
      <c r="CY193" s="10">
        <v>0</v>
      </c>
      <c r="CZ193" s="10">
        <v>0</v>
      </c>
      <c r="DA193" s="10">
        <v>0</v>
      </c>
      <c r="DB193" s="10">
        <v>0</v>
      </c>
      <c r="DC193" s="10">
        <v>0</v>
      </c>
      <c r="DD193" s="10">
        <v>0</v>
      </c>
      <c r="DE193" s="10">
        <v>0</v>
      </c>
      <c r="DF193" s="10">
        <v>0</v>
      </c>
      <c r="DG193" s="10">
        <v>0</v>
      </c>
      <c r="DH193" s="10">
        <v>0</v>
      </c>
      <c r="DI193" s="10">
        <v>0</v>
      </c>
      <c r="DJ193" s="10">
        <v>0</v>
      </c>
      <c r="DK193" s="10">
        <v>0</v>
      </c>
      <c r="DL193" s="10">
        <v>0</v>
      </c>
      <c r="DM193" s="10">
        <v>0</v>
      </c>
      <c r="DN193" s="10">
        <v>0</v>
      </c>
      <c r="DO193" s="10">
        <v>0</v>
      </c>
      <c r="DP193" s="10">
        <v>0</v>
      </c>
      <c r="DQ193" s="10">
        <v>0</v>
      </c>
      <c r="DR193" s="10">
        <v>0</v>
      </c>
      <c r="DS193" s="10">
        <v>0</v>
      </c>
      <c r="DT193" s="10">
        <v>0</v>
      </c>
      <c r="DU193" s="10">
        <v>0</v>
      </c>
      <c r="DV193" s="10">
        <v>0</v>
      </c>
      <c r="DW193" s="10">
        <v>0</v>
      </c>
      <c r="DX193" s="10">
        <v>0</v>
      </c>
      <c r="DY193" s="10">
        <v>0</v>
      </c>
      <c r="DZ193" s="10">
        <v>0</v>
      </c>
      <c r="EA193" s="10">
        <v>0</v>
      </c>
      <c r="EB193" s="10">
        <v>0</v>
      </c>
      <c r="EC193" s="10">
        <v>0</v>
      </c>
      <c r="ED193" s="10">
        <v>0</v>
      </c>
      <c r="EE193" s="10">
        <v>0</v>
      </c>
      <c r="EF193" s="10">
        <v>0</v>
      </c>
      <c r="EG193" s="10">
        <v>0</v>
      </c>
      <c r="EH193" s="10">
        <v>0</v>
      </c>
      <c r="EI193" s="10">
        <v>0</v>
      </c>
      <c r="EJ193" s="10">
        <v>0</v>
      </c>
      <c r="EK193" s="10">
        <v>0</v>
      </c>
      <c r="EL193" s="10">
        <v>0</v>
      </c>
      <c r="EM193" s="10">
        <v>0</v>
      </c>
      <c r="EN193" s="10">
        <v>0</v>
      </c>
      <c r="EO193" s="10">
        <v>0</v>
      </c>
      <c r="EP193" s="10">
        <v>0</v>
      </c>
      <c r="EQ193" s="10">
        <v>0</v>
      </c>
      <c r="ER193" s="10">
        <v>0</v>
      </c>
      <c r="ES193" s="10">
        <v>0</v>
      </c>
      <c r="ET193" s="10">
        <v>0</v>
      </c>
      <c r="EU193" s="10">
        <v>0</v>
      </c>
      <c r="EV193" s="10">
        <v>0</v>
      </c>
      <c r="EW193" s="10">
        <v>0</v>
      </c>
      <c r="EX193" s="10">
        <v>0</v>
      </c>
      <c r="EY193" s="10">
        <v>0</v>
      </c>
      <c r="EZ193" s="10">
        <v>0</v>
      </c>
      <c r="FA193" s="10">
        <v>0</v>
      </c>
      <c r="FB193" s="10">
        <v>0</v>
      </c>
      <c r="FC193" s="10">
        <v>0</v>
      </c>
      <c r="FD193" s="10">
        <v>0</v>
      </c>
      <c r="FE193" s="10">
        <v>0</v>
      </c>
      <c r="FF193" s="10">
        <v>0</v>
      </c>
      <c r="FG193" s="10">
        <v>0</v>
      </c>
      <c r="FH193" s="10">
        <v>0</v>
      </c>
      <c r="FI193" s="10">
        <v>0</v>
      </c>
      <c r="FJ193" s="10">
        <v>0</v>
      </c>
      <c r="FK193" s="10">
        <v>0</v>
      </c>
      <c r="FL193" s="10">
        <v>0</v>
      </c>
      <c r="FM193" s="10">
        <v>0</v>
      </c>
      <c r="FN193" s="10">
        <v>0</v>
      </c>
      <c r="FO193" s="10">
        <v>0</v>
      </c>
      <c r="FP193" s="10">
        <v>0</v>
      </c>
      <c r="FQ193" s="10">
        <v>0</v>
      </c>
      <c r="FR193" s="10">
        <v>0</v>
      </c>
      <c r="FS193" s="10">
        <v>0</v>
      </c>
      <c r="FT193" s="10">
        <v>0</v>
      </c>
      <c r="FU193" s="10">
        <v>0</v>
      </c>
      <c r="FV193" s="10">
        <v>0</v>
      </c>
      <c r="FW193" s="10">
        <v>0</v>
      </c>
      <c r="FX193" s="10">
        <v>0</v>
      </c>
      <c r="FY193" s="10">
        <v>0</v>
      </c>
      <c r="FZ193" s="10">
        <v>0</v>
      </c>
      <c r="GA193" s="10">
        <v>0</v>
      </c>
      <c r="GB193" s="10">
        <v>0</v>
      </c>
      <c r="GC193" s="10">
        <v>0</v>
      </c>
      <c r="GD193" s="10">
        <v>0</v>
      </c>
      <c r="GE193" s="10">
        <v>0</v>
      </c>
      <c r="GF193" s="10">
        <v>0</v>
      </c>
      <c r="GG193" s="10">
        <v>0</v>
      </c>
      <c r="GH193" s="10">
        <v>0</v>
      </c>
      <c r="GI193" s="10">
        <v>0</v>
      </c>
      <c r="GJ193" s="10">
        <v>0</v>
      </c>
      <c r="GK193" s="10">
        <v>0</v>
      </c>
      <c r="GL193" s="10">
        <v>0</v>
      </c>
      <c r="GM193" s="10">
        <v>0</v>
      </c>
      <c r="GN193" s="10">
        <v>0</v>
      </c>
      <c r="GO193" s="10">
        <v>0</v>
      </c>
      <c r="GP193" s="10">
        <v>0</v>
      </c>
      <c r="GQ193" s="10">
        <v>0</v>
      </c>
      <c r="GR193" s="10">
        <v>0</v>
      </c>
      <c r="GS193" s="10">
        <v>0</v>
      </c>
      <c r="GT193" s="10">
        <v>0</v>
      </c>
      <c r="GU193" s="10">
        <v>0</v>
      </c>
      <c r="GV193" s="10">
        <v>2.9505194494375137E-3</v>
      </c>
      <c r="GW193" s="10">
        <v>0</v>
      </c>
      <c r="GX193" s="10">
        <v>0</v>
      </c>
      <c r="GY193" s="10">
        <v>0</v>
      </c>
      <c r="GZ193" s="10">
        <v>0</v>
      </c>
      <c r="HA193" s="10">
        <v>0</v>
      </c>
      <c r="HB193" s="10">
        <v>0</v>
      </c>
      <c r="HC193" s="10">
        <v>0</v>
      </c>
      <c r="HD193" s="10">
        <v>0</v>
      </c>
      <c r="HE193" s="10">
        <v>0</v>
      </c>
      <c r="HF193" s="10">
        <v>0</v>
      </c>
      <c r="HG193" s="10">
        <v>0</v>
      </c>
      <c r="HH193" s="10">
        <v>0</v>
      </c>
      <c r="HI193" s="10">
        <v>0.9947255629325974</v>
      </c>
      <c r="HJ193" s="10">
        <v>0</v>
      </c>
      <c r="HK193" s="10">
        <v>0</v>
      </c>
      <c r="HL193" s="10">
        <v>0</v>
      </c>
      <c r="HM193" s="10">
        <v>0</v>
      </c>
      <c r="HN193" s="10">
        <v>0</v>
      </c>
      <c r="HO193" s="10">
        <v>0</v>
      </c>
      <c r="HP193" s="10">
        <v>0</v>
      </c>
      <c r="HQ193" s="10">
        <v>0</v>
      </c>
      <c r="HR193" s="10">
        <v>0</v>
      </c>
      <c r="HS193" s="10">
        <v>0</v>
      </c>
      <c r="HT193" s="10">
        <v>0</v>
      </c>
      <c r="HU193" s="10">
        <v>0</v>
      </c>
    </row>
    <row r="194" spans="1:229" x14ac:dyDescent="0.25">
      <c r="A194" s="10">
        <v>0</v>
      </c>
      <c r="B194" s="2" t="s">
        <v>376</v>
      </c>
      <c r="C194" s="2" t="s">
        <v>377</v>
      </c>
      <c r="D194" s="2">
        <v>0.10299999999999999</v>
      </c>
      <c r="E194" s="2">
        <v>8.0299999999999994</v>
      </c>
      <c r="F194" s="2">
        <v>11.62</v>
      </c>
      <c r="G194" s="2">
        <v>0.7</v>
      </c>
      <c r="H194" s="2">
        <v>10.86</v>
      </c>
      <c r="I194" s="2">
        <v>33</v>
      </c>
      <c r="J194" s="2">
        <v>2.4E-2</v>
      </c>
      <c r="K194" s="2">
        <v>0.01</v>
      </c>
      <c r="L194" s="3"/>
      <c r="M194" s="2" t="str">
        <f t="shared" si="9"/>
        <v>01281</v>
      </c>
      <c r="N194" s="3">
        <v>1.0000000000000926</v>
      </c>
      <c r="O194" s="3">
        <v>0.99999999999990685</v>
      </c>
      <c r="P194" s="17">
        <v>1.0000000000000209</v>
      </c>
      <c r="Q194" s="3">
        <v>0.99999999999995903</v>
      </c>
      <c r="R194" s="3">
        <v>1.0000000000000167</v>
      </c>
      <c r="S194" s="3">
        <v>1.00000000000006</v>
      </c>
      <c r="T194" s="3">
        <v>0.99999999999995159</v>
      </c>
      <c r="U194" s="3">
        <v>1.0000000000000921</v>
      </c>
      <c r="V194" s="3">
        <v>1.0000000000041365</v>
      </c>
      <c r="W194" s="3">
        <v>1.000000000001646</v>
      </c>
      <c r="X194" s="3">
        <v>0.10300000000000215</v>
      </c>
      <c r="Y194" s="3">
        <v>8.0299999999996707</v>
      </c>
      <c r="Z194" s="3">
        <v>11.620000000000193</v>
      </c>
      <c r="AA194" s="3">
        <v>0.70000000000004192</v>
      </c>
      <c r="AB194" s="3">
        <v>10.859999999999474</v>
      </c>
      <c r="AC194" s="3">
        <v>33.000000000003041</v>
      </c>
      <c r="AD194" s="3">
        <v>2.4000000000099275E-2</v>
      </c>
      <c r="AE194" s="3">
        <v>1.0000000000016461E-2</v>
      </c>
      <c r="AF194" s="3">
        <v>0</v>
      </c>
      <c r="AG194" s="3">
        <v>0</v>
      </c>
      <c r="AH194" s="3">
        <v>0</v>
      </c>
      <c r="AI194" s="3">
        <v>0</v>
      </c>
      <c r="AJ194" s="3">
        <v>0</v>
      </c>
      <c r="AK194" s="3">
        <v>0</v>
      </c>
      <c r="AL194" s="3">
        <v>0</v>
      </c>
      <c r="AM194" s="3">
        <v>0</v>
      </c>
      <c r="AN194" s="3">
        <v>0</v>
      </c>
      <c r="AO194" s="3">
        <v>0</v>
      </c>
      <c r="AP194" s="3">
        <v>0</v>
      </c>
      <c r="AQ194" s="3">
        <v>0</v>
      </c>
      <c r="AR194" s="3">
        <v>0</v>
      </c>
      <c r="AS194" s="3">
        <v>0</v>
      </c>
      <c r="AT194" s="3">
        <v>0</v>
      </c>
      <c r="AU194" s="3">
        <v>0</v>
      </c>
      <c r="AV194" s="3">
        <v>0</v>
      </c>
      <c r="AW194" s="3">
        <v>0</v>
      </c>
      <c r="AX194" s="3">
        <v>0</v>
      </c>
      <c r="AY194" s="3">
        <v>0</v>
      </c>
      <c r="AZ194" s="3">
        <v>0</v>
      </c>
      <c r="BA194" s="10">
        <v>0</v>
      </c>
      <c r="BB194" s="10">
        <v>0</v>
      </c>
      <c r="BC194" s="10">
        <v>0</v>
      </c>
      <c r="BD194" s="10">
        <v>0</v>
      </c>
      <c r="BE194" s="10">
        <v>0</v>
      </c>
      <c r="BF194" s="10">
        <v>0</v>
      </c>
      <c r="BG194" s="10">
        <v>0</v>
      </c>
      <c r="BH194" s="10">
        <v>0</v>
      </c>
      <c r="BI194" s="10">
        <v>0</v>
      </c>
      <c r="BJ194" s="10">
        <v>0</v>
      </c>
      <c r="BK194" s="10">
        <v>0</v>
      </c>
      <c r="BL194" s="10">
        <v>0</v>
      </c>
      <c r="BM194" s="10">
        <v>0</v>
      </c>
      <c r="BN194" s="10">
        <v>0</v>
      </c>
      <c r="BO194" s="10">
        <v>0</v>
      </c>
      <c r="BP194" s="10">
        <v>0</v>
      </c>
      <c r="BQ194" s="10">
        <v>0</v>
      </c>
      <c r="BR194" s="10">
        <v>0</v>
      </c>
      <c r="BS194" s="10">
        <v>0</v>
      </c>
      <c r="BT194" s="10">
        <v>0</v>
      </c>
      <c r="BU194" s="10">
        <v>0</v>
      </c>
      <c r="BV194" s="10">
        <v>0</v>
      </c>
      <c r="BW194" s="10">
        <v>0</v>
      </c>
      <c r="BX194" s="10">
        <v>0</v>
      </c>
      <c r="BY194" s="10">
        <v>0</v>
      </c>
      <c r="BZ194" s="10">
        <v>0</v>
      </c>
      <c r="CA194" s="10">
        <v>0</v>
      </c>
      <c r="CB194" s="10">
        <v>0</v>
      </c>
      <c r="CC194" s="10">
        <v>0</v>
      </c>
      <c r="CD194" s="10">
        <v>0</v>
      </c>
      <c r="CE194" s="10">
        <v>0</v>
      </c>
      <c r="CF194" s="10">
        <v>0</v>
      </c>
      <c r="CG194" s="10">
        <v>0</v>
      </c>
      <c r="CH194" s="10">
        <v>0</v>
      </c>
      <c r="CI194" s="10">
        <v>0</v>
      </c>
      <c r="CJ194" s="10">
        <v>0</v>
      </c>
      <c r="CK194" s="10">
        <v>0</v>
      </c>
      <c r="CL194" s="10">
        <v>0</v>
      </c>
      <c r="CM194" s="10">
        <v>0</v>
      </c>
      <c r="CN194" s="10">
        <v>0</v>
      </c>
      <c r="CO194" s="10">
        <v>0</v>
      </c>
      <c r="CP194" s="10">
        <v>0</v>
      </c>
      <c r="CQ194" s="10">
        <v>0</v>
      </c>
      <c r="CR194" s="10">
        <v>0</v>
      </c>
      <c r="CS194" s="10">
        <v>0</v>
      </c>
      <c r="CT194" s="10">
        <v>0</v>
      </c>
      <c r="CU194" s="10">
        <v>0</v>
      </c>
      <c r="CV194" s="10">
        <v>0</v>
      </c>
      <c r="CW194" s="10">
        <v>0</v>
      </c>
      <c r="CX194" s="10">
        <v>0</v>
      </c>
      <c r="CY194" s="10">
        <v>0</v>
      </c>
      <c r="CZ194" s="10">
        <v>0</v>
      </c>
      <c r="DA194" s="10">
        <v>0</v>
      </c>
      <c r="DB194" s="10">
        <v>0</v>
      </c>
      <c r="DC194" s="10">
        <v>0</v>
      </c>
      <c r="DD194" s="10">
        <v>0</v>
      </c>
      <c r="DE194" s="10">
        <v>0</v>
      </c>
      <c r="DF194" s="10">
        <v>0</v>
      </c>
      <c r="DG194" s="10">
        <v>0</v>
      </c>
      <c r="DH194" s="10">
        <v>0</v>
      </c>
      <c r="DI194" s="10">
        <v>0</v>
      </c>
      <c r="DJ194" s="10">
        <v>0</v>
      </c>
      <c r="DK194" s="10">
        <v>0</v>
      </c>
      <c r="DL194" s="10">
        <v>0</v>
      </c>
      <c r="DM194" s="10">
        <v>0</v>
      </c>
      <c r="DN194" s="10">
        <v>0</v>
      </c>
      <c r="DO194" s="10">
        <v>0</v>
      </c>
      <c r="DP194" s="10">
        <v>0</v>
      </c>
      <c r="DQ194" s="10">
        <v>0</v>
      </c>
      <c r="DR194" s="10">
        <v>0</v>
      </c>
      <c r="DS194" s="10">
        <v>0</v>
      </c>
      <c r="DT194" s="10">
        <v>0</v>
      </c>
      <c r="DU194" s="10">
        <v>0</v>
      </c>
      <c r="DV194" s="10">
        <v>0</v>
      </c>
      <c r="DW194" s="10">
        <v>0</v>
      </c>
      <c r="DX194" s="10">
        <v>0</v>
      </c>
      <c r="DY194" s="10">
        <v>0</v>
      </c>
      <c r="DZ194" s="10">
        <v>0</v>
      </c>
      <c r="EA194" s="10">
        <v>0</v>
      </c>
      <c r="EB194" s="10">
        <v>0</v>
      </c>
      <c r="EC194" s="10">
        <v>0</v>
      </c>
      <c r="ED194" s="10">
        <v>0</v>
      </c>
      <c r="EE194" s="10">
        <v>0</v>
      </c>
      <c r="EF194" s="10">
        <v>0</v>
      </c>
      <c r="EG194" s="10">
        <v>0</v>
      </c>
      <c r="EH194" s="10">
        <v>0</v>
      </c>
      <c r="EI194" s="10">
        <v>0</v>
      </c>
      <c r="EJ194" s="10">
        <v>0</v>
      </c>
      <c r="EK194" s="10">
        <v>0</v>
      </c>
      <c r="EL194" s="10">
        <v>0</v>
      </c>
      <c r="EM194" s="10">
        <v>0</v>
      </c>
      <c r="EN194" s="10">
        <v>0</v>
      </c>
      <c r="EO194" s="10">
        <v>0</v>
      </c>
      <c r="EP194" s="10">
        <v>0</v>
      </c>
      <c r="EQ194" s="10">
        <v>0</v>
      </c>
      <c r="ER194" s="10">
        <v>0</v>
      </c>
      <c r="ES194" s="10">
        <v>0</v>
      </c>
      <c r="ET194" s="10">
        <v>0</v>
      </c>
      <c r="EU194" s="10">
        <v>0</v>
      </c>
      <c r="EV194" s="10">
        <v>0</v>
      </c>
      <c r="EW194" s="10">
        <v>0</v>
      </c>
      <c r="EX194" s="10">
        <v>0</v>
      </c>
      <c r="EY194" s="10">
        <v>0</v>
      </c>
      <c r="EZ194" s="10">
        <v>0</v>
      </c>
      <c r="FA194" s="10">
        <v>0</v>
      </c>
      <c r="FB194" s="10">
        <v>0</v>
      </c>
      <c r="FC194" s="10">
        <v>0</v>
      </c>
      <c r="FD194" s="10">
        <v>0</v>
      </c>
      <c r="FE194" s="10">
        <v>0</v>
      </c>
      <c r="FF194" s="10">
        <v>0</v>
      </c>
      <c r="FG194" s="10">
        <v>0</v>
      </c>
      <c r="FH194" s="10">
        <v>0</v>
      </c>
      <c r="FI194" s="10">
        <v>0</v>
      </c>
      <c r="FJ194" s="10">
        <v>0</v>
      </c>
      <c r="FK194" s="10">
        <v>0</v>
      </c>
      <c r="FL194" s="10">
        <v>0</v>
      </c>
      <c r="FM194" s="10">
        <v>0</v>
      </c>
      <c r="FN194" s="10">
        <v>0</v>
      </c>
      <c r="FO194" s="10">
        <v>0</v>
      </c>
      <c r="FP194" s="10">
        <v>0</v>
      </c>
      <c r="FQ194" s="10">
        <v>0</v>
      </c>
      <c r="FR194" s="10">
        <v>0</v>
      </c>
      <c r="FS194" s="10">
        <v>0</v>
      </c>
      <c r="FT194" s="10">
        <v>0</v>
      </c>
      <c r="FU194" s="10">
        <v>0</v>
      </c>
      <c r="FV194" s="10">
        <v>0</v>
      </c>
      <c r="FW194" s="10">
        <v>0</v>
      </c>
      <c r="FX194" s="10">
        <v>0</v>
      </c>
      <c r="FY194" s="10">
        <v>0</v>
      </c>
      <c r="FZ194" s="10">
        <v>0</v>
      </c>
      <c r="GA194" s="10">
        <v>0</v>
      </c>
      <c r="GB194" s="10">
        <v>0</v>
      </c>
      <c r="GC194" s="10">
        <v>0</v>
      </c>
      <c r="GD194" s="10">
        <v>0</v>
      </c>
      <c r="GE194" s="10">
        <v>0</v>
      </c>
      <c r="GF194" s="10">
        <v>0</v>
      </c>
      <c r="GG194" s="10">
        <v>0</v>
      </c>
      <c r="GH194" s="10">
        <v>0</v>
      </c>
      <c r="GI194" s="10">
        <v>0</v>
      </c>
      <c r="GJ194" s="10">
        <v>0</v>
      </c>
      <c r="GK194" s="10">
        <v>0</v>
      </c>
      <c r="GL194" s="10">
        <v>0</v>
      </c>
      <c r="GM194" s="10">
        <v>0</v>
      </c>
      <c r="GN194" s="10">
        <v>0</v>
      </c>
      <c r="GO194" s="10">
        <v>0</v>
      </c>
      <c r="GP194" s="10">
        <v>0</v>
      </c>
      <c r="GQ194" s="10">
        <v>4.3628478003001908E-14</v>
      </c>
      <c r="GR194" s="10">
        <v>0</v>
      </c>
      <c r="GS194" s="10">
        <v>0</v>
      </c>
      <c r="GT194" s="10">
        <v>0</v>
      </c>
      <c r="GU194" s="10">
        <v>0</v>
      </c>
      <c r="GV194" s="10">
        <v>0</v>
      </c>
      <c r="GW194" s="10">
        <v>0</v>
      </c>
      <c r="GX194" s="10">
        <v>0</v>
      </c>
      <c r="GY194" s="10">
        <v>0</v>
      </c>
      <c r="GZ194" s="10">
        <v>0</v>
      </c>
      <c r="HA194" s="10">
        <v>0</v>
      </c>
      <c r="HB194" s="10">
        <v>0</v>
      </c>
      <c r="HC194" s="10">
        <v>0</v>
      </c>
      <c r="HD194" s="10">
        <v>0</v>
      </c>
      <c r="HE194" s="10">
        <v>0</v>
      </c>
      <c r="HF194" s="10">
        <v>0</v>
      </c>
      <c r="HG194" s="10">
        <v>0.99999999999992273</v>
      </c>
      <c r="HH194" s="10">
        <v>0</v>
      </c>
      <c r="HI194" s="10">
        <v>0</v>
      </c>
      <c r="HJ194" s="10">
        <v>0</v>
      </c>
      <c r="HK194" s="10">
        <v>0</v>
      </c>
      <c r="HL194" s="10">
        <v>0</v>
      </c>
      <c r="HM194" s="10">
        <v>0</v>
      </c>
      <c r="HN194" s="10">
        <v>0</v>
      </c>
      <c r="HO194" s="10">
        <v>0</v>
      </c>
      <c r="HP194" s="10">
        <v>3.3549593033330191E-14</v>
      </c>
      <c r="HQ194" s="10">
        <v>0</v>
      </c>
      <c r="HR194" s="10">
        <v>0</v>
      </c>
      <c r="HS194" s="10">
        <v>0</v>
      </c>
      <c r="HT194" s="10">
        <v>0</v>
      </c>
      <c r="HU194" s="10">
        <v>0</v>
      </c>
    </row>
    <row r="195" spans="1:229" x14ac:dyDescent="0.25">
      <c r="A195" s="10">
        <v>0</v>
      </c>
      <c r="B195" s="2" t="s">
        <v>378</v>
      </c>
      <c r="C195" s="2" t="s">
        <v>379</v>
      </c>
      <c r="D195" s="2">
        <v>1.599</v>
      </c>
      <c r="E195" s="2">
        <v>8.17</v>
      </c>
      <c r="F195" s="2">
        <v>11.89</v>
      </c>
      <c r="G195" s="2">
        <v>1</v>
      </c>
      <c r="H195" s="2">
        <v>11.23</v>
      </c>
      <c r="I195" s="2">
        <v>33</v>
      </c>
      <c r="J195" s="2">
        <v>0.65</v>
      </c>
      <c r="K195" s="2">
        <v>0.113</v>
      </c>
      <c r="L195" s="3"/>
      <c r="M195" s="2" t="str">
        <f t="shared" si="9"/>
        <v>01284</v>
      </c>
      <c r="N195" s="3">
        <v>0.86829823680710816</v>
      </c>
      <c r="O195" s="3">
        <v>1.1317017631928916</v>
      </c>
      <c r="P195" s="17">
        <v>0.8682982368069927</v>
      </c>
      <c r="Q195" s="3">
        <v>1.1317017631928867</v>
      </c>
      <c r="R195" s="3">
        <v>0.31332367344977091</v>
      </c>
      <c r="S195" s="3">
        <v>0</v>
      </c>
      <c r="T195" s="3">
        <v>0.299797268740708</v>
      </c>
      <c r="U195" s="3">
        <v>0.86829823680710838</v>
      </c>
      <c r="V195" s="3">
        <v>1.1317017631926454</v>
      </c>
      <c r="W195" s="3">
        <v>1.1584268840854004</v>
      </c>
      <c r="X195" s="3">
        <v>1.3884088806543813</v>
      </c>
      <c r="Y195" s="3">
        <v>9.2460034052858848</v>
      </c>
      <c r="Z195" s="3">
        <v>3.7254184773177763</v>
      </c>
      <c r="AA195" s="3">
        <v>0</v>
      </c>
      <c r="AB195" s="3">
        <v>3.3667233279581508</v>
      </c>
      <c r="AC195" s="3">
        <v>28.653841814634575</v>
      </c>
      <c r="AD195" s="3">
        <v>0.73560614607521957</v>
      </c>
      <c r="AE195" s="3">
        <v>0.13090223790165026</v>
      </c>
      <c r="AF195" s="3">
        <v>0</v>
      </c>
      <c r="AG195" s="3">
        <v>0</v>
      </c>
      <c r="AH195" s="3">
        <v>0</v>
      </c>
      <c r="AI195" s="3">
        <v>0</v>
      </c>
      <c r="AJ195" s="3">
        <v>0</v>
      </c>
      <c r="AK195" s="3">
        <v>0</v>
      </c>
      <c r="AL195" s="3">
        <v>0</v>
      </c>
      <c r="AM195" s="3">
        <v>0</v>
      </c>
      <c r="AN195" s="3">
        <v>0</v>
      </c>
      <c r="AO195" s="3">
        <v>0</v>
      </c>
      <c r="AP195" s="3">
        <v>0</v>
      </c>
      <c r="AQ195" s="3">
        <v>0</v>
      </c>
      <c r="AR195" s="3">
        <v>0</v>
      </c>
      <c r="AS195" s="3">
        <v>0</v>
      </c>
      <c r="AT195" s="3">
        <v>0</v>
      </c>
      <c r="AU195" s="3">
        <v>0</v>
      </c>
      <c r="AV195" s="3">
        <v>0</v>
      </c>
      <c r="AW195" s="3">
        <v>0</v>
      </c>
      <c r="AX195" s="3">
        <v>0</v>
      </c>
      <c r="AY195" s="3">
        <v>0</v>
      </c>
      <c r="AZ195" s="3">
        <v>0</v>
      </c>
      <c r="BA195" s="10">
        <v>0</v>
      </c>
      <c r="BB195" s="10">
        <v>0</v>
      </c>
      <c r="BC195" s="10">
        <v>0</v>
      </c>
      <c r="BD195" s="10">
        <v>0</v>
      </c>
      <c r="BE195" s="10">
        <v>0</v>
      </c>
      <c r="BF195" s="10">
        <v>0</v>
      </c>
      <c r="BG195" s="10">
        <v>0</v>
      </c>
      <c r="BH195" s="10">
        <v>0</v>
      </c>
      <c r="BI195" s="10">
        <v>0</v>
      </c>
      <c r="BJ195" s="10">
        <v>0</v>
      </c>
      <c r="BK195" s="10">
        <v>0</v>
      </c>
      <c r="BL195" s="10">
        <v>0</v>
      </c>
      <c r="BM195" s="10">
        <v>0</v>
      </c>
      <c r="BN195" s="10">
        <v>0</v>
      </c>
      <c r="BO195" s="10">
        <v>0</v>
      </c>
      <c r="BP195" s="10">
        <v>0</v>
      </c>
      <c r="BQ195" s="10">
        <v>0</v>
      </c>
      <c r="BR195" s="10">
        <v>0</v>
      </c>
      <c r="BS195" s="10">
        <v>0</v>
      </c>
      <c r="BT195" s="10">
        <v>0</v>
      </c>
      <c r="BU195" s="10">
        <v>0</v>
      </c>
      <c r="BV195" s="10">
        <v>0</v>
      </c>
      <c r="BW195" s="10">
        <v>0</v>
      </c>
      <c r="BX195" s="10">
        <v>0</v>
      </c>
      <c r="BY195" s="10">
        <v>0</v>
      </c>
      <c r="BZ195" s="10">
        <v>0</v>
      </c>
      <c r="CA195" s="10">
        <v>0</v>
      </c>
      <c r="CB195" s="10">
        <v>0</v>
      </c>
      <c r="CC195" s="10">
        <v>0</v>
      </c>
      <c r="CD195" s="10">
        <v>0</v>
      </c>
      <c r="CE195" s="10">
        <v>0</v>
      </c>
      <c r="CF195" s="10">
        <v>0</v>
      </c>
      <c r="CG195" s="10">
        <v>0</v>
      </c>
      <c r="CH195" s="10">
        <v>0</v>
      </c>
      <c r="CI195" s="10">
        <v>0</v>
      </c>
      <c r="CJ195" s="10">
        <v>0</v>
      </c>
      <c r="CK195" s="10">
        <v>0</v>
      </c>
      <c r="CL195" s="10">
        <v>0</v>
      </c>
      <c r="CM195" s="10">
        <v>0</v>
      </c>
      <c r="CN195" s="10">
        <v>0</v>
      </c>
      <c r="CO195" s="10">
        <v>0</v>
      </c>
      <c r="CP195" s="10">
        <v>0</v>
      </c>
      <c r="CQ195" s="10">
        <v>0</v>
      </c>
      <c r="CR195" s="10">
        <v>0</v>
      </c>
      <c r="CS195" s="10">
        <v>0.21256903880855335</v>
      </c>
      <c r="CT195" s="10">
        <v>0</v>
      </c>
      <c r="CU195" s="10">
        <v>0</v>
      </c>
      <c r="CV195" s="10">
        <v>0</v>
      </c>
      <c r="CW195" s="10">
        <v>0</v>
      </c>
      <c r="CX195" s="10">
        <v>0</v>
      </c>
      <c r="CY195" s="10">
        <v>0</v>
      </c>
      <c r="CZ195" s="10">
        <v>0</v>
      </c>
      <c r="DA195" s="10">
        <v>0</v>
      </c>
      <c r="DB195" s="10">
        <v>0</v>
      </c>
      <c r="DC195" s="10">
        <v>0</v>
      </c>
      <c r="DD195" s="10">
        <v>0</v>
      </c>
      <c r="DE195" s="10">
        <v>0</v>
      </c>
      <c r="DF195" s="10">
        <v>0</v>
      </c>
      <c r="DG195" s="10">
        <v>0</v>
      </c>
      <c r="DH195" s="10">
        <v>0</v>
      </c>
      <c r="DI195" s="10">
        <v>0</v>
      </c>
      <c r="DJ195" s="10">
        <v>0</v>
      </c>
      <c r="DK195" s="10">
        <v>0</v>
      </c>
      <c r="DL195" s="10">
        <v>0</v>
      </c>
      <c r="DM195" s="10">
        <v>0</v>
      </c>
      <c r="DN195" s="10">
        <v>0</v>
      </c>
      <c r="DO195" s="10">
        <v>0</v>
      </c>
      <c r="DP195" s="10">
        <v>0</v>
      </c>
      <c r="DQ195" s="10">
        <v>0</v>
      </c>
      <c r="DR195" s="10">
        <v>0</v>
      </c>
      <c r="DS195" s="10">
        <v>1.4724982963736741E-2</v>
      </c>
      <c r="DT195" s="10">
        <v>0</v>
      </c>
      <c r="DU195" s="10">
        <v>0</v>
      </c>
      <c r="DV195" s="10">
        <v>0</v>
      </c>
      <c r="DW195" s="10">
        <v>0</v>
      </c>
      <c r="DX195" s="10">
        <v>0</v>
      </c>
      <c r="DY195" s="10">
        <v>0</v>
      </c>
      <c r="DZ195" s="10">
        <v>0</v>
      </c>
      <c r="EA195" s="10">
        <v>0</v>
      </c>
      <c r="EB195" s="10">
        <v>0</v>
      </c>
      <c r="EC195" s="10">
        <v>0</v>
      </c>
      <c r="ED195" s="10">
        <v>0</v>
      </c>
      <c r="EE195" s="10">
        <v>0</v>
      </c>
      <c r="EF195" s="10">
        <v>0</v>
      </c>
      <c r="EG195" s="10">
        <v>0</v>
      </c>
      <c r="EH195" s="10">
        <v>0</v>
      </c>
      <c r="EI195" s="10">
        <v>0</v>
      </c>
      <c r="EJ195" s="10">
        <v>0</v>
      </c>
      <c r="EK195" s="10">
        <v>0</v>
      </c>
      <c r="EL195" s="10">
        <v>0</v>
      </c>
      <c r="EM195" s="10">
        <v>0</v>
      </c>
      <c r="EN195" s="10">
        <v>0</v>
      </c>
      <c r="EO195" s="10">
        <v>0</v>
      </c>
      <c r="EP195" s="10">
        <v>0</v>
      </c>
      <c r="EQ195" s="10">
        <v>0</v>
      </c>
      <c r="ER195" s="10">
        <v>0</v>
      </c>
      <c r="ES195" s="10">
        <v>0</v>
      </c>
      <c r="ET195" s="10">
        <v>3.3871980016535068E-2</v>
      </c>
      <c r="EU195" s="10">
        <v>0</v>
      </c>
      <c r="EV195" s="10">
        <v>0</v>
      </c>
      <c r="EW195" s="10">
        <v>0</v>
      </c>
      <c r="EX195" s="10">
        <v>0</v>
      </c>
      <c r="EY195" s="10">
        <v>0</v>
      </c>
      <c r="EZ195" s="10">
        <v>0</v>
      </c>
      <c r="FA195" s="10">
        <v>0</v>
      </c>
      <c r="FB195" s="10">
        <v>0</v>
      </c>
      <c r="FC195" s="10">
        <v>0</v>
      </c>
      <c r="FD195" s="10">
        <v>0</v>
      </c>
      <c r="FE195" s="10">
        <v>0</v>
      </c>
      <c r="FF195" s="10">
        <v>0</v>
      </c>
      <c r="FG195" s="10">
        <v>0</v>
      </c>
      <c r="FH195" s="10">
        <v>0</v>
      </c>
      <c r="FI195" s="10">
        <v>0</v>
      </c>
      <c r="FJ195" s="10">
        <v>0</v>
      </c>
      <c r="FK195" s="10">
        <v>0</v>
      </c>
      <c r="FL195" s="10">
        <v>0</v>
      </c>
      <c r="FM195" s="10">
        <v>0</v>
      </c>
      <c r="FN195" s="10">
        <v>0</v>
      </c>
      <c r="FO195" s="10">
        <v>0</v>
      </c>
      <c r="FP195" s="10">
        <v>0</v>
      </c>
      <c r="FQ195" s="10">
        <v>0</v>
      </c>
      <c r="FR195" s="10">
        <v>0</v>
      </c>
      <c r="FS195" s="10">
        <v>0</v>
      </c>
      <c r="FT195" s="10">
        <v>0</v>
      </c>
      <c r="FU195" s="10">
        <v>0</v>
      </c>
      <c r="FV195" s="10">
        <v>0</v>
      </c>
      <c r="FW195" s="10">
        <v>0</v>
      </c>
      <c r="FX195" s="10">
        <v>0</v>
      </c>
      <c r="FY195" s="10">
        <v>0</v>
      </c>
      <c r="FZ195" s="10">
        <v>0</v>
      </c>
      <c r="GA195" s="10">
        <v>0</v>
      </c>
      <c r="GB195" s="10">
        <v>0</v>
      </c>
      <c r="GC195" s="10">
        <v>0</v>
      </c>
      <c r="GD195" s="10">
        <v>0</v>
      </c>
      <c r="GE195" s="10">
        <v>0</v>
      </c>
      <c r="GF195" s="10">
        <v>0</v>
      </c>
      <c r="GG195" s="10">
        <v>0</v>
      </c>
      <c r="GH195" s="10">
        <v>0</v>
      </c>
      <c r="GI195" s="10">
        <v>0</v>
      </c>
      <c r="GJ195" s="10">
        <v>0</v>
      </c>
      <c r="GK195" s="10">
        <v>0</v>
      </c>
      <c r="GL195" s="10">
        <v>0</v>
      </c>
      <c r="GM195" s="10">
        <v>0</v>
      </c>
      <c r="GN195" s="10">
        <v>0</v>
      </c>
      <c r="GO195" s="10">
        <v>0</v>
      </c>
      <c r="GP195" s="10">
        <v>0</v>
      </c>
      <c r="GQ195" s="10">
        <v>0</v>
      </c>
      <c r="GR195" s="10">
        <v>0</v>
      </c>
      <c r="GS195" s="10">
        <v>0</v>
      </c>
      <c r="GT195" s="10">
        <v>0</v>
      </c>
      <c r="GU195" s="10">
        <v>0</v>
      </c>
      <c r="GV195" s="10">
        <v>0.73883399821117535</v>
      </c>
      <c r="GW195" s="10">
        <v>0</v>
      </c>
      <c r="GX195" s="10">
        <v>0</v>
      </c>
      <c r="GY195" s="10">
        <v>0</v>
      </c>
      <c r="GZ195" s="10">
        <v>0</v>
      </c>
      <c r="HA195" s="10">
        <v>0</v>
      </c>
      <c r="HB195" s="10">
        <v>0</v>
      </c>
      <c r="HC195" s="10">
        <v>0</v>
      </c>
      <c r="HD195" s="10">
        <v>0</v>
      </c>
      <c r="HE195" s="10">
        <v>0</v>
      </c>
      <c r="HF195" s="10">
        <v>0</v>
      </c>
      <c r="HG195" s="10">
        <v>0</v>
      </c>
      <c r="HH195" s="10">
        <v>0</v>
      </c>
      <c r="HI195" s="10">
        <v>0</v>
      </c>
      <c r="HJ195" s="10">
        <v>0</v>
      </c>
      <c r="HK195" s="10">
        <v>0</v>
      </c>
      <c r="HL195" s="10">
        <v>0</v>
      </c>
      <c r="HM195" s="10">
        <v>0</v>
      </c>
      <c r="HN195" s="10">
        <v>0</v>
      </c>
      <c r="HO195" s="10">
        <v>0</v>
      </c>
      <c r="HP195" s="10">
        <v>0</v>
      </c>
      <c r="HQ195" s="10">
        <v>0</v>
      </c>
      <c r="HR195" s="10">
        <v>0</v>
      </c>
      <c r="HS195" s="10">
        <v>0</v>
      </c>
      <c r="HT195" s="10">
        <v>0</v>
      </c>
      <c r="HU195" s="10">
        <v>0</v>
      </c>
    </row>
    <row r="196" spans="1:229" x14ac:dyDescent="0.25">
      <c r="A196" s="10">
        <v>0</v>
      </c>
      <c r="B196" s="2" t="s">
        <v>380</v>
      </c>
      <c r="C196" s="2" t="s">
        <v>381</v>
      </c>
      <c r="D196" s="2">
        <v>0.105</v>
      </c>
      <c r="E196" s="2">
        <v>8.0500000000000007</v>
      </c>
      <c r="F196" s="2">
        <v>12.07</v>
      </c>
      <c r="G196" s="2">
        <v>0.6</v>
      </c>
      <c r="H196" s="2">
        <v>11.27</v>
      </c>
      <c r="I196" s="2">
        <v>33</v>
      </c>
      <c r="J196" s="2">
        <v>2.5999999999999999E-2</v>
      </c>
      <c r="K196" s="2">
        <v>1.4E-2</v>
      </c>
      <c r="L196" s="3"/>
      <c r="M196" s="2" t="str">
        <f t="shared" si="9"/>
        <v>01285</v>
      </c>
      <c r="N196" s="3">
        <v>1.0000000000001128</v>
      </c>
      <c r="O196" s="3">
        <v>0.99999999999988753</v>
      </c>
      <c r="P196" s="17">
        <v>0.99999999999801703</v>
      </c>
      <c r="Q196" s="3">
        <v>0.999999999999865</v>
      </c>
      <c r="R196" s="3">
        <v>0.99999999999562694</v>
      </c>
      <c r="S196" s="3">
        <v>1.0000000000184617</v>
      </c>
      <c r="T196" s="3">
        <v>0.99999999999570588</v>
      </c>
      <c r="U196" s="3">
        <v>1.0000000000001124</v>
      </c>
      <c r="V196" s="3">
        <v>0.99999999999593758</v>
      </c>
      <c r="W196" s="3">
        <v>0.9999999999690331</v>
      </c>
      <c r="X196" s="3">
        <v>0.10499999999979179</v>
      </c>
      <c r="Y196" s="3">
        <v>8.0499999999989136</v>
      </c>
      <c r="Z196" s="3">
        <v>12.069999999947218</v>
      </c>
      <c r="AA196" s="3">
        <v>0.60000000001107701</v>
      </c>
      <c r="AB196" s="3">
        <v>11.269999999951605</v>
      </c>
      <c r="AC196" s="10">
        <v>33.000000000003709</v>
      </c>
      <c r="AD196" s="3">
        <v>2.5999999999894375E-2</v>
      </c>
      <c r="AE196" s="3">
        <v>1.3999999999566463E-2</v>
      </c>
      <c r="AF196" s="3">
        <v>0</v>
      </c>
      <c r="AG196" s="3">
        <v>0</v>
      </c>
      <c r="AH196" s="3">
        <v>0</v>
      </c>
      <c r="AI196" s="3">
        <v>0</v>
      </c>
      <c r="AJ196" s="3">
        <v>0</v>
      </c>
      <c r="AK196" s="3">
        <v>0</v>
      </c>
      <c r="AL196" s="3">
        <v>0</v>
      </c>
      <c r="AM196" s="3">
        <v>0</v>
      </c>
      <c r="AN196" s="3">
        <v>0</v>
      </c>
      <c r="AO196" s="3">
        <v>0</v>
      </c>
      <c r="AP196" s="3">
        <v>0</v>
      </c>
      <c r="AQ196" s="3">
        <v>0</v>
      </c>
      <c r="AR196" s="3">
        <v>0</v>
      </c>
      <c r="AS196" s="3">
        <v>0</v>
      </c>
      <c r="AT196" s="3">
        <v>0</v>
      </c>
      <c r="AU196" s="3">
        <v>0</v>
      </c>
      <c r="AV196" s="3">
        <v>0</v>
      </c>
      <c r="AW196" s="3">
        <v>0</v>
      </c>
      <c r="AX196" s="3">
        <v>0</v>
      </c>
      <c r="AY196" s="3">
        <v>0</v>
      </c>
      <c r="AZ196" s="3">
        <v>0</v>
      </c>
      <c r="BA196" s="10">
        <v>0</v>
      </c>
      <c r="BB196" s="10">
        <v>0</v>
      </c>
      <c r="BC196" s="10">
        <v>0</v>
      </c>
      <c r="BD196" s="10">
        <v>0</v>
      </c>
      <c r="BE196" s="10">
        <v>0</v>
      </c>
      <c r="BF196" s="10">
        <v>0</v>
      </c>
      <c r="BG196" s="10">
        <v>0</v>
      </c>
      <c r="BH196" s="10">
        <v>0</v>
      </c>
      <c r="BI196" s="10">
        <v>0</v>
      </c>
      <c r="BJ196" s="10">
        <v>0</v>
      </c>
      <c r="BK196" s="10">
        <v>0</v>
      </c>
      <c r="BL196" s="10">
        <v>0</v>
      </c>
      <c r="BM196" s="10">
        <v>0</v>
      </c>
      <c r="BN196" s="10">
        <v>0</v>
      </c>
      <c r="BO196" s="10">
        <v>0</v>
      </c>
      <c r="BP196" s="10">
        <v>0</v>
      </c>
      <c r="BQ196" s="10">
        <v>0</v>
      </c>
      <c r="BR196" s="10">
        <v>0</v>
      </c>
      <c r="BS196" s="10">
        <v>0</v>
      </c>
      <c r="BT196" s="10">
        <v>0</v>
      </c>
      <c r="BU196" s="10">
        <v>0</v>
      </c>
      <c r="BV196" s="10">
        <v>0</v>
      </c>
      <c r="BW196" s="10">
        <v>0</v>
      </c>
      <c r="BX196" s="10">
        <v>0</v>
      </c>
      <c r="BY196" s="10">
        <v>0</v>
      </c>
      <c r="BZ196" s="10">
        <v>0</v>
      </c>
      <c r="CA196" s="10">
        <v>0</v>
      </c>
      <c r="CB196" s="10">
        <v>0</v>
      </c>
      <c r="CC196" s="10">
        <v>0</v>
      </c>
      <c r="CD196" s="10">
        <v>0</v>
      </c>
      <c r="CE196" s="10">
        <v>0</v>
      </c>
      <c r="CF196" s="10">
        <v>0</v>
      </c>
      <c r="CG196" s="10">
        <v>0</v>
      </c>
      <c r="CH196" s="10">
        <v>0</v>
      </c>
      <c r="CI196" s="10">
        <v>0</v>
      </c>
      <c r="CJ196" s="10">
        <v>0</v>
      </c>
      <c r="CK196" s="10">
        <v>0</v>
      </c>
      <c r="CL196" s="10">
        <v>0</v>
      </c>
      <c r="CM196" s="10">
        <v>0</v>
      </c>
      <c r="CN196" s="10">
        <v>0</v>
      </c>
      <c r="CO196" s="10">
        <v>0</v>
      </c>
      <c r="CP196" s="10">
        <v>0</v>
      </c>
      <c r="CQ196" s="10">
        <v>0</v>
      </c>
      <c r="CR196" s="10">
        <v>0</v>
      </c>
      <c r="CS196" s="10">
        <v>0</v>
      </c>
      <c r="CT196" s="10">
        <v>0</v>
      </c>
      <c r="CU196" s="10">
        <v>0</v>
      </c>
      <c r="CV196" s="10">
        <v>0</v>
      </c>
      <c r="CW196" s="10">
        <v>0</v>
      </c>
      <c r="CX196" s="10">
        <v>0</v>
      </c>
      <c r="CY196" s="10">
        <v>0</v>
      </c>
      <c r="CZ196" s="10">
        <v>0</v>
      </c>
      <c r="DA196" s="10">
        <v>0</v>
      </c>
      <c r="DB196" s="10">
        <v>0</v>
      </c>
      <c r="DC196" s="10">
        <v>0</v>
      </c>
      <c r="DD196" s="10">
        <v>0</v>
      </c>
      <c r="DE196" s="10">
        <v>0</v>
      </c>
      <c r="DF196" s="10">
        <v>0</v>
      </c>
      <c r="DG196" s="10">
        <v>0</v>
      </c>
      <c r="DH196" s="10">
        <v>0</v>
      </c>
      <c r="DI196" s="10">
        <v>0</v>
      </c>
      <c r="DJ196" s="10">
        <v>0</v>
      </c>
      <c r="DK196" s="10">
        <v>0</v>
      </c>
      <c r="DL196" s="10">
        <v>0</v>
      </c>
      <c r="DM196" s="10">
        <v>0</v>
      </c>
      <c r="DN196" s="10">
        <v>0</v>
      </c>
      <c r="DO196" s="10">
        <v>0</v>
      </c>
      <c r="DP196" s="10">
        <v>0</v>
      </c>
      <c r="DQ196" s="10">
        <v>0</v>
      </c>
      <c r="DR196" s="10">
        <v>0</v>
      </c>
      <c r="DS196" s="10">
        <v>0</v>
      </c>
      <c r="DT196" s="10">
        <v>0</v>
      </c>
      <c r="DU196" s="10">
        <v>0</v>
      </c>
      <c r="DV196" s="10">
        <v>0</v>
      </c>
      <c r="DW196" s="10">
        <v>0</v>
      </c>
      <c r="DX196" s="10">
        <v>0</v>
      </c>
      <c r="DY196" s="10">
        <v>0</v>
      </c>
      <c r="DZ196" s="10">
        <v>0</v>
      </c>
      <c r="EA196" s="10">
        <v>0</v>
      </c>
      <c r="EB196" s="10">
        <v>0</v>
      </c>
      <c r="EC196" s="10">
        <v>0</v>
      </c>
      <c r="ED196" s="10">
        <v>0</v>
      </c>
      <c r="EE196" s="10">
        <v>0</v>
      </c>
      <c r="EF196" s="10">
        <v>0</v>
      </c>
      <c r="EG196" s="10">
        <v>0</v>
      </c>
      <c r="EH196" s="10">
        <v>0</v>
      </c>
      <c r="EI196" s="10">
        <v>0</v>
      </c>
      <c r="EJ196" s="10">
        <v>0</v>
      </c>
      <c r="EK196" s="10">
        <v>0</v>
      </c>
      <c r="EL196" s="10">
        <v>0</v>
      </c>
      <c r="EM196" s="10">
        <v>0</v>
      </c>
      <c r="EN196" s="10">
        <v>0</v>
      </c>
      <c r="EO196" s="10">
        <v>0</v>
      </c>
      <c r="EP196" s="10">
        <v>0</v>
      </c>
      <c r="EQ196" s="10">
        <v>0</v>
      </c>
      <c r="ER196" s="10">
        <v>0</v>
      </c>
      <c r="ES196" s="10">
        <v>0</v>
      </c>
      <c r="ET196" s="10">
        <v>0</v>
      </c>
      <c r="EU196" s="10">
        <v>0</v>
      </c>
      <c r="EV196" s="10">
        <v>0</v>
      </c>
      <c r="EW196" s="10">
        <v>0</v>
      </c>
      <c r="EX196" s="10">
        <v>0</v>
      </c>
      <c r="EY196" s="10">
        <v>0</v>
      </c>
      <c r="EZ196" s="10">
        <v>0</v>
      </c>
      <c r="FA196" s="10">
        <v>0</v>
      </c>
      <c r="FB196" s="10">
        <v>0</v>
      </c>
      <c r="FC196" s="10">
        <v>0</v>
      </c>
      <c r="FD196" s="10">
        <v>0</v>
      </c>
      <c r="FE196" s="10">
        <v>0</v>
      </c>
      <c r="FF196" s="10">
        <v>0</v>
      </c>
      <c r="FG196" s="10">
        <v>0</v>
      </c>
      <c r="FH196" s="10">
        <v>0</v>
      </c>
      <c r="FI196" s="10">
        <v>0</v>
      </c>
      <c r="FJ196" s="10">
        <v>0</v>
      </c>
      <c r="FK196" s="10">
        <v>0</v>
      </c>
      <c r="FL196" s="10">
        <v>0</v>
      </c>
      <c r="FM196" s="10">
        <v>0</v>
      </c>
      <c r="FN196" s="10">
        <v>0</v>
      </c>
      <c r="FO196" s="10">
        <v>0</v>
      </c>
      <c r="FP196" s="10">
        <v>0</v>
      </c>
      <c r="FQ196" s="10">
        <v>0</v>
      </c>
      <c r="FR196" s="10">
        <v>0</v>
      </c>
      <c r="FS196" s="10">
        <v>0</v>
      </c>
      <c r="FT196" s="10">
        <v>0</v>
      </c>
      <c r="FU196" s="10">
        <v>0</v>
      </c>
      <c r="FV196" s="10">
        <v>0</v>
      </c>
      <c r="FW196" s="10">
        <v>0</v>
      </c>
      <c r="FX196" s="10">
        <v>0</v>
      </c>
      <c r="FY196" s="10">
        <v>0</v>
      </c>
      <c r="FZ196" s="10">
        <v>0</v>
      </c>
      <c r="GA196" s="10">
        <v>0</v>
      </c>
      <c r="GB196" s="10">
        <v>1.3175477450427918E-14</v>
      </c>
      <c r="GC196" s="10">
        <v>0</v>
      </c>
      <c r="GD196" s="10">
        <v>0</v>
      </c>
      <c r="GE196" s="10">
        <v>0</v>
      </c>
      <c r="GF196" s="10">
        <v>0</v>
      </c>
      <c r="GG196" s="10">
        <v>0</v>
      </c>
      <c r="GH196" s="10">
        <v>0</v>
      </c>
      <c r="GI196" s="10">
        <v>0</v>
      </c>
      <c r="GJ196" s="10">
        <v>0</v>
      </c>
      <c r="GK196" s="10">
        <v>0</v>
      </c>
      <c r="GL196" s="10">
        <v>0</v>
      </c>
      <c r="GM196" s="10">
        <v>0</v>
      </c>
      <c r="GN196" s="10">
        <v>0</v>
      </c>
      <c r="GO196" s="10">
        <v>0</v>
      </c>
      <c r="GP196" s="10">
        <v>0</v>
      </c>
      <c r="GQ196" s="10">
        <v>0</v>
      </c>
      <c r="GR196" s="10">
        <v>0</v>
      </c>
      <c r="GS196" s="10">
        <v>0</v>
      </c>
      <c r="GT196" s="10">
        <v>0</v>
      </c>
      <c r="GU196" s="10">
        <v>0</v>
      </c>
      <c r="GV196" s="10">
        <v>2.8231614784391491E-13</v>
      </c>
      <c r="GW196" s="10">
        <v>0</v>
      </c>
      <c r="GX196" s="10">
        <v>0</v>
      </c>
      <c r="GY196" s="10">
        <v>0</v>
      </c>
      <c r="GZ196" s="10">
        <v>0</v>
      </c>
      <c r="HA196" s="10">
        <v>0</v>
      </c>
      <c r="HB196" s="10">
        <v>0</v>
      </c>
      <c r="HC196" s="10">
        <v>0</v>
      </c>
      <c r="HD196" s="10">
        <v>0</v>
      </c>
      <c r="HE196" s="10">
        <v>0</v>
      </c>
      <c r="HF196" s="10">
        <v>0</v>
      </c>
      <c r="HG196" s="10">
        <v>1.1227849933167199E-10</v>
      </c>
      <c r="HH196" s="10">
        <v>0</v>
      </c>
      <c r="HI196" s="10">
        <v>0.99999999988742616</v>
      </c>
      <c r="HJ196" s="10">
        <v>0</v>
      </c>
      <c r="HK196" s="10">
        <v>0</v>
      </c>
      <c r="HL196" s="10">
        <v>0</v>
      </c>
      <c r="HM196" s="10">
        <v>0</v>
      </c>
      <c r="HN196" s="10">
        <v>0</v>
      </c>
      <c r="HO196" s="10">
        <v>0</v>
      </c>
      <c r="HP196" s="10">
        <v>0</v>
      </c>
      <c r="HQ196" s="10">
        <v>0</v>
      </c>
      <c r="HR196" s="10">
        <v>0</v>
      </c>
      <c r="HS196" s="10">
        <v>0</v>
      </c>
      <c r="HT196" s="10">
        <v>0</v>
      </c>
      <c r="HU196" s="10">
        <v>0</v>
      </c>
    </row>
    <row r="197" spans="1:229" x14ac:dyDescent="0.25">
      <c r="A197" s="10">
        <v>0</v>
      </c>
      <c r="B197" s="2" t="s">
        <v>382</v>
      </c>
      <c r="C197" s="2" t="s">
        <v>383</v>
      </c>
      <c r="D197" s="2">
        <v>0.13300000000000001</v>
      </c>
      <c r="E197" s="2">
        <v>8.64</v>
      </c>
      <c r="F197" s="2">
        <v>10.37</v>
      </c>
      <c r="G197" s="2">
        <v>0.5</v>
      </c>
      <c r="H197" s="2">
        <v>9.5399999999999991</v>
      </c>
      <c r="I197" s="2">
        <v>34</v>
      </c>
      <c r="J197" s="2">
        <v>3.9E-2</v>
      </c>
      <c r="K197" s="2">
        <v>8.9999999999999993E-3</v>
      </c>
      <c r="L197" s="3"/>
      <c r="M197" s="2" t="str">
        <f t="shared" si="9"/>
        <v>01286</v>
      </c>
      <c r="N197" s="3">
        <v>0.99071045632249688</v>
      </c>
      <c r="O197" s="3">
        <v>1.0092895436775031</v>
      </c>
      <c r="P197" s="17">
        <v>0.99071045632186783</v>
      </c>
      <c r="Q197" s="3">
        <v>1.0092895436774871</v>
      </c>
      <c r="R197" s="3">
        <v>0.87905536027205067</v>
      </c>
      <c r="S197" s="3">
        <v>0.78011010110093471</v>
      </c>
      <c r="T197" s="3">
        <v>0.88823393538847251</v>
      </c>
      <c r="U197" s="3">
        <v>0.9907104563224971</v>
      </c>
      <c r="V197" s="3">
        <v>1.1776198474530293</v>
      </c>
      <c r="W197" s="3">
        <v>1.6205794158429354</v>
      </c>
      <c r="X197" s="3">
        <v>0.13176449069080842</v>
      </c>
      <c r="Y197" s="3">
        <v>8.7202616573734897</v>
      </c>
      <c r="Z197" s="3">
        <v>9.1158040860211642</v>
      </c>
      <c r="AA197" s="3">
        <v>0.39005505055046735</v>
      </c>
      <c r="AB197" s="3">
        <v>8.4737517436060266</v>
      </c>
      <c r="AC197" s="3">
        <v>33.6841555149649</v>
      </c>
      <c r="AD197" s="3">
        <v>4.5927174050668144E-2</v>
      </c>
      <c r="AE197" s="3">
        <v>1.4585214742586417E-2</v>
      </c>
      <c r="AF197" s="3">
        <v>0</v>
      </c>
      <c r="AG197" s="3">
        <v>0</v>
      </c>
      <c r="AH197" s="3">
        <v>0</v>
      </c>
      <c r="AI197" s="3">
        <v>0</v>
      </c>
      <c r="AJ197" s="3">
        <v>0</v>
      </c>
      <c r="AK197" s="3">
        <v>0</v>
      </c>
      <c r="AL197" s="3">
        <v>0</v>
      </c>
      <c r="AM197" s="3">
        <v>0</v>
      </c>
      <c r="AN197" s="3">
        <v>0</v>
      </c>
      <c r="AO197" s="3">
        <v>0</v>
      </c>
      <c r="AP197" s="3">
        <v>0</v>
      </c>
      <c r="AQ197" s="3">
        <v>0</v>
      </c>
      <c r="AR197" s="3">
        <v>0</v>
      </c>
      <c r="AS197" s="3">
        <v>0</v>
      </c>
      <c r="AT197" s="3">
        <v>0</v>
      </c>
      <c r="AU197" s="3">
        <v>0</v>
      </c>
      <c r="AV197" s="3">
        <v>0</v>
      </c>
      <c r="AW197" s="3">
        <v>0</v>
      </c>
      <c r="AX197" s="3">
        <v>0</v>
      </c>
      <c r="AY197" s="3">
        <v>0</v>
      </c>
      <c r="AZ197" s="3">
        <v>0</v>
      </c>
      <c r="BA197" s="10">
        <v>0</v>
      </c>
      <c r="BB197" s="10">
        <v>0</v>
      </c>
      <c r="BC197" s="10">
        <v>0</v>
      </c>
      <c r="BD197" s="10">
        <v>0</v>
      </c>
      <c r="BE197" s="10">
        <v>0</v>
      </c>
      <c r="BF197" s="10">
        <v>0</v>
      </c>
      <c r="BG197" s="10">
        <v>0</v>
      </c>
      <c r="BH197" s="10">
        <v>0</v>
      </c>
      <c r="BI197" s="10">
        <v>0</v>
      </c>
      <c r="BJ197" s="10">
        <v>0</v>
      </c>
      <c r="BK197" s="10">
        <v>0</v>
      </c>
      <c r="BL197" s="10">
        <v>0</v>
      </c>
      <c r="BM197" s="10">
        <v>0</v>
      </c>
      <c r="BN197" s="10">
        <v>0</v>
      </c>
      <c r="BO197" s="10">
        <v>0</v>
      </c>
      <c r="BP197" s="10">
        <v>0</v>
      </c>
      <c r="BQ197" s="10">
        <v>0</v>
      </c>
      <c r="BR197" s="10">
        <v>0</v>
      </c>
      <c r="BS197" s="10">
        <v>0</v>
      </c>
      <c r="BT197" s="10">
        <v>0</v>
      </c>
      <c r="BU197" s="10">
        <v>0</v>
      </c>
      <c r="BV197" s="10">
        <v>0</v>
      </c>
      <c r="BW197" s="10">
        <v>0</v>
      </c>
      <c r="BX197" s="10">
        <v>0</v>
      </c>
      <c r="BY197" s="10">
        <v>0</v>
      </c>
      <c r="BZ197" s="10">
        <v>0</v>
      </c>
      <c r="CA197" s="10">
        <v>0</v>
      </c>
      <c r="CB197" s="10">
        <v>0</v>
      </c>
      <c r="CC197" s="10">
        <v>0</v>
      </c>
      <c r="CD197" s="10">
        <v>0</v>
      </c>
      <c r="CE197" s="10">
        <v>0</v>
      </c>
      <c r="CF197" s="10">
        <v>0</v>
      </c>
      <c r="CG197" s="10">
        <v>0</v>
      </c>
      <c r="CH197" s="10">
        <v>0</v>
      </c>
      <c r="CI197" s="10">
        <v>0</v>
      </c>
      <c r="CJ197" s="10">
        <v>0</v>
      </c>
      <c r="CK197" s="10">
        <v>0</v>
      </c>
      <c r="CL197" s="10">
        <v>0</v>
      </c>
      <c r="CM197" s="10">
        <v>0</v>
      </c>
      <c r="CN197" s="10">
        <v>0</v>
      </c>
      <c r="CO197" s="10">
        <v>0</v>
      </c>
      <c r="CP197" s="10">
        <v>0</v>
      </c>
      <c r="CQ197" s="10">
        <v>0</v>
      </c>
      <c r="CR197" s="10">
        <v>0</v>
      </c>
      <c r="CS197" s="10">
        <v>1.1077855523720067E-2</v>
      </c>
      <c r="CT197" s="10">
        <v>0</v>
      </c>
      <c r="CU197" s="10">
        <v>0</v>
      </c>
      <c r="CV197" s="10">
        <v>0</v>
      </c>
      <c r="CW197" s="10">
        <v>0</v>
      </c>
      <c r="CX197" s="10">
        <v>0</v>
      </c>
      <c r="CY197" s="10">
        <v>0</v>
      </c>
      <c r="CZ197" s="10">
        <v>0</v>
      </c>
      <c r="DA197" s="10">
        <v>0</v>
      </c>
      <c r="DB197" s="10">
        <v>0</v>
      </c>
      <c r="DC197" s="10">
        <v>0</v>
      </c>
      <c r="DD197" s="10">
        <v>0</v>
      </c>
      <c r="DE197" s="10">
        <v>0</v>
      </c>
      <c r="DF197" s="10">
        <v>0</v>
      </c>
      <c r="DG197" s="10">
        <v>0</v>
      </c>
      <c r="DH197" s="10">
        <v>0</v>
      </c>
      <c r="DI197" s="10">
        <v>0</v>
      </c>
      <c r="DJ197" s="10">
        <v>0</v>
      </c>
      <c r="DK197" s="10">
        <v>0</v>
      </c>
      <c r="DL197" s="10">
        <v>0</v>
      </c>
      <c r="DM197" s="10">
        <v>0</v>
      </c>
      <c r="DN197" s="10">
        <v>0</v>
      </c>
      <c r="DO197" s="10">
        <v>0</v>
      </c>
      <c r="DP197" s="10">
        <v>0</v>
      </c>
      <c r="DQ197" s="10">
        <v>0</v>
      </c>
      <c r="DR197" s="10">
        <v>0</v>
      </c>
      <c r="DS197" s="10">
        <v>0</v>
      </c>
      <c r="DT197" s="10">
        <v>0</v>
      </c>
      <c r="DU197" s="10">
        <v>0</v>
      </c>
      <c r="DV197" s="10">
        <v>0</v>
      </c>
      <c r="DW197" s="10">
        <v>0</v>
      </c>
      <c r="DX197" s="10">
        <v>0</v>
      </c>
      <c r="DY197" s="10">
        <v>0</v>
      </c>
      <c r="DZ197" s="10">
        <v>0</v>
      </c>
      <c r="EA197" s="10">
        <v>0</v>
      </c>
      <c r="EB197" s="10">
        <v>0</v>
      </c>
      <c r="EC197" s="10">
        <v>0</v>
      </c>
      <c r="ED197" s="10">
        <v>0</v>
      </c>
      <c r="EE197" s="10">
        <v>0</v>
      </c>
      <c r="EF197" s="10">
        <v>0</v>
      </c>
      <c r="EG197" s="10">
        <v>0</v>
      </c>
      <c r="EH197" s="10">
        <v>0</v>
      </c>
      <c r="EI197" s="10">
        <v>0</v>
      </c>
      <c r="EJ197" s="10">
        <v>0</v>
      </c>
      <c r="EK197" s="10">
        <v>0</v>
      </c>
      <c r="EL197" s="10">
        <v>0</v>
      </c>
      <c r="EM197" s="10">
        <v>0</v>
      </c>
      <c r="EN197" s="10">
        <v>0</v>
      </c>
      <c r="EO197" s="10">
        <v>0</v>
      </c>
      <c r="EP197" s="10">
        <v>0</v>
      </c>
      <c r="EQ197" s="10">
        <v>0</v>
      </c>
      <c r="ER197" s="10">
        <v>0</v>
      </c>
      <c r="ES197" s="10">
        <v>0</v>
      </c>
      <c r="ET197" s="10">
        <v>0</v>
      </c>
      <c r="EU197" s="10">
        <v>0</v>
      </c>
      <c r="EV197" s="10">
        <v>0</v>
      </c>
      <c r="EW197" s="10">
        <v>0</v>
      </c>
      <c r="EX197" s="10">
        <v>0</v>
      </c>
      <c r="EY197" s="10">
        <v>0</v>
      </c>
      <c r="EZ197" s="10">
        <v>0</v>
      </c>
      <c r="FA197" s="10">
        <v>0</v>
      </c>
      <c r="FB197" s="10">
        <v>0</v>
      </c>
      <c r="FC197" s="10">
        <v>0</v>
      </c>
      <c r="FD197" s="10">
        <v>0</v>
      </c>
      <c r="FE197" s="10">
        <v>0</v>
      </c>
      <c r="FF197" s="10">
        <v>0</v>
      </c>
      <c r="FG197" s="10">
        <v>0</v>
      </c>
      <c r="FH197" s="10">
        <v>0</v>
      </c>
      <c r="FI197" s="10">
        <v>0</v>
      </c>
      <c r="FJ197" s="10">
        <v>0</v>
      </c>
      <c r="FK197" s="10">
        <v>0</v>
      </c>
      <c r="FL197" s="10">
        <v>0</v>
      </c>
      <c r="FM197" s="10">
        <v>0</v>
      </c>
      <c r="FN197" s="10">
        <v>0</v>
      </c>
      <c r="FO197" s="10">
        <v>0</v>
      </c>
      <c r="FP197" s="10">
        <v>0</v>
      </c>
      <c r="FQ197" s="10">
        <v>0</v>
      </c>
      <c r="FR197" s="10">
        <v>0</v>
      </c>
      <c r="FS197" s="10">
        <v>0</v>
      </c>
      <c r="FT197" s="10">
        <v>0</v>
      </c>
      <c r="FU197" s="10">
        <v>0</v>
      </c>
      <c r="FV197" s="10">
        <v>0</v>
      </c>
      <c r="FW197" s="10">
        <v>0</v>
      </c>
      <c r="FX197" s="10">
        <v>0</v>
      </c>
      <c r="FY197" s="10">
        <v>0</v>
      </c>
      <c r="FZ197" s="10">
        <v>0</v>
      </c>
      <c r="GA197" s="10">
        <v>0</v>
      </c>
      <c r="GB197" s="10">
        <v>0</v>
      </c>
      <c r="GC197" s="10">
        <v>0</v>
      </c>
      <c r="GD197" s="10">
        <v>0</v>
      </c>
      <c r="GE197" s="10">
        <v>0</v>
      </c>
      <c r="GF197" s="10">
        <v>0</v>
      </c>
      <c r="GG197" s="10">
        <v>0</v>
      </c>
      <c r="GH197" s="10">
        <v>0</v>
      </c>
      <c r="GI197" s="10">
        <v>0</v>
      </c>
      <c r="GJ197" s="10">
        <v>0</v>
      </c>
      <c r="GK197" s="10">
        <v>0</v>
      </c>
      <c r="GL197" s="10">
        <v>0</v>
      </c>
      <c r="GM197" s="10">
        <v>0</v>
      </c>
      <c r="GN197" s="10">
        <v>0</v>
      </c>
      <c r="GO197" s="10">
        <v>0</v>
      </c>
      <c r="GP197" s="10">
        <v>0</v>
      </c>
      <c r="GQ197" s="10">
        <v>0</v>
      </c>
      <c r="GR197" s="10">
        <v>0</v>
      </c>
      <c r="GS197" s="10">
        <v>0</v>
      </c>
      <c r="GT197" s="10">
        <v>0</v>
      </c>
      <c r="GU197" s="10">
        <v>0</v>
      </c>
      <c r="GV197" s="10">
        <v>0.33883039355883415</v>
      </c>
      <c r="GW197" s="10">
        <v>0</v>
      </c>
      <c r="GX197" s="10">
        <v>0</v>
      </c>
      <c r="GY197" s="10">
        <v>0</v>
      </c>
      <c r="GZ197" s="10">
        <v>0</v>
      </c>
      <c r="HA197" s="10">
        <v>0</v>
      </c>
      <c r="HB197" s="10">
        <v>0</v>
      </c>
      <c r="HC197" s="10">
        <v>0</v>
      </c>
      <c r="HD197" s="10">
        <v>0</v>
      </c>
      <c r="HE197" s="10">
        <v>0</v>
      </c>
      <c r="HF197" s="10">
        <v>0</v>
      </c>
      <c r="HG197" s="10">
        <v>0</v>
      </c>
      <c r="HH197" s="10">
        <v>0</v>
      </c>
      <c r="HI197" s="10">
        <v>0.65009175091744564</v>
      </c>
      <c r="HJ197" s="10">
        <v>0</v>
      </c>
      <c r="HK197" s="10">
        <v>0</v>
      </c>
      <c r="HL197" s="10">
        <v>0</v>
      </c>
      <c r="HM197" s="10">
        <v>0</v>
      </c>
      <c r="HN197" s="10">
        <v>0</v>
      </c>
      <c r="HO197" s="10">
        <v>0</v>
      </c>
      <c r="HP197" s="10">
        <v>0</v>
      </c>
      <c r="HQ197" s="10">
        <v>0</v>
      </c>
      <c r="HR197" s="10">
        <v>0</v>
      </c>
      <c r="HS197" s="10">
        <v>0</v>
      </c>
      <c r="HT197" s="10">
        <v>0</v>
      </c>
      <c r="HU197" s="10">
        <v>0</v>
      </c>
    </row>
    <row r="198" spans="1:229" x14ac:dyDescent="0.25">
      <c r="A198" s="10">
        <v>0</v>
      </c>
      <c r="B198" s="2" t="s">
        <v>384</v>
      </c>
      <c r="C198" s="2" t="s">
        <v>385</v>
      </c>
      <c r="D198" s="2">
        <v>1.23</v>
      </c>
      <c r="E198" s="2">
        <v>9.9499999999999993</v>
      </c>
      <c r="F198" s="2">
        <v>3.94</v>
      </c>
      <c r="G198" s="2">
        <v>0</v>
      </c>
      <c r="H198" s="2">
        <v>3.56</v>
      </c>
      <c r="I198" s="2">
        <v>34</v>
      </c>
      <c r="J198" s="2">
        <v>0.48599999999999999</v>
      </c>
      <c r="K198" s="2">
        <v>7.5999999999999998E-2</v>
      </c>
      <c r="L198" s="3"/>
      <c r="M198" s="2" t="str">
        <f t="shared" si="9"/>
        <v>01287</v>
      </c>
      <c r="N198" s="3">
        <v>0.96620121969739725</v>
      </c>
      <c r="O198" s="3">
        <v>1.0337987803026016</v>
      </c>
      <c r="P198" s="17">
        <v>0.96620121969694384</v>
      </c>
      <c r="Q198" s="3">
        <v>1.0337987803005262</v>
      </c>
      <c r="R198" s="3">
        <v>0.9110521135579025</v>
      </c>
      <c r="S198" s="3" t="e">
        <v>#DIV/0!</v>
      </c>
      <c r="T198" s="3">
        <v>0.90154301343875787</v>
      </c>
      <c r="U198" s="3">
        <v>0.96620121969526351</v>
      </c>
      <c r="V198" s="3">
        <v>1.0912995005087649</v>
      </c>
      <c r="W198" s="3">
        <v>0.83434105480918952</v>
      </c>
      <c r="X198" s="3">
        <v>1.1884275002272409</v>
      </c>
      <c r="Y198" s="3">
        <v>10.286297863990235</v>
      </c>
      <c r="Z198" s="3">
        <v>3.5895453274181359</v>
      </c>
      <c r="AA198" s="3">
        <v>0</v>
      </c>
      <c r="AB198" s="3">
        <v>3.209493127841978</v>
      </c>
      <c r="AC198" s="3">
        <v>32.850841469638958</v>
      </c>
      <c r="AD198" s="3">
        <v>0.53037155724725971</v>
      </c>
      <c r="AE198" s="3">
        <v>6.3409920165498401E-2</v>
      </c>
      <c r="AF198" s="3">
        <v>0</v>
      </c>
      <c r="AG198" s="3">
        <v>0</v>
      </c>
      <c r="AH198" s="3">
        <v>0</v>
      </c>
      <c r="AI198" s="3">
        <v>0</v>
      </c>
      <c r="AJ198" s="3">
        <v>0</v>
      </c>
      <c r="AK198" s="3">
        <v>0</v>
      </c>
      <c r="AL198" s="3">
        <v>0</v>
      </c>
      <c r="AM198" s="3">
        <v>0</v>
      </c>
      <c r="AN198" s="3">
        <v>0</v>
      </c>
      <c r="AO198" s="3">
        <v>0</v>
      </c>
      <c r="AP198" s="3">
        <v>0</v>
      </c>
      <c r="AQ198" s="3">
        <v>0</v>
      </c>
      <c r="AR198" s="3">
        <v>0</v>
      </c>
      <c r="AS198" s="3">
        <v>0</v>
      </c>
      <c r="AT198" s="3">
        <v>0</v>
      </c>
      <c r="AU198" s="3">
        <v>0</v>
      </c>
      <c r="AV198" s="3">
        <v>0</v>
      </c>
      <c r="AW198" s="3">
        <v>0</v>
      </c>
      <c r="AX198" s="3">
        <v>0</v>
      </c>
      <c r="AY198" s="3">
        <v>0</v>
      </c>
      <c r="AZ198" s="3">
        <v>0</v>
      </c>
      <c r="BA198" s="10">
        <v>0</v>
      </c>
      <c r="BB198" s="10">
        <v>0</v>
      </c>
      <c r="BC198" s="10">
        <v>0</v>
      </c>
      <c r="BD198" s="10">
        <v>0</v>
      </c>
      <c r="BE198" s="10">
        <v>0</v>
      </c>
      <c r="BF198" s="10">
        <v>0</v>
      </c>
      <c r="BG198" s="10">
        <v>0</v>
      </c>
      <c r="BH198" s="10">
        <v>0</v>
      </c>
      <c r="BI198" s="10">
        <v>0</v>
      </c>
      <c r="BJ198" s="10">
        <v>0</v>
      </c>
      <c r="BK198" s="10">
        <v>0</v>
      </c>
      <c r="BL198" s="10">
        <v>0</v>
      </c>
      <c r="BM198" s="10">
        <v>0</v>
      </c>
      <c r="BN198" s="10">
        <v>0</v>
      </c>
      <c r="BO198" s="10">
        <v>0</v>
      </c>
      <c r="BP198" s="10">
        <v>0</v>
      </c>
      <c r="BQ198" s="10">
        <v>0</v>
      </c>
      <c r="BR198" s="10">
        <v>0</v>
      </c>
      <c r="BS198" s="10">
        <v>0</v>
      </c>
      <c r="BT198" s="10">
        <v>0</v>
      </c>
      <c r="BU198" s="10">
        <v>0</v>
      </c>
      <c r="BV198" s="10">
        <v>0</v>
      </c>
      <c r="BW198" s="10">
        <v>0</v>
      </c>
      <c r="BX198" s="10">
        <v>0</v>
      </c>
      <c r="BY198" s="10">
        <v>0</v>
      </c>
      <c r="BZ198" s="10">
        <v>0</v>
      </c>
      <c r="CA198" s="10">
        <v>0</v>
      </c>
      <c r="CB198" s="10">
        <v>0</v>
      </c>
      <c r="CC198" s="10">
        <v>0</v>
      </c>
      <c r="CD198" s="10">
        <v>0</v>
      </c>
      <c r="CE198" s="10">
        <v>0</v>
      </c>
      <c r="CF198" s="10">
        <v>0</v>
      </c>
      <c r="CG198" s="10">
        <v>0</v>
      </c>
      <c r="CH198" s="10">
        <v>0</v>
      </c>
      <c r="CI198" s="10">
        <v>0</v>
      </c>
      <c r="CJ198" s="10">
        <v>0</v>
      </c>
      <c r="CK198" s="10">
        <v>0</v>
      </c>
      <c r="CL198" s="10">
        <v>0</v>
      </c>
      <c r="CM198" s="10">
        <v>0</v>
      </c>
      <c r="CN198" s="10">
        <v>0</v>
      </c>
      <c r="CO198" s="10">
        <v>0</v>
      </c>
      <c r="CP198" s="10">
        <v>0</v>
      </c>
      <c r="CQ198" s="10">
        <v>0</v>
      </c>
      <c r="CR198" s="10">
        <v>0</v>
      </c>
      <c r="CS198" s="10">
        <v>7.5218549986433E-2</v>
      </c>
      <c r="CT198" s="10">
        <v>0</v>
      </c>
      <c r="CU198" s="10">
        <v>0</v>
      </c>
      <c r="CV198" s="10">
        <v>0</v>
      </c>
      <c r="CW198" s="10">
        <v>0</v>
      </c>
      <c r="CX198" s="10">
        <v>0</v>
      </c>
      <c r="CY198" s="10">
        <v>0</v>
      </c>
      <c r="CZ198" s="10">
        <v>0</v>
      </c>
      <c r="DA198" s="10">
        <v>0</v>
      </c>
      <c r="DB198" s="10">
        <v>0</v>
      </c>
      <c r="DC198" s="10">
        <v>0</v>
      </c>
      <c r="DD198" s="10">
        <v>0</v>
      </c>
      <c r="DE198" s="10">
        <v>0</v>
      </c>
      <c r="DF198" s="10">
        <v>0</v>
      </c>
      <c r="DG198" s="10">
        <v>0</v>
      </c>
      <c r="DH198" s="10">
        <v>0</v>
      </c>
      <c r="DI198" s="10">
        <v>0</v>
      </c>
      <c r="DJ198" s="10">
        <v>0</v>
      </c>
      <c r="DK198" s="10">
        <v>0</v>
      </c>
      <c r="DL198" s="10">
        <v>0</v>
      </c>
      <c r="DM198" s="10">
        <v>0</v>
      </c>
      <c r="DN198" s="10">
        <v>0</v>
      </c>
      <c r="DO198" s="10">
        <v>0</v>
      </c>
      <c r="DP198" s="10">
        <v>0</v>
      </c>
      <c r="DQ198" s="10">
        <v>0</v>
      </c>
      <c r="DR198" s="10">
        <v>0</v>
      </c>
      <c r="DS198" s="10">
        <v>0</v>
      </c>
      <c r="DT198" s="10">
        <v>0</v>
      </c>
      <c r="DU198" s="10">
        <v>0</v>
      </c>
      <c r="DV198" s="10">
        <v>0</v>
      </c>
      <c r="DW198" s="10">
        <v>0</v>
      </c>
      <c r="DX198" s="10">
        <v>0</v>
      </c>
      <c r="DY198" s="10">
        <v>0</v>
      </c>
      <c r="DZ198" s="10">
        <v>0</v>
      </c>
      <c r="EA198" s="10">
        <v>0</v>
      </c>
      <c r="EB198" s="10">
        <v>0</v>
      </c>
      <c r="EC198" s="10">
        <v>0</v>
      </c>
      <c r="ED198" s="10">
        <v>0</v>
      </c>
      <c r="EE198" s="10">
        <v>0</v>
      </c>
      <c r="EF198" s="10">
        <v>0</v>
      </c>
      <c r="EG198" s="10">
        <v>0</v>
      </c>
      <c r="EH198" s="10">
        <v>0</v>
      </c>
      <c r="EI198" s="10">
        <v>0</v>
      </c>
      <c r="EJ198" s="10">
        <v>0</v>
      </c>
      <c r="EK198" s="10">
        <v>0</v>
      </c>
      <c r="EL198" s="10">
        <v>0</v>
      </c>
      <c r="EM198" s="10">
        <v>0</v>
      </c>
      <c r="EN198" s="10">
        <v>0</v>
      </c>
      <c r="EO198" s="10">
        <v>0</v>
      </c>
      <c r="EP198" s="10">
        <v>0</v>
      </c>
      <c r="EQ198" s="10">
        <v>0</v>
      </c>
      <c r="ER198" s="10">
        <v>0</v>
      </c>
      <c r="ES198" s="10">
        <v>0</v>
      </c>
      <c r="ET198" s="10">
        <v>4.4463092049058815E-2</v>
      </c>
      <c r="EU198" s="10">
        <v>0</v>
      </c>
      <c r="EV198" s="10">
        <v>0</v>
      </c>
      <c r="EW198" s="10">
        <v>0</v>
      </c>
      <c r="EX198" s="10">
        <v>0</v>
      </c>
      <c r="EY198" s="10">
        <v>0</v>
      </c>
      <c r="EZ198" s="10">
        <v>0</v>
      </c>
      <c r="FA198" s="10">
        <v>0</v>
      </c>
      <c r="FB198" s="10">
        <v>0</v>
      </c>
      <c r="FC198" s="10">
        <v>0</v>
      </c>
      <c r="FD198" s="10">
        <v>0</v>
      </c>
      <c r="FE198" s="10">
        <v>0</v>
      </c>
      <c r="FF198" s="10">
        <v>0</v>
      </c>
      <c r="FG198" s="10">
        <v>0</v>
      </c>
      <c r="FH198" s="10">
        <v>0</v>
      </c>
      <c r="FI198" s="10">
        <v>0</v>
      </c>
      <c r="FJ198" s="10">
        <v>0</v>
      </c>
      <c r="FK198" s="10">
        <v>0</v>
      </c>
      <c r="FL198" s="10">
        <v>0</v>
      </c>
      <c r="FM198" s="10">
        <v>0</v>
      </c>
      <c r="FN198" s="10">
        <v>0</v>
      </c>
      <c r="FO198" s="10">
        <v>0</v>
      </c>
      <c r="FP198" s="10">
        <v>0</v>
      </c>
      <c r="FQ198" s="10">
        <v>0</v>
      </c>
      <c r="FR198" s="10">
        <v>0</v>
      </c>
      <c r="FS198" s="10">
        <v>0</v>
      </c>
      <c r="FT198" s="10">
        <v>0</v>
      </c>
      <c r="FU198" s="10">
        <v>0</v>
      </c>
      <c r="FV198" s="10">
        <v>0</v>
      </c>
      <c r="FW198" s="10">
        <v>0</v>
      </c>
      <c r="FX198" s="10">
        <v>0</v>
      </c>
      <c r="FY198" s="10">
        <v>0</v>
      </c>
      <c r="FZ198" s="10">
        <v>0</v>
      </c>
      <c r="GA198" s="10">
        <v>0</v>
      </c>
      <c r="GB198" s="10">
        <v>0</v>
      </c>
      <c r="GC198" s="10">
        <v>0</v>
      </c>
      <c r="GD198" s="10">
        <v>0</v>
      </c>
      <c r="GE198" s="10">
        <v>0</v>
      </c>
      <c r="GF198" s="10">
        <v>0</v>
      </c>
      <c r="GG198" s="10">
        <v>0</v>
      </c>
      <c r="GH198" s="10">
        <v>0</v>
      </c>
      <c r="GI198" s="10">
        <v>0</v>
      </c>
      <c r="GJ198" s="10">
        <v>0</v>
      </c>
      <c r="GK198" s="10">
        <v>0</v>
      </c>
      <c r="GL198" s="10">
        <v>0</v>
      </c>
      <c r="GM198" s="10">
        <v>0</v>
      </c>
      <c r="GN198" s="10">
        <v>0</v>
      </c>
      <c r="GO198" s="10">
        <v>0</v>
      </c>
      <c r="GP198" s="10">
        <v>0</v>
      </c>
      <c r="GQ198" s="10">
        <v>0</v>
      </c>
      <c r="GR198" s="10">
        <v>0</v>
      </c>
      <c r="GS198" s="10">
        <v>0</v>
      </c>
      <c r="GT198" s="10">
        <v>0</v>
      </c>
      <c r="GU198" s="10">
        <v>0</v>
      </c>
      <c r="GV198" s="10">
        <v>0.88031835796248403</v>
      </c>
      <c r="GW198" s="10">
        <v>0</v>
      </c>
      <c r="GX198" s="10">
        <v>0</v>
      </c>
      <c r="GY198" s="10">
        <v>0</v>
      </c>
      <c r="GZ198" s="10">
        <v>0</v>
      </c>
      <c r="HA198" s="10">
        <v>0</v>
      </c>
      <c r="HB198" s="10">
        <v>0</v>
      </c>
      <c r="HC198" s="10">
        <v>0</v>
      </c>
      <c r="HD198" s="10">
        <v>0</v>
      </c>
      <c r="HE198" s="10">
        <v>0</v>
      </c>
      <c r="HF198" s="10">
        <v>0</v>
      </c>
      <c r="HG198" s="10">
        <v>0</v>
      </c>
      <c r="HH198" s="10">
        <v>0</v>
      </c>
      <c r="HI198" s="10">
        <v>0</v>
      </c>
      <c r="HJ198" s="10">
        <v>0</v>
      </c>
      <c r="HK198" s="10">
        <v>0</v>
      </c>
      <c r="HL198" s="10">
        <v>0</v>
      </c>
      <c r="HM198" s="10">
        <v>0</v>
      </c>
      <c r="HN198" s="10">
        <v>0</v>
      </c>
      <c r="HO198" s="10">
        <v>0</v>
      </c>
      <c r="HP198" s="10">
        <v>0</v>
      </c>
      <c r="HQ198" s="10">
        <v>0</v>
      </c>
      <c r="HR198" s="10">
        <v>0</v>
      </c>
      <c r="HS198" s="10">
        <v>0</v>
      </c>
      <c r="HT198" s="10">
        <v>0</v>
      </c>
      <c r="HU198" s="10">
        <v>0</v>
      </c>
    </row>
    <row r="199" spans="1:229" x14ac:dyDescent="0.25">
      <c r="A199" s="10">
        <v>0</v>
      </c>
      <c r="B199" s="2" t="s">
        <v>386</v>
      </c>
      <c r="C199" s="2" t="s">
        <v>387</v>
      </c>
      <c r="D199" s="2">
        <v>0.65800000000000003</v>
      </c>
      <c r="E199" s="2">
        <v>3.79</v>
      </c>
      <c r="F199" s="2">
        <v>4.4800000000000004</v>
      </c>
      <c r="G199" s="2">
        <v>0</v>
      </c>
      <c r="H199" s="2">
        <v>4.6100000000000003</v>
      </c>
      <c r="I199" s="2">
        <v>40</v>
      </c>
      <c r="J199" s="2">
        <v>0.31</v>
      </c>
      <c r="K199" s="2">
        <v>5.2999999999999999E-2</v>
      </c>
      <c r="L199" s="3"/>
      <c r="M199" s="2" t="str">
        <f t="shared" si="9"/>
        <v>01289</v>
      </c>
      <c r="N199" s="3">
        <v>0.79522634355878441</v>
      </c>
      <c r="O199" s="3">
        <v>1.2047736564412153</v>
      </c>
      <c r="P199" s="17">
        <v>0.79522634355841482</v>
      </c>
      <c r="Q199" s="3">
        <v>2.1962134193525942</v>
      </c>
      <c r="R199" s="3">
        <v>0.9140143603613553</v>
      </c>
      <c r="S199" s="3" t="e">
        <v>#DIV/0!</v>
      </c>
      <c r="T199" s="3">
        <v>0.79522634355878341</v>
      </c>
      <c r="U199" s="3">
        <v>0.79522634355878452</v>
      </c>
      <c r="V199" s="10">
        <v>1.2047736564417106</v>
      </c>
      <c r="W199" s="3">
        <v>1.9301734119419725</v>
      </c>
      <c r="X199" s="3">
        <v>0.52325893406143698</v>
      </c>
      <c r="Y199" s="3">
        <v>8.3236488593463314</v>
      </c>
      <c r="Z199" s="3">
        <v>4.0947843344188719</v>
      </c>
      <c r="AA199" s="3">
        <v>0</v>
      </c>
      <c r="AB199" s="3">
        <v>3.6659934438059918</v>
      </c>
      <c r="AC199" s="10">
        <v>31.809053742351381</v>
      </c>
      <c r="AD199" s="3">
        <v>0.37347983349693031</v>
      </c>
      <c r="AE199" s="3">
        <v>0.10229919083292453</v>
      </c>
      <c r="AF199" s="3">
        <v>0</v>
      </c>
      <c r="AG199" s="3">
        <v>0</v>
      </c>
      <c r="AH199" s="3">
        <v>0</v>
      </c>
      <c r="AI199" s="3">
        <v>0</v>
      </c>
      <c r="AJ199" s="3">
        <v>0</v>
      </c>
      <c r="AK199" s="3">
        <v>0</v>
      </c>
      <c r="AL199" s="3">
        <v>0</v>
      </c>
      <c r="AM199" s="3">
        <v>0</v>
      </c>
      <c r="AN199" s="3">
        <v>0</v>
      </c>
      <c r="AO199" s="3">
        <v>0</v>
      </c>
      <c r="AP199" s="3">
        <v>0</v>
      </c>
      <c r="AQ199" s="3">
        <v>0</v>
      </c>
      <c r="AR199" s="3">
        <v>0</v>
      </c>
      <c r="AS199" s="3">
        <v>0</v>
      </c>
      <c r="AT199" s="3">
        <v>0</v>
      </c>
      <c r="AU199" s="3">
        <v>0</v>
      </c>
      <c r="AV199" s="3">
        <v>0</v>
      </c>
      <c r="AW199" s="3">
        <v>0</v>
      </c>
      <c r="AX199" s="3">
        <v>0</v>
      </c>
      <c r="AY199" s="3">
        <v>0</v>
      </c>
      <c r="AZ199" s="3">
        <v>0</v>
      </c>
      <c r="BA199" s="10">
        <v>0</v>
      </c>
      <c r="BB199" s="10">
        <v>0</v>
      </c>
      <c r="BC199" s="10">
        <v>0</v>
      </c>
      <c r="BD199" s="10">
        <v>0</v>
      </c>
      <c r="BE199" s="10">
        <v>0</v>
      </c>
      <c r="BF199" s="10">
        <v>0</v>
      </c>
      <c r="BG199" s="10">
        <v>0</v>
      </c>
      <c r="BH199" s="10">
        <v>0</v>
      </c>
      <c r="BI199" s="10">
        <v>0</v>
      </c>
      <c r="BJ199" s="10">
        <v>0</v>
      </c>
      <c r="BK199" s="10">
        <v>0</v>
      </c>
      <c r="BL199" s="10">
        <v>0</v>
      </c>
      <c r="BM199" s="10">
        <v>0</v>
      </c>
      <c r="BN199" s="10">
        <v>0</v>
      </c>
      <c r="BO199" s="10">
        <v>0</v>
      </c>
      <c r="BP199" s="10">
        <v>0</v>
      </c>
      <c r="BQ199" s="10">
        <v>0</v>
      </c>
      <c r="BR199" s="10">
        <v>0</v>
      </c>
      <c r="BS199" s="10">
        <v>0</v>
      </c>
      <c r="BT199" s="10">
        <v>0</v>
      </c>
      <c r="BU199" s="10">
        <v>0</v>
      </c>
      <c r="BV199" s="10">
        <v>0</v>
      </c>
      <c r="BW199" s="10">
        <v>0</v>
      </c>
      <c r="BX199" s="10">
        <v>0</v>
      </c>
      <c r="BY199" s="10">
        <v>0</v>
      </c>
      <c r="BZ199" s="10">
        <v>0</v>
      </c>
      <c r="CA199" s="10">
        <v>3.1952947248950078E-2</v>
      </c>
      <c r="CB199" s="10">
        <v>0</v>
      </c>
      <c r="CC199" s="10">
        <v>0</v>
      </c>
      <c r="CD199" s="10">
        <v>0</v>
      </c>
      <c r="CE199" s="10">
        <v>0</v>
      </c>
      <c r="CF199" s="10">
        <v>0</v>
      </c>
      <c r="CG199" s="10">
        <v>0</v>
      </c>
      <c r="CH199" s="10">
        <v>0</v>
      </c>
      <c r="CI199" s="10">
        <v>0</v>
      </c>
      <c r="CJ199" s="10">
        <v>0</v>
      </c>
      <c r="CK199" s="10">
        <v>0</v>
      </c>
      <c r="CL199" s="10">
        <v>0</v>
      </c>
      <c r="CM199" s="10">
        <v>0</v>
      </c>
      <c r="CN199" s="10">
        <v>0</v>
      </c>
      <c r="CO199" s="10">
        <v>0</v>
      </c>
      <c r="CP199" s="10">
        <v>0</v>
      </c>
      <c r="CQ199" s="10">
        <v>0</v>
      </c>
      <c r="CR199" s="10">
        <v>0</v>
      </c>
      <c r="CS199" s="10">
        <v>7.9009441575925821E-2</v>
      </c>
      <c r="CT199" s="10">
        <v>0</v>
      </c>
      <c r="CU199" s="10">
        <v>0</v>
      </c>
      <c r="CV199" s="10">
        <v>0</v>
      </c>
      <c r="CW199" s="10">
        <v>0</v>
      </c>
      <c r="CX199" s="10">
        <v>0</v>
      </c>
      <c r="CY199" s="10">
        <v>0</v>
      </c>
      <c r="CZ199" s="10">
        <v>0</v>
      </c>
      <c r="DA199" s="10">
        <v>0</v>
      </c>
      <c r="DB199" s="10">
        <v>0</v>
      </c>
      <c r="DC199" s="10">
        <v>0</v>
      </c>
      <c r="DD199" s="10">
        <v>0.11866560936163295</v>
      </c>
      <c r="DE199" s="10">
        <v>0</v>
      </c>
      <c r="DF199" s="10">
        <v>0</v>
      </c>
      <c r="DG199" s="10">
        <v>0</v>
      </c>
      <c r="DH199" s="10">
        <v>0</v>
      </c>
      <c r="DI199" s="10">
        <v>0</v>
      </c>
      <c r="DJ199" s="10">
        <v>0</v>
      </c>
      <c r="DK199" s="10">
        <v>0</v>
      </c>
      <c r="DL199" s="10">
        <v>0</v>
      </c>
      <c r="DM199" s="10">
        <v>0</v>
      </c>
      <c r="DN199" s="10">
        <v>0</v>
      </c>
      <c r="DO199" s="10">
        <v>0</v>
      </c>
      <c r="DP199" s="10">
        <v>0</v>
      </c>
      <c r="DQ199" s="10">
        <v>0</v>
      </c>
      <c r="DR199" s="10">
        <v>0</v>
      </c>
      <c r="DS199" s="10">
        <v>0</v>
      </c>
      <c r="DT199" s="10">
        <v>0</v>
      </c>
      <c r="DU199" s="10">
        <v>0</v>
      </c>
      <c r="DV199" s="10">
        <v>0</v>
      </c>
      <c r="DW199" s="10">
        <v>0</v>
      </c>
      <c r="DX199" s="10">
        <v>0</v>
      </c>
      <c r="DY199" s="10">
        <v>0</v>
      </c>
      <c r="DZ199" s="10">
        <v>0</v>
      </c>
      <c r="EA199" s="10">
        <v>0</v>
      </c>
      <c r="EB199" s="10">
        <v>0</v>
      </c>
      <c r="EC199" s="10">
        <v>0</v>
      </c>
      <c r="ED199" s="10">
        <v>0</v>
      </c>
      <c r="EE199" s="10">
        <v>0</v>
      </c>
      <c r="EF199" s="10">
        <v>0</v>
      </c>
      <c r="EG199" s="10">
        <v>0</v>
      </c>
      <c r="EH199" s="10">
        <v>0</v>
      </c>
      <c r="EI199" s="10">
        <v>0</v>
      </c>
      <c r="EJ199" s="10">
        <v>0</v>
      </c>
      <c r="EK199" s="10">
        <v>0</v>
      </c>
      <c r="EL199" s="10">
        <v>0</v>
      </c>
      <c r="EM199" s="10">
        <v>0</v>
      </c>
      <c r="EN199" s="10">
        <v>0</v>
      </c>
      <c r="EO199" s="10">
        <v>0</v>
      </c>
      <c r="EP199" s="10">
        <v>0</v>
      </c>
      <c r="EQ199" s="10">
        <v>0</v>
      </c>
      <c r="ER199" s="10">
        <v>0</v>
      </c>
      <c r="ES199" s="10">
        <v>0</v>
      </c>
      <c r="ET199" s="10">
        <v>0</v>
      </c>
      <c r="EU199" s="10">
        <v>0</v>
      </c>
      <c r="EV199" s="10">
        <v>0</v>
      </c>
      <c r="EW199" s="10">
        <v>0</v>
      </c>
      <c r="EX199" s="10">
        <v>0</v>
      </c>
      <c r="EY199" s="10">
        <v>0</v>
      </c>
      <c r="EZ199" s="10">
        <v>0</v>
      </c>
      <c r="FA199" s="10">
        <v>0</v>
      </c>
      <c r="FB199" s="10">
        <v>0</v>
      </c>
      <c r="FC199" s="10">
        <v>0</v>
      </c>
      <c r="FD199" s="10">
        <v>0</v>
      </c>
      <c r="FE199" s="10">
        <v>0</v>
      </c>
      <c r="FF199" s="10">
        <v>0</v>
      </c>
      <c r="FG199" s="10">
        <v>0</v>
      </c>
      <c r="FH199" s="10">
        <v>0</v>
      </c>
      <c r="FI199" s="10">
        <v>0</v>
      </c>
      <c r="FJ199" s="10">
        <v>0</v>
      </c>
      <c r="FK199" s="10">
        <v>0</v>
      </c>
      <c r="FL199" s="10">
        <v>0</v>
      </c>
      <c r="FM199" s="10">
        <v>0</v>
      </c>
      <c r="FN199" s="10">
        <v>0</v>
      </c>
      <c r="FO199" s="10">
        <v>0</v>
      </c>
      <c r="FP199" s="10">
        <v>0</v>
      </c>
      <c r="FQ199" s="10">
        <v>0</v>
      </c>
      <c r="FR199" s="10">
        <v>0</v>
      </c>
      <c r="FS199" s="10">
        <v>0</v>
      </c>
      <c r="FT199" s="10">
        <v>0</v>
      </c>
      <c r="FU199" s="10">
        <v>0</v>
      </c>
      <c r="FV199" s="10">
        <v>0</v>
      </c>
      <c r="FW199" s="10">
        <v>0</v>
      </c>
      <c r="FX199" s="10">
        <v>0</v>
      </c>
      <c r="FY199" s="10">
        <v>0</v>
      </c>
      <c r="FZ199" s="10">
        <v>0</v>
      </c>
      <c r="GA199" s="10">
        <v>0</v>
      </c>
      <c r="GB199" s="10">
        <v>0</v>
      </c>
      <c r="GC199" s="10">
        <v>0</v>
      </c>
      <c r="GD199" s="10">
        <v>0</v>
      </c>
      <c r="GE199" s="10">
        <v>0</v>
      </c>
      <c r="GF199" s="10">
        <v>0</v>
      </c>
      <c r="GG199" s="10">
        <v>0</v>
      </c>
      <c r="GH199" s="10">
        <v>0</v>
      </c>
      <c r="GI199" s="10">
        <v>0</v>
      </c>
      <c r="GJ199" s="10">
        <v>0</v>
      </c>
      <c r="GK199" s="10">
        <v>0</v>
      </c>
      <c r="GL199" s="10">
        <v>0</v>
      </c>
      <c r="GM199" s="10">
        <v>0</v>
      </c>
      <c r="GN199" s="10">
        <v>0</v>
      </c>
      <c r="GO199" s="10">
        <v>0</v>
      </c>
      <c r="GP199" s="10">
        <v>0</v>
      </c>
      <c r="GQ199" s="10">
        <v>0</v>
      </c>
      <c r="GR199" s="10">
        <v>0</v>
      </c>
      <c r="GS199" s="10">
        <v>0</v>
      </c>
      <c r="GT199" s="10">
        <v>0</v>
      </c>
      <c r="GU199" s="10">
        <v>0</v>
      </c>
      <c r="GV199" s="10">
        <v>0.7703720018134913</v>
      </c>
      <c r="GW199" s="10">
        <v>0</v>
      </c>
      <c r="GX199" s="10">
        <v>0</v>
      </c>
      <c r="GY199" s="10">
        <v>0</v>
      </c>
      <c r="GZ199" s="10">
        <v>0</v>
      </c>
      <c r="HA199" s="10">
        <v>0</v>
      </c>
      <c r="HB199" s="10">
        <v>0</v>
      </c>
      <c r="HC199" s="10">
        <v>0</v>
      </c>
      <c r="HD199" s="10">
        <v>0</v>
      </c>
      <c r="HE199" s="10">
        <v>0</v>
      </c>
      <c r="HF199" s="10">
        <v>0</v>
      </c>
      <c r="HG199" s="10">
        <v>0</v>
      </c>
      <c r="HH199" s="10">
        <v>0</v>
      </c>
      <c r="HI199" s="10">
        <v>0</v>
      </c>
      <c r="HJ199" s="10">
        <v>0</v>
      </c>
      <c r="HK199" s="10">
        <v>0</v>
      </c>
      <c r="HL199" s="10">
        <v>0</v>
      </c>
      <c r="HM199" s="10">
        <v>0</v>
      </c>
      <c r="HN199" s="10">
        <v>0</v>
      </c>
      <c r="HO199" s="10">
        <v>0</v>
      </c>
      <c r="HP199" s="10">
        <v>0</v>
      </c>
      <c r="HQ199" s="10">
        <v>0</v>
      </c>
      <c r="HR199" s="10">
        <v>0</v>
      </c>
      <c r="HS199" s="10">
        <v>0</v>
      </c>
      <c r="HT199" s="10">
        <v>0</v>
      </c>
      <c r="HU199" s="10">
        <v>0</v>
      </c>
    </row>
    <row r="200" spans="1:229" x14ac:dyDescent="0.25">
      <c r="A200" s="10">
        <v>0</v>
      </c>
      <c r="B200" s="2" t="s">
        <v>388</v>
      </c>
      <c r="C200" s="2" t="s">
        <v>389</v>
      </c>
      <c r="D200" s="2">
        <v>0.53300000000000003</v>
      </c>
      <c r="E200" s="2">
        <v>3.39</v>
      </c>
      <c r="F200" s="2">
        <v>10.199999999999999</v>
      </c>
      <c r="G200" s="2">
        <v>0</v>
      </c>
      <c r="H200" s="2">
        <v>9.2100000000000009</v>
      </c>
      <c r="I200" s="2">
        <v>37</v>
      </c>
      <c r="J200" s="2">
        <v>0.26200000000000001</v>
      </c>
      <c r="K200" s="2">
        <v>4.1000000000000002E-2</v>
      </c>
      <c r="L200" s="3"/>
      <c r="M200" s="2" t="str">
        <f t="shared" si="9"/>
        <v>01290</v>
      </c>
      <c r="N200" s="3">
        <v>0.833948632173107</v>
      </c>
      <c r="O200" s="3">
        <v>1.1660513678268931</v>
      </c>
      <c r="P200" s="17">
        <v>0.83394863217328596</v>
      </c>
      <c r="Q200" s="3">
        <v>2.2233177187281057</v>
      </c>
      <c r="R200" s="3">
        <v>0.80194573640945555</v>
      </c>
      <c r="S200" s="3" t="e">
        <v>#DIV/0!</v>
      </c>
      <c r="T200" s="3">
        <v>0.8339486321731121</v>
      </c>
      <c r="U200" s="3">
        <v>0.83394863217310733</v>
      </c>
      <c r="V200" s="10">
        <v>1.1660513678269009</v>
      </c>
      <c r="W200" s="3">
        <v>2.1488965355074381</v>
      </c>
      <c r="X200" s="3">
        <v>0.44449462094836145</v>
      </c>
      <c r="Y200" s="3">
        <v>7.5370470664882783</v>
      </c>
      <c r="Z200" s="3">
        <v>8.1798465113764465</v>
      </c>
      <c r="AA200" s="3">
        <v>0.35394274768299211</v>
      </c>
      <c r="AB200" s="3">
        <v>7.6806669023143632</v>
      </c>
      <c r="AC200" s="10">
        <v>30.856099390404971</v>
      </c>
      <c r="AD200" s="3">
        <v>0.30550545837064802</v>
      </c>
      <c r="AE200" s="3">
        <v>8.8104757955804969E-2</v>
      </c>
      <c r="AF200" s="3">
        <v>0</v>
      </c>
      <c r="AG200" s="3">
        <v>0</v>
      </c>
      <c r="AH200" s="3">
        <v>0</v>
      </c>
      <c r="AI200" s="3">
        <v>0</v>
      </c>
      <c r="AJ200" s="3">
        <v>0</v>
      </c>
      <c r="AK200" s="3">
        <v>0</v>
      </c>
      <c r="AL200" s="3">
        <v>0</v>
      </c>
      <c r="AM200" s="3">
        <v>0</v>
      </c>
      <c r="AN200" s="3">
        <v>0</v>
      </c>
      <c r="AO200" s="3">
        <v>0</v>
      </c>
      <c r="AP200" s="3">
        <v>0</v>
      </c>
      <c r="AQ200" s="3">
        <v>0</v>
      </c>
      <c r="AR200" s="3">
        <v>0</v>
      </c>
      <c r="AS200" s="3">
        <v>0</v>
      </c>
      <c r="AT200" s="3">
        <v>0</v>
      </c>
      <c r="AU200" s="3">
        <v>0</v>
      </c>
      <c r="AV200" s="3">
        <v>0</v>
      </c>
      <c r="AW200" s="3">
        <v>0</v>
      </c>
      <c r="AX200" s="3">
        <v>0</v>
      </c>
      <c r="AY200" s="3">
        <v>0</v>
      </c>
      <c r="AZ200" s="3">
        <v>0</v>
      </c>
      <c r="BA200" s="10">
        <v>0</v>
      </c>
      <c r="BB200" s="10">
        <v>0</v>
      </c>
      <c r="BC200" s="10">
        <v>0</v>
      </c>
      <c r="BD200" s="10">
        <v>0</v>
      </c>
      <c r="BE200" s="10">
        <v>0</v>
      </c>
      <c r="BF200" s="10">
        <v>0</v>
      </c>
      <c r="BG200" s="10">
        <v>0</v>
      </c>
      <c r="BH200" s="10">
        <v>0</v>
      </c>
      <c r="BI200" s="10">
        <v>0</v>
      </c>
      <c r="BJ200" s="10">
        <v>0</v>
      </c>
      <c r="BK200" s="10">
        <v>0</v>
      </c>
      <c r="BL200" s="10">
        <v>0</v>
      </c>
      <c r="BM200" s="10">
        <v>0</v>
      </c>
      <c r="BN200" s="10">
        <v>0</v>
      </c>
      <c r="BO200" s="10">
        <v>0</v>
      </c>
      <c r="BP200" s="10">
        <v>0</v>
      </c>
      <c r="BQ200" s="10">
        <v>0</v>
      </c>
      <c r="BR200" s="10">
        <v>0</v>
      </c>
      <c r="BS200" s="10">
        <v>0</v>
      </c>
      <c r="BT200" s="10">
        <v>0</v>
      </c>
      <c r="BU200" s="10">
        <v>0</v>
      </c>
      <c r="BV200" s="10">
        <v>0</v>
      </c>
      <c r="BW200" s="10">
        <v>0</v>
      </c>
      <c r="BX200" s="10">
        <v>0</v>
      </c>
      <c r="BY200" s="10">
        <v>0</v>
      </c>
      <c r="BZ200" s="10">
        <v>0</v>
      </c>
      <c r="CA200" s="10">
        <v>0</v>
      </c>
      <c r="CB200" s="10">
        <v>0</v>
      </c>
      <c r="CC200" s="10">
        <v>0</v>
      </c>
      <c r="CD200" s="10">
        <v>0</v>
      </c>
      <c r="CE200" s="10">
        <v>0</v>
      </c>
      <c r="CF200" s="10">
        <v>0</v>
      </c>
      <c r="CG200" s="10">
        <v>0</v>
      </c>
      <c r="CH200" s="10">
        <v>0</v>
      </c>
      <c r="CI200" s="10">
        <v>0</v>
      </c>
      <c r="CJ200" s="10">
        <v>0</v>
      </c>
      <c r="CK200" s="10">
        <v>0</v>
      </c>
      <c r="CL200" s="10">
        <v>0</v>
      </c>
      <c r="CM200" s="10">
        <v>0</v>
      </c>
      <c r="CN200" s="10">
        <v>0</v>
      </c>
      <c r="CO200" s="10">
        <v>0</v>
      </c>
      <c r="CP200" s="10">
        <v>0</v>
      </c>
      <c r="CQ200" s="10">
        <v>0</v>
      </c>
      <c r="CR200" s="10">
        <v>0</v>
      </c>
      <c r="CS200" s="10">
        <v>2.1294984199343843E-2</v>
      </c>
      <c r="CT200" s="10">
        <v>0</v>
      </c>
      <c r="CU200" s="10">
        <v>0</v>
      </c>
      <c r="CV200" s="10">
        <v>0</v>
      </c>
      <c r="CW200" s="10">
        <v>0</v>
      </c>
      <c r="CX200" s="10">
        <v>0</v>
      </c>
      <c r="CY200" s="10">
        <v>0</v>
      </c>
      <c r="CZ200" s="10">
        <v>0</v>
      </c>
      <c r="DA200" s="10">
        <v>0</v>
      </c>
      <c r="DB200" s="10">
        <v>0</v>
      </c>
      <c r="DC200" s="10">
        <v>0</v>
      </c>
      <c r="DD200" s="10">
        <v>0.15390887583930118</v>
      </c>
      <c r="DE200" s="10">
        <v>0</v>
      </c>
      <c r="DF200" s="10">
        <v>0</v>
      </c>
      <c r="DG200" s="10">
        <v>0</v>
      </c>
      <c r="DH200" s="10">
        <v>0</v>
      </c>
      <c r="DI200" s="10">
        <v>0</v>
      </c>
      <c r="DJ200" s="10">
        <v>0</v>
      </c>
      <c r="DK200" s="10">
        <v>0</v>
      </c>
      <c r="DL200" s="10">
        <v>0</v>
      </c>
      <c r="DM200" s="10">
        <v>0</v>
      </c>
      <c r="DN200" s="10">
        <v>0</v>
      </c>
      <c r="DO200" s="10">
        <v>0</v>
      </c>
      <c r="DP200" s="10">
        <v>0</v>
      </c>
      <c r="DQ200" s="10">
        <v>0</v>
      </c>
      <c r="DR200" s="10">
        <v>0</v>
      </c>
      <c r="DS200" s="10">
        <v>0</v>
      </c>
      <c r="DT200" s="10">
        <v>0</v>
      </c>
      <c r="DU200" s="10">
        <v>0</v>
      </c>
      <c r="DV200" s="10">
        <v>0</v>
      </c>
      <c r="DW200" s="10">
        <v>0</v>
      </c>
      <c r="DX200" s="10">
        <v>0</v>
      </c>
      <c r="DY200" s="10">
        <v>0</v>
      </c>
      <c r="DZ200" s="10">
        <v>0</v>
      </c>
      <c r="EA200" s="10">
        <v>0</v>
      </c>
      <c r="EB200" s="10">
        <v>0</v>
      </c>
      <c r="EC200" s="10">
        <v>0</v>
      </c>
      <c r="ED200" s="10">
        <v>0</v>
      </c>
      <c r="EE200" s="10">
        <v>0</v>
      </c>
      <c r="EF200" s="10">
        <v>0</v>
      </c>
      <c r="EG200" s="10">
        <v>0</v>
      </c>
      <c r="EH200" s="10">
        <v>0</v>
      </c>
      <c r="EI200" s="10">
        <v>0</v>
      </c>
      <c r="EJ200" s="10">
        <v>0</v>
      </c>
      <c r="EK200" s="10">
        <v>0</v>
      </c>
      <c r="EL200" s="10">
        <v>0</v>
      </c>
      <c r="EM200" s="10">
        <v>0</v>
      </c>
      <c r="EN200" s="10">
        <v>0</v>
      </c>
      <c r="EO200" s="10">
        <v>0</v>
      </c>
      <c r="EP200" s="10">
        <v>0</v>
      </c>
      <c r="EQ200" s="10">
        <v>0</v>
      </c>
      <c r="ER200" s="10">
        <v>0</v>
      </c>
      <c r="ES200" s="10">
        <v>0</v>
      </c>
      <c r="ET200" s="10">
        <v>0</v>
      </c>
      <c r="EU200" s="10">
        <v>0</v>
      </c>
      <c r="EV200" s="10">
        <v>0</v>
      </c>
      <c r="EW200" s="10">
        <v>0</v>
      </c>
      <c r="EX200" s="10">
        <v>0</v>
      </c>
      <c r="EY200" s="10">
        <v>0</v>
      </c>
      <c r="EZ200" s="10">
        <v>0</v>
      </c>
      <c r="FA200" s="10">
        <v>0</v>
      </c>
      <c r="FB200" s="10">
        <v>0</v>
      </c>
      <c r="FC200" s="10">
        <v>0</v>
      </c>
      <c r="FD200" s="10">
        <v>0</v>
      </c>
      <c r="FE200" s="10">
        <v>0</v>
      </c>
      <c r="FF200" s="10">
        <v>0</v>
      </c>
      <c r="FG200" s="10">
        <v>0</v>
      </c>
      <c r="FH200" s="10">
        <v>0</v>
      </c>
      <c r="FI200" s="10">
        <v>0</v>
      </c>
      <c r="FJ200" s="10">
        <v>0</v>
      </c>
      <c r="FK200" s="10">
        <v>0</v>
      </c>
      <c r="FL200" s="10">
        <v>0</v>
      </c>
      <c r="FM200" s="10">
        <v>0</v>
      </c>
      <c r="FN200" s="10">
        <v>0</v>
      </c>
      <c r="FO200" s="10">
        <v>0</v>
      </c>
      <c r="FP200" s="10">
        <v>0</v>
      </c>
      <c r="FQ200" s="10">
        <v>0</v>
      </c>
      <c r="FR200" s="10">
        <v>0</v>
      </c>
      <c r="FS200" s="10">
        <v>0</v>
      </c>
      <c r="FT200" s="10">
        <v>0</v>
      </c>
      <c r="FU200" s="10">
        <v>0</v>
      </c>
      <c r="FV200" s="10">
        <v>0</v>
      </c>
      <c r="FW200" s="10">
        <v>0</v>
      </c>
      <c r="FX200" s="10">
        <v>0</v>
      </c>
      <c r="FY200" s="10">
        <v>0</v>
      </c>
      <c r="FZ200" s="10">
        <v>0</v>
      </c>
      <c r="GA200" s="10">
        <v>0</v>
      </c>
      <c r="GB200" s="10">
        <v>0</v>
      </c>
      <c r="GC200" s="10">
        <v>0</v>
      </c>
      <c r="GD200" s="10">
        <v>0</v>
      </c>
      <c r="GE200" s="10">
        <v>0</v>
      </c>
      <c r="GF200" s="10">
        <v>0</v>
      </c>
      <c r="GG200" s="10">
        <v>0</v>
      </c>
      <c r="GH200" s="10">
        <v>0</v>
      </c>
      <c r="GI200" s="10">
        <v>0</v>
      </c>
      <c r="GJ200" s="10">
        <v>0</v>
      </c>
      <c r="GK200" s="10">
        <v>0</v>
      </c>
      <c r="GL200" s="10">
        <v>0</v>
      </c>
      <c r="GM200" s="10">
        <v>0</v>
      </c>
      <c r="GN200" s="10">
        <v>0</v>
      </c>
      <c r="GO200" s="10">
        <v>0</v>
      </c>
      <c r="GP200" s="10">
        <v>0</v>
      </c>
      <c r="GQ200" s="10">
        <v>0</v>
      </c>
      <c r="GR200" s="10">
        <v>0</v>
      </c>
      <c r="GS200" s="10">
        <v>0</v>
      </c>
      <c r="GT200" s="10">
        <v>0</v>
      </c>
      <c r="GU200" s="10">
        <v>0</v>
      </c>
      <c r="GV200" s="10">
        <v>0.31916364327136637</v>
      </c>
      <c r="GW200" s="10">
        <v>0</v>
      </c>
      <c r="GX200" s="10">
        <v>0</v>
      </c>
      <c r="GY200" s="10">
        <v>0</v>
      </c>
      <c r="GZ200" s="10">
        <v>0</v>
      </c>
      <c r="HA200" s="10">
        <v>0</v>
      </c>
      <c r="HB200" s="10">
        <v>0</v>
      </c>
      <c r="HC200" s="10">
        <v>0</v>
      </c>
      <c r="HD200" s="10">
        <v>0</v>
      </c>
      <c r="HE200" s="10">
        <v>0</v>
      </c>
      <c r="HF200" s="10">
        <v>0</v>
      </c>
      <c r="HG200" s="10">
        <v>0.50563249668998878</v>
      </c>
      <c r="HH200" s="10">
        <v>0</v>
      </c>
      <c r="HI200" s="10">
        <v>0</v>
      </c>
      <c r="HJ200" s="10">
        <v>0</v>
      </c>
      <c r="HK200" s="10">
        <v>0</v>
      </c>
      <c r="HL200" s="10">
        <v>0</v>
      </c>
      <c r="HM200" s="10">
        <v>0</v>
      </c>
      <c r="HN200" s="10">
        <v>0</v>
      </c>
      <c r="HO200" s="10">
        <v>0</v>
      </c>
      <c r="HP200" s="10">
        <v>0</v>
      </c>
      <c r="HQ200" s="10">
        <v>0</v>
      </c>
      <c r="HR200" s="10">
        <v>0</v>
      </c>
      <c r="HS200" s="10">
        <v>0</v>
      </c>
      <c r="HT200" s="10">
        <v>0</v>
      </c>
      <c r="HU200" s="10">
        <v>0</v>
      </c>
    </row>
    <row r="201" spans="1:229" x14ac:dyDescent="0.25">
      <c r="A201" s="10">
        <v>0</v>
      </c>
      <c r="B201" s="2" t="s">
        <v>390</v>
      </c>
      <c r="C201" s="2" t="s">
        <v>391</v>
      </c>
      <c r="D201" s="2">
        <v>2.395</v>
      </c>
      <c r="E201" s="2">
        <v>9</v>
      </c>
      <c r="F201" s="2">
        <v>3.98</v>
      </c>
      <c r="G201" s="2">
        <v>0</v>
      </c>
      <c r="H201" s="2">
        <v>4</v>
      </c>
      <c r="I201" s="2">
        <v>35</v>
      </c>
      <c r="J201" s="2">
        <v>2.1360000000000001</v>
      </c>
      <c r="K201" s="2">
        <v>0.46899999999999997</v>
      </c>
      <c r="L201" s="3"/>
      <c r="M201" s="2" t="str">
        <f t="shared" si="9"/>
        <v>01293</v>
      </c>
      <c r="N201" s="3">
        <v>0.91220694745444386</v>
      </c>
      <c r="O201" s="3">
        <v>1.0877930525455564</v>
      </c>
      <c r="P201" s="17">
        <v>0.91220694745451569</v>
      </c>
      <c r="Q201" s="3">
        <v>1.0877930525455533</v>
      </c>
      <c r="R201" s="3">
        <v>1.0576078304316017</v>
      </c>
      <c r="S201" s="3" t="e">
        <v>#DIV/0!</v>
      </c>
      <c r="T201" s="3">
        <v>0.85313311020656279</v>
      </c>
      <c r="U201" s="3">
        <v>0.91220694745444475</v>
      </c>
      <c r="V201" s="10">
        <v>1.0877930525455011</v>
      </c>
      <c r="W201" s="3">
        <v>1.676141023213656</v>
      </c>
      <c r="X201" s="3">
        <v>2.1847356391535651</v>
      </c>
      <c r="Y201" s="3">
        <v>9.7901374729099793</v>
      </c>
      <c r="Z201" s="3">
        <v>4.209279165117775</v>
      </c>
      <c r="AA201" s="3">
        <v>3.2087377214087137E-2</v>
      </c>
      <c r="AB201" s="3">
        <v>3.4125324408262512</v>
      </c>
      <c r="AC201" s="3">
        <v>31.927243160905565</v>
      </c>
      <c r="AD201" s="3">
        <v>2.3235259602371903</v>
      </c>
      <c r="AE201" s="3">
        <v>0.78611013988720457</v>
      </c>
      <c r="AF201" s="3">
        <v>0</v>
      </c>
      <c r="AG201" s="3">
        <v>0</v>
      </c>
      <c r="AH201" s="3">
        <v>0</v>
      </c>
      <c r="AI201" s="3">
        <v>0</v>
      </c>
      <c r="AJ201" s="3">
        <v>0</v>
      </c>
      <c r="AK201" s="3">
        <v>0</v>
      </c>
      <c r="AL201" s="3">
        <v>0</v>
      </c>
      <c r="AM201" s="3">
        <v>0</v>
      </c>
      <c r="AN201" s="3">
        <v>0</v>
      </c>
      <c r="AO201" s="3">
        <v>0</v>
      </c>
      <c r="AP201" s="3">
        <v>0</v>
      </c>
      <c r="AQ201" s="3">
        <v>0</v>
      </c>
      <c r="AR201" s="3">
        <v>0</v>
      </c>
      <c r="AS201" s="3">
        <v>0</v>
      </c>
      <c r="AT201" s="3">
        <v>0</v>
      </c>
      <c r="AU201" s="3">
        <v>0</v>
      </c>
      <c r="AV201" s="3">
        <v>0</v>
      </c>
      <c r="AW201" s="3">
        <v>0</v>
      </c>
      <c r="AX201" s="3">
        <v>0</v>
      </c>
      <c r="AY201" s="3">
        <v>0</v>
      </c>
      <c r="AZ201" s="3">
        <v>0</v>
      </c>
      <c r="BA201" s="10">
        <v>0</v>
      </c>
      <c r="BB201" s="10">
        <v>0</v>
      </c>
      <c r="BC201" s="10">
        <v>0</v>
      </c>
      <c r="BD201" s="10">
        <v>0</v>
      </c>
      <c r="BE201" s="10">
        <v>0</v>
      </c>
      <c r="BF201" s="10">
        <v>0</v>
      </c>
      <c r="BG201" s="10">
        <v>0</v>
      </c>
      <c r="BH201" s="10">
        <v>0</v>
      </c>
      <c r="BI201" s="10">
        <v>0</v>
      </c>
      <c r="BJ201" s="10">
        <v>0</v>
      </c>
      <c r="BK201" s="10">
        <v>0</v>
      </c>
      <c r="BL201" s="10">
        <v>0</v>
      </c>
      <c r="BM201" s="10">
        <v>0</v>
      </c>
      <c r="BN201" s="10">
        <v>0</v>
      </c>
      <c r="BO201" s="10">
        <v>0</v>
      </c>
      <c r="BP201" s="10">
        <v>0</v>
      </c>
      <c r="BQ201" s="10">
        <v>0</v>
      </c>
      <c r="BR201" s="10">
        <v>0</v>
      </c>
      <c r="BS201" s="10">
        <v>0</v>
      </c>
      <c r="BT201" s="10">
        <v>0</v>
      </c>
      <c r="BU201" s="10">
        <v>0</v>
      </c>
      <c r="BV201" s="10">
        <v>0</v>
      </c>
      <c r="BW201" s="10">
        <v>0</v>
      </c>
      <c r="BX201" s="10">
        <v>0</v>
      </c>
      <c r="BY201" s="10">
        <v>0</v>
      </c>
      <c r="BZ201" s="10">
        <v>0</v>
      </c>
      <c r="CA201" s="10">
        <v>0</v>
      </c>
      <c r="CB201" s="10">
        <v>0</v>
      </c>
      <c r="CC201" s="10">
        <v>0</v>
      </c>
      <c r="CD201" s="10">
        <v>0</v>
      </c>
      <c r="CE201" s="10">
        <v>0</v>
      </c>
      <c r="CF201" s="10">
        <v>0</v>
      </c>
      <c r="CG201" s="10">
        <v>0</v>
      </c>
      <c r="CH201" s="10">
        <v>0</v>
      </c>
      <c r="CI201" s="10">
        <v>0</v>
      </c>
      <c r="CJ201" s="10">
        <v>0</v>
      </c>
      <c r="CK201" s="10">
        <v>0</v>
      </c>
      <c r="CL201" s="10">
        <v>0</v>
      </c>
      <c r="CM201" s="10">
        <v>0</v>
      </c>
      <c r="CN201" s="10">
        <v>0</v>
      </c>
      <c r="CO201" s="10">
        <v>0</v>
      </c>
      <c r="CP201" s="10">
        <v>0</v>
      </c>
      <c r="CQ201" s="10">
        <v>0</v>
      </c>
      <c r="CR201" s="10">
        <v>0</v>
      </c>
      <c r="CS201" s="10">
        <v>0.18384635453620324</v>
      </c>
      <c r="CT201" s="10">
        <v>0</v>
      </c>
      <c r="CU201" s="10">
        <v>0</v>
      </c>
      <c r="CV201" s="10">
        <v>0</v>
      </c>
      <c r="CW201" s="10">
        <v>0</v>
      </c>
      <c r="CX201" s="10">
        <v>0</v>
      </c>
      <c r="CY201" s="10">
        <v>0</v>
      </c>
      <c r="CZ201" s="10">
        <v>0</v>
      </c>
      <c r="DA201" s="10">
        <v>0</v>
      </c>
      <c r="DB201" s="10">
        <v>0</v>
      </c>
      <c r="DC201" s="10">
        <v>0</v>
      </c>
      <c r="DD201" s="10">
        <v>0</v>
      </c>
      <c r="DE201" s="10">
        <v>0</v>
      </c>
      <c r="DF201" s="10">
        <v>0</v>
      </c>
      <c r="DG201" s="10">
        <v>0</v>
      </c>
      <c r="DH201" s="10">
        <v>0</v>
      </c>
      <c r="DI201" s="10">
        <v>0</v>
      </c>
      <c r="DJ201" s="10">
        <v>0</v>
      </c>
      <c r="DK201" s="10">
        <v>0</v>
      </c>
      <c r="DL201" s="10">
        <v>0</v>
      </c>
      <c r="DM201" s="10">
        <v>0</v>
      </c>
      <c r="DN201" s="10">
        <v>0</v>
      </c>
      <c r="DO201" s="10">
        <v>0</v>
      </c>
      <c r="DP201" s="10">
        <v>0</v>
      </c>
      <c r="DQ201" s="10">
        <v>0</v>
      </c>
      <c r="DR201" s="10">
        <v>0</v>
      </c>
      <c r="DS201" s="10">
        <v>0.17955081222255678</v>
      </c>
      <c r="DT201" s="10">
        <v>0</v>
      </c>
      <c r="DU201" s="10">
        <v>0</v>
      </c>
      <c r="DV201" s="10">
        <v>0</v>
      </c>
      <c r="DW201" s="10">
        <v>0</v>
      </c>
      <c r="DX201" s="10">
        <v>0</v>
      </c>
      <c r="DY201" s="10">
        <v>0</v>
      </c>
      <c r="DZ201" s="10">
        <v>0</v>
      </c>
      <c r="EA201" s="10">
        <v>0</v>
      </c>
      <c r="EB201" s="10">
        <v>0</v>
      </c>
      <c r="EC201" s="10">
        <v>0</v>
      </c>
      <c r="ED201" s="10">
        <v>0</v>
      </c>
      <c r="EE201" s="10">
        <v>0</v>
      </c>
      <c r="EF201" s="10">
        <v>0</v>
      </c>
      <c r="EG201" s="10">
        <v>0</v>
      </c>
      <c r="EH201" s="10">
        <v>0</v>
      </c>
      <c r="EI201" s="10">
        <v>0</v>
      </c>
      <c r="EJ201" s="10">
        <v>0</v>
      </c>
      <c r="EK201" s="10">
        <v>0</v>
      </c>
      <c r="EL201" s="10">
        <v>0</v>
      </c>
      <c r="EM201" s="10">
        <v>0</v>
      </c>
      <c r="EN201" s="10">
        <v>0</v>
      </c>
      <c r="EO201" s="10">
        <v>0</v>
      </c>
      <c r="EP201" s="10">
        <v>0</v>
      </c>
      <c r="EQ201" s="10">
        <v>0</v>
      </c>
      <c r="ER201" s="10">
        <v>0</v>
      </c>
      <c r="ES201" s="10">
        <v>0</v>
      </c>
      <c r="ET201" s="10">
        <v>0</v>
      </c>
      <c r="EU201" s="10">
        <v>0</v>
      </c>
      <c r="EV201" s="10">
        <v>0</v>
      </c>
      <c r="EW201" s="10">
        <v>0</v>
      </c>
      <c r="EX201" s="10">
        <v>0</v>
      </c>
      <c r="EY201" s="10">
        <v>0</v>
      </c>
      <c r="EZ201" s="10">
        <v>0</v>
      </c>
      <c r="FA201" s="10">
        <v>0</v>
      </c>
      <c r="FB201" s="10">
        <v>0</v>
      </c>
      <c r="FC201" s="10">
        <v>0</v>
      </c>
      <c r="FD201" s="10">
        <v>0</v>
      </c>
      <c r="FE201" s="10">
        <v>0</v>
      </c>
      <c r="FF201" s="10">
        <v>0</v>
      </c>
      <c r="FG201" s="10">
        <v>0</v>
      </c>
      <c r="FH201" s="10">
        <v>0</v>
      </c>
      <c r="FI201" s="10">
        <v>0</v>
      </c>
      <c r="FJ201" s="10">
        <v>0</v>
      </c>
      <c r="FK201" s="10">
        <v>0</v>
      </c>
      <c r="FL201" s="10">
        <v>0</v>
      </c>
      <c r="FM201" s="10">
        <v>0</v>
      </c>
      <c r="FN201" s="10">
        <v>0</v>
      </c>
      <c r="FO201" s="10">
        <v>0</v>
      </c>
      <c r="FP201" s="10">
        <v>0</v>
      </c>
      <c r="FQ201" s="10">
        <v>0</v>
      </c>
      <c r="FR201" s="10">
        <v>0</v>
      </c>
      <c r="FS201" s="10">
        <v>0</v>
      </c>
      <c r="FT201" s="10">
        <v>0</v>
      </c>
      <c r="FU201" s="10">
        <v>0</v>
      </c>
      <c r="FV201" s="10">
        <v>0</v>
      </c>
      <c r="FW201" s="10">
        <v>0</v>
      </c>
      <c r="FX201" s="10">
        <v>0</v>
      </c>
      <c r="FY201" s="10">
        <v>0</v>
      </c>
      <c r="FZ201" s="10">
        <v>0</v>
      </c>
      <c r="GA201" s="10">
        <v>0</v>
      </c>
      <c r="GB201" s="10">
        <v>0</v>
      </c>
      <c r="GC201" s="10">
        <v>0</v>
      </c>
      <c r="GD201" s="10">
        <v>0</v>
      </c>
      <c r="GE201" s="10">
        <v>0</v>
      </c>
      <c r="GF201" s="10">
        <v>0</v>
      </c>
      <c r="GG201" s="10">
        <v>0</v>
      </c>
      <c r="GH201" s="10">
        <v>0</v>
      </c>
      <c r="GI201" s="10">
        <v>0</v>
      </c>
      <c r="GJ201" s="10">
        <v>0</v>
      </c>
      <c r="GK201" s="10">
        <v>0</v>
      </c>
      <c r="GL201" s="10">
        <v>0</v>
      </c>
      <c r="GM201" s="10">
        <v>0</v>
      </c>
      <c r="GN201" s="10">
        <v>0</v>
      </c>
      <c r="GO201" s="10">
        <v>0</v>
      </c>
      <c r="GP201" s="10">
        <v>0</v>
      </c>
      <c r="GQ201" s="10">
        <v>0</v>
      </c>
      <c r="GR201" s="10">
        <v>0</v>
      </c>
      <c r="GS201" s="10">
        <v>0</v>
      </c>
      <c r="GT201" s="10">
        <v>0</v>
      </c>
      <c r="GU201" s="10">
        <v>0</v>
      </c>
      <c r="GV201" s="10">
        <v>0.5831238712177621</v>
      </c>
      <c r="GW201" s="10">
        <v>0</v>
      </c>
      <c r="GX201" s="10">
        <v>0</v>
      </c>
      <c r="GY201" s="10">
        <v>0</v>
      </c>
      <c r="GZ201" s="10">
        <v>0</v>
      </c>
      <c r="HA201" s="10">
        <v>0</v>
      </c>
      <c r="HB201" s="10">
        <v>0</v>
      </c>
      <c r="HC201" s="10">
        <v>0</v>
      </c>
      <c r="HD201" s="10">
        <v>0</v>
      </c>
      <c r="HE201" s="10">
        <v>0</v>
      </c>
      <c r="HF201" s="10">
        <v>0</v>
      </c>
      <c r="HG201" s="10">
        <v>0</v>
      </c>
      <c r="HH201" s="10">
        <v>0</v>
      </c>
      <c r="HI201" s="10">
        <v>5.3478962023478564E-2</v>
      </c>
      <c r="HJ201" s="10">
        <v>0</v>
      </c>
      <c r="HK201" s="10">
        <v>0</v>
      </c>
      <c r="HL201" s="10">
        <v>0</v>
      </c>
      <c r="HM201" s="10">
        <v>0</v>
      </c>
      <c r="HN201" s="10">
        <v>0</v>
      </c>
      <c r="HO201" s="10">
        <v>0</v>
      </c>
      <c r="HP201" s="10">
        <v>0</v>
      </c>
      <c r="HQ201" s="10">
        <v>0</v>
      </c>
      <c r="HR201" s="10">
        <v>0</v>
      </c>
      <c r="HS201" s="10">
        <v>0</v>
      </c>
      <c r="HT201" s="10">
        <v>0</v>
      </c>
      <c r="HU201" s="10">
        <v>0</v>
      </c>
    </row>
    <row r="202" spans="1:229" x14ac:dyDescent="0.25">
      <c r="A202" s="10">
        <v>0</v>
      </c>
      <c r="B202" s="2" t="s">
        <v>392</v>
      </c>
      <c r="C202" s="2" t="s">
        <v>393</v>
      </c>
      <c r="D202" s="2">
        <v>1.599</v>
      </c>
      <c r="E202" s="2">
        <v>7.33</v>
      </c>
      <c r="F202" s="2">
        <v>12.29</v>
      </c>
      <c r="G202" s="2">
        <v>0</v>
      </c>
      <c r="H202" s="2">
        <v>12</v>
      </c>
      <c r="I202" s="2">
        <v>37</v>
      </c>
      <c r="J202" s="2">
        <v>1.2649999999999999</v>
      </c>
      <c r="K202" s="2">
        <v>0.219</v>
      </c>
      <c r="L202" s="3"/>
      <c r="M202" s="2" t="str">
        <f t="shared" si="9"/>
        <v>01294</v>
      </c>
      <c r="N202" s="3">
        <v>0.8578360253737265</v>
      </c>
      <c r="O202" s="3">
        <v>1.1421639746262726</v>
      </c>
      <c r="P202" s="17">
        <v>0.85783602537373305</v>
      </c>
      <c r="Q202" s="3">
        <v>1.1421639746262549</v>
      </c>
      <c r="R202" s="3">
        <v>0.84317468863284839</v>
      </c>
      <c r="S202" s="3" t="e">
        <v>#DIV/0!</v>
      </c>
      <c r="T202" s="3">
        <v>0.78313057497525962</v>
      </c>
      <c r="U202" s="3">
        <v>0.85783602537372661</v>
      </c>
      <c r="V202" s="10">
        <v>1.1421639746262688</v>
      </c>
      <c r="W202" s="3">
        <v>2.2787969740329057</v>
      </c>
      <c r="X202" s="3">
        <v>1.3716798045725991</v>
      </c>
      <c r="Y202" s="3">
        <v>8.3720619340104481</v>
      </c>
      <c r="Z202" s="3">
        <v>10.362616923297706</v>
      </c>
      <c r="AA202" s="3">
        <v>0.47017759298402467</v>
      </c>
      <c r="AB202" s="3">
        <v>9.397566899703115</v>
      </c>
      <c r="AC202" s="3">
        <v>31.739932938827884</v>
      </c>
      <c r="AD202" s="3">
        <v>1.44483742790223</v>
      </c>
      <c r="AE202" s="3">
        <v>0.49905653731320637</v>
      </c>
      <c r="AF202" s="3">
        <v>0</v>
      </c>
      <c r="AG202" s="3">
        <v>0</v>
      </c>
      <c r="AH202" s="3">
        <v>0</v>
      </c>
      <c r="AI202" s="3">
        <v>0</v>
      </c>
      <c r="AJ202" s="3">
        <v>0</v>
      </c>
      <c r="AK202" s="3">
        <v>0</v>
      </c>
      <c r="AL202" s="3">
        <v>0</v>
      </c>
      <c r="AM202" s="3">
        <v>0</v>
      </c>
      <c r="AN202" s="3">
        <v>0</v>
      </c>
      <c r="AO202" s="3">
        <v>0</v>
      </c>
      <c r="AP202" s="3">
        <v>0</v>
      </c>
      <c r="AQ202" s="3">
        <v>0</v>
      </c>
      <c r="AR202" s="3">
        <v>0</v>
      </c>
      <c r="AS202" s="3">
        <v>0</v>
      </c>
      <c r="AT202" s="3">
        <v>0</v>
      </c>
      <c r="AU202" s="3">
        <v>0</v>
      </c>
      <c r="AV202" s="3">
        <v>0</v>
      </c>
      <c r="AW202" s="3">
        <v>0</v>
      </c>
      <c r="AX202" s="3">
        <v>0</v>
      </c>
      <c r="AY202" s="3">
        <v>0</v>
      </c>
      <c r="AZ202" s="3">
        <v>0</v>
      </c>
      <c r="BA202" s="10">
        <v>0</v>
      </c>
      <c r="BB202" s="10">
        <v>0</v>
      </c>
      <c r="BC202" s="10">
        <v>0</v>
      </c>
      <c r="BD202" s="10">
        <v>0</v>
      </c>
      <c r="BE202" s="10">
        <v>0</v>
      </c>
      <c r="BF202" s="10">
        <v>0</v>
      </c>
      <c r="BG202" s="10">
        <v>0</v>
      </c>
      <c r="BH202" s="10">
        <v>0</v>
      </c>
      <c r="BI202" s="10">
        <v>0</v>
      </c>
      <c r="BJ202" s="10">
        <v>0</v>
      </c>
      <c r="BK202" s="10">
        <v>0</v>
      </c>
      <c r="BL202" s="10">
        <v>0</v>
      </c>
      <c r="BM202" s="10">
        <v>0</v>
      </c>
      <c r="BN202" s="10">
        <v>0</v>
      </c>
      <c r="BO202" s="10">
        <v>0</v>
      </c>
      <c r="BP202" s="10">
        <v>0</v>
      </c>
      <c r="BQ202" s="10">
        <v>0</v>
      </c>
      <c r="BR202" s="10">
        <v>0</v>
      </c>
      <c r="BS202" s="10">
        <v>0</v>
      </c>
      <c r="BT202" s="10">
        <v>0</v>
      </c>
      <c r="BU202" s="10">
        <v>0</v>
      </c>
      <c r="BV202" s="10">
        <v>0</v>
      </c>
      <c r="BW202" s="10">
        <v>0</v>
      </c>
      <c r="BX202" s="10">
        <v>0</v>
      </c>
      <c r="BY202" s="10">
        <v>0</v>
      </c>
      <c r="BZ202" s="10">
        <v>0</v>
      </c>
      <c r="CA202" s="10">
        <v>0</v>
      </c>
      <c r="CB202" s="10">
        <v>0</v>
      </c>
      <c r="CC202" s="10">
        <v>0</v>
      </c>
      <c r="CD202" s="10">
        <v>0</v>
      </c>
      <c r="CE202" s="10">
        <v>0</v>
      </c>
      <c r="CF202" s="10">
        <v>0</v>
      </c>
      <c r="CG202" s="10">
        <v>0</v>
      </c>
      <c r="CH202" s="10">
        <v>0</v>
      </c>
      <c r="CI202" s="10">
        <v>0</v>
      </c>
      <c r="CJ202" s="10">
        <v>0</v>
      </c>
      <c r="CK202" s="10">
        <v>0</v>
      </c>
      <c r="CL202" s="10">
        <v>0</v>
      </c>
      <c r="CM202" s="10">
        <v>0</v>
      </c>
      <c r="CN202" s="10">
        <v>0</v>
      </c>
      <c r="CO202" s="10">
        <v>0</v>
      </c>
      <c r="CP202" s="10">
        <v>0</v>
      </c>
      <c r="CQ202" s="10">
        <v>0</v>
      </c>
      <c r="CR202" s="10">
        <v>0</v>
      </c>
      <c r="CS202" s="10">
        <v>8.9837252786892682E-2</v>
      </c>
      <c r="CT202" s="10">
        <v>0</v>
      </c>
      <c r="CU202" s="10">
        <v>0</v>
      </c>
      <c r="CV202" s="10">
        <v>0</v>
      </c>
      <c r="CW202" s="10">
        <v>0</v>
      </c>
      <c r="CX202" s="10">
        <v>0</v>
      </c>
      <c r="CY202" s="10">
        <v>0</v>
      </c>
      <c r="CZ202" s="10">
        <v>0</v>
      </c>
      <c r="DA202" s="10">
        <v>0</v>
      </c>
      <c r="DB202" s="10">
        <v>0</v>
      </c>
      <c r="DC202" s="10">
        <v>0</v>
      </c>
      <c r="DD202" s="10">
        <v>1.4933898747139403E-2</v>
      </c>
      <c r="DE202" s="10">
        <v>0</v>
      </c>
      <c r="DF202" s="10">
        <v>0</v>
      </c>
      <c r="DG202" s="10">
        <v>0</v>
      </c>
      <c r="DH202" s="10">
        <v>0</v>
      </c>
      <c r="DI202" s="10">
        <v>0</v>
      </c>
      <c r="DJ202" s="10">
        <v>0</v>
      </c>
      <c r="DK202" s="10">
        <v>0</v>
      </c>
      <c r="DL202" s="10">
        <v>0</v>
      </c>
      <c r="DM202" s="10">
        <v>0</v>
      </c>
      <c r="DN202" s="10">
        <v>0</v>
      </c>
      <c r="DO202" s="10">
        <v>0</v>
      </c>
      <c r="DP202" s="10">
        <v>0</v>
      </c>
      <c r="DQ202" s="10">
        <v>0</v>
      </c>
      <c r="DR202" s="10">
        <v>0</v>
      </c>
      <c r="DS202" s="10">
        <v>0.11159952682592657</v>
      </c>
      <c r="DT202" s="10">
        <v>0</v>
      </c>
      <c r="DU202" s="10">
        <v>0</v>
      </c>
      <c r="DV202" s="10">
        <v>0</v>
      </c>
      <c r="DW202" s="10">
        <v>0</v>
      </c>
      <c r="DX202" s="10">
        <v>0</v>
      </c>
      <c r="DY202" s="10">
        <v>0</v>
      </c>
      <c r="DZ202" s="10">
        <v>0</v>
      </c>
      <c r="EA202" s="10">
        <v>0</v>
      </c>
      <c r="EB202" s="10">
        <v>0</v>
      </c>
      <c r="EC202" s="10">
        <v>0</v>
      </c>
      <c r="ED202" s="10">
        <v>0</v>
      </c>
      <c r="EE202" s="10">
        <v>0</v>
      </c>
      <c r="EF202" s="10">
        <v>0</v>
      </c>
      <c r="EG202" s="10">
        <v>0</v>
      </c>
      <c r="EH202" s="10">
        <v>0</v>
      </c>
      <c r="EI202" s="10">
        <v>0</v>
      </c>
      <c r="EJ202" s="10">
        <v>0</v>
      </c>
      <c r="EK202" s="10">
        <v>0</v>
      </c>
      <c r="EL202" s="10">
        <v>0</v>
      </c>
      <c r="EM202" s="10">
        <v>0</v>
      </c>
      <c r="EN202" s="10">
        <v>0</v>
      </c>
      <c r="EO202" s="10">
        <v>0</v>
      </c>
      <c r="EP202" s="10">
        <v>0</v>
      </c>
      <c r="EQ202" s="10">
        <v>0</v>
      </c>
      <c r="ER202" s="10">
        <v>0</v>
      </c>
      <c r="ES202" s="10">
        <v>0</v>
      </c>
      <c r="ET202" s="10">
        <v>0</v>
      </c>
      <c r="EU202" s="10">
        <v>0</v>
      </c>
      <c r="EV202" s="10">
        <v>0</v>
      </c>
      <c r="EW202" s="10">
        <v>0</v>
      </c>
      <c r="EX202" s="10">
        <v>0</v>
      </c>
      <c r="EY202" s="10">
        <v>0</v>
      </c>
      <c r="EZ202" s="10">
        <v>0</v>
      </c>
      <c r="FA202" s="10">
        <v>0</v>
      </c>
      <c r="FB202" s="10">
        <v>0</v>
      </c>
      <c r="FC202" s="10">
        <v>0</v>
      </c>
      <c r="FD202" s="10">
        <v>0</v>
      </c>
      <c r="FE202" s="10">
        <v>0</v>
      </c>
      <c r="FF202" s="10">
        <v>0</v>
      </c>
      <c r="FG202" s="10">
        <v>0</v>
      </c>
      <c r="FH202" s="10">
        <v>0</v>
      </c>
      <c r="FI202" s="10">
        <v>0</v>
      </c>
      <c r="FJ202" s="10">
        <v>0</v>
      </c>
      <c r="FK202" s="10">
        <v>0</v>
      </c>
      <c r="FL202" s="10">
        <v>0</v>
      </c>
      <c r="FM202" s="10">
        <v>0</v>
      </c>
      <c r="FN202" s="10">
        <v>0</v>
      </c>
      <c r="FO202" s="10">
        <v>0</v>
      </c>
      <c r="FP202" s="10">
        <v>0</v>
      </c>
      <c r="FQ202" s="10">
        <v>0</v>
      </c>
      <c r="FR202" s="10">
        <v>0</v>
      </c>
      <c r="FS202" s="10">
        <v>0</v>
      </c>
      <c r="FT202" s="10">
        <v>0</v>
      </c>
      <c r="FU202" s="10">
        <v>0</v>
      </c>
      <c r="FV202" s="10">
        <v>0</v>
      </c>
      <c r="FW202" s="10">
        <v>0</v>
      </c>
      <c r="FX202" s="10">
        <v>0</v>
      </c>
      <c r="FY202" s="10">
        <v>0</v>
      </c>
      <c r="FZ202" s="10">
        <v>0</v>
      </c>
      <c r="GA202" s="10">
        <v>0</v>
      </c>
      <c r="GB202" s="10">
        <v>0</v>
      </c>
      <c r="GC202" s="10">
        <v>0</v>
      </c>
      <c r="GD202" s="10">
        <v>0</v>
      </c>
      <c r="GE202" s="10">
        <v>0</v>
      </c>
      <c r="GF202" s="10">
        <v>0</v>
      </c>
      <c r="GG202" s="10">
        <v>0</v>
      </c>
      <c r="GH202" s="10">
        <v>0</v>
      </c>
      <c r="GI202" s="10">
        <v>0</v>
      </c>
      <c r="GJ202" s="10">
        <v>0</v>
      </c>
      <c r="GK202" s="10">
        <v>0</v>
      </c>
      <c r="GL202" s="10">
        <v>0</v>
      </c>
      <c r="GM202" s="10">
        <v>0</v>
      </c>
      <c r="GN202" s="10">
        <v>0</v>
      </c>
      <c r="GO202" s="10">
        <v>0</v>
      </c>
      <c r="GP202" s="10">
        <v>0</v>
      </c>
      <c r="GQ202" s="10">
        <v>0</v>
      </c>
      <c r="GR202" s="10">
        <v>0</v>
      </c>
      <c r="GS202" s="10">
        <v>0</v>
      </c>
      <c r="GT202" s="10">
        <v>0</v>
      </c>
      <c r="GU202" s="10">
        <v>0</v>
      </c>
      <c r="GV202" s="10">
        <v>0</v>
      </c>
      <c r="GW202" s="10">
        <v>0</v>
      </c>
      <c r="GX202" s="10">
        <v>0</v>
      </c>
      <c r="GY202" s="10">
        <v>0</v>
      </c>
      <c r="GZ202" s="10">
        <v>0</v>
      </c>
      <c r="HA202" s="10">
        <v>0</v>
      </c>
      <c r="HB202" s="10">
        <v>0</v>
      </c>
      <c r="HC202" s="10">
        <v>0</v>
      </c>
      <c r="HD202" s="10">
        <v>0</v>
      </c>
      <c r="HE202" s="10">
        <v>0</v>
      </c>
      <c r="HF202" s="10">
        <v>0</v>
      </c>
      <c r="HG202" s="10">
        <v>0</v>
      </c>
      <c r="HH202" s="10">
        <v>0</v>
      </c>
      <c r="HI202" s="10">
        <v>0.78362932164004118</v>
      </c>
      <c r="HJ202" s="10">
        <v>0</v>
      </c>
      <c r="HK202" s="10">
        <v>0</v>
      </c>
      <c r="HL202" s="10">
        <v>0</v>
      </c>
      <c r="HM202" s="10">
        <v>0</v>
      </c>
      <c r="HN202" s="10">
        <v>0</v>
      </c>
      <c r="HO202" s="10">
        <v>0</v>
      </c>
      <c r="HP202" s="10">
        <v>0</v>
      </c>
      <c r="HQ202" s="10">
        <v>0</v>
      </c>
      <c r="HR202" s="10">
        <v>0</v>
      </c>
      <c r="HS202" s="10">
        <v>0</v>
      </c>
      <c r="HT202" s="10">
        <v>0</v>
      </c>
      <c r="HU202" s="10">
        <v>0</v>
      </c>
    </row>
    <row r="203" spans="1:229" x14ac:dyDescent="0.25">
      <c r="A203" s="10">
        <v>0</v>
      </c>
      <c r="B203" s="2" t="s">
        <v>394</v>
      </c>
      <c r="C203" s="2" t="s">
        <v>395</v>
      </c>
      <c r="D203" s="2">
        <v>0</v>
      </c>
      <c r="E203" s="2">
        <v>2.94</v>
      </c>
      <c r="F203" s="2">
        <v>17.04</v>
      </c>
      <c r="G203" s="2">
        <v>0</v>
      </c>
      <c r="H203" s="2">
        <v>5.88</v>
      </c>
      <c r="I203" s="2">
        <v>47</v>
      </c>
      <c r="J203" s="2">
        <v>0</v>
      </c>
      <c r="K203" s="2">
        <v>0</v>
      </c>
      <c r="L203" s="2"/>
      <c r="M203" s="2" t="str">
        <f t="shared" si="9"/>
        <v>01295</v>
      </c>
      <c r="N203" s="3">
        <v>1.0000000000002904</v>
      </c>
      <c r="O203" s="3">
        <v>0.99999999999970945</v>
      </c>
      <c r="P203" s="17" t="e">
        <v>#DIV/0!</v>
      </c>
      <c r="Q203" s="3">
        <v>0.99999999999774014</v>
      </c>
      <c r="R203" s="3">
        <v>1.0000000000006961</v>
      </c>
      <c r="S203" s="3" t="e">
        <v>#DIV/0!</v>
      </c>
      <c r="T203" s="3">
        <v>1.0000000000002727</v>
      </c>
      <c r="U203" s="3">
        <v>1.0000000000002323</v>
      </c>
      <c r="V203" s="3" t="e">
        <v>#DIV/0!</v>
      </c>
      <c r="W203" s="3" t="e">
        <v>#DIV/0!</v>
      </c>
      <c r="X203" s="3">
        <v>-1.0980777982522567E-13</v>
      </c>
      <c r="Y203" s="3">
        <v>2.9399999999933559</v>
      </c>
      <c r="Z203" s="3">
        <v>17.040000000011862</v>
      </c>
      <c r="AA203" s="3">
        <v>-8.4549040297618513E-14</v>
      </c>
      <c r="AB203" s="3">
        <v>5.8800000000016031</v>
      </c>
      <c r="AC203" s="3">
        <v>47.000000000010914</v>
      </c>
      <c r="AD203" s="3">
        <v>-4.7005239629876502E-14</v>
      </c>
      <c r="AE203" s="3">
        <v>-1.1194201634581841E-14</v>
      </c>
      <c r="AF203" s="3">
        <v>0</v>
      </c>
      <c r="AG203" s="3">
        <v>0</v>
      </c>
      <c r="AH203" s="3">
        <v>0</v>
      </c>
      <c r="AI203" s="3">
        <v>0</v>
      </c>
      <c r="AJ203" s="3">
        <v>0</v>
      </c>
      <c r="AK203" s="3">
        <v>0</v>
      </c>
      <c r="AL203" s="3">
        <v>0</v>
      </c>
      <c r="AM203" s="3">
        <v>0</v>
      </c>
      <c r="AN203" s="3">
        <v>0</v>
      </c>
      <c r="AO203" s="3">
        <v>0</v>
      </c>
      <c r="AP203" s="3">
        <v>0</v>
      </c>
      <c r="AQ203" s="3">
        <v>0</v>
      </c>
      <c r="AR203" s="3">
        <v>0</v>
      </c>
      <c r="AS203" s="3">
        <v>0</v>
      </c>
      <c r="AT203" s="3">
        <v>0</v>
      </c>
      <c r="AU203" s="3">
        <v>0</v>
      </c>
      <c r="AV203" s="3">
        <v>0</v>
      </c>
      <c r="AW203" s="3">
        <v>0</v>
      </c>
      <c r="AX203" s="3">
        <v>0</v>
      </c>
      <c r="AY203" s="3">
        <v>0</v>
      </c>
      <c r="AZ203" s="3">
        <v>0</v>
      </c>
      <c r="BA203" s="10">
        <v>0</v>
      </c>
      <c r="BB203" s="10">
        <v>0</v>
      </c>
      <c r="BC203" s="10">
        <v>0</v>
      </c>
      <c r="BD203" s="10">
        <v>0</v>
      </c>
      <c r="BE203" s="10">
        <v>0</v>
      </c>
      <c r="BF203" s="10">
        <v>0</v>
      </c>
      <c r="BG203" s="10">
        <v>0</v>
      </c>
      <c r="BH203" s="10">
        <v>0</v>
      </c>
      <c r="BI203" s="10">
        <v>0</v>
      </c>
      <c r="BJ203" s="10">
        <v>0</v>
      </c>
      <c r="BK203" s="10">
        <v>0</v>
      </c>
      <c r="BL203" s="10">
        <v>0</v>
      </c>
      <c r="BM203" s="10">
        <v>0</v>
      </c>
      <c r="BN203" s="10">
        <v>0</v>
      </c>
      <c r="BO203" s="10">
        <v>0</v>
      </c>
      <c r="BP203" s="10">
        <v>0</v>
      </c>
      <c r="BQ203" s="10">
        <v>0</v>
      </c>
      <c r="BR203" s="10">
        <v>0</v>
      </c>
      <c r="BS203" s="10">
        <v>0</v>
      </c>
      <c r="BT203" s="10">
        <v>0</v>
      </c>
      <c r="BU203" s="10">
        <v>0</v>
      </c>
      <c r="BV203" s="10">
        <v>0</v>
      </c>
      <c r="BW203" s="10">
        <v>0</v>
      </c>
      <c r="BX203" s="10">
        <v>0</v>
      </c>
      <c r="BY203" s="10">
        <v>0</v>
      </c>
      <c r="BZ203" s="10">
        <v>0</v>
      </c>
      <c r="CA203" s="10">
        <v>0</v>
      </c>
      <c r="CB203" s="10">
        <v>0</v>
      </c>
      <c r="CC203" s="10">
        <v>0</v>
      </c>
      <c r="CD203" s="10">
        <v>0</v>
      </c>
      <c r="CE203" s="10">
        <v>0</v>
      </c>
      <c r="CF203" s="10">
        <v>0</v>
      </c>
      <c r="CG203" s="10">
        <v>0</v>
      </c>
      <c r="CH203" s="10">
        <v>0</v>
      </c>
      <c r="CI203" s="10">
        <v>0</v>
      </c>
      <c r="CJ203" s="10">
        <v>0</v>
      </c>
      <c r="CK203" s="10">
        <v>0</v>
      </c>
      <c r="CL203" s="10">
        <v>0</v>
      </c>
      <c r="CM203" s="10">
        <v>0</v>
      </c>
      <c r="CN203" s="10">
        <v>0</v>
      </c>
      <c r="CO203" s="10">
        <v>0</v>
      </c>
      <c r="CP203" s="10">
        <v>0</v>
      </c>
      <c r="CQ203" s="10">
        <v>0</v>
      </c>
      <c r="CR203" s="10">
        <v>0</v>
      </c>
      <c r="CS203" s="10">
        <v>0</v>
      </c>
      <c r="CT203" s="10">
        <v>0</v>
      </c>
      <c r="CU203" s="10">
        <v>0</v>
      </c>
      <c r="CV203" s="10">
        <v>0</v>
      </c>
      <c r="CW203" s="10">
        <v>0</v>
      </c>
      <c r="CX203" s="10">
        <v>0</v>
      </c>
      <c r="CY203" s="10">
        <v>0</v>
      </c>
      <c r="CZ203" s="10">
        <v>0</v>
      </c>
      <c r="DA203" s="10">
        <v>0</v>
      </c>
      <c r="DB203" s="10">
        <v>0</v>
      </c>
      <c r="DC203" s="10">
        <v>0</v>
      </c>
      <c r="DD203" s="10">
        <v>0</v>
      </c>
      <c r="DE203" s="10">
        <v>0</v>
      </c>
      <c r="DF203" s="10">
        <v>0</v>
      </c>
      <c r="DG203" s="10">
        <v>0</v>
      </c>
      <c r="DH203" s="10">
        <v>0</v>
      </c>
      <c r="DI203" s="10">
        <v>0</v>
      </c>
      <c r="DJ203" s="10">
        <v>0</v>
      </c>
      <c r="DK203" s="10">
        <v>0</v>
      </c>
      <c r="DL203" s="10">
        <v>0</v>
      </c>
      <c r="DM203" s="10">
        <v>0</v>
      </c>
      <c r="DN203" s="10">
        <v>0</v>
      </c>
      <c r="DO203" s="10">
        <v>0</v>
      </c>
      <c r="DP203" s="10">
        <v>0</v>
      </c>
      <c r="DQ203" s="10">
        <v>0</v>
      </c>
      <c r="DR203" s="10">
        <v>0</v>
      </c>
      <c r="DS203" s="10">
        <v>0</v>
      </c>
      <c r="DT203" s="10">
        <v>0</v>
      </c>
      <c r="DU203" s="10">
        <v>0</v>
      </c>
      <c r="DV203" s="10">
        <v>0</v>
      </c>
      <c r="DW203" s="10">
        <v>0</v>
      </c>
      <c r="DX203" s="10">
        <v>0</v>
      </c>
      <c r="DY203" s="10">
        <v>0</v>
      </c>
      <c r="DZ203" s="10">
        <v>0</v>
      </c>
      <c r="EA203" s="10">
        <v>0</v>
      </c>
      <c r="EB203" s="10">
        <v>0</v>
      </c>
      <c r="EC203" s="10">
        <v>0</v>
      </c>
      <c r="ED203" s="10">
        <v>0</v>
      </c>
      <c r="EE203" s="10">
        <v>0</v>
      </c>
      <c r="EF203" s="10">
        <v>0</v>
      </c>
      <c r="EG203" s="10">
        <v>0</v>
      </c>
      <c r="EH203" s="10">
        <v>0</v>
      </c>
      <c r="EI203" s="10">
        <v>0</v>
      </c>
      <c r="EJ203" s="10">
        <v>0</v>
      </c>
      <c r="EK203" s="10">
        <v>0</v>
      </c>
      <c r="EL203" s="10">
        <v>0</v>
      </c>
      <c r="EM203" s="10">
        <v>0</v>
      </c>
      <c r="EN203" s="10">
        <v>0</v>
      </c>
      <c r="EO203" s="10">
        <v>0</v>
      </c>
      <c r="EP203" s="10">
        <v>0</v>
      </c>
      <c r="EQ203" s="10">
        <v>0</v>
      </c>
      <c r="ER203" s="10">
        <v>0</v>
      </c>
      <c r="ES203" s="10">
        <v>0</v>
      </c>
      <c r="ET203" s="10">
        <v>0</v>
      </c>
      <c r="EU203" s="10">
        <v>0</v>
      </c>
      <c r="EV203" s="10">
        <v>0</v>
      </c>
      <c r="EW203" s="10">
        <v>0</v>
      </c>
      <c r="EX203" s="10">
        <v>0</v>
      </c>
      <c r="EY203" s="10">
        <v>0</v>
      </c>
      <c r="EZ203" s="10">
        <v>0</v>
      </c>
      <c r="FA203" s="10">
        <v>0</v>
      </c>
      <c r="FB203" s="10">
        <v>0</v>
      </c>
      <c r="FC203" s="10">
        <v>0</v>
      </c>
      <c r="FD203" s="10">
        <v>0</v>
      </c>
      <c r="FE203" s="10">
        <v>0</v>
      </c>
      <c r="FF203" s="10">
        <v>0</v>
      </c>
      <c r="FG203" s="10">
        <v>0</v>
      </c>
      <c r="FH203" s="10">
        <v>0</v>
      </c>
      <c r="FI203" s="10">
        <v>0</v>
      </c>
      <c r="FJ203" s="10">
        <v>0</v>
      </c>
      <c r="FK203" s="10">
        <v>0</v>
      </c>
      <c r="FL203" s="10">
        <v>0</v>
      </c>
      <c r="FM203" s="10">
        <v>0</v>
      </c>
      <c r="FN203" s="10">
        <v>0</v>
      </c>
      <c r="FO203" s="10">
        <v>0</v>
      </c>
      <c r="FP203" s="10">
        <v>0</v>
      </c>
      <c r="FQ203" s="10">
        <v>0</v>
      </c>
      <c r="FR203" s="10">
        <v>0</v>
      </c>
      <c r="FS203" s="10">
        <v>0</v>
      </c>
      <c r="FT203" s="10">
        <v>0</v>
      </c>
      <c r="FU203" s="10">
        <v>0</v>
      </c>
      <c r="FV203" s="10">
        <v>0</v>
      </c>
      <c r="FW203" s="10">
        <v>0</v>
      </c>
      <c r="FX203" s="10">
        <v>0</v>
      </c>
      <c r="FY203" s="10">
        <v>0</v>
      </c>
      <c r="FZ203" s="10">
        <v>0</v>
      </c>
      <c r="GA203" s="10">
        <v>0</v>
      </c>
      <c r="GB203" s="10">
        <v>0</v>
      </c>
      <c r="GC203" s="10">
        <v>0</v>
      </c>
      <c r="GD203" s="10">
        <v>0</v>
      </c>
      <c r="GE203" s="10">
        <v>0</v>
      </c>
      <c r="GF203" s="10">
        <v>0</v>
      </c>
      <c r="GG203" s="10">
        <v>0</v>
      </c>
      <c r="GH203" s="10">
        <v>0</v>
      </c>
      <c r="GI203" s="10">
        <v>0</v>
      </c>
      <c r="GJ203" s="10">
        <v>0</v>
      </c>
      <c r="GK203" s="10">
        <v>0</v>
      </c>
      <c r="GL203" s="10">
        <v>0</v>
      </c>
      <c r="GM203" s="10">
        <v>0</v>
      </c>
      <c r="GN203" s="10">
        <v>0</v>
      </c>
      <c r="GO203" s="10">
        <v>0</v>
      </c>
      <c r="GP203" s="10">
        <v>0</v>
      </c>
      <c r="GQ203" s="10">
        <v>0</v>
      </c>
      <c r="GR203" s="10">
        <v>0</v>
      </c>
      <c r="GS203" s="10">
        <v>0</v>
      </c>
      <c r="GT203" s="10">
        <v>0</v>
      </c>
      <c r="GU203" s="10">
        <v>0</v>
      </c>
      <c r="GV203" s="10">
        <v>-8.3219651681322661E-13</v>
      </c>
      <c r="GW203" s="10">
        <v>0</v>
      </c>
      <c r="GX203" s="10">
        <v>0</v>
      </c>
      <c r="GY203" s="10">
        <v>0</v>
      </c>
      <c r="GZ203" s="10">
        <v>0</v>
      </c>
      <c r="HA203" s="10">
        <v>0</v>
      </c>
      <c r="HB203" s="10">
        <v>0</v>
      </c>
      <c r="HC203" s="10">
        <v>0</v>
      </c>
      <c r="HD203" s="10">
        <v>0</v>
      </c>
      <c r="HE203" s="10">
        <v>0</v>
      </c>
      <c r="HF203" s="10">
        <v>0</v>
      </c>
      <c r="HG203" s="10">
        <v>-1.2078434328231216E-13</v>
      </c>
      <c r="HH203" s="10">
        <v>0</v>
      </c>
      <c r="HI203" s="10">
        <v>0</v>
      </c>
      <c r="HJ203" s="10">
        <v>0</v>
      </c>
      <c r="HK203" s="10">
        <v>0</v>
      </c>
      <c r="HL203" s="10">
        <v>0</v>
      </c>
      <c r="HM203" s="10">
        <v>0</v>
      </c>
      <c r="HN203" s="10">
        <v>0</v>
      </c>
      <c r="HO203" s="10">
        <v>0</v>
      </c>
      <c r="HP203" s="10">
        <v>1.0000000000009543</v>
      </c>
      <c r="HQ203" s="10">
        <v>0</v>
      </c>
      <c r="HR203" s="10">
        <v>0</v>
      </c>
      <c r="HS203" s="10">
        <v>0</v>
      </c>
      <c r="HT203" s="10">
        <v>0</v>
      </c>
      <c r="HU203" s="10">
        <v>0</v>
      </c>
    </row>
    <row r="204" spans="1:229" x14ac:dyDescent="0.25">
      <c r="A204" s="10">
        <v>0</v>
      </c>
      <c r="B204" s="2" t="s">
        <v>396</v>
      </c>
      <c r="C204" s="2" t="s">
        <v>397</v>
      </c>
      <c r="D204" s="2">
        <v>1.4650000000000001</v>
      </c>
      <c r="E204" s="2">
        <v>8.64</v>
      </c>
      <c r="F204" s="2">
        <v>9.5399999999999991</v>
      </c>
      <c r="G204" s="2">
        <v>0</v>
      </c>
      <c r="H204" s="2">
        <v>9.5399999999999991</v>
      </c>
      <c r="I204" s="2">
        <v>40</v>
      </c>
      <c r="J204" s="2">
        <v>0.84599999999999997</v>
      </c>
      <c r="K204" s="2">
        <v>0.20300000000000001</v>
      </c>
      <c r="L204" s="2"/>
      <c r="M204" s="2" t="str">
        <f t="shared" ref="M204:M208" si="10">B204</f>
        <v>01297</v>
      </c>
      <c r="N204" s="3">
        <v>0.83243883142399644</v>
      </c>
      <c r="O204" s="3">
        <v>1.167561168576003</v>
      </c>
      <c r="P204" s="17">
        <v>0.83243883142404262</v>
      </c>
      <c r="Q204" s="3">
        <v>1.1675611685759983</v>
      </c>
      <c r="R204" s="3">
        <v>0.38289533296184169</v>
      </c>
      <c r="S204" s="3" t="e">
        <v>#DIV/0!</v>
      </c>
      <c r="T204" s="3">
        <v>0.33037799426269004</v>
      </c>
      <c r="U204" s="3">
        <v>0.83243883142399577</v>
      </c>
      <c r="V204" s="3">
        <v>1.1675611685761229</v>
      </c>
      <c r="W204" s="3">
        <v>1.4113997240120046</v>
      </c>
      <c r="X204" s="3">
        <v>1.2195228880362226</v>
      </c>
      <c r="Y204" s="3">
        <v>10.087728496496627</v>
      </c>
      <c r="Z204" s="3">
        <v>3.6528214764559692</v>
      </c>
      <c r="AA204" s="3">
        <v>0</v>
      </c>
      <c r="AB204" s="3">
        <v>3.1518060652660629</v>
      </c>
      <c r="AC204" s="3">
        <v>33.29755325695983</v>
      </c>
      <c r="AD204" s="3">
        <v>0.98775674861539986</v>
      </c>
      <c r="AE204" s="3">
        <v>0.28651414397443697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0</v>
      </c>
      <c r="AT204" s="3">
        <v>0</v>
      </c>
      <c r="AU204" s="3">
        <v>0</v>
      </c>
      <c r="AV204" s="3">
        <v>0</v>
      </c>
      <c r="AW204" s="3">
        <v>0</v>
      </c>
      <c r="AX204" s="3">
        <v>0</v>
      </c>
      <c r="AY204" s="3">
        <v>0</v>
      </c>
      <c r="AZ204" s="3">
        <v>0</v>
      </c>
      <c r="BA204" s="10">
        <v>0</v>
      </c>
      <c r="BB204" s="10">
        <v>0</v>
      </c>
      <c r="BC204" s="10">
        <v>0</v>
      </c>
      <c r="BD204" s="10">
        <v>0</v>
      </c>
      <c r="BE204" s="10">
        <v>0</v>
      </c>
      <c r="BF204" s="10">
        <v>0</v>
      </c>
      <c r="BG204" s="10">
        <v>0</v>
      </c>
      <c r="BH204" s="10">
        <v>0</v>
      </c>
      <c r="BI204" s="10">
        <v>0</v>
      </c>
      <c r="BJ204" s="10">
        <v>0</v>
      </c>
      <c r="BK204" s="10">
        <v>0</v>
      </c>
      <c r="BL204" s="10">
        <v>0</v>
      </c>
      <c r="BM204" s="10">
        <v>0</v>
      </c>
      <c r="BN204" s="10">
        <v>0</v>
      </c>
      <c r="BO204" s="10">
        <v>0</v>
      </c>
      <c r="BP204" s="10">
        <v>0</v>
      </c>
      <c r="BQ204" s="10">
        <v>0</v>
      </c>
      <c r="BR204" s="10">
        <v>0</v>
      </c>
      <c r="BS204" s="10">
        <v>0</v>
      </c>
      <c r="BT204" s="10">
        <v>0</v>
      </c>
      <c r="BU204" s="10">
        <v>0</v>
      </c>
      <c r="BV204" s="10">
        <v>0</v>
      </c>
      <c r="BW204" s="10">
        <v>0</v>
      </c>
      <c r="BX204" s="10">
        <v>0</v>
      </c>
      <c r="BY204" s="10">
        <v>0</v>
      </c>
      <c r="BZ204" s="10">
        <v>0</v>
      </c>
      <c r="CA204" s="10">
        <v>0</v>
      </c>
      <c r="CB204" s="10">
        <v>0</v>
      </c>
      <c r="CC204" s="10">
        <v>0</v>
      </c>
      <c r="CD204" s="10">
        <v>0</v>
      </c>
      <c r="CE204" s="10">
        <v>0</v>
      </c>
      <c r="CF204" s="10">
        <v>0</v>
      </c>
      <c r="CG204" s="10">
        <v>0</v>
      </c>
      <c r="CH204" s="10">
        <v>0</v>
      </c>
      <c r="CI204" s="10">
        <v>0</v>
      </c>
      <c r="CJ204" s="10">
        <v>0</v>
      </c>
      <c r="CK204" s="10">
        <v>0</v>
      </c>
      <c r="CL204" s="10">
        <v>0</v>
      </c>
      <c r="CM204" s="10">
        <v>0</v>
      </c>
      <c r="CN204" s="10">
        <v>0</v>
      </c>
      <c r="CO204" s="10">
        <v>0</v>
      </c>
      <c r="CP204" s="10">
        <v>0</v>
      </c>
      <c r="CQ204" s="10">
        <v>0</v>
      </c>
      <c r="CR204" s="10">
        <v>0</v>
      </c>
      <c r="CS204" s="10">
        <v>9.5581542131727676E-2</v>
      </c>
      <c r="CT204" s="10">
        <v>0</v>
      </c>
      <c r="CU204" s="10">
        <v>0</v>
      </c>
      <c r="CV204" s="10">
        <v>0</v>
      </c>
      <c r="CW204" s="10">
        <v>0</v>
      </c>
      <c r="CX204" s="10">
        <v>0</v>
      </c>
      <c r="CY204" s="10">
        <v>0</v>
      </c>
      <c r="CZ204" s="10">
        <v>0</v>
      </c>
      <c r="DA204" s="10">
        <v>0</v>
      </c>
      <c r="DB204" s="10">
        <v>0</v>
      </c>
      <c r="DC204" s="10">
        <v>0</v>
      </c>
      <c r="DD204" s="10">
        <v>0</v>
      </c>
      <c r="DE204" s="10">
        <v>0</v>
      </c>
      <c r="DF204" s="10">
        <v>0</v>
      </c>
      <c r="DG204" s="10">
        <v>0</v>
      </c>
      <c r="DH204" s="10">
        <v>0</v>
      </c>
      <c r="DI204" s="10">
        <v>0</v>
      </c>
      <c r="DJ204" s="10">
        <v>0</v>
      </c>
      <c r="DK204" s="10">
        <v>0</v>
      </c>
      <c r="DL204" s="10">
        <v>0</v>
      </c>
      <c r="DM204" s="10">
        <v>0</v>
      </c>
      <c r="DN204" s="10">
        <v>0</v>
      </c>
      <c r="DO204" s="10">
        <v>0</v>
      </c>
      <c r="DP204" s="10">
        <v>0</v>
      </c>
      <c r="DQ204" s="10">
        <v>0</v>
      </c>
      <c r="DR204" s="10">
        <v>0</v>
      </c>
      <c r="DS204" s="10">
        <v>5.8939175507015114E-2</v>
      </c>
      <c r="DT204" s="10">
        <v>0</v>
      </c>
      <c r="DU204" s="10">
        <v>0</v>
      </c>
      <c r="DV204" s="10">
        <v>0</v>
      </c>
      <c r="DW204" s="10">
        <v>0</v>
      </c>
      <c r="DX204" s="10">
        <v>0</v>
      </c>
      <c r="DY204" s="10">
        <v>0</v>
      </c>
      <c r="DZ204" s="10">
        <v>0</v>
      </c>
      <c r="EA204" s="10">
        <v>0</v>
      </c>
      <c r="EB204" s="10">
        <v>0</v>
      </c>
      <c r="EC204" s="10">
        <v>0</v>
      </c>
      <c r="ED204" s="10">
        <v>0</v>
      </c>
      <c r="EE204" s="10">
        <v>0</v>
      </c>
      <c r="EF204" s="10">
        <v>0</v>
      </c>
      <c r="EG204" s="10">
        <v>0</v>
      </c>
      <c r="EH204" s="10">
        <v>0</v>
      </c>
      <c r="EI204" s="10">
        <v>0</v>
      </c>
      <c r="EJ204" s="10">
        <v>0</v>
      </c>
      <c r="EK204" s="10">
        <v>0</v>
      </c>
      <c r="EL204" s="10">
        <v>0</v>
      </c>
      <c r="EM204" s="10">
        <v>0</v>
      </c>
      <c r="EN204" s="10">
        <v>0</v>
      </c>
      <c r="EO204" s="10">
        <v>0</v>
      </c>
      <c r="EP204" s="10">
        <v>0</v>
      </c>
      <c r="EQ204" s="10">
        <v>0</v>
      </c>
      <c r="ER204" s="10">
        <v>0</v>
      </c>
      <c r="ES204" s="10">
        <v>0</v>
      </c>
      <c r="ET204" s="10">
        <v>1.7035063918488826E-2</v>
      </c>
      <c r="EU204" s="10">
        <v>0</v>
      </c>
      <c r="EV204" s="10">
        <v>0</v>
      </c>
      <c r="EW204" s="10">
        <v>0</v>
      </c>
      <c r="EX204" s="10">
        <v>0</v>
      </c>
      <c r="EY204" s="10">
        <v>0</v>
      </c>
      <c r="EZ204" s="10">
        <v>0</v>
      </c>
      <c r="FA204" s="10">
        <v>0</v>
      </c>
      <c r="FB204" s="10">
        <v>0</v>
      </c>
      <c r="FC204" s="10">
        <v>0</v>
      </c>
      <c r="FD204" s="10">
        <v>0</v>
      </c>
      <c r="FE204" s="10">
        <v>0</v>
      </c>
      <c r="FF204" s="10">
        <v>0</v>
      </c>
      <c r="FG204" s="10">
        <v>0</v>
      </c>
      <c r="FH204" s="10">
        <v>0</v>
      </c>
      <c r="FI204" s="10">
        <v>0</v>
      </c>
      <c r="FJ204" s="10">
        <v>0</v>
      </c>
      <c r="FK204" s="10">
        <v>0</v>
      </c>
      <c r="FL204" s="10">
        <v>0</v>
      </c>
      <c r="FM204" s="10">
        <v>0</v>
      </c>
      <c r="FN204" s="10">
        <v>0</v>
      </c>
      <c r="FO204" s="10">
        <v>0</v>
      </c>
      <c r="FP204" s="10">
        <v>0</v>
      </c>
      <c r="FQ204" s="10">
        <v>0</v>
      </c>
      <c r="FR204" s="10">
        <v>0</v>
      </c>
      <c r="FS204" s="10">
        <v>0</v>
      </c>
      <c r="FT204" s="10">
        <v>0</v>
      </c>
      <c r="FU204" s="10">
        <v>0</v>
      </c>
      <c r="FV204" s="10">
        <v>0</v>
      </c>
      <c r="FW204" s="10">
        <v>0</v>
      </c>
      <c r="FX204" s="10">
        <v>0</v>
      </c>
      <c r="FY204" s="10">
        <v>0</v>
      </c>
      <c r="FZ204" s="10">
        <v>0</v>
      </c>
      <c r="GA204" s="10">
        <v>0</v>
      </c>
      <c r="GB204" s="10">
        <v>0</v>
      </c>
      <c r="GC204" s="10">
        <v>0</v>
      </c>
      <c r="GD204" s="10">
        <v>0</v>
      </c>
      <c r="GE204" s="10">
        <v>0</v>
      </c>
      <c r="GF204" s="10">
        <v>0</v>
      </c>
      <c r="GG204" s="10">
        <v>0</v>
      </c>
      <c r="GH204" s="10">
        <v>0</v>
      </c>
      <c r="GI204" s="10">
        <v>0</v>
      </c>
      <c r="GJ204" s="10">
        <v>0</v>
      </c>
      <c r="GK204" s="10">
        <v>0</v>
      </c>
      <c r="GL204" s="10">
        <v>0</v>
      </c>
      <c r="GM204" s="10">
        <v>0</v>
      </c>
      <c r="GN204" s="10">
        <v>0</v>
      </c>
      <c r="GO204" s="10">
        <v>0</v>
      </c>
      <c r="GP204" s="10">
        <v>0</v>
      </c>
      <c r="GQ204" s="10">
        <v>0</v>
      </c>
      <c r="GR204" s="10">
        <v>0</v>
      </c>
      <c r="GS204" s="10">
        <v>0</v>
      </c>
      <c r="GT204" s="10">
        <v>0</v>
      </c>
      <c r="GU204" s="10">
        <v>0</v>
      </c>
      <c r="GV204" s="10">
        <v>0.82844421844276828</v>
      </c>
      <c r="GW204" s="10">
        <v>0</v>
      </c>
      <c r="GX204" s="10">
        <v>0</v>
      </c>
      <c r="GY204" s="10">
        <v>0</v>
      </c>
      <c r="GZ204" s="10">
        <v>0</v>
      </c>
      <c r="HA204" s="10">
        <v>0</v>
      </c>
      <c r="HB204" s="10">
        <v>0</v>
      </c>
      <c r="HC204" s="10">
        <v>0</v>
      </c>
      <c r="HD204" s="10">
        <v>0</v>
      </c>
      <c r="HE204" s="10">
        <v>0</v>
      </c>
      <c r="HF204" s="10">
        <v>0</v>
      </c>
      <c r="HG204" s="10">
        <v>0</v>
      </c>
      <c r="HH204" s="10">
        <v>0</v>
      </c>
      <c r="HI204" s="10">
        <v>0</v>
      </c>
      <c r="HJ204" s="10">
        <v>0</v>
      </c>
      <c r="HK204" s="10">
        <v>0</v>
      </c>
      <c r="HL204" s="10">
        <v>0</v>
      </c>
      <c r="HM204" s="10">
        <v>0</v>
      </c>
      <c r="HN204" s="10">
        <v>0</v>
      </c>
      <c r="HO204" s="10">
        <v>0</v>
      </c>
      <c r="HP204" s="10">
        <v>0</v>
      </c>
      <c r="HQ204" s="10">
        <v>0</v>
      </c>
      <c r="HR204" s="10">
        <v>0</v>
      </c>
      <c r="HS204" s="10">
        <v>0</v>
      </c>
      <c r="HT204" s="10">
        <v>0</v>
      </c>
      <c r="HU204" s="10">
        <v>0</v>
      </c>
    </row>
    <row r="205" spans="1:229" x14ac:dyDescent="0.25">
      <c r="A205" s="10">
        <v>0</v>
      </c>
      <c r="B205" s="2" t="s">
        <v>398</v>
      </c>
      <c r="C205" s="2" t="s">
        <v>399</v>
      </c>
      <c r="D205" s="2">
        <v>15.904</v>
      </c>
      <c r="E205" s="2">
        <v>5.62</v>
      </c>
      <c r="F205" s="2">
        <v>11.89</v>
      </c>
      <c r="G205" s="2">
        <v>1.1000000000000001</v>
      </c>
      <c r="H205" s="2">
        <v>10.8</v>
      </c>
      <c r="I205" s="2">
        <v>56</v>
      </c>
      <c r="J205" s="2">
        <v>6.2080000000000002</v>
      </c>
      <c r="K205" s="2">
        <v>1.879</v>
      </c>
      <c r="L205" s="2"/>
      <c r="M205" s="2" t="str">
        <f t="shared" si="10"/>
        <v>01300</v>
      </c>
      <c r="N205" s="3">
        <v>0.56867565999522984</v>
      </c>
      <c r="O205" s="3">
        <v>1.4313243400047704</v>
      </c>
      <c r="P205" s="17">
        <v>0.56867565999521263</v>
      </c>
      <c r="Q205" s="3">
        <v>1.9908305457421991</v>
      </c>
      <c r="R205" s="3">
        <v>0.3146957974315055</v>
      </c>
      <c r="S205" s="3">
        <v>0</v>
      </c>
      <c r="T205" s="3">
        <v>0.1663919283303848</v>
      </c>
      <c r="U205" s="3">
        <v>0.56867565999522929</v>
      </c>
      <c r="V205" s="3">
        <v>1.4313243400047551</v>
      </c>
      <c r="W205" s="3">
        <v>1.5284073544817274</v>
      </c>
      <c r="X205" s="8">
        <v>9.0442176965638623</v>
      </c>
      <c r="Y205" s="10">
        <v>11.188467667071158</v>
      </c>
      <c r="Z205" s="3">
        <v>3.7417330314606003</v>
      </c>
      <c r="AA205" s="3">
        <v>0</v>
      </c>
      <c r="AB205" s="3">
        <v>1.7970328259681561</v>
      </c>
      <c r="AC205" s="3">
        <v>31.845836959732843</v>
      </c>
      <c r="AD205" s="3">
        <v>8.8856615027495192</v>
      </c>
      <c r="AE205" s="10">
        <v>2.8718774190711658</v>
      </c>
      <c r="AF205" s="10">
        <v>0</v>
      </c>
      <c r="AG205" s="10">
        <v>0</v>
      </c>
      <c r="AH205" s="10">
        <v>3.5849260451979476E-2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0</v>
      </c>
      <c r="AT205" s="3">
        <v>0</v>
      </c>
      <c r="AU205" s="3">
        <v>0</v>
      </c>
      <c r="AV205" s="3">
        <v>0</v>
      </c>
      <c r="AW205" s="3">
        <v>0</v>
      </c>
      <c r="AX205" s="3">
        <v>0</v>
      </c>
      <c r="AY205" s="3">
        <v>0</v>
      </c>
      <c r="AZ205" s="3">
        <v>0</v>
      </c>
      <c r="BA205" s="10">
        <v>0</v>
      </c>
      <c r="BB205" s="10">
        <v>0</v>
      </c>
      <c r="BC205" s="10">
        <v>0</v>
      </c>
      <c r="BD205" s="10">
        <v>0</v>
      </c>
      <c r="BE205" s="10">
        <v>0</v>
      </c>
      <c r="BF205" s="10">
        <v>0</v>
      </c>
      <c r="BG205" s="10">
        <v>0</v>
      </c>
      <c r="BH205" s="10">
        <v>0</v>
      </c>
      <c r="BI205" s="10">
        <v>0</v>
      </c>
      <c r="BJ205" s="10">
        <v>0</v>
      </c>
      <c r="BK205" s="10">
        <v>0</v>
      </c>
      <c r="BL205" s="10">
        <v>0</v>
      </c>
      <c r="BM205" s="10">
        <v>0</v>
      </c>
      <c r="BN205" s="10">
        <v>0</v>
      </c>
      <c r="BO205" s="10">
        <v>0</v>
      </c>
      <c r="BP205" s="10">
        <v>0</v>
      </c>
      <c r="BQ205" s="10">
        <v>0</v>
      </c>
      <c r="BR205" s="10">
        <v>0</v>
      </c>
      <c r="BS205" s="10">
        <v>0</v>
      </c>
      <c r="BT205" s="10">
        <v>0</v>
      </c>
      <c r="BU205" s="10">
        <v>0</v>
      </c>
      <c r="BV205" s="10">
        <v>0</v>
      </c>
      <c r="BW205" s="10">
        <v>0</v>
      </c>
      <c r="BX205" s="10">
        <v>0</v>
      </c>
      <c r="BY205" s="10">
        <v>0</v>
      </c>
      <c r="BZ205" s="10">
        <v>0</v>
      </c>
      <c r="CA205" s="10">
        <v>0</v>
      </c>
      <c r="CB205" s="10">
        <v>0</v>
      </c>
      <c r="CC205" s="10">
        <v>0</v>
      </c>
      <c r="CD205" s="10">
        <v>0</v>
      </c>
      <c r="CE205" s="10">
        <v>0</v>
      </c>
      <c r="CF205" s="10">
        <v>0</v>
      </c>
      <c r="CG205" s="10">
        <v>0</v>
      </c>
      <c r="CH205" s="10">
        <v>0</v>
      </c>
      <c r="CI205" s="10">
        <v>0</v>
      </c>
      <c r="CJ205" s="10">
        <v>0</v>
      </c>
      <c r="CK205" s="10">
        <v>0</v>
      </c>
      <c r="CL205" s="10">
        <v>0</v>
      </c>
      <c r="CM205" s="10">
        <v>0</v>
      </c>
      <c r="CN205" s="10">
        <v>0</v>
      </c>
      <c r="CO205" s="10">
        <v>0</v>
      </c>
      <c r="CP205" s="10">
        <v>0</v>
      </c>
      <c r="CQ205" s="10">
        <v>0</v>
      </c>
      <c r="CR205" s="10">
        <v>0</v>
      </c>
      <c r="CS205" s="10">
        <v>0.32233549021058061</v>
      </c>
      <c r="CT205" s="10">
        <v>0</v>
      </c>
      <c r="CU205" s="10">
        <v>0</v>
      </c>
      <c r="CV205" s="10">
        <v>0</v>
      </c>
      <c r="CW205" s="10">
        <v>0</v>
      </c>
      <c r="CX205" s="10">
        <v>0</v>
      </c>
      <c r="CY205" s="10">
        <v>0</v>
      </c>
      <c r="CZ205" s="10">
        <v>0</v>
      </c>
      <c r="DA205" s="10">
        <v>0</v>
      </c>
      <c r="DB205" s="10">
        <v>0</v>
      </c>
      <c r="DC205" s="10">
        <v>0</v>
      </c>
      <c r="DD205" s="10">
        <v>0</v>
      </c>
      <c r="DE205" s="10">
        <v>0</v>
      </c>
      <c r="DF205" s="10">
        <v>0</v>
      </c>
      <c r="DG205" s="10">
        <v>0</v>
      </c>
      <c r="DH205" s="10">
        <v>0</v>
      </c>
      <c r="DI205" s="10">
        <v>0</v>
      </c>
      <c r="DJ205" s="10">
        <v>0</v>
      </c>
      <c r="DK205" s="10">
        <v>0</v>
      </c>
      <c r="DL205" s="10">
        <v>0</v>
      </c>
      <c r="DM205" s="10">
        <v>0</v>
      </c>
      <c r="DN205" s="10">
        <v>0</v>
      </c>
      <c r="DO205" s="10">
        <v>0</v>
      </c>
      <c r="DP205" s="10">
        <v>0</v>
      </c>
      <c r="DQ205" s="10">
        <v>0</v>
      </c>
      <c r="DR205" s="10">
        <v>0</v>
      </c>
      <c r="DS205" s="10">
        <v>0.64181524933744039</v>
      </c>
      <c r="DT205" s="10">
        <v>0</v>
      </c>
      <c r="DU205" s="10">
        <v>0</v>
      </c>
      <c r="DV205" s="10">
        <v>0</v>
      </c>
      <c r="DW205" s="10">
        <v>0</v>
      </c>
      <c r="DX205" s="10">
        <v>0</v>
      </c>
      <c r="DY205" s="10">
        <v>0</v>
      </c>
      <c r="DZ205" s="10">
        <v>0</v>
      </c>
      <c r="EA205" s="10">
        <v>0</v>
      </c>
      <c r="EB205" s="10">
        <v>0</v>
      </c>
      <c r="EC205" s="10">
        <v>0</v>
      </c>
      <c r="ED205" s="10">
        <v>0</v>
      </c>
      <c r="EE205" s="10">
        <v>0</v>
      </c>
      <c r="EF205" s="10">
        <v>0</v>
      </c>
      <c r="EG205" s="10">
        <v>0</v>
      </c>
      <c r="EH205" s="10">
        <v>0</v>
      </c>
      <c r="EI205" s="10">
        <v>0</v>
      </c>
      <c r="EJ205" s="10">
        <v>0</v>
      </c>
      <c r="EK205" s="10">
        <v>0</v>
      </c>
      <c r="EL205" s="10">
        <v>0</v>
      </c>
      <c r="EM205" s="10">
        <v>0</v>
      </c>
      <c r="EN205" s="10">
        <v>0</v>
      </c>
      <c r="EO205" s="10">
        <v>0</v>
      </c>
      <c r="EP205" s="10">
        <v>0</v>
      </c>
      <c r="EQ205" s="10">
        <v>0</v>
      </c>
      <c r="ER205" s="10">
        <v>0</v>
      </c>
      <c r="ES205" s="10">
        <v>0</v>
      </c>
      <c r="ET205" s="10">
        <v>0</v>
      </c>
      <c r="EU205" s="10">
        <v>0</v>
      </c>
      <c r="EV205" s="10">
        <v>0</v>
      </c>
      <c r="EW205" s="10">
        <v>0</v>
      </c>
      <c r="EX205" s="10">
        <v>0</v>
      </c>
      <c r="EY205" s="10">
        <v>0</v>
      </c>
      <c r="EZ205" s="10">
        <v>0</v>
      </c>
      <c r="FA205" s="10">
        <v>0</v>
      </c>
      <c r="FB205" s="10">
        <v>0</v>
      </c>
      <c r="FC205" s="10">
        <v>0</v>
      </c>
      <c r="FD205" s="10">
        <v>0</v>
      </c>
      <c r="FE205" s="10">
        <v>0</v>
      </c>
      <c r="FF205" s="10">
        <v>0</v>
      </c>
      <c r="FG205" s="10">
        <v>0</v>
      </c>
      <c r="FH205" s="10">
        <v>0</v>
      </c>
      <c r="FI205" s="10">
        <v>0</v>
      </c>
      <c r="FJ205" s="10">
        <v>0</v>
      </c>
      <c r="FK205" s="10">
        <v>0</v>
      </c>
      <c r="FL205" s="10">
        <v>0</v>
      </c>
      <c r="FM205" s="10">
        <v>0</v>
      </c>
      <c r="FN205" s="10">
        <v>0</v>
      </c>
      <c r="FO205" s="10">
        <v>0</v>
      </c>
      <c r="FP205" s="10">
        <v>0</v>
      </c>
      <c r="FQ205" s="10">
        <v>0</v>
      </c>
      <c r="FR205" s="10">
        <v>0</v>
      </c>
      <c r="FS205" s="10">
        <v>0</v>
      </c>
      <c r="FT205" s="10">
        <v>0</v>
      </c>
      <c r="FU205" s="10">
        <v>0</v>
      </c>
      <c r="FV205" s="10">
        <v>0</v>
      </c>
      <c r="FW205" s="10">
        <v>0</v>
      </c>
      <c r="FX205" s="10">
        <v>0</v>
      </c>
      <c r="FY205" s="10">
        <v>0</v>
      </c>
      <c r="FZ205" s="10">
        <v>0</v>
      </c>
      <c r="GA205" s="10">
        <v>0</v>
      </c>
      <c r="GB205" s="10">
        <v>0</v>
      </c>
      <c r="GC205" s="10">
        <v>0</v>
      </c>
      <c r="GD205" s="10">
        <v>0</v>
      </c>
      <c r="GE205" s="10">
        <v>0</v>
      </c>
      <c r="GF205" s="10">
        <v>0</v>
      </c>
      <c r="GG205" s="10">
        <v>0</v>
      </c>
      <c r="GH205" s="10">
        <v>0</v>
      </c>
      <c r="GI205" s="10">
        <v>0</v>
      </c>
      <c r="GJ205" s="10">
        <v>0</v>
      </c>
      <c r="GK205" s="10">
        <v>0</v>
      </c>
      <c r="GL205" s="10">
        <v>0</v>
      </c>
      <c r="GM205" s="10">
        <v>0</v>
      </c>
      <c r="GN205" s="10">
        <v>0</v>
      </c>
      <c r="GO205" s="10">
        <v>0</v>
      </c>
      <c r="GP205" s="10">
        <v>0</v>
      </c>
      <c r="GQ205" s="10">
        <v>0</v>
      </c>
      <c r="GR205" s="10">
        <v>0</v>
      </c>
      <c r="GS205" s="10">
        <v>0</v>
      </c>
      <c r="GT205" s="10">
        <v>0</v>
      </c>
      <c r="GU205" s="10">
        <v>0</v>
      </c>
      <c r="GV205" s="10">
        <v>0</v>
      </c>
      <c r="GW205" s="10">
        <v>0</v>
      </c>
      <c r="GX205" s="10">
        <v>0</v>
      </c>
      <c r="GY205" s="10">
        <v>0</v>
      </c>
      <c r="GZ205" s="10">
        <v>0</v>
      </c>
      <c r="HA205" s="10">
        <v>0</v>
      </c>
      <c r="HB205" s="10">
        <v>0</v>
      </c>
      <c r="HC205" s="10">
        <v>0</v>
      </c>
      <c r="HD205" s="10">
        <v>0</v>
      </c>
      <c r="HE205" s="10">
        <v>0</v>
      </c>
      <c r="HF205" s="10">
        <v>0</v>
      </c>
      <c r="HG205" s="10">
        <v>0</v>
      </c>
      <c r="HH205" s="10">
        <v>0</v>
      </c>
      <c r="HI205" s="10">
        <v>0</v>
      </c>
      <c r="HJ205" s="10">
        <v>0</v>
      </c>
      <c r="HK205" s="10">
        <v>0</v>
      </c>
      <c r="HL205" s="10">
        <v>0</v>
      </c>
      <c r="HM205" s="10">
        <v>0</v>
      </c>
      <c r="HN205" s="10">
        <v>0</v>
      </c>
      <c r="HO205" s="10">
        <v>0</v>
      </c>
      <c r="HP205" s="10">
        <v>0</v>
      </c>
      <c r="HQ205" s="10">
        <v>0</v>
      </c>
      <c r="HR205" s="10">
        <v>0</v>
      </c>
      <c r="HS205" s="10">
        <v>0</v>
      </c>
      <c r="HT205" s="10">
        <v>0</v>
      </c>
      <c r="HU205" s="10">
        <v>0</v>
      </c>
    </row>
    <row r="206" spans="1:229" x14ac:dyDescent="0.25">
      <c r="A206" s="10">
        <v>0</v>
      </c>
      <c r="B206" s="2" t="s">
        <v>400</v>
      </c>
      <c r="C206" s="2" t="s">
        <v>401</v>
      </c>
      <c r="D206" s="2">
        <v>2.7170000000000001</v>
      </c>
      <c r="E206" s="2">
        <v>3</v>
      </c>
      <c r="F206" s="2">
        <v>28.89</v>
      </c>
      <c r="G206" s="2">
        <v>1</v>
      </c>
      <c r="H206" s="2">
        <v>21.26</v>
      </c>
      <c r="I206" s="2">
        <v>115</v>
      </c>
      <c r="J206" s="2">
        <v>1.7749999999999999</v>
      </c>
      <c r="K206" s="2">
        <v>0.747</v>
      </c>
      <c r="L206" s="2"/>
      <c r="M206" s="2" t="str">
        <f t="shared" si="10"/>
        <v>01301</v>
      </c>
      <c r="N206" s="3">
        <v>0.51926695490623986</v>
      </c>
      <c r="O206" s="3">
        <v>1.4807330450937601</v>
      </c>
      <c r="P206" s="17">
        <v>0.51926695490619401</v>
      </c>
      <c r="Q206" s="3">
        <v>1.5858211235999358</v>
      </c>
      <c r="R206" s="3">
        <v>0.16709253514267872</v>
      </c>
      <c r="S206" s="3">
        <v>8.7822848961189831E-2</v>
      </c>
      <c r="T206" s="3">
        <v>5.2209768177250331E-3</v>
      </c>
      <c r="U206" s="3">
        <v>0.51926695490623975</v>
      </c>
      <c r="V206" s="3">
        <v>1.4807330450937224</v>
      </c>
      <c r="W206" s="3">
        <v>1.3542230194503788</v>
      </c>
      <c r="X206" s="3">
        <v>1.4108483164801293</v>
      </c>
      <c r="Y206" s="3">
        <v>4.7574633707998073</v>
      </c>
      <c r="Z206" s="3">
        <v>4.827303340271988</v>
      </c>
      <c r="AA206" s="3">
        <v>8.7822848961189831E-2</v>
      </c>
      <c r="AB206" s="3">
        <v>0.11099796714483422</v>
      </c>
      <c r="AC206" s="3">
        <v>59.715699814217572</v>
      </c>
      <c r="AD206" s="3">
        <v>2.6283011550413571</v>
      </c>
      <c r="AE206" s="3">
        <v>1.011604595529433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0</v>
      </c>
      <c r="AT206" s="3">
        <v>0</v>
      </c>
      <c r="AU206" s="3">
        <v>0</v>
      </c>
      <c r="AV206" s="3">
        <v>0</v>
      </c>
      <c r="AW206" s="3">
        <v>0</v>
      </c>
      <c r="AX206" s="3">
        <v>0</v>
      </c>
      <c r="AY206" s="3">
        <v>0</v>
      </c>
      <c r="AZ206" s="3">
        <v>0</v>
      </c>
      <c r="BA206" s="10">
        <v>0</v>
      </c>
      <c r="BB206" s="10">
        <v>0</v>
      </c>
      <c r="BC206" s="10">
        <v>0</v>
      </c>
      <c r="BD206" s="10">
        <v>0</v>
      </c>
      <c r="BE206" s="10">
        <v>0</v>
      </c>
      <c r="BF206" s="10">
        <v>0</v>
      </c>
      <c r="BG206" s="10">
        <v>0</v>
      </c>
      <c r="BH206" s="10">
        <v>0</v>
      </c>
      <c r="BI206" s="10">
        <v>0</v>
      </c>
      <c r="BJ206" s="10">
        <v>0</v>
      </c>
      <c r="BK206" s="10">
        <v>0</v>
      </c>
      <c r="BL206" s="10">
        <v>0</v>
      </c>
      <c r="BM206" s="10">
        <v>0</v>
      </c>
      <c r="BN206" s="10">
        <v>0</v>
      </c>
      <c r="BO206" s="10">
        <v>0</v>
      </c>
      <c r="BP206" s="10">
        <v>0</v>
      </c>
      <c r="BQ206" s="10">
        <v>0</v>
      </c>
      <c r="BR206" s="10">
        <v>0</v>
      </c>
      <c r="BS206" s="10">
        <v>0</v>
      </c>
      <c r="BT206" s="10">
        <v>0</v>
      </c>
      <c r="BU206" s="10">
        <v>0</v>
      </c>
      <c r="BV206" s="10">
        <v>0</v>
      </c>
      <c r="BW206" s="10">
        <v>0</v>
      </c>
      <c r="BX206" s="10">
        <v>0</v>
      </c>
      <c r="BY206" s="10">
        <v>0</v>
      </c>
      <c r="BZ206" s="10">
        <v>0</v>
      </c>
      <c r="CA206" s="10">
        <v>0.91554378908999101</v>
      </c>
      <c r="CB206" s="10">
        <v>0</v>
      </c>
      <c r="CC206" s="10">
        <v>0</v>
      </c>
      <c r="CD206" s="10">
        <v>0</v>
      </c>
      <c r="CE206" s="10">
        <v>0</v>
      </c>
      <c r="CF206" s="10">
        <v>0</v>
      </c>
      <c r="CG206" s="10">
        <v>0</v>
      </c>
      <c r="CH206" s="10">
        <v>0</v>
      </c>
      <c r="CI206" s="10">
        <v>0</v>
      </c>
      <c r="CJ206" s="10">
        <v>0</v>
      </c>
      <c r="CK206" s="10">
        <v>0</v>
      </c>
      <c r="CL206" s="10">
        <v>0</v>
      </c>
      <c r="CM206" s="10">
        <v>0</v>
      </c>
      <c r="CN206" s="10">
        <v>0</v>
      </c>
      <c r="CO206" s="10">
        <v>0</v>
      </c>
      <c r="CP206" s="10">
        <v>0</v>
      </c>
      <c r="CQ206" s="10">
        <v>0</v>
      </c>
      <c r="CR206" s="10">
        <v>0</v>
      </c>
      <c r="CS206" s="10">
        <v>0</v>
      </c>
      <c r="CT206" s="10">
        <v>0</v>
      </c>
      <c r="CU206" s="10">
        <v>0</v>
      </c>
      <c r="CV206" s="10">
        <v>0</v>
      </c>
      <c r="CW206" s="10">
        <v>0</v>
      </c>
      <c r="CX206" s="10">
        <v>0</v>
      </c>
      <c r="CY206" s="10">
        <v>0</v>
      </c>
      <c r="CZ206" s="10">
        <v>0</v>
      </c>
      <c r="DA206" s="10">
        <v>0</v>
      </c>
      <c r="DB206" s="10">
        <v>0</v>
      </c>
      <c r="DC206" s="10">
        <v>0</v>
      </c>
      <c r="DD206" s="10">
        <v>0</v>
      </c>
      <c r="DE206" s="10">
        <v>0</v>
      </c>
      <c r="DF206" s="10">
        <v>0</v>
      </c>
      <c r="DG206" s="10">
        <v>0</v>
      </c>
      <c r="DH206" s="10">
        <v>0</v>
      </c>
      <c r="DI206" s="10">
        <v>0</v>
      </c>
      <c r="DJ206" s="10">
        <v>0</v>
      </c>
      <c r="DK206" s="10">
        <v>0</v>
      </c>
      <c r="DL206" s="10">
        <v>0</v>
      </c>
      <c r="DM206" s="10">
        <v>0</v>
      </c>
      <c r="DN206" s="10">
        <v>0</v>
      </c>
      <c r="DO206" s="10">
        <v>0</v>
      </c>
      <c r="DP206" s="10">
        <v>0</v>
      </c>
      <c r="DQ206" s="10">
        <v>0</v>
      </c>
      <c r="DR206" s="10">
        <v>0</v>
      </c>
      <c r="DS206" s="10">
        <v>7.2086795563362407E-2</v>
      </c>
      <c r="DT206" s="10">
        <v>0</v>
      </c>
      <c r="DU206" s="10">
        <v>0</v>
      </c>
      <c r="DV206" s="10">
        <v>0</v>
      </c>
      <c r="DW206" s="10">
        <v>0</v>
      </c>
      <c r="DX206" s="10">
        <v>0</v>
      </c>
      <c r="DY206" s="10">
        <v>0</v>
      </c>
      <c r="DZ206" s="10">
        <v>0</v>
      </c>
      <c r="EA206" s="10">
        <v>0</v>
      </c>
      <c r="EB206" s="10">
        <v>0</v>
      </c>
      <c r="EC206" s="10">
        <v>0</v>
      </c>
      <c r="ED206" s="10">
        <v>0</v>
      </c>
      <c r="EE206" s="10">
        <v>0</v>
      </c>
      <c r="EF206" s="10">
        <v>0</v>
      </c>
      <c r="EG206" s="10">
        <v>0</v>
      </c>
      <c r="EH206" s="10">
        <v>0</v>
      </c>
      <c r="EI206" s="10">
        <v>0</v>
      </c>
      <c r="EJ206" s="10">
        <v>0</v>
      </c>
      <c r="EK206" s="10">
        <v>0</v>
      </c>
      <c r="EL206" s="10">
        <v>0</v>
      </c>
      <c r="EM206" s="10">
        <v>0</v>
      </c>
      <c r="EN206" s="10">
        <v>0</v>
      </c>
      <c r="EO206" s="10">
        <v>0</v>
      </c>
      <c r="EP206" s="10">
        <v>0</v>
      </c>
      <c r="EQ206" s="10">
        <v>0</v>
      </c>
      <c r="ER206" s="10">
        <v>0</v>
      </c>
      <c r="ES206" s="10">
        <v>0</v>
      </c>
      <c r="ET206" s="10">
        <v>0</v>
      </c>
      <c r="EU206" s="10">
        <v>0</v>
      </c>
      <c r="EV206" s="10">
        <v>0</v>
      </c>
      <c r="EW206" s="10">
        <v>0</v>
      </c>
      <c r="EX206" s="10">
        <v>0</v>
      </c>
      <c r="EY206" s="10">
        <v>0</v>
      </c>
      <c r="EZ206" s="10">
        <v>0</v>
      </c>
      <c r="FA206" s="10">
        <v>0</v>
      </c>
      <c r="FB206" s="10">
        <v>0</v>
      </c>
      <c r="FC206" s="10">
        <v>0</v>
      </c>
      <c r="FD206" s="10">
        <v>0</v>
      </c>
      <c r="FE206" s="10">
        <v>0</v>
      </c>
      <c r="FF206" s="10">
        <v>0</v>
      </c>
      <c r="FG206" s="10">
        <v>0</v>
      </c>
      <c r="FH206" s="10">
        <v>0</v>
      </c>
      <c r="FI206" s="10">
        <v>0</v>
      </c>
      <c r="FJ206" s="10">
        <v>0</v>
      </c>
      <c r="FK206" s="10">
        <v>0</v>
      </c>
      <c r="FL206" s="10">
        <v>0</v>
      </c>
      <c r="FM206" s="10">
        <v>0</v>
      </c>
      <c r="FN206" s="10">
        <v>0</v>
      </c>
      <c r="FO206" s="10">
        <v>0</v>
      </c>
      <c r="FP206" s="10">
        <v>0</v>
      </c>
      <c r="FQ206" s="10">
        <v>0</v>
      </c>
      <c r="FR206" s="10">
        <v>0</v>
      </c>
      <c r="FS206" s="10">
        <v>0</v>
      </c>
      <c r="FT206" s="10">
        <v>0</v>
      </c>
      <c r="FU206" s="10">
        <v>0</v>
      </c>
      <c r="FV206" s="10">
        <v>0</v>
      </c>
      <c r="FW206" s="10">
        <v>0</v>
      </c>
      <c r="FX206" s="10">
        <v>0</v>
      </c>
      <c r="FY206" s="10">
        <v>0</v>
      </c>
      <c r="FZ206" s="10">
        <v>0</v>
      </c>
      <c r="GA206" s="10">
        <v>1.2369415346646456E-2</v>
      </c>
      <c r="GB206" s="10">
        <v>0</v>
      </c>
      <c r="GC206" s="10">
        <v>0</v>
      </c>
      <c r="GD206" s="10">
        <v>0</v>
      </c>
      <c r="GE206" s="10">
        <v>0</v>
      </c>
      <c r="GF206" s="10">
        <v>0</v>
      </c>
      <c r="GG206" s="10">
        <v>0</v>
      </c>
      <c r="GH206" s="10">
        <v>0</v>
      </c>
      <c r="GI206" s="10">
        <v>0</v>
      </c>
      <c r="GJ206" s="10">
        <v>0</v>
      </c>
      <c r="GK206" s="10">
        <v>0</v>
      </c>
      <c r="GL206" s="10">
        <v>0</v>
      </c>
      <c r="GM206" s="10">
        <v>0</v>
      </c>
      <c r="GN206" s="10">
        <v>0</v>
      </c>
      <c r="GO206" s="10">
        <v>0</v>
      </c>
      <c r="GP206" s="10">
        <v>0</v>
      </c>
      <c r="GQ206" s="10">
        <v>0</v>
      </c>
      <c r="GR206" s="10">
        <v>0</v>
      </c>
      <c r="GS206" s="10">
        <v>0</v>
      </c>
      <c r="GT206" s="10">
        <v>0</v>
      </c>
      <c r="GU206" s="10">
        <v>0</v>
      </c>
      <c r="GV206" s="10">
        <v>0</v>
      </c>
      <c r="GW206" s="10">
        <v>0</v>
      </c>
      <c r="GX206" s="10">
        <v>0</v>
      </c>
      <c r="GY206" s="10">
        <v>0</v>
      </c>
      <c r="GZ206" s="10">
        <v>0</v>
      </c>
      <c r="HA206" s="10">
        <v>0</v>
      </c>
      <c r="HB206" s="10">
        <v>0</v>
      </c>
      <c r="HC206" s="10">
        <v>0</v>
      </c>
      <c r="HD206" s="10">
        <v>0</v>
      </c>
      <c r="HE206" s="10">
        <v>0</v>
      </c>
      <c r="HF206" s="10">
        <v>0</v>
      </c>
      <c r="HG206" s="10">
        <v>0</v>
      </c>
      <c r="HH206" s="10">
        <v>0</v>
      </c>
      <c r="HI206" s="10">
        <v>0</v>
      </c>
      <c r="HJ206" s="10">
        <v>0</v>
      </c>
      <c r="HK206" s="10">
        <v>0</v>
      </c>
      <c r="HL206" s="10">
        <v>0</v>
      </c>
      <c r="HM206" s="10">
        <v>0</v>
      </c>
      <c r="HN206" s="10">
        <v>0</v>
      </c>
      <c r="HO206" s="10">
        <v>0</v>
      </c>
      <c r="HP206" s="10">
        <v>0</v>
      </c>
      <c r="HQ206" s="10">
        <v>0</v>
      </c>
      <c r="HR206" s="10">
        <v>0</v>
      </c>
      <c r="HS206" s="10">
        <v>0</v>
      </c>
      <c r="HT206" s="10">
        <v>0</v>
      </c>
      <c r="HU206" s="10">
        <v>0</v>
      </c>
    </row>
    <row r="207" spans="1:229" x14ac:dyDescent="0.25">
      <c r="A207" s="10">
        <v>0</v>
      </c>
      <c r="B207" s="2" t="s">
        <v>402</v>
      </c>
      <c r="C207" s="2" t="s">
        <v>403</v>
      </c>
      <c r="D207" s="2">
        <v>1.8129999999999999</v>
      </c>
      <c r="E207" s="2">
        <v>1.54</v>
      </c>
      <c r="F207" s="2">
        <v>32.75</v>
      </c>
      <c r="G207" s="2">
        <v>0</v>
      </c>
      <c r="H207" s="2">
        <v>18.46</v>
      </c>
      <c r="I207" s="2">
        <v>46</v>
      </c>
      <c r="J207" s="2">
        <v>0.81899999999999995</v>
      </c>
      <c r="K207" s="2">
        <v>0.13700000000000001</v>
      </c>
      <c r="L207" s="2"/>
      <c r="M207" s="2" t="str">
        <f t="shared" si="10"/>
        <v>01302</v>
      </c>
      <c r="N207" s="3">
        <v>0.6337461702896996</v>
      </c>
      <c r="O207" s="3">
        <v>1.3662538297103004</v>
      </c>
      <c r="P207" s="17">
        <v>0.63374617028978475</v>
      </c>
      <c r="Q207" s="3">
        <v>2.4753506645800116</v>
      </c>
      <c r="R207" s="3">
        <v>0.2489220752021174</v>
      </c>
      <c r="S207" s="3" t="e">
        <v>#DIV/0!</v>
      </c>
      <c r="T207" s="3">
        <v>0.3846908056240087</v>
      </c>
      <c r="U207" s="3">
        <v>0.63374617028969993</v>
      </c>
      <c r="V207" s="3">
        <v>1.366253829710284</v>
      </c>
      <c r="W207" s="3">
        <v>2.717661885406323</v>
      </c>
      <c r="X207" s="8">
        <v>1.1489818067353796</v>
      </c>
      <c r="Y207" s="10">
        <v>3.8120400234532181</v>
      </c>
      <c r="Z207" s="3">
        <v>8.1521979628693444</v>
      </c>
      <c r="AA207" s="3">
        <v>0.23985147732333445</v>
      </c>
      <c r="AB207" s="3">
        <v>7.1013922718192006</v>
      </c>
      <c r="AC207" s="3">
        <v>29.152323833326196</v>
      </c>
      <c r="AD207" s="3">
        <v>1.1189618865327224</v>
      </c>
      <c r="AE207" s="10">
        <v>0.37231967830066626</v>
      </c>
      <c r="AF207" s="10">
        <v>0</v>
      </c>
      <c r="AG207" s="10">
        <v>0</v>
      </c>
      <c r="AH207" s="10">
        <v>0</v>
      </c>
      <c r="AI207" s="3">
        <v>0</v>
      </c>
      <c r="AJ207" s="3">
        <v>0</v>
      </c>
      <c r="AK207" s="3">
        <v>0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0</v>
      </c>
      <c r="AT207" s="3">
        <v>0</v>
      </c>
      <c r="AU207" s="3">
        <v>0</v>
      </c>
      <c r="AV207" s="3">
        <v>0</v>
      </c>
      <c r="AW207" s="3">
        <v>0</v>
      </c>
      <c r="AX207" s="3">
        <v>0</v>
      </c>
      <c r="AY207" s="3">
        <v>0</v>
      </c>
      <c r="AZ207" s="3">
        <v>0</v>
      </c>
      <c r="BA207" s="10">
        <v>0</v>
      </c>
      <c r="BB207" s="10">
        <v>0</v>
      </c>
      <c r="BC207" s="10">
        <v>0</v>
      </c>
      <c r="BD207" s="10">
        <v>0</v>
      </c>
      <c r="BE207" s="10">
        <v>0</v>
      </c>
      <c r="BF207" s="10">
        <v>0</v>
      </c>
      <c r="BG207" s="10">
        <v>0</v>
      </c>
      <c r="BH207" s="10">
        <v>0</v>
      </c>
      <c r="BI207" s="10">
        <v>0</v>
      </c>
      <c r="BJ207" s="10">
        <v>0</v>
      </c>
      <c r="BK207" s="10">
        <v>0</v>
      </c>
      <c r="BL207" s="10">
        <v>0</v>
      </c>
      <c r="BM207" s="10">
        <v>0</v>
      </c>
      <c r="BN207" s="10">
        <v>0</v>
      </c>
      <c r="BO207" s="10">
        <v>0</v>
      </c>
      <c r="BP207" s="10">
        <v>0</v>
      </c>
      <c r="BQ207" s="10">
        <v>0</v>
      </c>
      <c r="BR207" s="10">
        <v>0</v>
      </c>
      <c r="BS207" s="10">
        <v>0</v>
      </c>
      <c r="BT207" s="10">
        <v>0</v>
      </c>
      <c r="BU207" s="10">
        <v>0</v>
      </c>
      <c r="BV207" s="10">
        <v>0</v>
      </c>
      <c r="BW207" s="10">
        <v>0</v>
      </c>
      <c r="BX207" s="10">
        <v>0</v>
      </c>
      <c r="BY207" s="10">
        <v>0</v>
      </c>
      <c r="BZ207" s="10">
        <v>0</v>
      </c>
      <c r="CA207" s="10">
        <v>0.16675010879124949</v>
      </c>
      <c r="CB207" s="10">
        <v>0</v>
      </c>
      <c r="CC207" s="10">
        <v>0</v>
      </c>
      <c r="CD207" s="10">
        <v>0</v>
      </c>
      <c r="CE207" s="10">
        <v>0</v>
      </c>
      <c r="CF207" s="10">
        <v>0</v>
      </c>
      <c r="CG207" s="10">
        <v>0</v>
      </c>
      <c r="CH207" s="10">
        <v>0</v>
      </c>
      <c r="CI207" s="10">
        <v>0</v>
      </c>
      <c r="CJ207" s="10">
        <v>0</v>
      </c>
      <c r="CK207" s="10">
        <v>0</v>
      </c>
      <c r="CL207" s="10">
        <v>0</v>
      </c>
      <c r="CM207" s="10">
        <v>0</v>
      </c>
      <c r="CN207" s="10">
        <v>0</v>
      </c>
      <c r="CO207" s="10">
        <v>0</v>
      </c>
      <c r="CP207" s="10">
        <v>0</v>
      </c>
      <c r="CQ207" s="10">
        <v>0</v>
      </c>
      <c r="CR207" s="10">
        <v>0</v>
      </c>
      <c r="CS207" s="10">
        <v>0</v>
      </c>
      <c r="CT207" s="10">
        <v>0</v>
      </c>
      <c r="CU207" s="10">
        <v>0</v>
      </c>
      <c r="CV207" s="10">
        <v>0</v>
      </c>
      <c r="CW207" s="10">
        <v>0</v>
      </c>
      <c r="CX207" s="10">
        <v>0</v>
      </c>
      <c r="CY207" s="10">
        <v>0</v>
      </c>
      <c r="CZ207" s="10">
        <v>0</v>
      </c>
      <c r="DA207" s="10">
        <v>0</v>
      </c>
      <c r="DB207" s="10">
        <v>0</v>
      </c>
      <c r="DC207" s="10">
        <v>0</v>
      </c>
      <c r="DD207" s="10">
        <v>0.49060492360398689</v>
      </c>
      <c r="DE207" s="10">
        <v>0</v>
      </c>
      <c r="DF207" s="10">
        <v>0</v>
      </c>
      <c r="DG207" s="10">
        <v>0</v>
      </c>
      <c r="DH207" s="10">
        <v>0</v>
      </c>
      <c r="DI207" s="10">
        <v>0</v>
      </c>
      <c r="DJ207" s="10">
        <v>0</v>
      </c>
      <c r="DK207" s="10">
        <v>0</v>
      </c>
      <c r="DL207" s="10">
        <v>0</v>
      </c>
      <c r="DM207" s="10">
        <v>0</v>
      </c>
      <c r="DN207" s="10">
        <v>0</v>
      </c>
      <c r="DO207" s="10">
        <v>0</v>
      </c>
      <c r="DP207" s="10">
        <v>0</v>
      </c>
      <c r="DQ207" s="10">
        <v>0</v>
      </c>
      <c r="DR207" s="10">
        <v>0</v>
      </c>
      <c r="DS207" s="10">
        <v>0</v>
      </c>
      <c r="DT207" s="10">
        <v>0</v>
      </c>
      <c r="DU207" s="10">
        <v>0</v>
      </c>
      <c r="DV207" s="10">
        <v>0</v>
      </c>
      <c r="DW207" s="10">
        <v>0</v>
      </c>
      <c r="DX207" s="10">
        <v>0</v>
      </c>
      <c r="DY207" s="10">
        <v>0</v>
      </c>
      <c r="DZ207" s="10">
        <v>0</v>
      </c>
      <c r="EA207" s="10">
        <v>0</v>
      </c>
      <c r="EB207" s="10">
        <v>0</v>
      </c>
      <c r="EC207" s="10">
        <v>0</v>
      </c>
      <c r="ED207" s="10">
        <v>0</v>
      </c>
      <c r="EE207" s="10">
        <v>0</v>
      </c>
      <c r="EF207" s="10">
        <v>0</v>
      </c>
      <c r="EG207" s="10">
        <v>0</v>
      </c>
      <c r="EH207" s="10">
        <v>0</v>
      </c>
      <c r="EI207" s="10">
        <v>0</v>
      </c>
      <c r="EJ207" s="10">
        <v>0</v>
      </c>
      <c r="EK207" s="10">
        <v>0</v>
      </c>
      <c r="EL207" s="10">
        <v>0</v>
      </c>
      <c r="EM207" s="10">
        <v>0</v>
      </c>
      <c r="EN207" s="10">
        <v>0</v>
      </c>
      <c r="EO207" s="10">
        <v>0</v>
      </c>
      <c r="EP207" s="10">
        <v>0</v>
      </c>
      <c r="EQ207" s="10">
        <v>0</v>
      </c>
      <c r="ER207" s="10">
        <v>0</v>
      </c>
      <c r="ES207" s="10">
        <v>0</v>
      </c>
      <c r="ET207" s="10">
        <v>0</v>
      </c>
      <c r="EU207" s="10">
        <v>0</v>
      </c>
      <c r="EV207" s="10">
        <v>0</v>
      </c>
      <c r="EW207" s="10">
        <v>0</v>
      </c>
      <c r="EX207" s="10">
        <v>0</v>
      </c>
      <c r="EY207" s="10">
        <v>0</v>
      </c>
      <c r="EZ207" s="10">
        <v>0</v>
      </c>
      <c r="FA207" s="10">
        <v>0</v>
      </c>
      <c r="FB207" s="10">
        <v>0</v>
      </c>
      <c r="FC207" s="10">
        <v>0</v>
      </c>
      <c r="FD207" s="10">
        <v>0</v>
      </c>
      <c r="FE207" s="10">
        <v>0</v>
      </c>
      <c r="FF207" s="10">
        <v>0</v>
      </c>
      <c r="FG207" s="10">
        <v>0</v>
      </c>
      <c r="FH207" s="10">
        <v>0</v>
      </c>
      <c r="FI207" s="10">
        <v>0</v>
      </c>
      <c r="FJ207" s="10">
        <v>0</v>
      </c>
      <c r="FK207" s="10">
        <v>0</v>
      </c>
      <c r="FL207" s="10">
        <v>0</v>
      </c>
      <c r="FM207" s="10">
        <v>0</v>
      </c>
      <c r="FN207" s="10">
        <v>0</v>
      </c>
      <c r="FO207" s="10">
        <v>0</v>
      </c>
      <c r="FP207" s="10">
        <v>0</v>
      </c>
      <c r="FQ207" s="10">
        <v>0</v>
      </c>
      <c r="FR207" s="10">
        <v>0</v>
      </c>
      <c r="FS207" s="10">
        <v>0</v>
      </c>
      <c r="FT207" s="10">
        <v>0</v>
      </c>
      <c r="FU207" s="10">
        <v>0</v>
      </c>
      <c r="FV207" s="10">
        <v>0</v>
      </c>
      <c r="FW207" s="10">
        <v>0</v>
      </c>
      <c r="FX207" s="10">
        <v>0</v>
      </c>
      <c r="FY207" s="10">
        <v>0</v>
      </c>
      <c r="FZ207" s="10">
        <v>0</v>
      </c>
      <c r="GA207" s="10">
        <v>0</v>
      </c>
      <c r="GB207" s="10">
        <v>0</v>
      </c>
      <c r="GC207" s="10">
        <v>0</v>
      </c>
      <c r="GD207" s="10">
        <v>0</v>
      </c>
      <c r="GE207" s="10">
        <v>0</v>
      </c>
      <c r="GF207" s="10">
        <v>0</v>
      </c>
      <c r="GG207" s="10">
        <v>0</v>
      </c>
      <c r="GH207" s="10">
        <v>0</v>
      </c>
      <c r="GI207" s="10">
        <v>0</v>
      </c>
      <c r="GJ207" s="10">
        <v>0</v>
      </c>
      <c r="GK207" s="10">
        <v>0</v>
      </c>
      <c r="GL207" s="10">
        <v>0</v>
      </c>
      <c r="GM207" s="10">
        <v>0</v>
      </c>
      <c r="GN207" s="10">
        <v>0</v>
      </c>
      <c r="GO207" s="10">
        <v>0</v>
      </c>
      <c r="GP207" s="10">
        <v>0</v>
      </c>
      <c r="GQ207" s="10">
        <v>0</v>
      </c>
      <c r="GR207" s="10">
        <v>0</v>
      </c>
      <c r="GS207" s="10">
        <v>0</v>
      </c>
      <c r="GT207" s="10">
        <v>0</v>
      </c>
      <c r="GU207" s="10">
        <v>0</v>
      </c>
      <c r="GV207" s="10">
        <v>0</v>
      </c>
      <c r="GW207" s="10">
        <v>0</v>
      </c>
      <c r="GX207" s="10">
        <v>0</v>
      </c>
      <c r="GY207" s="10">
        <v>0</v>
      </c>
      <c r="GZ207" s="10">
        <v>0</v>
      </c>
      <c r="HA207" s="10">
        <v>0</v>
      </c>
      <c r="HB207" s="10">
        <v>0</v>
      </c>
      <c r="HC207" s="10">
        <v>0</v>
      </c>
      <c r="HD207" s="10">
        <v>0</v>
      </c>
      <c r="HE207" s="10">
        <v>0</v>
      </c>
      <c r="HF207" s="10">
        <v>0</v>
      </c>
      <c r="HG207" s="10">
        <v>0.34264496760476354</v>
      </c>
      <c r="HH207" s="10">
        <v>0</v>
      </c>
      <c r="HI207" s="10">
        <v>0</v>
      </c>
      <c r="HJ207" s="10">
        <v>0</v>
      </c>
      <c r="HK207" s="10">
        <v>0</v>
      </c>
      <c r="HL207" s="10">
        <v>0</v>
      </c>
      <c r="HM207" s="10">
        <v>0</v>
      </c>
      <c r="HN207" s="10">
        <v>0</v>
      </c>
      <c r="HO207" s="10">
        <v>0</v>
      </c>
      <c r="HP207" s="10">
        <v>0</v>
      </c>
      <c r="HQ207" s="10">
        <v>0</v>
      </c>
      <c r="HR207" s="10">
        <v>0</v>
      </c>
      <c r="HS207" s="10">
        <v>0</v>
      </c>
      <c r="HT207" s="10">
        <v>0</v>
      </c>
      <c r="HU207" s="10">
        <v>0</v>
      </c>
    </row>
    <row r="208" spans="1:229" x14ac:dyDescent="0.25">
      <c r="A208" s="10">
        <v>0</v>
      </c>
      <c r="B208" s="2" t="s">
        <v>404</v>
      </c>
      <c r="C208" s="2" t="s">
        <v>405</v>
      </c>
      <c r="D208" s="2">
        <v>3.2759999999999998</v>
      </c>
      <c r="E208" s="2">
        <v>3.33</v>
      </c>
      <c r="F208" s="2">
        <v>3.33</v>
      </c>
      <c r="G208" s="2">
        <v>0</v>
      </c>
      <c r="H208" s="2">
        <v>3.33</v>
      </c>
      <c r="I208" s="2">
        <v>50</v>
      </c>
      <c r="J208" s="2">
        <v>1.526</v>
      </c>
      <c r="K208" s="2">
        <v>0.25700000000000001</v>
      </c>
      <c r="L208" s="2"/>
      <c r="M208" s="2" t="str">
        <f t="shared" si="10"/>
        <v>01303</v>
      </c>
      <c r="N208" s="3">
        <v>0.63191746230188706</v>
      </c>
      <c r="O208" s="3">
        <v>1.3680825376981132</v>
      </c>
      <c r="P208" s="17">
        <v>0.63191746230185764</v>
      </c>
      <c r="Q208" s="3">
        <v>1.3680825376981085</v>
      </c>
      <c r="R208" s="3">
        <v>1.3508660296042079</v>
      </c>
      <c r="S208" s="3" t="e">
        <v>#DIV/0!</v>
      </c>
      <c r="T208" s="3">
        <v>0.63191746230188561</v>
      </c>
      <c r="U208" s="3">
        <v>0.63191746230188728</v>
      </c>
      <c r="V208" s="3">
        <v>1.3680825376981089</v>
      </c>
      <c r="W208" s="3">
        <v>2.6548378783314104</v>
      </c>
      <c r="X208" s="3">
        <v>2.0701616065008857</v>
      </c>
      <c r="Y208" s="3">
        <v>4.5557148505347014</v>
      </c>
      <c r="Z208" s="3">
        <v>4.4983838785820121</v>
      </c>
      <c r="AA208" s="3">
        <v>0</v>
      </c>
      <c r="AB208" s="3">
        <v>2.1042851494652792</v>
      </c>
      <c r="AC208" s="3">
        <v>31.595873115094363</v>
      </c>
      <c r="AD208" s="3">
        <v>2.0876939525273142</v>
      </c>
      <c r="AE208" s="3">
        <v>0.68229333473117248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0</v>
      </c>
      <c r="AT208" s="3">
        <v>0</v>
      </c>
      <c r="AU208" s="3">
        <v>0</v>
      </c>
      <c r="AV208" s="3">
        <v>0</v>
      </c>
      <c r="AW208" s="3">
        <v>0</v>
      </c>
      <c r="AX208" s="3">
        <v>0</v>
      </c>
      <c r="AY208" s="3">
        <v>0</v>
      </c>
      <c r="AZ208" s="3">
        <v>0</v>
      </c>
      <c r="BA208" s="10">
        <v>0</v>
      </c>
      <c r="BB208" s="10">
        <v>0</v>
      </c>
      <c r="BC208" s="10">
        <v>0</v>
      </c>
      <c r="BD208" s="10">
        <v>0</v>
      </c>
      <c r="BE208" s="10">
        <v>0</v>
      </c>
      <c r="BF208" s="10">
        <v>0</v>
      </c>
      <c r="BG208" s="10">
        <v>0</v>
      </c>
      <c r="BH208" s="10">
        <v>0</v>
      </c>
      <c r="BI208" s="10">
        <v>0</v>
      </c>
      <c r="BJ208" s="10">
        <v>0</v>
      </c>
      <c r="BK208" s="10">
        <v>0</v>
      </c>
      <c r="BL208" s="10">
        <v>0</v>
      </c>
      <c r="BM208" s="10">
        <v>0</v>
      </c>
      <c r="BN208" s="10">
        <v>0</v>
      </c>
      <c r="BO208" s="10">
        <v>0</v>
      </c>
      <c r="BP208" s="10">
        <v>0</v>
      </c>
      <c r="BQ208" s="10">
        <v>0</v>
      </c>
      <c r="BR208" s="10">
        <v>0</v>
      </c>
      <c r="BS208" s="10">
        <v>0</v>
      </c>
      <c r="BT208" s="10">
        <v>0</v>
      </c>
      <c r="BU208" s="10">
        <v>0</v>
      </c>
      <c r="BV208" s="10">
        <v>0</v>
      </c>
      <c r="BW208" s="10">
        <v>0</v>
      </c>
      <c r="BX208" s="10">
        <v>0</v>
      </c>
      <c r="BY208" s="10">
        <v>0</v>
      </c>
      <c r="BZ208" s="10">
        <v>0</v>
      </c>
      <c r="CA208" s="10">
        <v>0.35921245692350035</v>
      </c>
      <c r="CB208" s="10">
        <v>0</v>
      </c>
      <c r="CC208" s="10">
        <v>0</v>
      </c>
      <c r="CD208" s="10">
        <v>0</v>
      </c>
      <c r="CE208" s="10">
        <v>0</v>
      </c>
      <c r="CF208" s="10">
        <v>0</v>
      </c>
      <c r="CG208" s="10">
        <v>0</v>
      </c>
      <c r="CH208" s="10">
        <v>0</v>
      </c>
      <c r="CI208" s="10">
        <v>0</v>
      </c>
      <c r="CJ208" s="10">
        <v>0</v>
      </c>
      <c r="CK208" s="10">
        <v>0</v>
      </c>
      <c r="CL208" s="10">
        <v>0</v>
      </c>
      <c r="CM208" s="10">
        <v>0</v>
      </c>
      <c r="CN208" s="10">
        <v>8.508328806114325E-2</v>
      </c>
      <c r="CO208" s="10">
        <v>0</v>
      </c>
      <c r="CP208" s="10">
        <v>0</v>
      </c>
      <c r="CQ208" s="10">
        <v>0</v>
      </c>
      <c r="CR208" s="10">
        <v>0</v>
      </c>
      <c r="CS208" s="10">
        <v>0.43390607263790393</v>
      </c>
      <c r="CT208" s="10">
        <v>0</v>
      </c>
      <c r="CU208" s="10">
        <v>0</v>
      </c>
      <c r="CV208" s="10">
        <v>0</v>
      </c>
      <c r="CW208" s="10">
        <v>0</v>
      </c>
      <c r="CX208" s="10">
        <v>0</v>
      </c>
      <c r="CY208" s="10">
        <v>0</v>
      </c>
      <c r="CZ208" s="10">
        <v>0</v>
      </c>
      <c r="DA208" s="10">
        <v>0</v>
      </c>
      <c r="DB208" s="10">
        <v>0</v>
      </c>
      <c r="DC208" s="10">
        <v>0</v>
      </c>
      <c r="DD208" s="10">
        <v>0</v>
      </c>
      <c r="DE208" s="10">
        <v>0</v>
      </c>
      <c r="DF208" s="10">
        <v>0</v>
      </c>
      <c r="DG208" s="10">
        <v>0</v>
      </c>
      <c r="DH208" s="10">
        <v>0</v>
      </c>
      <c r="DI208" s="10">
        <v>0</v>
      </c>
      <c r="DJ208" s="10">
        <v>0</v>
      </c>
      <c r="DK208" s="10">
        <v>0</v>
      </c>
      <c r="DL208" s="10">
        <v>0</v>
      </c>
      <c r="DM208" s="10">
        <v>0</v>
      </c>
      <c r="DN208" s="10">
        <v>0</v>
      </c>
      <c r="DO208" s="10">
        <v>0</v>
      </c>
      <c r="DP208" s="10">
        <v>0</v>
      </c>
      <c r="DQ208" s="10">
        <v>0</v>
      </c>
      <c r="DR208" s="10">
        <v>0</v>
      </c>
      <c r="DS208" s="10">
        <v>8.4164942314447738E-2</v>
      </c>
      <c r="DT208" s="10">
        <v>0</v>
      </c>
      <c r="DU208" s="10">
        <v>0</v>
      </c>
      <c r="DV208" s="10">
        <v>0</v>
      </c>
      <c r="DW208" s="10">
        <v>0</v>
      </c>
      <c r="DX208" s="10">
        <v>0</v>
      </c>
      <c r="DY208" s="10">
        <v>0</v>
      </c>
      <c r="DZ208" s="10">
        <v>0</v>
      </c>
      <c r="EA208" s="10">
        <v>0</v>
      </c>
      <c r="EB208" s="10">
        <v>0</v>
      </c>
      <c r="EC208" s="10">
        <v>0</v>
      </c>
      <c r="ED208" s="10">
        <v>0</v>
      </c>
      <c r="EE208" s="10">
        <v>0</v>
      </c>
      <c r="EF208" s="10">
        <v>0</v>
      </c>
      <c r="EG208" s="10">
        <v>0</v>
      </c>
      <c r="EH208" s="10">
        <v>0</v>
      </c>
      <c r="EI208" s="10">
        <v>0</v>
      </c>
      <c r="EJ208" s="10">
        <v>0</v>
      </c>
      <c r="EK208" s="10">
        <v>0</v>
      </c>
      <c r="EL208" s="10">
        <v>0</v>
      </c>
      <c r="EM208" s="10">
        <v>0</v>
      </c>
      <c r="EN208" s="10">
        <v>0</v>
      </c>
      <c r="EO208" s="10">
        <v>0</v>
      </c>
      <c r="EP208" s="10">
        <v>0</v>
      </c>
      <c r="EQ208" s="10">
        <v>0</v>
      </c>
      <c r="ER208" s="10">
        <v>0</v>
      </c>
      <c r="ES208" s="10">
        <v>0</v>
      </c>
      <c r="ET208" s="10">
        <v>0</v>
      </c>
      <c r="EU208" s="10">
        <v>0</v>
      </c>
      <c r="EV208" s="10">
        <v>0</v>
      </c>
      <c r="EW208" s="10">
        <v>0</v>
      </c>
      <c r="EX208" s="10">
        <v>0</v>
      </c>
      <c r="EY208" s="10">
        <v>0</v>
      </c>
      <c r="EZ208" s="10">
        <v>0</v>
      </c>
      <c r="FA208" s="10">
        <v>0</v>
      </c>
      <c r="FB208" s="10">
        <v>0</v>
      </c>
      <c r="FC208" s="10">
        <v>0</v>
      </c>
      <c r="FD208" s="10">
        <v>0</v>
      </c>
      <c r="FE208" s="10">
        <v>0</v>
      </c>
      <c r="FF208" s="10">
        <v>0</v>
      </c>
      <c r="FG208" s="10">
        <v>0</v>
      </c>
      <c r="FH208" s="10">
        <v>0</v>
      </c>
      <c r="FI208" s="10">
        <v>0</v>
      </c>
      <c r="FJ208" s="10">
        <v>0</v>
      </c>
      <c r="FK208" s="10">
        <v>0</v>
      </c>
      <c r="FL208" s="10">
        <v>0</v>
      </c>
      <c r="FM208" s="10">
        <v>0</v>
      </c>
      <c r="FN208" s="10">
        <v>0</v>
      </c>
      <c r="FO208" s="10">
        <v>0</v>
      </c>
      <c r="FP208" s="10">
        <v>0</v>
      </c>
      <c r="FQ208" s="10">
        <v>0</v>
      </c>
      <c r="FR208" s="10">
        <v>0</v>
      </c>
      <c r="FS208" s="10">
        <v>0</v>
      </c>
      <c r="FT208" s="10">
        <v>0</v>
      </c>
      <c r="FU208" s="10">
        <v>0</v>
      </c>
      <c r="FV208" s="10">
        <v>0</v>
      </c>
      <c r="FW208" s="10">
        <v>0</v>
      </c>
      <c r="FX208" s="10">
        <v>0</v>
      </c>
      <c r="FY208" s="10">
        <v>0</v>
      </c>
      <c r="FZ208" s="10">
        <v>0</v>
      </c>
      <c r="GA208" s="10">
        <v>0</v>
      </c>
      <c r="GB208" s="10">
        <v>0</v>
      </c>
      <c r="GC208" s="10">
        <v>0</v>
      </c>
      <c r="GD208" s="10">
        <v>0</v>
      </c>
      <c r="GE208" s="10">
        <v>0</v>
      </c>
      <c r="GF208" s="10">
        <v>0</v>
      </c>
      <c r="GG208" s="10">
        <v>0</v>
      </c>
      <c r="GH208" s="10">
        <v>0</v>
      </c>
      <c r="GI208" s="10">
        <v>0</v>
      </c>
      <c r="GJ208" s="10">
        <v>0</v>
      </c>
      <c r="GK208" s="10">
        <v>0</v>
      </c>
      <c r="GL208" s="10">
        <v>0</v>
      </c>
      <c r="GM208" s="10">
        <v>0</v>
      </c>
      <c r="GN208" s="10">
        <v>0</v>
      </c>
      <c r="GO208" s="10">
        <v>0</v>
      </c>
      <c r="GP208" s="10">
        <v>0</v>
      </c>
      <c r="GQ208" s="10">
        <v>0</v>
      </c>
      <c r="GR208" s="10">
        <v>0</v>
      </c>
      <c r="GS208" s="10">
        <v>0</v>
      </c>
      <c r="GT208" s="10">
        <v>0</v>
      </c>
      <c r="GU208" s="10">
        <v>0</v>
      </c>
      <c r="GV208" s="10">
        <v>3.7633240063005301E-2</v>
      </c>
      <c r="GW208" s="10">
        <v>0</v>
      </c>
      <c r="GX208" s="10">
        <v>0</v>
      </c>
      <c r="GY208" s="10">
        <v>0</v>
      </c>
      <c r="GZ208" s="10">
        <v>0</v>
      </c>
      <c r="HA208" s="10">
        <v>0</v>
      </c>
      <c r="HB208" s="10">
        <v>0</v>
      </c>
      <c r="HC208" s="10">
        <v>0</v>
      </c>
      <c r="HD208" s="10">
        <v>0</v>
      </c>
      <c r="HE208" s="10">
        <v>0</v>
      </c>
      <c r="HF208" s="10">
        <v>0</v>
      </c>
      <c r="HG208" s="10">
        <v>0</v>
      </c>
      <c r="HH208" s="10">
        <v>0</v>
      </c>
      <c r="HI208" s="10">
        <v>0</v>
      </c>
      <c r="HJ208" s="10">
        <v>0</v>
      </c>
      <c r="HK208" s="10">
        <v>0</v>
      </c>
      <c r="HL208" s="10">
        <v>0</v>
      </c>
      <c r="HM208" s="10">
        <v>0</v>
      </c>
      <c r="HN208" s="10">
        <v>0</v>
      </c>
      <c r="HO208" s="10">
        <v>0</v>
      </c>
      <c r="HP208" s="10">
        <v>0</v>
      </c>
      <c r="HQ208" s="10">
        <v>0</v>
      </c>
      <c r="HR208" s="10">
        <v>0</v>
      </c>
      <c r="HS208" s="10">
        <v>0</v>
      </c>
      <c r="HT208" s="10">
        <v>0</v>
      </c>
      <c r="HU208" s="10">
        <v>0</v>
      </c>
    </row>
  </sheetData>
  <autoFilter ref="A10:JV10" xr:uid="{16875EC7-59AA-D047-9062-00DE811AC108}"/>
  <mergeCells count="3">
    <mergeCell ref="Q9:W9"/>
    <mergeCell ref="Y9:AE9"/>
    <mergeCell ref="D9:K9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0147B-B0BF-DE43-8469-90B8BF18C4AF}">
  <sheetPr codeName="Sheet3"/>
  <dimension ref="A1:K208"/>
  <sheetViews>
    <sheetView topLeftCell="A28" workbookViewId="0">
      <selection activeCell="N45" sqref="N45"/>
    </sheetView>
  </sheetViews>
  <sheetFormatPr defaultColWidth="11" defaultRowHeight="15.75" x14ac:dyDescent="0.25"/>
  <cols>
    <col min="2" max="2" width="7.5" bestFit="1" customWidth="1"/>
  </cols>
  <sheetData>
    <row r="1" spans="1:11" x14ac:dyDescent="0.25">
      <c r="B1" s="4"/>
      <c r="D1" s="29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</row>
    <row r="2" spans="1:11" x14ac:dyDescent="0.25">
      <c r="A2" t="s">
        <v>422</v>
      </c>
      <c r="B2" s="4"/>
      <c r="D2" s="31">
        <f>AVERAGE(D11:D208)</f>
        <v>8.1636767676767672</v>
      </c>
      <c r="E2" s="31">
        <f t="shared" ref="E2:K2" si="0">AVERAGE(E11:E208)</f>
        <v>13.699696969696966</v>
      </c>
      <c r="F2" s="31">
        <f t="shared" si="0"/>
        <v>12.486969696969695</v>
      </c>
      <c r="G2" s="31">
        <f t="shared" si="0"/>
        <v>0.20923076923076925</v>
      </c>
      <c r="H2" s="31">
        <f t="shared" si="0"/>
        <v>9.5063888888888854</v>
      </c>
      <c r="I2" s="31">
        <f t="shared" si="0"/>
        <v>440.39393939393938</v>
      </c>
      <c r="J2" s="31">
        <f t="shared" si="0"/>
        <v>3.9827461139896361</v>
      </c>
      <c r="K2" s="31">
        <f t="shared" si="0"/>
        <v>0.79897409326424929</v>
      </c>
    </row>
    <row r="3" spans="1:11" x14ac:dyDescent="0.25">
      <c r="A3" t="s">
        <v>425</v>
      </c>
      <c r="D3" s="31">
        <f>_xlfn.STDEV.S(D11:D208)</f>
        <v>9.7302910650047529</v>
      </c>
      <c r="E3" s="31">
        <f t="shared" ref="E3:K3" si="1">_xlfn.STDEV.S(E11:E208)</f>
        <v>13.424097429096653</v>
      </c>
      <c r="F3" s="31">
        <f t="shared" si="1"/>
        <v>15.13893393604349</v>
      </c>
      <c r="G3" s="31">
        <f t="shared" si="1"/>
        <v>0.79820476604246759</v>
      </c>
      <c r="H3" s="31">
        <f t="shared" si="1"/>
        <v>13.803139945747384</v>
      </c>
      <c r="I3" s="31">
        <f t="shared" si="1"/>
        <v>575.83135782400564</v>
      </c>
      <c r="J3" s="31">
        <f t="shared" si="1"/>
        <v>4.6096556443149312</v>
      </c>
      <c r="K3" s="31">
        <f t="shared" si="1"/>
        <v>1.2557277415043751</v>
      </c>
    </row>
    <row r="4" spans="1:11" x14ac:dyDescent="0.25">
      <c r="A4" t="s">
        <v>423</v>
      </c>
      <c r="D4" s="31">
        <f>MIN(D11:D208)</f>
        <v>0</v>
      </c>
      <c r="E4" s="31">
        <f t="shared" ref="E4:K4" si="2">MIN(E11:E208)</f>
        <v>0.28000000000000003</v>
      </c>
      <c r="F4" s="31">
        <f t="shared" si="2"/>
        <v>0</v>
      </c>
      <c r="G4" s="31">
        <f t="shared" si="2"/>
        <v>0</v>
      </c>
      <c r="H4" s="31">
        <f t="shared" si="2"/>
        <v>0</v>
      </c>
      <c r="I4" s="31">
        <f t="shared" si="2"/>
        <v>2</v>
      </c>
      <c r="J4" s="31">
        <f t="shared" si="2"/>
        <v>0</v>
      </c>
      <c r="K4" s="31">
        <f t="shared" si="2"/>
        <v>0</v>
      </c>
    </row>
    <row r="5" spans="1:11" x14ac:dyDescent="0.25">
      <c r="A5" t="s">
        <v>424</v>
      </c>
      <c r="D5" s="31">
        <f>MAX(D11:D208)</f>
        <v>61.923999999999999</v>
      </c>
      <c r="E5" s="31">
        <f t="shared" ref="E5:K5" si="3">MAX(E11:E208)</f>
        <v>84.08</v>
      </c>
      <c r="F5" s="31">
        <f t="shared" si="3"/>
        <v>75.42</v>
      </c>
      <c r="G5" s="31">
        <f t="shared" si="3"/>
        <v>7.1</v>
      </c>
      <c r="H5" s="31">
        <f t="shared" si="3"/>
        <v>74.459999999999994</v>
      </c>
      <c r="I5" s="31">
        <f t="shared" si="3"/>
        <v>3663</v>
      </c>
      <c r="J5" s="31">
        <f t="shared" si="3"/>
        <v>28.731999999999999</v>
      </c>
      <c r="K5" s="31">
        <f t="shared" si="3"/>
        <v>8.3140000000000001</v>
      </c>
    </row>
    <row r="6" spans="1:11" x14ac:dyDescent="0.25">
      <c r="A6" t="s">
        <v>426</v>
      </c>
      <c r="D6" s="31">
        <f>MEDIAN(D11:D208)</f>
        <v>3.6395</v>
      </c>
      <c r="E6" s="31">
        <f t="shared" ref="E6:K6" si="4">MEDIAN(E11:E208)</f>
        <v>9.0350000000000001</v>
      </c>
      <c r="F6" s="31">
        <f t="shared" si="4"/>
        <v>6.3949999999999996</v>
      </c>
      <c r="G6" s="31">
        <f t="shared" si="4"/>
        <v>0</v>
      </c>
      <c r="H6" s="31">
        <f t="shared" si="4"/>
        <v>4.7650000000000006</v>
      </c>
      <c r="I6" s="31">
        <f t="shared" si="4"/>
        <v>135</v>
      </c>
      <c r="J6" s="31">
        <f t="shared" si="4"/>
        <v>2.1429999999999998</v>
      </c>
      <c r="K6" s="31">
        <f t="shared" si="4"/>
        <v>0.41499999999999998</v>
      </c>
    </row>
    <row r="7" spans="1:11" x14ac:dyDescent="0.25">
      <c r="A7">
        <v>0</v>
      </c>
      <c r="D7" s="31"/>
      <c r="E7" s="31"/>
      <c r="F7" s="31"/>
      <c r="G7" s="31"/>
      <c r="H7" s="31"/>
      <c r="I7" s="31"/>
      <c r="J7" s="31"/>
      <c r="K7" s="31"/>
    </row>
    <row r="8" spans="1:11" x14ac:dyDescent="0.25">
      <c r="D8" s="31"/>
      <c r="E8" s="31"/>
      <c r="F8" s="31"/>
      <c r="G8" s="31"/>
      <c r="H8" s="31"/>
      <c r="I8" s="31"/>
      <c r="J8" s="31"/>
      <c r="K8" s="31"/>
    </row>
    <row r="9" spans="1:11" x14ac:dyDescent="0.25">
      <c r="D9" s="30"/>
      <c r="E9" s="30"/>
      <c r="F9" s="30"/>
      <c r="G9" s="30" t="s">
        <v>427</v>
      </c>
      <c r="H9" s="30"/>
      <c r="I9" s="30"/>
      <c r="J9" s="30"/>
      <c r="K9" s="30"/>
    </row>
    <row r="10" spans="1:11" x14ac:dyDescent="0.25">
      <c r="A10" s="1" t="s">
        <v>419</v>
      </c>
      <c r="B10" s="27" t="s">
        <v>0</v>
      </c>
      <c r="C10" s="28" t="s">
        <v>1</v>
      </c>
      <c r="D10" s="29" t="s">
        <v>2</v>
      </c>
      <c r="E10" s="28" t="s">
        <v>3</v>
      </c>
      <c r="F10" s="28" t="s">
        <v>4</v>
      </c>
      <c r="G10" s="28" t="s">
        <v>5</v>
      </c>
      <c r="H10" s="28" t="s">
        <v>6</v>
      </c>
      <c r="I10" s="28" t="s">
        <v>7</v>
      </c>
      <c r="J10" s="28" t="s">
        <v>8</v>
      </c>
      <c r="K10" s="28" t="s">
        <v>9</v>
      </c>
    </row>
    <row r="11" spans="1:11" x14ac:dyDescent="0.25">
      <c r="A11" s="20">
        <v>0</v>
      </c>
      <c r="B11" s="2" t="s">
        <v>10</v>
      </c>
      <c r="C11" s="2" t="s">
        <v>11</v>
      </c>
      <c r="D11" s="16">
        <v>51.368000000000002</v>
      </c>
      <c r="E11" s="3">
        <v>0.85</v>
      </c>
      <c r="F11" s="3">
        <v>0.06</v>
      </c>
      <c r="G11" s="3">
        <v>0</v>
      </c>
      <c r="H11" s="3">
        <v>0.06</v>
      </c>
      <c r="I11" s="3">
        <v>643</v>
      </c>
      <c r="J11" s="3">
        <v>21.021000000000001</v>
      </c>
      <c r="K11" s="3">
        <v>3.0430000000000001</v>
      </c>
    </row>
    <row r="12" spans="1:11" x14ac:dyDescent="0.25">
      <c r="A12" s="20">
        <v>0</v>
      </c>
      <c r="B12" s="2" t="s">
        <v>12</v>
      </c>
      <c r="C12" s="2" t="s">
        <v>13</v>
      </c>
      <c r="D12" s="17">
        <v>45.39</v>
      </c>
      <c r="E12" s="3">
        <v>0.49</v>
      </c>
      <c r="F12" s="3">
        <v>2.87</v>
      </c>
      <c r="G12" s="3">
        <v>0</v>
      </c>
      <c r="H12" s="3">
        <v>0.06</v>
      </c>
      <c r="I12" s="3">
        <v>583</v>
      </c>
      <c r="J12" s="3">
        <v>19.873999999999999</v>
      </c>
      <c r="K12" s="3">
        <v>3.331</v>
      </c>
    </row>
    <row r="13" spans="1:11" x14ac:dyDescent="0.25">
      <c r="A13" s="20">
        <v>0</v>
      </c>
      <c r="B13" s="2" t="s">
        <v>14</v>
      </c>
      <c r="C13" s="2" t="s">
        <v>15</v>
      </c>
      <c r="D13" s="17">
        <v>61.923999999999999</v>
      </c>
      <c r="E13" s="3">
        <v>0.28000000000000003</v>
      </c>
      <c r="F13" s="3">
        <v>0</v>
      </c>
      <c r="G13" s="3">
        <v>0</v>
      </c>
      <c r="H13" s="3">
        <v>0</v>
      </c>
      <c r="I13" s="3">
        <v>2</v>
      </c>
      <c r="J13" s="3">
        <v>28.731999999999999</v>
      </c>
      <c r="K13" s="3">
        <v>3.694</v>
      </c>
    </row>
    <row r="14" spans="1:11" x14ac:dyDescent="0.25">
      <c r="A14" s="20">
        <v>0</v>
      </c>
      <c r="B14" s="2" t="s">
        <v>16</v>
      </c>
      <c r="C14" s="2" t="s">
        <v>17</v>
      </c>
      <c r="D14" s="17">
        <v>18.669</v>
      </c>
      <c r="E14" s="3">
        <v>21.4</v>
      </c>
      <c r="F14" s="3">
        <v>2.34</v>
      </c>
      <c r="G14" s="3">
        <v>0</v>
      </c>
      <c r="H14" s="3">
        <v>0.5</v>
      </c>
      <c r="I14" s="3">
        <v>1146</v>
      </c>
      <c r="J14" s="3">
        <v>7.7779999999999996</v>
      </c>
      <c r="K14" s="3">
        <v>0.8</v>
      </c>
    </row>
    <row r="15" spans="1:11" x14ac:dyDescent="0.25">
      <c r="A15" s="20">
        <v>0</v>
      </c>
      <c r="B15" s="2" t="s">
        <v>18</v>
      </c>
      <c r="C15" s="2" t="s">
        <v>19</v>
      </c>
      <c r="D15" s="17">
        <v>17.41</v>
      </c>
      <c r="E15" s="3">
        <v>20.75</v>
      </c>
      <c r="F15" s="3">
        <v>0.45</v>
      </c>
      <c r="G15" s="3">
        <v>0</v>
      </c>
      <c r="H15" s="21">
        <v>0.45</v>
      </c>
      <c r="I15" s="3">
        <v>629</v>
      </c>
      <c r="J15" s="3">
        <v>8.0129999999999999</v>
      </c>
      <c r="K15" s="3">
        <v>0.82599999999999996</v>
      </c>
    </row>
    <row r="16" spans="1:11" x14ac:dyDescent="0.25">
      <c r="A16" s="20">
        <v>0</v>
      </c>
      <c r="B16" s="2" t="s">
        <v>20</v>
      </c>
      <c r="C16" s="2" t="s">
        <v>21</v>
      </c>
      <c r="D16" s="17">
        <v>15.259</v>
      </c>
      <c r="E16" s="3">
        <v>19.8</v>
      </c>
      <c r="F16" s="3">
        <v>0.46</v>
      </c>
      <c r="G16" s="3">
        <v>0</v>
      </c>
      <c r="H16" s="8">
        <v>0.46</v>
      </c>
      <c r="I16" s="3">
        <v>842</v>
      </c>
      <c r="J16" s="3">
        <v>7.0229999999999997</v>
      </c>
      <c r="K16" s="3">
        <v>0.72399999999999998</v>
      </c>
    </row>
    <row r="17" spans="1:11" x14ac:dyDescent="0.25">
      <c r="A17" s="20">
        <v>0</v>
      </c>
      <c r="B17" s="2" t="s">
        <v>22</v>
      </c>
      <c r="C17" s="2" t="s">
        <v>23</v>
      </c>
      <c r="D17" s="17">
        <v>18.584</v>
      </c>
      <c r="E17" s="3">
        <v>25.18</v>
      </c>
      <c r="F17" s="3">
        <v>3.06</v>
      </c>
      <c r="G17" s="3">
        <v>0</v>
      </c>
      <c r="H17" s="3"/>
      <c r="I17" s="3">
        <v>690</v>
      </c>
      <c r="J17" s="3">
        <v>8.2750000000000004</v>
      </c>
      <c r="K17" s="3">
        <v>0.83</v>
      </c>
    </row>
    <row r="18" spans="1:11" x14ac:dyDescent="0.25">
      <c r="A18" s="20">
        <v>0</v>
      </c>
      <c r="B18" s="2" t="s">
        <v>24</v>
      </c>
      <c r="C18" s="2" t="s">
        <v>25</v>
      </c>
      <c r="D18" s="17">
        <v>18.867000000000001</v>
      </c>
      <c r="E18" s="3">
        <v>22.87</v>
      </c>
      <c r="F18" s="3">
        <v>3.09</v>
      </c>
      <c r="G18" s="3">
        <v>0</v>
      </c>
      <c r="H18" s="3">
        <v>0.48</v>
      </c>
      <c r="I18" s="3">
        <v>653</v>
      </c>
      <c r="J18" s="3">
        <v>9.2460000000000004</v>
      </c>
      <c r="K18" s="3">
        <v>1.421</v>
      </c>
    </row>
    <row r="19" spans="1:11" x14ac:dyDescent="0.25">
      <c r="A19" s="20">
        <v>0</v>
      </c>
      <c r="B19" s="2" t="s">
        <v>26</v>
      </c>
      <c r="C19" s="2" t="s">
        <v>27</v>
      </c>
      <c r="D19" s="17">
        <v>1.718</v>
      </c>
      <c r="E19" s="3">
        <v>11.12</v>
      </c>
      <c r="F19" s="3">
        <v>3.38</v>
      </c>
      <c r="G19" s="3">
        <v>0</v>
      </c>
      <c r="H19" s="3">
        <v>2.67</v>
      </c>
      <c r="I19" s="3">
        <v>364</v>
      </c>
      <c r="J19" s="3">
        <v>0.77800000000000002</v>
      </c>
      <c r="K19" s="3">
        <v>0.123</v>
      </c>
    </row>
    <row r="20" spans="1:11" x14ac:dyDescent="0.25">
      <c r="A20" s="20">
        <v>0</v>
      </c>
      <c r="B20" s="2" t="s">
        <v>28</v>
      </c>
      <c r="C20" s="2" t="s">
        <v>29</v>
      </c>
      <c r="D20" s="17">
        <v>2.3109999999999999</v>
      </c>
      <c r="E20" s="3">
        <v>10.69</v>
      </c>
      <c r="F20" s="3">
        <v>4.6100000000000003</v>
      </c>
      <c r="G20" s="3">
        <v>0.2</v>
      </c>
      <c r="H20" s="8">
        <v>2.38</v>
      </c>
      <c r="I20" s="3">
        <v>344</v>
      </c>
      <c r="J20" s="3">
        <v>1.036</v>
      </c>
      <c r="K20" s="3">
        <v>0.124</v>
      </c>
    </row>
    <row r="21" spans="1:11" x14ac:dyDescent="0.25">
      <c r="A21" s="20">
        <v>0</v>
      </c>
      <c r="B21" s="2" t="s">
        <v>30</v>
      </c>
      <c r="C21" s="2" t="s">
        <v>31</v>
      </c>
      <c r="D21" s="17">
        <v>0.16900000000000001</v>
      </c>
      <c r="E21" s="3">
        <v>10.34</v>
      </c>
      <c r="F21" s="3">
        <v>6.66</v>
      </c>
      <c r="G21" s="3">
        <v>0</v>
      </c>
      <c r="H21" s="3">
        <v>1.85</v>
      </c>
      <c r="I21" s="3">
        <v>372</v>
      </c>
      <c r="J21" s="3">
        <v>7.9000000000000001E-2</v>
      </c>
      <c r="K21" s="3">
        <v>3.0000000000000001E-3</v>
      </c>
    </row>
    <row r="22" spans="1:11" x14ac:dyDescent="0.25">
      <c r="A22" s="20">
        <v>0</v>
      </c>
      <c r="B22" s="2" t="s">
        <v>32</v>
      </c>
      <c r="C22" s="2" t="s">
        <v>33</v>
      </c>
      <c r="D22" s="17">
        <v>1.2350000000000001</v>
      </c>
      <c r="E22" s="3">
        <v>10.45</v>
      </c>
      <c r="F22" s="3">
        <v>4.76</v>
      </c>
      <c r="G22" s="3">
        <v>0</v>
      </c>
      <c r="H22" s="3">
        <v>4</v>
      </c>
      <c r="I22" s="3">
        <v>308</v>
      </c>
      <c r="J22" s="3">
        <v>0.51600000000000001</v>
      </c>
      <c r="K22" s="3">
        <v>8.3000000000000004E-2</v>
      </c>
    </row>
    <row r="23" spans="1:11" x14ac:dyDescent="0.25">
      <c r="A23" s="20">
        <v>0</v>
      </c>
      <c r="B23" s="2" t="s">
        <v>34</v>
      </c>
      <c r="C23" s="2" t="s">
        <v>35</v>
      </c>
      <c r="D23" s="17">
        <v>0.64500000000000002</v>
      </c>
      <c r="E23" s="3">
        <v>12.39</v>
      </c>
      <c r="F23" s="3">
        <v>2.72</v>
      </c>
      <c r="G23" s="3">
        <v>0</v>
      </c>
      <c r="H23" s="21">
        <v>2.72</v>
      </c>
      <c r="I23" s="3">
        <v>406</v>
      </c>
      <c r="J23" s="3">
        <v>0.29099999999999998</v>
      </c>
      <c r="K23" s="3">
        <v>3.1E-2</v>
      </c>
    </row>
    <row r="24" spans="1:11" x14ac:dyDescent="0.25">
      <c r="A24" s="20">
        <v>0</v>
      </c>
      <c r="B24" s="2" t="s">
        <v>36</v>
      </c>
      <c r="C24" s="2" t="s">
        <v>37</v>
      </c>
      <c r="D24" s="17">
        <v>20.213000000000001</v>
      </c>
      <c r="E24" s="3">
        <v>6.15</v>
      </c>
      <c r="F24" s="3">
        <v>5.52</v>
      </c>
      <c r="G24" s="3">
        <v>0</v>
      </c>
      <c r="H24" s="3">
        <v>3.76</v>
      </c>
      <c r="I24" s="3">
        <v>314</v>
      </c>
      <c r="J24" s="3">
        <v>8.907</v>
      </c>
      <c r="K24" s="3">
        <v>1.4830000000000001</v>
      </c>
    </row>
    <row r="25" spans="1:11" x14ac:dyDescent="0.25">
      <c r="A25" s="20">
        <v>0</v>
      </c>
      <c r="B25" s="2" t="s">
        <v>38</v>
      </c>
      <c r="C25" s="2" t="s">
        <v>39</v>
      </c>
      <c r="D25" s="17">
        <v>17.571999999999999</v>
      </c>
      <c r="E25" s="3">
        <v>24.99</v>
      </c>
      <c r="F25" s="3">
        <v>1.43</v>
      </c>
      <c r="G25" s="3">
        <v>0</v>
      </c>
      <c r="H25" s="3">
        <v>1.43</v>
      </c>
      <c r="I25" s="3">
        <v>812</v>
      </c>
      <c r="J25" s="3">
        <v>8.125</v>
      </c>
      <c r="K25" s="3">
        <v>0.66500000000000004</v>
      </c>
    </row>
    <row r="26" spans="1:11" x14ac:dyDescent="0.25">
      <c r="A26" s="20">
        <v>0</v>
      </c>
      <c r="B26" s="2" t="s">
        <v>40</v>
      </c>
      <c r="C26" s="2" t="s">
        <v>41</v>
      </c>
      <c r="D26" s="17">
        <v>14.946</v>
      </c>
      <c r="E26" s="3">
        <v>14.21</v>
      </c>
      <c r="F26" s="3">
        <v>4.09</v>
      </c>
      <c r="G26" s="3">
        <v>0</v>
      </c>
      <c r="H26" s="3">
        <v>4.09</v>
      </c>
      <c r="I26" s="3">
        <v>917</v>
      </c>
      <c r="J26" s="3">
        <v>4.6230000000000002</v>
      </c>
      <c r="K26" s="3">
        <v>0.59099999999999997</v>
      </c>
    </row>
    <row r="27" spans="1:11" x14ac:dyDescent="0.25">
      <c r="A27" s="20">
        <v>0</v>
      </c>
      <c r="B27" s="2" t="s">
        <v>42</v>
      </c>
      <c r="C27" s="2" t="s">
        <v>43</v>
      </c>
      <c r="D27" s="17">
        <v>19.196000000000002</v>
      </c>
      <c r="E27" s="3">
        <v>25.6</v>
      </c>
      <c r="F27" s="3">
        <v>1.55</v>
      </c>
      <c r="G27" s="3">
        <v>0</v>
      </c>
      <c r="H27" s="8">
        <v>1.55</v>
      </c>
      <c r="I27" s="3">
        <v>800</v>
      </c>
      <c r="J27" s="3">
        <v>8.6869999999999994</v>
      </c>
      <c r="K27" s="3">
        <v>1.6539999999999999</v>
      </c>
    </row>
    <row r="28" spans="1:11" x14ac:dyDescent="0.25">
      <c r="A28" s="20">
        <v>0</v>
      </c>
      <c r="B28" s="2" t="s">
        <v>44</v>
      </c>
      <c r="C28" s="2" t="s">
        <v>45</v>
      </c>
      <c r="D28" s="17">
        <v>17.614000000000001</v>
      </c>
      <c r="E28" s="3">
        <v>24.94</v>
      </c>
      <c r="F28" s="3">
        <v>2.2200000000000002</v>
      </c>
      <c r="G28" s="3">
        <v>0</v>
      </c>
      <c r="H28" s="3">
        <v>2.2200000000000002</v>
      </c>
      <c r="I28" s="3">
        <v>819</v>
      </c>
      <c r="J28" s="3">
        <v>7.7469999999999999</v>
      </c>
      <c r="K28" s="3">
        <v>0.65700000000000003</v>
      </c>
    </row>
    <row r="29" spans="1:11" x14ac:dyDescent="0.25">
      <c r="A29" s="20">
        <v>0</v>
      </c>
      <c r="B29" s="2" t="s">
        <v>46</v>
      </c>
      <c r="C29" s="2" t="s">
        <v>47</v>
      </c>
      <c r="D29" s="17">
        <v>18.913</v>
      </c>
      <c r="E29" s="3">
        <v>29.81</v>
      </c>
      <c r="F29" s="3">
        <v>0.36</v>
      </c>
      <c r="G29" s="3">
        <v>0</v>
      </c>
      <c r="H29" s="8">
        <v>0.36</v>
      </c>
      <c r="I29" s="3">
        <v>714</v>
      </c>
      <c r="J29" s="3">
        <v>10.042999999999999</v>
      </c>
      <c r="K29" s="3">
        <v>1.7330000000000001</v>
      </c>
    </row>
    <row r="30" spans="1:11" x14ac:dyDescent="0.25">
      <c r="A30" s="20">
        <v>0</v>
      </c>
      <c r="B30" s="2" t="s">
        <v>48</v>
      </c>
      <c r="C30" s="2" t="s">
        <v>49</v>
      </c>
      <c r="D30" s="17">
        <v>16.745999999999999</v>
      </c>
      <c r="E30" s="3">
        <v>20.05</v>
      </c>
      <c r="F30" s="3">
        <v>0.49</v>
      </c>
      <c r="G30" s="3">
        <v>0</v>
      </c>
      <c r="H30" s="3">
        <v>0.49</v>
      </c>
      <c r="I30" s="3">
        <v>800</v>
      </c>
      <c r="J30" s="3">
        <v>8.6059999999999999</v>
      </c>
      <c r="K30" s="3">
        <v>0.495</v>
      </c>
    </row>
    <row r="31" spans="1:11" x14ac:dyDescent="0.25">
      <c r="A31" s="20">
        <v>0</v>
      </c>
      <c r="B31" s="2" t="s">
        <v>50</v>
      </c>
      <c r="C31" s="2" t="s">
        <v>51</v>
      </c>
      <c r="D31" s="17">
        <v>19.065999999999999</v>
      </c>
      <c r="E31" s="3">
        <v>24.48</v>
      </c>
      <c r="F31" s="3">
        <v>0.68</v>
      </c>
      <c r="G31" s="3">
        <v>0</v>
      </c>
      <c r="H31" s="8">
        <v>0.5</v>
      </c>
      <c r="I31" s="3">
        <v>600</v>
      </c>
      <c r="J31" s="3">
        <v>8.7509999999999994</v>
      </c>
      <c r="K31" s="3">
        <v>0.89900000000000002</v>
      </c>
    </row>
    <row r="32" spans="1:11" x14ac:dyDescent="0.25">
      <c r="A32" s="20">
        <v>0</v>
      </c>
      <c r="B32" s="2" t="s">
        <v>52</v>
      </c>
      <c r="C32" s="2" t="s">
        <v>53</v>
      </c>
      <c r="D32" s="17">
        <v>13.151999999999999</v>
      </c>
      <c r="E32" s="3">
        <v>22.17</v>
      </c>
      <c r="F32" s="3">
        <v>2.19</v>
      </c>
      <c r="G32" s="3">
        <v>0</v>
      </c>
      <c r="H32" s="3">
        <v>1.03</v>
      </c>
      <c r="I32" s="3">
        <v>627</v>
      </c>
      <c r="J32" s="3">
        <v>6.5730000000000004</v>
      </c>
      <c r="K32" s="3">
        <v>0.76500000000000001</v>
      </c>
    </row>
    <row r="33" spans="1:11" x14ac:dyDescent="0.25">
      <c r="A33" s="20">
        <v>0</v>
      </c>
      <c r="B33" s="2" t="s">
        <v>54</v>
      </c>
      <c r="C33" s="2" t="s">
        <v>55</v>
      </c>
      <c r="D33" s="17">
        <v>15.561</v>
      </c>
      <c r="E33" s="3">
        <v>21.6</v>
      </c>
      <c r="F33" s="3">
        <v>2.4700000000000002</v>
      </c>
      <c r="G33" s="3">
        <v>0</v>
      </c>
      <c r="H33" s="3">
        <v>1.01</v>
      </c>
      <c r="I33" s="3">
        <v>710</v>
      </c>
      <c r="J33" s="3">
        <v>7.0270000000000001</v>
      </c>
      <c r="K33" s="3">
        <v>0.77800000000000002</v>
      </c>
    </row>
    <row r="34" spans="1:11" x14ac:dyDescent="0.25">
      <c r="A34" s="20">
        <v>0</v>
      </c>
      <c r="B34" s="2" t="s">
        <v>56</v>
      </c>
      <c r="C34" s="2" t="s">
        <v>57</v>
      </c>
      <c r="D34" s="17">
        <v>10.114000000000001</v>
      </c>
      <c r="E34" s="3">
        <v>24.26</v>
      </c>
      <c r="F34" s="3">
        <v>2.77</v>
      </c>
      <c r="G34" s="3">
        <v>0</v>
      </c>
      <c r="H34" s="10">
        <v>1.1299999999999999</v>
      </c>
      <c r="I34" s="3">
        <v>619</v>
      </c>
      <c r="J34" s="3">
        <v>4.51</v>
      </c>
      <c r="K34" s="3">
        <v>0.47199999999999998</v>
      </c>
    </row>
    <row r="35" spans="1:11" x14ac:dyDescent="0.25">
      <c r="A35" s="20">
        <v>0</v>
      </c>
      <c r="B35" s="2" t="s">
        <v>58</v>
      </c>
      <c r="C35" s="2" t="s">
        <v>59</v>
      </c>
      <c r="D35" s="17">
        <v>11.295</v>
      </c>
      <c r="E35" s="3">
        <v>23.75</v>
      </c>
      <c r="F35" s="3">
        <v>5.58</v>
      </c>
      <c r="G35" s="3">
        <v>0</v>
      </c>
      <c r="H35" s="8">
        <v>1.9</v>
      </c>
      <c r="I35" s="3">
        <v>666</v>
      </c>
      <c r="J35" s="3">
        <v>5.7409999999999997</v>
      </c>
      <c r="K35" s="3">
        <v>1.0189999999999999</v>
      </c>
    </row>
    <row r="36" spans="1:11" x14ac:dyDescent="0.25">
      <c r="A36" s="20">
        <v>0</v>
      </c>
      <c r="B36" s="2" t="s">
        <v>60</v>
      </c>
      <c r="C36" s="2" t="s">
        <v>61</v>
      </c>
      <c r="D36" s="17">
        <v>19.113</v>
      </c>
      <c r="E36" s="3">
        <v>23.41</v>
      </c>
      <c r="F36" s="3">
        <v>1.1200000000000001</v>
      </c>
      <c r="G36" s="3">
        <v>0</v>
      </c>
      <c r="H36" s="21">
        <v>1.1200000000000001</v>
      </c>
      <c r="I36" s="3">
        <v>628</v>
      </c>
      <c r="J36" s="3">
        <v>8.7110000000000003</v>
      </c>
      <c r="K36" s="3">
        <v>0.66100000000000003</v>
      </c>
    </row>
    <row r="37" spans="1:11" x14ac:dyDescent="0.25">
      <c r="A37" s="20">
        <v>0</v>
      </c>
      <c r="B37" s="2" t="s">
        <v>62</v>
      </c>
      <c r="C37" s="2" t="s">
        <v>63</v>
      </c>
      <c r="D37" s="17">
        <v>12.79</v>
      </c>
      <c r="E37" s="3">
        <v>9.15</v>
      </c>
      <c r="F37" s="3">
        <v>3.59</v>
      </c>
      <c r="G37" s="3">
        <v>0</v>
      </c>
      <c r="H37" s="3">
        <v>3.19</v>
      </c>
      <c r="I37" s="3">
        <v>334</v>
      </c>
      <c r="J37" s="3">
        <v>5.7839999999999998</v>
      </c>
      <c r="K37" s="3">
        <v>0.97</v>
      </c>
    </row>
    <row r="38" spans="1:11" x14ac:dyDescent="0.25">
      <c r="A38" s="20">
        <v>0</v>
      </c>
      <c r="B38" s="2" t="s">
        <v>64</v>
      </c>
      <c r="C38" s="2" t="s">
        <v>65</v>
      </c>
      <c r="D38" s="17">
        <v>16.41</v>
      </c>
      <c r="E38" s="3">
        <v>35.75</v>
      </c>
      <c r="F38" s="3">
        <v>3.22</v>
      </c>
      <c r="G38" s="3">
        <v>0</v>
      </c>
      <c r="H38" s="10">
        <v>0.8</v>
      </c>
      <c r="I38" s="3">
        <v>1376</v>
      </c>
      <c r="J38" s="3">
        <v>7.5149999999999997</v>
      </c>
      <c r="K38" s="3">
        <v>0.56899999999999995</v>
      </c>
    </row>
    <row r="39" spans="1:11" x14ac:dyDescent="0.25">
      <c r="A39" s="20">
        <v>0</v>
      </c>
      <c r="B39" s="2" t="s">
        <v>66</v>
      </c>
      <c r="C39" s="2" t="s">
        <v>67</v>
      </c>
      <c r="D39" s="17">
        <v>17.077999999999999</v>
      </c>
      <c r="E39" s="3">
        <v>25.58</v>
      </c>
      <c r="F39" s="3">
        <v>2.14</v>
      </c>
      <c r="G39" s="3">
        <v>0</v>
      </c>
      <c r="H39" s="21">
        <v>0.56000000000000005</v>
      </c>
      <c r="I39" s="3">
        <v>876</v>
      </c>
      <c r="J39" s="3">
        <v>7.3929999999999998</v>
      </c>
      <c r="K39" s="3">
        <v>0.76900000000000002</v>
      </c>
    </row>
    <row r="40" spans="1:11" x14ac:dyDescent="0.25">
      <c r="A40" s="20">
        <v>0</v>
      </c>
      <c r="B40" s="2" t="s">
        <v>68</v>
      </c>
      <c r="C40" s="2" t="s">
        <v>69</v>
      </c>
      <c r="D40" s="17">
        <v>8.2949999999999999</v>
      </c>
      <c r="E40" s="3">
        <v>11.26</v>
      </c>
      <c r="F40" s="3">
        <v>3.04</v>
      </c>
      <c r="G40" s="3">
        <v>0</v>
      </c>
      <c r="H40" s="3">
        <v>0.27</v>
      </c>
      <c r="I40" s="3">
        <v>84</v>
      </c>
      <c r="J40" s="3">
        <v>3.6269999999999998</v>
      </c>
      <c r="K40" s="3">
        <v>0.38500000000000001</v>
      </c>
    </row>
    <row r="41" spans="1:11" x14ac:dyDescent="0.25">
      <c r="A41" s="20">
        <v>0</v>
      </c>
      <c r="B41" s="2" t="s">
        <v>70</v>
      </c>
      <c r="C41" s="2" t="s">
        <v>71</v>
      </c>
      <c r="D41" s="17">
        <v>4.9269999999999996</v>
      </c>
      <c r="E41" s="3">
        <v>11.39</v>
      </c>
      <c r="F41" s="3">
        <v>5.14</v>
      </c>
      <c r="G41" s="3">
        <v>0</v>
      </c>
      <c r="H41" s="3">
        <v>0.31</v>
      </c>
      <c r="I41" s="3">
        <v>99</v>
      </c>
      <c r="J41" s="3">
        <v>2.3140000000000001</v>
      </c>
      <c r="K41" s="3">
        <v>0.26</v>
      </c>
    </row>
    <row r="42" spans="1:11" x14ac:dyDescent="0.25">
      <c r="A42" s="20">
        <v>0</v>
      </c>
      <c r="B42" s="2" t="s">
        <v>72</v>
      </c>
      <c r="C42" s="2" t="s">
        <v>73</v>
      </c>
      <c r="D42" s="17">
        <v>17.114999999999998</v>
      </c>
      <c r="E42" s="3">
        <v>31.8</v>
      </c>
      <c r="F42" s="3">
        <v>3.63</v>
      </c>
      <c r="G42" s="3">
        <v>0</v>
      </c>
      <c r="H42" s="3">
        <v>0.73</v>
      </c>
      <c r="I42" s="3">
        <v>1433</v>
      </c>
      <c r="J42" s="3">
        <v>7.8380000000000001</v>
      </c>
      <c r="K42" s="3">
        <v>0.59299999999999997</v>
      </c>
    </row>
    <row r="43" spans="1:11" x14ac:dyDescent="0.25">
      <c r="A43" s="20">
        <v>0</v>
      </c>
      <c r="B43" s="2" t="s">
        <v>74</v>
      </c>
      <c r="C43" s="2" t="s">
        <v>75</v>
      </c>
      <c r="D43" s="17">
        <v>18.227</v>
      </c>
      <c r="E43" s="3">
        <v>26.96</v>
      </c>
      <c r="F43" s="3">
        <v>1.44</v>
      </c>
      <c r="G43" s="3">
        <v>0</v>
      </c>
      <c r="H43" s="3">
        <v>0</v>
      </c>
      <c r="I43" s="3">
        <v>187</v>
      </c>
      <c r="J43" s="3">
        <v>8.0459999999999994</v>
      </c>
      <c r="K43" s="3">
        <v>1.341</v>
      </c>
    </row>
    <row r="44" spans="1:11" x14ac:dyDescent="0.25">
      <c r="A44" s="20">
        <v>0</v>
      </c>
      <c r="B44" s="2" t="s">
        <v>76</v>
      </c>
      <c r="C44" s="2" t="s">
        <v>77</v>
      </c>
      <c r="D44" s="17">
        <v>16.774999999999999</v>
      </c>
      <c r="E44" s="3">
        <v>24.41</v>
      </c>
      <c r="F44" s="3">
        <v>1.88</v>
      </c>
      <c r="G44" s="3">
        <v>0</v>
      </c>
      <c r="H44" s="8"/>
      <c r="I44" s="3">
        <v>753</v>
      </c>
      <c r="J44" s="3">
        <v>7.1360000000000001</v>
      </c>
      <c r="K44" s="3">
        <v>0.72099999999999997</v>
      </c>
    </row>
    <row r="45" spans="1:11" x14ac:dyDescent="0.25">
      <c r="A45" s="20">
        <v>0</v>
      </c>
      <c r="B45" s="2" t="s">
        <v>78</v>
      </c>
      <c r="C45" s="2" t="s">
        <v>79</v>
      </c>
      <c r="D45" s="17">
        <v>18.056999999999999</v>
      </c>
      <c r="E45" s="3">
        <v>18.13</v>
      </c>
      <c r="F45" s="3">
        <v>4.78</v>
      </c>
      <c r="G45" s="3">
        <v>0</v>
      </c>
      <c r="H45" s="3">
        <v>2.2599999999999998</v>
      </c>
      <c r="I45" s="3">
        <v>1671</v>
      </c>
      <c r="J45" s="3">
        <v>8.2360000000000007</v>
      </c>
      <c r="K45" s="3">
        <v>1.286</v>
      </c>
    </row>
    <row r="46" spans="1:11" x14ac:dyDescent="0.25">
      <c r="A46" s="20">
        <v>0</v>
      </c>
      <c r="B46" s="2" t="s">
        <v>80</v>
      </c>
      <c r="C46" s="2" t="s">
        <v>81</v>
      </c>
      <c r="D46" s="17">
        <v>19.663</v>
      </c>
      <c r="E46" s="3">
        <v>22.13</v>
      </c>
      <c r="F46" s="3">
        <v>1.73</v>
      </c>
      <c r="G46" s="3">
        <v>0.1</v>
      </c>
      <c r="H46" s="21">
        <v>0.62</v>
      </c>
      <c r="I46" s="3">
        <v>915</v>
      </c>
      <c r="J46" s="3">
        <v>8.9369999999999994</v>
      </c>
      <c r="K46" s="3">
        <v>0.98799999999999999</v>
      </c>
    </row>
    <row r="47" spans="1:11" x14ac:dyDescent="0.25">
      <c r="A47" s="20">
        <v>0</v>
      </c>
      <c r="B47" s="2" t="s">
        <v>82</v>
      </c>
      <c r="C47" s="2" t="s">
        <v>83</v>
      </c>
      <c r="D47" s="17">
        <v>16.045000000000002</v>
      </c>
      <c r="E47" s="3">
        <v>24.73</v>
      </c>
      <c r="F47" s="3">
        <v>2.1</v>
      </c>
      <c r="G47" s="3">
        <v>0</v>
      </c>
      <c r="H47" s="3">
        <v>1.23</v>
      </c>
      <c r="I47" s="3">
        <v>1370</v>
      </c>
      <c r="J47" s="3">
        <v>7.0460000000000003</v>
      </c>
      <c r="K47" s="3">
        <v>0.622</v>
      </c>
    </row>
    <row r="48" spans="1:11" x14ac:dyDescent="0.25">
      <c r="A48" s="20">
        <v>0</v>
      </c>
      <c r="B48" s="2" t="s">
        <v>84</v>
      </c>
      <c r="C48" s="2" t="s">
        <v>85</v>
      </c>
      <c r="D48" s="17">
        <v>15.355</v>
      </c>
      <c r="E48" s="3">
        <v>19.66</v>
      </c>
      <c r="F48" s="3">
        <v>8.32</v>
      </c>
      <c r="G48" s="3">
        <v>0</v>
      </c>
      <c r="H48" s="3"/>
      <c r="I48" s="3">
        <v>966</v>
      </c>
      <c r="J48" s="3">
        <v>7.165</v>
      </c>
      <c r="K48" s="3">
        <v>0.71899999999999997</v>
      </c>
    </row>
    <row r="49" spans="1:11" x14ac:dyDescent="0.25">
      <c r="A49" s="20">
        <v>0</v>
      </c>
      <c r="B49" s="2" t="s">
        <v>86</v>
      </c>
      <c r="C49" s="2" t="s">
        <v>87</v>
      </c>
      <c r="D49" s="17">
        <v>15.487</v>
      </c>
      <c r="E49" s="3">
        <v>21.92</v>
      </c>
      <c r="F49" s="3">
        <v>4.5</v>
      </c>
      <c r="G49" s="3">
        <v>0</v>
      </c>
      <c r="H49" s="3"/>
      <c r="I49" s="3">
        <v>1552</v>
      </c>
      <c r="J49" s="3">
        <v>6.8010000000000002</v>
      </c>
      <c r="K49" s="3">
        <v>0.6</v>
      </c>
    </row>
    <row r="50" spans="1:11" x14ac:dyDescent="0.25">
      <c r="A50" s="20">
        <v>0</v>
      </c>
      <c r="B50" s="2" t="s">
        <v>88</v>
      </c>
      <c r="C50" s="2" t="s">
        <v>89</v>
      </c>
      <c r="D50" s="17">
        <v>13.327</v>
      </c>
      <c r="E50" s="3">
        <v>16.41</v>
      </c>
      <c r="F50" s="3">
        <v>8.73</v>
      </c>
      <c r="G50" s="3">
        <v>0</v>
      </c>
      <c r="H50" s="3">
        <v>7.32</v>
      </c>
      <c r="I50" s="3">
        <v>1625</v>
      </c>
      <c r="J50" s="3">
        <v>6.2190000000000003</v>
      </c>
      <c r="K50" s="3">
        <v>0.624</v>
      </c>
    </row>
    <row r="51" spans="1:11" x14ac:dyDescent="0.25">
      <c r="A51" s="20">
        <v>0</v>
      </c>
      <c r="B51" s="2" t="s">
        <v>90</v>
      </c>
      <c r="C51" s="2" t="s">
        <v>91</v>
      </c>
      <c r="D51" s="17">
        <v>7.032</v>
      </c>
      <c r="E51" s="3">
        <v>3.13</v>
      </c>
      <c r="F51" s="3">
        <v>4.7300000000000004</v>
      </c>
      <c r="G51" s="3">
        <v>0</v>
      </c>
      <c r="H51" s="3">
        <v>4.13</v>
      </c>
      <c r="I51" s="3">
        <v>61</v>
      </c>
      <c r="J51" s="3">
        <v>3.32</v>
      </c>
      <c r="K51" s="3">
        <v>0.55400000000000005</v>
      </c>
    </row>
    <row r="52" spans="1:11" x14ac:dyDescent="0.25">
      <c r="A52" s="20">
        <v>0</v>
      </c>
      <c r="B52" s="2" t="s">
        <v>92</v>
      </c>
      <c r="C52" s="2" t="s">
        <v>93</v>
      </c>
      <c r="D52" s="17">
        <v>19.337</v>
      </c>
      <c r="E52" s="3">
        <v>2.17</v>
      </c>
      <c r="F52" s="3">
        <v>2.96</v>
      </c>
      <c r="G52" s="3">
        <v>0</v>
      </c>
      <c r="H52" s="21">
        <v>2.96</v>
      </c>
      <c r="I52" s="3">
        <v>34</v>
      </c>
      <c r="J52" s="3">
        <v>9.093</v>
      </c>
      <c r="K52" s="3">
        <v>0.88400000000000001</v>
      </c>
    </row>
    <row r="53" spans="1:11" x14ac:dyDescent="0.25">
      <c r="A53" s="20">
        <v>0</v>
      </c>
      <c r="B53" s="2" t="s">
        <v>94</v>
      </c>
      <c r="C53" s="2" t="s">
        <v>95</v>
      </c>
      <c r="D53" s="17">
        <v>13.831</v>
      </c>
      <c r="E53" s="3">
        <v>3.2</v>
      </c>
      <c r="F53" s="3">
        <v>12.49</v>
      </c>
      <c r="G53" s="3">
        <v>0</v>
      </c>
      <c r="H53" s="3">
        <v>8</v>
      </c>
      <c r="I53" s="3">
        <v>8</v>
      </c>
      <c r="J53" s="3">
        <v>6.4180000000000001</v>
      </c>
      <c r="K53" s="3">
        <v>0.82499999999999996</v>
      </c>
    </row>
    <row r="54" spans="1:11" x14ac:dyDescent="0.25">
      <c r="A54" s="20">
        <v>0</v>
      </c>
      <c r="B54" s="2" t="s">
        <v>96</v>
      </c>
      <c r="C54" s="2" t="s">
        <v>97</v>
      </c>
      <c r="D54" s="17">
        <v>7.47</v>
      </c>
      <c r="E54" s="3">
        <v>2.94</v>
      </c>
      <c r="F54" s="3">
        <v>4.26</v>
      </c>
      <c r="G54" s="3">
        <v>0</v>
      </c>
      <c r="H54" s="21">
        <v>0.16</v>
      </c>
      <c r="I54" s="3">
        <v>89</v>
      </c>
      <c r="J54" s="3">
        <v>3.4660000000000002</v>
      </c>
      <c r="K54" s="3">
        <v>0.44600000000000001</v>
      </c>
    </row>
    <row r="55" spans="1:11" x14ac:dyDescent="0.25">
      <c r="A55" s="20">
        <v>0</v>
      </c>
      <c r="B55" s="2" t="s">
        <v>98</v>
      </c>
      <c r="C55" s="2" t="s">
        <v>99</v>
      </c>
      <c r="D55" s="17">
        <v>10.14</v>
      </c>
      <c r="E55" s="3">
        <v>2.44</v>
      </c>
      <c r="F55" s="3">
        <v>4.63</v>
      </c>
      <c r="G55" s="3">
        <v>0</v>
      </c>
      <c r="H55" s="8">
        <v>3.41</v>
      </c>
      <c r="I55" s="3">
        <v>31</v>
      </c>
      <c r="J55" s="3">
        <v>4.5940000000000003</v>
      </c>
      <c r="K55" s="3">
        <v>0.8</v>
      </c>
    </row>
    <row r="56" spans="1:11" x14ac:dyDescent="0.25">
      <c r="A56" s="20">
        <v>0</v>
      </c>
      <c r="B56" s="2" t="s">
        <v>100</v>
      </c>
      <c r="C56" s="2" t="s">
        <v>101</v>
      </c>
      <c r="D56" s="17">
        <v>2.5910000000000002</v>
      </c>
      <c r="E56" s="3">
        <v>4.55</v>
      </c>
      <c r="F56" s="3">
        <v>8.0500000000000007</v>
      </c>
      <c r="G56" s="3">
        <v>0</v>
      </c>
      <c r="H56" s="8">
        <v>8.0500000000000007</v>
      </c>
      <c r="I56" s="3">
        <v>54</v>
      </c>
      <c r="J56" s="3">
        <v>1.302</v>
      </c>
      <c r="K56" s="3">
        <v>0.19800000000000001</v>
      </c>
    </row>
    <row r="57" spans="1:11" x14ac:dyDescent="0.25">
      <c r="A57" s="20">
        <v>0</v>
      </c>
      <c r="B57" s="2" t="s">
        <v>102</v>
      </c>
      <c r="C57" s="2" t="s">
        <v>103</v>
      </c>
      <c r="D57" s="17">
        <v>13.272</v>
      </c>
      <c r="E57" s="3">
        <v>3.25</v>
      </c>
      <c r="F57" s="3">
        <v>4.68</v>
      </c>
      <c r="G57" s="3">
        <v>0</v>
      </c>
      <c r="H57" s="21">
        <v>4.68</v>
      </c>
      <c r="I57" s="3">
        <v>48</v>
      </c>
      <c r="J57" s="3">
        <v>1.958</v>
      </c>
      <c r="K57" s="3">
        <v>0.46800000000000003</v>
      </c>
    </row>
    <row r="58" spans="1:11" x14ac:dyDescent="0.25">
      <c r="A58" s="20">
        <v>0.35921246000000001</v>
      </c>
      <c r="B58" s="2" t="s">
        <v>104</v>
      </c>
      <c r="C58" s="2" t="s">
        <v>105</v>
      </c>
      <c r="D58" s="17">
        <v>0.76800000000000002</v>
      </c>
      <c r="E58" s="3">
        <v>3.33</v>
      </c>
      <c r="F58" s="3">
        <v>4.74</v>
      </c>
      <c r="G58" s="3">
        <v>0</v>
      </c>
      <c r="H58" s="3"/>
      <c r="I58" s="3">
        <v>57</v>
      </c>
      <c r="J58" s="3">
        <v>1.7829999999999999</v>
      </c>
      <c r="K58" s="3">
        <v>0.75</v>
      </c>
    </row>
    <row r="59" spans="1:11" x14ac:dyDescent="0.25">
      <c r="A59" s="20">
        <v>0</v>
      </c>
      <c r="B59" s="2" t="s">
        <v>106</v>
      </c>
      <c r="C59" s="2" t="s">
        <v>107</v>
      </c>
      <c r="D59" s="17">
        <v>3.101</v>
      </c>
      <c r="E59" s="3">
        <v>3.33</v>
      </c>
      <c r="F59" s="3">
        <v>4.74</v>
      </c>
      <c r="G59" s="3">
        <v>0</v>
      </c>
      <c r="H59" s="3">
        <v>4.74</v>
      </c>
      <c r="I59" s="3">
        <v>57</v>
      </c>
      <c r="J59" s="3">
        <v>0.1</v>
      </c>
      <c r="K59" s="3">
        <v>0.01</v>
      </c>
    </row>
    <row r="60" spans="1:11" x14ac:dyDescent="0.25">
      <c r="A60" s="20">
        <v>0</v>
      </c>
      <c r="B60" s="2" t="s">
        <v>108</v>
      </c>
      <c r="C60" s="2" t="s">
        <v>109</v>
      </c>
      <c r="D60" s="17">
        <v>0</v>
      </c>
      <c r="E60" s="3">
        <v>21.05</v>
      </c>
      <c r="F60" s="3">
        <v>10.53</v>
      </c>
      <c r="G60" s="3">
        <v>0</v>
      </c>
      <c r="H60" s="3">
        <v>5.26</v>
      </c>
      <c r="I60" s="3">
        <v>1316</v>
      </c>
      <c r="J60" s="3">
        <v>0</v>
      </c>
      <c r="K60" s="3">
        <v>0</v>
      </c>
    </row>
    <row r="61" spans="1:11" x14ac:dyDescent="0.25">
      <c r="A61" s="20">
        <v>0</v>
      </c>
      <c r="B61" s="2" t="s">
        <v>110</v>
      </c>
      <c r="C61" s="2" t="s">
        <v>111</v>
      </c>
      <c r="D61" s="17">
        <v>9.3040000000000003</v>
      </c>
      <c r="E61" s="3">
        <v>1</v>
      </c>
      <c r="F61" s="3">
        <v>11.38</v>
      </c>
      <c r="G61" s="3">
        <v>0</v>
      </c>
      <c r="H61" s="21"/>
      <c r="I61" s="3">
        <v>79</v>
      </c>
      <c r="J61" s="3">
        <v>0.106</v>
      </c>
      <c r="K61" s="3">
        <v>3.0000000000000001E-3</v>
      </c>
    </row>
    <row r="62" spans="1:11" x14ac:dyDescent="0.25">
      <c r="A62" s="20">
        <v>0</v>
      </c>
      <c r="B62" s="2" t="s">
        <v>112</v>
      </c>
      <c r="C62" s="2" t="s">
        <v>113</v>
      </c>
      <c r="D62" s="17">
        <v>19.146000000000001</v>
      </c>
      <c r="E62" s="3">
        <v>2.48</v>
      </c>
      <c r="F62" s="3">
        <v>59.29</v>
      </c>
      <c r="G62" s="3">
        <v>0</v>
      </c>
      <c r="H62" s="3">
        <v>7.77</v>
      </c>
      <c r="I62" s="3">
        <v>124</v>
      </c>
      <c r="J62" s="3">
        <v>9.7959999999999994</v>
      </c>
      <c r="K62" s="3">
        <v>0.40799999999999997</v>
      </c>
    </row>
    <row r="63" spans="1:11" x14ac:dyDescent="0.25">
      <c r="A63" s="20">
        <v>0</v>
      </c>
      <c r="B63" s="2" t="s">
        <v>114</v>
      </c>
      <c r="C63" s="2" t="s">
        <v>115</v>
      </c>
      <c r="D63" s="17">
        <v>36.722999999999999</v>
      </c>
      <c r="E63" s="3">
        <v>4.9000000000000004</v>
      </c>
      <c r="F63" s="3">
        <v>52.54</v>
      </c>
      <c r="G63" s="3">
        <v>0</v>
      </c>
      <c r="H63" s="3">
        <v>52.54</v>
      </c>
      <c r="I63" s="3">
        <v>122</v>
      </c>
      <c r="J63" s="3">
        <v>0.6</v>
      </c>
      <c r="K63" s="3">
        <v>0.44700000000000001</v>
      </c>
    </row>
    <row r="64" spans="1:11" x14ac:dyDescent="0.25">
      <c r="A64" s="20">
        <v>0</v>
      </c>
      <c r="B64" s="2" t="s">
        <v>116</v>
      </c>
      <c r="C64" s="2" t="s">
        <v>117</v>
      </c>
      <c r="D64" s="17">
        <v>10.683999999999999</v>
      </c>
      <c r="E64" s="3">
        <v>3.61</v>
      </c>
      <c r="F64" s="3">
        <v>17.13</v>
      </c>
      <c r="G64" s="3">
        <v>0</v>
      </c>
      <c r="H64" s="3">
        <v>17.13</v>
      </c>
      <c r="I64" s="3">
        <v>66</v>
      </c>
      <c r="J64" s="3">
        <v>0.84299999999999997</v>
      </c>
      <c r="K64" s="3">
        <v>0.20100000000000001</v>
      </c>
    </row>
    <row r="65" spans="1:11" x14ac:dyDescent="0.25">
      <c r="A65" s="20">
        <v>0</v>
      </c>
      <c r="B65" s="2" t="s">
        <v>118</v>
      </c>
      <c r="C65" s="2" t="s">
        <v>119</v>
      </c>
      <c r="D65" s="17">
        <v>18.911999999999999</v>
      </c>
      <c r="E65" s="3">
        <v>0.98</v>
      </c>
      <c r="F65" s="3">
        <v>16.07</v>
      </c>
      <c r="G65" s="3">
        <v>0</v>
      </c>
      <c r="H65" s="3">
        <v>16.07</v>
      </c>
      <c r="I65" s="3">
        <v>62</v>
      </c>
      <c r="J65" s="3">
        <v>1.927</v>
      </c>
      <c r="K65" s="3">
        <v>0.24099999999999999</v>
      </c>
    </row>
    <row r="66" spans="1:11" x14ac:dyDescent="0.25">
      <c r="A66" s="20">
        <v>0</v>
      </c>
      <c r="B66" s="2" t="s">
        <v>120</v>
      </c>
      <c r="C66" s="2" t="s">
        <v>121</v>
      </c>
      <c r="D66" s="17">
        <v>21.783000000000001</v>
      </c>
      <c r="E66" s="3">
        <v>1.25</v>
      </c>
      <c r="F66" s="3">
        <v>23.05</v>
      </c>
      <c r="G66" s="3">
        <v>0</v>
      </c>
      <c r="H66" s="3">
        <v>23.05</v>
      </c>
      <c r="I66" s="3">
        <v>25</v>
      </c>
      <c r="J66" s="3">
        <v>1.6160000000000001</v>
      </c>
      <c r="K66" s="3">
        <v>0.52300000000000002</v>
      </c>
    </row>
    <row r="67" spans="1:11" x14ac:dyDescent="0.25">
      <c r="A67" s="20">
        <v>0</v>
      </c>
      <c r="B67" s="2" t="s">
        <v>122</v>
      </c>
      <c r="C67" s="2" t="s">
        <v>123</v>
      </c>
      <c r="D67" s="17">
        <v>17.791</v>
      </c>
      <c r="E67" s="3">
        <v>2.4</v>
      </c>
      <c r="F67" s="3">
        <v>6.63</v>
      </c>
      <c r="G67" s="3">
        <v>0</v>
      </c>
      <c r="H67" s="3">
        <v>6.63</v>
      </c>
      <c r="I67" s="3">
        <v>102</v>
      </c>
      <c r="J67" s="3">
        <v>0.58799999999999997</v>
      </c>
      <c r="K67" s="3">
        <v>5.6000000000000001E-2</v>
      </c>
    </row>
    <row r="68" spans="1:11" x14ac:dyDescent="0.25">
      <c r="A68" s="20">
        <v>0</v>
      </c>
      <c r="B68" s="2" t="s">
        <v>124</v>
      </c>
      <c r="C68" s="2" t="s">
        <v>125</v>
      </c>
      <c r="D68" s="17">
        <v>3.0369999999999999</v>
      </c>
      <c r="E68" s="3">
        <v>1.75</v>
      </c>
      <c r="F68" s="3">
        <v>6.16</v>
      </c>
      <c r="G68" s="3">
        <v>0</v>
      </c>
      <c r="H68" s="3"/>
      <c r="I68" s="3">
        <v>78</v>
      </c>
      <c r="J68" s="3">
        <v>0.17599999999999999</v>
      </c>
      <c r="K68" s="3">
        <v>8.0000000000000002E-3</v>
      </c>
    </row>
    <row r="69" spans="1:11" x14ac:dyDescent="0.25">
      <c r="A69" s="20">
        <v>0</v>
      </c>
      <c r="B69" s="2" t="s">
        <v>126</v>
      </c>
      <c r="C69" s="2" t="s">
        <v>127</v>
      </c>
      <c r="D69" s="17">
        <v>1.1950000000000001</v>
      </c>
      <c r="E69" s="3">
        <v>3.48</v>
      </c>
      <c r="F69" s="3">
        <v>4.97</v>
      </c>
      <c r="G69" s="3">
        <v>0</v>
      </c>
      <c r="H69" s="8"/>
      <c r="I69" s="3">
        <v>52</v>
      </c>
      <c r="J69" s="3">
        <v>0.55500000000000005</v>
      </c>
      <c r="K69" s="3">
        <v>7.0999999999999994E-2</v>
      </c>
    </row>
    <row r="70" spans="1:11" x14ac:dyDescent="0.25">
      <c r="A70" s="20">
        <v>0</v>
      </c>
      <c r="B70" s="2" t="s">
        <v>128</v>
      </c>
      <c r="C70" s="2" t="s">
        <v>129</v>
      </c>
      <c r="D70" s="17">
        <v>1.232</v>
      </c>
      <c r="E70" s="3">
        <v>3.95</v>
      </c>
      <c r="F70" s="3">
        <v>5.49</v>
      </c>
      <c r="G70" s="3">
        <v>0</v>
      </c>
      <c r="H70" s="3">
        <v>5.26</v>
      </c>
      <c r="I70" s="3">
        <v>59</v>
      </c>
      <c r="J70" s="3">
        <v>0.57199999999999995</v>
      </c>
      <c r="K70" s="3">
        <v>7.3999999999999996E-2</v>
      </c>
    </row>
    <row r="71" spans="1:11" x14ac:dyDescent="0.25">
      <c r="A71" s="20">
        <v>8.5083290000000006E-2</v>
      </c>
      <c r="B71" s="2" t="s">
        <v>130</v>
      </c>
      <c r="C71" s="2" t="s">
        <v>131</v>
      </c>
      <c r="D71" s="17">
        <v>0.60399999999999998</v>
      </c>
      <c r="E71" s="3">
        <v>3.48</v>
      </c>
      <c r="F71" s="3">
        <v>4.97</v>
      </c>
      <c r="G71" s="3">
        <v>0</v>
      </c>
      <c r="H71" s="3"/>
      <c r="I71" s="3">
        <v>52</v>
      </c>
      <c r="J71" s="3">
        <v>0.28000000000000003</v>
      </c>
      <c r="K71" s="3">
        <v>3.5999999999999997E-2</v>
      </c>
    </row>
    <row r="72" spans="1:11" x14ac:dyDescent="0.25">
      <c r="A72" s="20">
        <v>0</v>
      </c>
      <c r="B72" s="2" t="s">
        <v>132</v>
      </c>
      <c r="C72" s="2" t="s">
        <v>133</v>
      </c>
      <c r="D72" s="17">
        <v>0.72799999999999998</v>
      </c>
      <c r="E72" s="3">
        <v>3.93</v>
      </c>
      <c r="F72" s="3">
        <v>5.52</v>
      </c>
      <c r="G72" s="3">
        <v>0</v>
      </c>
      <c r="H72" s="3"/>
      <c r="I72" s="3">
        <v>58</v>
      </c>
      <c r="J72" s="3">
        <v>0.33800000000000002</v>
      </c>
      <c r="K72" s="3">
        <v>4.2999999999999997E-2</v>
      </c>
    </row>
    <row r="73" spans="1:11" x14ac:dyDescent="0.25">
      <c r="A73" s="20">
        <v>0</v>
      </c>
      <c r="B73" s="2" t="s">
        <v>134</v>
      </c>
      <c r="C73" s="2" t="s">
        <v>135</v>
      </c>
      <c r="D73" s="17">
        <v>0.16200000000000001</v>
      </c>
      <c r="E73" s="3">
        <v>3.57</v>
      </c>
      <c r="F73" s="3">
        <v>5.0199999999999996</v>
      </c>
      <c r="G73" s="3">
        <v>0</v>
      </c>
      <c r="H73" s="3">
        <v>5.0199999999999996</v>
      </c>
      <c r="I73" s="3">
        <v>53</v>
      </c>
      <c r="J73" s="3">
        <v>6.5000000000000002E-2</v>
      </c>
      <c r="K73" s="3">
        <v>8.9999999999999993E-3</v>
      </c>
    </row>
    <row r="74" spans="1:11" x14ac:dyDescent="0.25">
      <c r="A74" s="20">
        <v>0</v>
      </c>
      <c r="B74" s="2" t="s">
        <v>136</v>
      </c>
      <c r="C74" s="2" t="s">
        <v>137</v>
      </c>
      <c r="D74" s="17">
        <v>0.16200000000000001</v>
      </c>
      <c r="E74" s="3">
        <v>3.96</v>
      </c>
      <c r="F74" s="3">
        <v>5.56</v>
      </c>
      <c r="G74" s="3">
        <v>0</v>
      </c>
      <c r="H74" s="3"/>
      <c r="I74" s="3">
        <v>59</v>
      </c>
      <c r="J74" s="3">
        <v>6.5000000000000002E-2</v>
      </c>
      <c r="K74" s="3">
        <v>8.9999999999999993E-3</v>
      </c>
    </row>
    <row r="75" spans="1:11" x14ac:dyDescent="0.25">
      <c r="A75" s="20">
        <v>0</v>
      </c>
      <c r="B75" s="2" t="s">
        <v>138</v>
      </c>
      <c r="C75" s="2" t="s">
        <v>139</v>
      </c>
      <c r="D75" s="17">
        <v>0.54800000000000004</v>
      </c>
      <c r="E75" s="3">
        <v>3.31</v>
      </c>
      <c r="F75" s="3">
        <v>4.79</v>
      </c>
      <c r="G75" s="3">
        <v>0</v>
      </c>
      <c r="H75" s="3">
        <v>4.79</v>
      </c>
      <c r="I75" s="3">
        <v>190</v>
      </c>
      <c r="J75" s="3">
        <v>0.254</v>
      </c>
      <c r="K75" s="3">
        <v>3.3000000000000002E-2</v>
      </c>
    </row>
    <row r="76" spans="1:11" x14ac:dyDescent="0.25">
      <c r="A76" s="20">
        <v>0.43390606999999998</v>
      </c>
      <c r="B76" s="2" t="s">
        <v>140</v>
      </c>
      <c r="C76" s="2" t="s">
        <v>141</v>
      </c>
      <c r="D76" s="17">
        <v>2.1539999999999999</v>
      </c>
      <c r="E76" s="3">
        <v>3.1</v>
      </c>
      <c r="F76" s="3">
        <v>4.46</v>
      </c>
      <c r="G76" s="3">
        <v>0</v>
      </c>
      <c r="H76" s="21">
        <v>4.46</v>
      </c>
      <c r="I76" s="3">
        <v>3</v>
      </c>
      <c r="J76" s="3">
        <v>0.999</v>
      </c>
      <c r="K76" s="3">
        <v>0.128</v>
      </c>
    </row>
    <row r="77" spans="1:11" x14ac:dyDescent="0.25">
      <c r="A77" s="20">
        <v>0</v>
      </c>
      <c r="B77" s="2" t="s">
        <v>142</v>
      </c>
      <c r="C77" s="2" t="s">
        <v>143</v>
      </c>
      <c r="D77" s="17">
        <v>16.742000000000001</v>
      </c>
      <c r="E77" s="3">
        <v>26.32</v>
      </c>
      <c r="F77" s="3">
        <v>38.42</v>
      </c>
      <c r="G77" s="3">
        <v>0</v>
      </c>
      <c r="H77" s="3">
        <v>38.42</v>
      </c>
      <c r="I77" s="3">
        <v>371</v>
      </c>
      <c r="J77" s="3">
        <v>7.9240000000000004</v>
      </c>
      <c r="K77" s="3">
        <v>0.66500000000000004</v>
      </c>
    </row>
    <row r="78" spans="1:11" x14ac:dyDescent="0.25">
      <c r="A78" s="20">
        <v>0</v>
      </c>
      <c r="B78" s="2" t="s">
        <v>144</v>
      </c>
      <c r="C78" s="2" t="s">
        <v>145</v>
      </c>
      <c r="D78" s="17">
        <v>0.499</v>
      </c>
      <c r="E78" s="3">
        <v>36.159999999999997</v>
      </c>
      <c r="F78" s="3">
        <v>51.98</v>
      </c>
      <c r="G78" s="3">
        <v>0</v>
      </c>
      <c r="H78" s="3">
        <v>51.98</v>
      </c>
      <c r="I78" s="3">
        <v>535</v>
      </c>
      <c r="J78" s="3">
        <v>0.20100000000000001</v>
      </c>
      <c r="K78" s="3">
        <v>0.03</v>
      </c>
    </row>
    <row r="79" spans="1:11" x14ac:dyDescent="0.25">
      <c r="A79" s="20">
        <v>0</v>
      </c>
      <c r="B79" s="2" t="s">
        <v>146</v>
      </c>
      <c r="C79" s="2" t="s">
        <v>147</v>
      </c>
      <c r="D79" s="17">
        <v>0.46700000000000003</v>
      </c>
      <c r="E79" s="3">
        <v>35.1</v>
      </c>
      <c r="F79" s="3">
        <v>52.19</v>
      </c>
      <c r="G79" s="3">
        <v>0</v>
      </c>
      <c r="H79" s="3">
        <v>52.19</v>
      </c>
      <c r="I79" s="3">
        <v>549</v>
      </c>
      <c r="J79" s="3">
        <v>0.187</v>
      </c>
      <c r="K79" s="3">
        <v>2.8000000000000001E-2</v>
      </c>
    </row>
    <row r="80" spans="1:11" x14ac:dyDescent="0.25">
      <c r="A80" s="20">
        <v>0</v>
      </c>
      <c r="B80" s="2" t="s">
        <v>148</v>
      </c>
      <c r="C80" s="2" t="s">
        <v>149</v>
      </c>
      <c r="D80" s="17">
        <v>0.124</v>
      </c>
      <c r="E80" s="3">
        <v>35.5</v>
      </c>
      <c r="F80" s="3">
        <v>51.8</v>
      </c>
      <c r="G80" s="3">
        <v>0</v>
      </c>
      <c r="H80" s="3"/>
      <c r="I80" s="3">
        <v>2280</v>
      </c>
      <c r="J80" s="3">
        <v>5.8000000000000003E-2</v>
      </c>
      <c r="K80" s="3">
        <v>7.0000000000000001E-3</v>
      </c>
    </row>
    <row r="81" spans="1:11" x14ac:dyDescent="0.25">
      <c r="A81" s="20">
        <v>0</v>
      </c>
      <c r="B81" s="2" t="s">
        <v>150</v>
      </c>
      <c r="C81" s="2" t="s">
        <v>151</v>
      </c>
      <c r="D81" s="17">
        <v>3.5979999999999999</v>
      </c>
      <c r="E81" s="3">
        <v>34.299999999999997</v>
      </c>
      <c r="F81" s="3">
        <v>49</v>
      </c>
      <c r="G81" s="3">
        <v>0</v>
      </c>
      <c r="H81" s="8">
        <v>49</v>
      </c>
      <c r="I81" s="3">
        <v>517</v>
      </c>
      <c r="J81" s="3">
        <v>1.669</v>
      </c>
      <c r="K81" s="3">
        <v>0.215</v>
      </c>
    </row>
    <row r="82" spans="1:11" x14ac:dyDescent="0.25">
      <c r="A82" s="20">
        <v>0</v>
      </c>
      <c r="B82" s="2" t="s">
        <v>152</v>
      </c>
      <c r="C82" s="2" t="s">
        <v>153</v>
      </c>
      <c r="D82" s="17">
        <v>4.5910000000000002</v>
      </c>
      <c r="E82" s="3">
        <v>6.81</v>
      </c>
      <c r="F82" s="3">
        <v>10.039999999999999</v>
      </c>
      <c r="G82" s="3">
        <v>0</v>
      </c>
      <c r="H82" s="3">
        <v>10.039999999999999</v>
      </c>
      <c r="I82" s="3">
        <v>106</v>
      </c>
      <c r="J82" s="3">
        <v>2.335</v>
      </c>
      <c r="K82" s="3">
        <v>0.245</v>
      </c>
    </row>
    <row r="83" spans="1:11" x14ac:dyDescent="0.25">
      <c r="A83" s="20">
        <v>0</v>
      </c>
      <c r="B83" s="2" t="s">
        <v>154</v>
      </c>
      <c r="C83" s="2" t="s">
        <v>155</v>
      </c>
      <c r="D83" s="17">
        <v>2.1040000000000001</v>
      </c>
      <c r="E83" s="3">
        <v>3.17</v>
      </c>
      <c r="F83" s="3">
        <v>10.34</v>
      </c>
      <c r="G83" s="3">
        <v>0.8</v>
      </c>
      <c r="H83" s="3">
        <v>9.5399999999999991</v>
      </c>
      <c r="I83" s="3">
        <v>60</v>
      </c>
      <c r="J83" s="3">
        <v>0.99</v>
      </c>
      <c r="K83" s="3">
        <v>0.124</v>
      </c>
    </row>
    <row r="84" spans="1:11" x14ac:dyDescent="0.25">
      <c r="A84" s="20">
        <v>0</v>
      </c>
      <c r="B84" s="2" t="s">
        <v>156</v>
      </c>
      <c r="C84" s="2" t="s">
        <v>157</v>
      </c>
      <c r="D84" s="2">
        <v>1.177</v>
      </c>
      <c r="E84" s="2">
        <v>2.99</v>
      </c>
      <c r="F84" s="2">
        <v>12.13</v>
      </c>
      <c r="G84" s="2">
        <v>0.7</v>
      </c>
      <c r="H84" s="2">
        <v>9.5500000000000007</v>
      </c>
      <c r="I84" s="2">
        <v>66</v>
      </c>
      <c r="J84" s="2">
        <v>0.45500000000000002</v>
      </c>
      <c r="K84" s="2">
        <v>8.8999999999999996E-2</v>
      </c>
    </row>
    <row r="85" spans="1:11" x14ac:dyDescent="0.25">
      <c r="A85" s="20">
        <v>0</v>
      </c>
      <c r="B85" s="2" t="s">
        <v>158</v>
      </c>
      <c r="C85" s="2" t="s">
        <v>159</v>
      </c>
      <c r="D85" s="2">
        <v>1.431</v>
      </c>
      <c r="E85" s="2">
        <v>3.52</v>
      </c>
      <c r="F85" s="2">
        <v>10.74</v>
      </c>
      <c r="G85" s="2">
        <v>1</v>
      </c>
      <c r="H85" s="2">
        <v>9.66</v>
      </c>
      <c r="I85" s="2">
        <v>44</v>
      </c>
      <c r="J85" s="2">
        <v>0.67700000000000005</v>
      </c>
      <c r="K85" s="2">
        <v>8.4000000000000005E-2</v>
      </c>
    </row>
    <row r="86" spans="1:11" x14ac:dyDescent="0.25">
      <c r="A86" s="20">
        <v>0</v>
      </c>
      <c r="B86" s="2" t="s">
        <v>160</v>
      </c>
      <c r="C86" s="2" t="s">
        <v>161</v>
      </c>
      <c r="D86" s="2">
        <v>2.6669999999999998</v>
      </c>
      <c r="E86" s="2">
        <v>3.56</v>
      </c>
      <c r="F86" s="2">
        <v>4.45</v>
      </c>
      <c r="G86" s="2">
        <v>0</v>
      </c>
      <c r="H86" s="2">
        <v>4.45</v>
      </c>
      <c r="I86" s="2">
        <v>50</v>
      </c>
      <c r="J86" s="2">
        <v>1.109</v>
      </c>
      <c r="K86" s="2">
        <v>0.14899999999999999</v>
      </c>
    </row>
    <row r="87" spans="1:11" x14ac:dyDescent="0.25">
      <c r="A87" s="20">
        <v>0</v>
      </c>
      <c r="B87" s="2" t="s">
        <v>162</v>
      </c>
      <c r="C87" s="2" t="s">
        <v>163</v>
      </c>
      <c r="D87" s="2">
        <v>2.0089999999999999</v>
      </c>
      <c r="E87" s="2">
        <v>1.03</v>
      </c>
      <c r="F87" s="2">
        <v>6.89</v>
      </c>
      <c r="G87" s="2">
        <v>0</v>
      </c>
      <c r="H87" s="2">
        <v>6.89</v>
      </c>
      <c r="I87" s="2">
        <v>17</v>
      </c>
      <c r="J87" s="2">
        <v>1.6579999999999999</v>
      </c>
      <c r="K87" s="2">
        <v>0.497</v>
      </c>
    </row>
    <row r="88" spans="1:11" x14ac:dyDescent="0.25">
      <c r="A88" s="20">
        <v>0</v>
      </c>
      <c r="B88" s="2" t="s">
        <v>164</v>
      </c>
      <c r="C88" s="2" t="s">
        <v>165</v>
      </c>
      <c r="D88" s="2">
        <v>4.5970000000000004</v>
      </c>
      <c r="E88" s="2">
        <v>3.75</v>
      </c>
      <c r="F88" s="2">
        <v>5.18</v>
      </c>
      <c r="G88" s="2">
        <v>0</v>
      </c>
      <c r="H88" s="2"/>
      <c r="I88" s="2">
        <v>52</v>
      </c>
      <c r="J88" s="2">
        <v>1.7869999999999999</v>
      </c>
      <c r="K88" s="2">
        <v>0.14599999999999999</v>
      </c>
    </row>
    <row r="89" spans="1:11" x14ac:dyDescent="0.25">
      <c r="A89" s="20">
        <v>0</v>
      </c>
      <c r="B89" s="2" t="s">
        <v>166</v>
      </c>
      <c r="C89" s="2" t="s">
        <v>167</v>
      </c>
      <c r="D89" s="2">
        <v>4.6029999999999998</v>
      </c>
      <c r="E89" s="2">
        <v>5.98</v>
      </c>
      <c r="F89" s="2">
        <v>5.36</v>
      </c>
      <c r="G89" s="2">
        <v>0</v>
      </c>
      <c r="H89" s="2"/>
      <c r="I89" s="2">
        <v>44</v>
      </c>
      <c r="J89" s="2">
        <v>1.724</v>
      </c>
      <c r="K89" s="2">
        <v>0.308</v>
      </c>
    </row>
    <row r="90" spans="1:11" x14ac:dyDescent="0.25">
      <c r="A90" s="20">
        <v>0</v>
      </c>
      <c r="B90" s="2" t="s">
        <v>168</v>
      </c>
      <c r="C90" s="2" t="s">
        <v>169</v>
      </c>
      <c r="D90" s="2">
        <v>1.681</v>
      </c>
      <c r="E90" s="2">
        <v>3.05</v>
      </c>
      <c r="F90" s="2">
        <v>21.15</v>
      </c>
      <c r="G90" s="2">
        <v>0.3</v>
      </c>
      <c r="H90" s="2">
        <v>20.85</v>
      </c>
      <c r="I90" s="2">
        <v>111</v>
      </c>
      <c r="J90" s="2">
        <v>0.78</v>
      </c>
      <c r="K90" s="2">
        <v>0.1</v>
      </c>
    </row>
    <row r="91" spans="1:11" x14ac:dyDescent="0.25">
      <c r="A91" s="20">
        <v>0</v>
      </c>
      <c r="B91" s="2" t="s">
        <v>170</v>
      </c>
      <c r="C91" s="2" t="s">
        <v>171</v>
      </c>
      <c r="D91" s="2">
        <v>1.8859999999999999</v>
      </c>
      <c r="E91" s="2">
        <v>3.86</v>
      </c>
      <c r="F91" s="2">
        <v>17.75</v>
      </c>
      <c r="G91" s="2">
        <v>0</v>
      </c>
      <c r="H91" s="2">
        <v>17.75</v>
      </c>
      <c r="I91" s="2">
        <v>95</v>
      </c>
      <c r="J91" s="2">
        <v>0.875</v>
      </c>
      <c r="K91" s="2">
        <v>0.113</v>
      </c>
    </row>
    <row r="92" spans="1:11" x14ac:dyDescent="0.25">
      <c r="A92" s="20">
        <v>0</v>
      </c>
      <c r="B92" s="2" t="s">
        <v>172</v>
      </c>
      <c r="C92" s="2" t="s">
        <v>173</v>
      </c>
      <c r="D92" s="2">
        <v>0.34200000000000003</v>
      </c>
      <c r="E92" s="2">
        <v>11.73</v>
      </c>
      <c r="F92" s="2">
        <v>73.45</v>
      </c>
      <c r="G92" s="2">
        <v>0</v>
      </c>
      <c r="H92" s="2">
        <v>73.45</v>
      </c>
      <c r="I92" s="2">
        <v>968</v>
      </c>
      <c r="J92" s="2">
        <v>0.14899999999999999</v>
      </c>
      <c r="K92" s="2">
        <v>2.1000000000000001E-2</v>
      </c>
    </row>
    <row r="93" spans="1:11" x14ac:dyDescent="0.25">
      <c r="A93" s="20">
        <v>0</v>
      </c>
      <c r="B93" s="2" t="s">
        <v>174</v>
      </c>
      <c r="C93" s="2" t="s">
        <v>175</v>
      </c>
      <c r="D93" s="2">
        <v>0.23</v>
      </c>
      <c r="E93" s="2">
        <v>0.85</v>
      </c>
      <c r="F93" s="2">
        <v>5.14</v>
      </c>
      <c r="G93" s="2">
        <v>0</v>
      </c>
      <c r="H93" s="2">
        <v>5.14</v>
      </c>
      <c r="I93" s="2">
        <v>54</v>
      </c>
      <c r="J93" s="2">
        <v>0.1</v>
      </c>
      <c r="K93" s="2">
        <v>1.0999999999999999E-2</v>
      </c>
    </row>
    <row r="94" spans="1:11" x14ac:dyDescent="0.25">
      <c r="A94" s="20">
        <v>0</v>
      </c>
      <c r="B94" s="2" t="s">
        <v>176</v>
      </c>
      <c r="C94" s="2" t="s">
        <v>177</v>
      </c>
      <c r="D94" s="2">
        <v>0.68400000000000005</v>
      </c>
      <c r="E94" s="2">
        <v>12.93</v>
      </c>
      <c r="F94" s="2">
        <v>74.459999999999994</v>
      </c>
      <c r="G94" s="2">
        <v>0</v>
      </c>
      <c r="H94" s="2">
        <v>74.459999999999994</v>
      </c>
      <c r="I94" s="2">
        <v>1079</v>
      </c>
      <c r="J94" s="2">
        <v>0.29699999999999999</v>
      </c>
      <c r="K94" s="2">
        <v>3.4000000000000002E-2</v>
      </c>
    </row>
    <row r="95" spans="1:11" x14ac:dyDescent="0.25">
      <c r="A95" s="20">
        <v>0</v>
      </c>
      <c r="B95" s="2" t="s">
        <v>178</v>
      </c>
      <c r="C95" s="2" t="s">
        <v>179</v>
      </c>
      <c r="D95" s="2">
        <v>1</v>
      </c>
      <c r="E95" s="2">
        <v>5.25</v>
      </c>
      <c r="F95" s="2">
        <v>7.04</v>
      </c>
      <c r="G95" s="2">
        <v>0</v>
      </c>
      <c r="H95" s="2">
        <v>7.04</v>
      </c>
      <c r="I95" s="2">
        <v>70</v>
      </c>
      <c r="J95" s="2">
        <v>0.42599999999999999</v>
      </c>
      <c r="K95" s="2">
        <v>4.3999999999999997E-2</v>
      </c>
    </row>
    <row r="96" spans="1:11" x14ac:dyDescent="0.25">
      <c r="A96" s="20">
        <v>0</v>
      </c>
      <c r="B96" s="2" t="s">
        <v>180</v>
      </c>
      <c r="C96" s="2" t="s">
        <v>181</v>
      </c>
      <c r="D96" s="2">
        <v>0.11600000000000001</v>
      </c>
      <c r="E96" s="2">
        <v>5.73</v>
      </c>
      <c r="F96" s="2">
        <v>7.68</v>
      </c>
      <c r="G96" s="2">
        <v>0</v>
      </c>
      <c r="H96" s="2">
        <v>7.68</v>
      </c>
      <c r="I96" s="2">
        <v>77</v>
      </c>
      <c r="J96" s="2">
        <v>4.9000000000000002E-2</v>
      </c>
      <c r="K96" s="2">
        <v>5.0000000000000001E-3</v>
      </c>
    </row>
    <row r="97" spans="1:11" x14ac:dyDescent="0.25">
      <c r="A97" s="20">
        <v>0</v>
      </c>
      <c r="B97" s="2" t="s">
        <v>182</v>
      </c>
      <c r="C97" s="2" t="s">
        <v>183</v>
      </c>
      <c r="D97" s="2">
        <v>0.80600000000000005</v>
      </c>
      <c r="E97" s="2">
        <v>4.93</v>
      </c>
      <c r="F97" s="2">
        <v>13.8</v>
      </c>
      <c r="G97" s="2">
        <v>0</v>
      </c>
      <c r="H97" s="2">
        <v>13.8</v>
      </c>
      <c r="I97" s="2">
        <v>66</v>
      </c>
      <c r="J97" s="2">
        <v>0.34300000000000003</v>
      </c>
      <c r="K97" s="2">
        <v>3.5999999999999997E-2</v>
      </c>
    </row>
    <row r="98" spans="1:11" x14ac:dyDescent="0.25">
      <c r="A98" s="20">
        <v>0</v>
      </c>
      <c r="B98" s="2" t="s">
        <v>184</v>
      </c>
      <c r="C98" s="2" t="s">
        <v>185</v>
      </c>
      <c r="D98" s="2">
        <v>0.74199999999999999</v>
      </c>
      <c r="E98" s="2">
        <v>3.98</v>
      </c>
      <c r="F98" s="2">
        <v>18.64</v>
      </c>
      <c r="G98" s="2">
        <v>0</v>
      </c>
      <c r="H98" s="2">
        <v>18.64</v>
      </c>
      <c r="I98" s="2">
        <v>53</v>
      </c>
      <c r="J98" s="2">
        <v>0.316</v>
      </c>
      <c r="K98" s="2">
        <v>3.3000000000000002E-2</v>
      </c>
    </row>
    <row r="99" spans="1:11" x14ac:dyDescent="0.25">
      <c r="A99" s="20">
        <v>0</v>
      </c>
      <c r="B99" s="2" t="s">
        <v>186</v>
      </c>
      <c r="C99" s="2" t="s">
        <v>187</v>
      </c>
      <c r="D99" s="2">
        <v>0.69699999999999995</v>
      </c>
      <c r="E99" s="2">
        <v>4.37</v>
      </c>
      <c r="F99" s="2">
        <v>19.05</v>
      </c>
      <c r="G99" s="2">
        <v>0</v>
      </c>
      <c r="H99" s="2">
        <v>19.05</v>
      </c>
      <c r="I99" s="2">
        <v>58</v>
      </c>
      <c r="J99" s="2">
        <v>0.29699999999999999</v>
      </c>
      <c r="K99" s="2">
        <v>3.1E-2</v>
      </c>
    </row>
    <row r="100" spans="1:11" x14ac:dyDescent="0.25">
      <c r="A100" s="20">
        <v>0</v>
      </c>
      <c r="B100" s="2" t="s">
        <v>188</v>
      </c>
      <c r="C100" s="2" t="s">
        <v>189</v>
      </c>
      <c r="D100" s="2">
        <v>0.90900000000000003</v>
      </c>
      <c r="E100" s="2">
        <v>4.8600000000000003</v>
      </c>
      <c r="F100" s="2">
        <v>18.600000000000001</v>
      </c>
      <c r="G100" s="2">
        <v>0</v>
      </c>
      <c r="H100" s="2"/>
      <c r="I100" s="2">
        <v>65</v>
      </c>
      <c r="J100" s="2">
        <v>0.38700000000000001</v>
      </c>
      <c r="K100" s="2">
        <v>0.04</v>
      </c>
    </row>
    <row r="101" spans="1:11" x14ac:dyDescent="0.25">
      <c r="A101" s="20">
        <v>0</v>
      </c>
      <c r="B101" s="2" t="s">
        <v>190</v>
      </c>
      <c r="C101" s="2" t="s">
        <v>191</v>
      </c>
      <c r="D101" s="2">
        <v>3.1259999999999999</v>
      </c>
      <c r="E101" s="2">
        <v>12.56</v>
      </c>
      <c r="F101" s="2">
        <v>0.72</v>
      </c>
      <c r="G101" s="2">
        <v>0</v>
      </c>
      <c r="H101" s="2">
        <v>0.37</v>
      </c>
      <c r="I101" s="2">
        <v>142</v>
      </c>
      <c r="J101" s="2">
        <v>3.6579999999999999</v>
      </c>
      <c r="K101" s="2">
        <v>1.911</v>
      </c>
    </row>
    <row r="102" spans="1:11" x14ac:dyDescent="0.25">
      <c r="A102" s="20">
        <v>8.4164939999999994E-2</v>
      </c>
      <c r="B102" s="2" t="s">
        <v>192</v>
      </c>
      <c r="C102" s="2" t="s">
        <v>193</v>
      </c>
      <c r="D102" s="2">
        <v>9.5510000000000002</v>
      </c>
      <c r="E102" s="2">
        <v>15.86</v>
      </c>
      <c r="F102" s="2">
        <v>3.59</v>
      </c>
      <c r="G102" s="2">
        <v>0</v>
      </c>
      <c r="H102" s="2">
        <v>0.56000000000000005</v>
      </c>
      <c r="I102" s="2">
        <v>48</v>
      </c>
      <c r="J102" s="2">
        <v>11.738</v>
      </c>
      <c r="K102" s="2">
        <v>4.2039999999999997</v>
      </c>
    </row>
    <row r="103" spans="1:11" x14ac:dyDescent="0.25">
      <c r="A103" s="20">
        <v>0</v>
      </c>
      <c r="B103" s="2" t="s">
        <v>194</v>
      </c>
      <c r="C103" s="2" t="s">
        <v>195</v>
      </c>
      <c r="D103" s="2">
        <v>8.6150000000000002</v>
      </c>
      <c r="E103" s="2">
        <v>15.53</v>
      </c>
      <c r="F103" s="2">
        <v>0.81</v>
      </c>
      <c r="G103" s="2">
        <v>0</v>
      </c>
      <c r="H103" s="2">
        <v>0.16</v>
      </c>
      <c r="I103" s="2">
        <v>67</v>
      </c>
      <c r="J103" s="2">
        <v>9.9559999999999995</v>
      </c>
      <c r="K103" s="2">
        <v>4.827</v>
      </c>
    </row>
    <row r="104" spans="1:11" x14ac:dyDescent="0.25">
      <c r="A104" s="20">
        <v>0</v>
      </c>
      <c r="B104" s="2" t="s">
        <v>196</v>
      </c>
      <c r="C104" s="2" t="s">
        <v>197</v>
      </c>
      <c r="D104" s="2">
        <v>4.3230000000000004</v>
      </c>
      <c r="E104" s="2">
        <v>13.61</v>
      </c>
      <c r="F104" s="2">
        <v>0.83</v>
      </c>
      <c r="G104" s="2">
        <v>0</v>
      </c>
      <c r="H104" s="2">
        <v>0.4</v>
      </c>
      <c r="I104" s="2">
        <v>207</v>
      </c>
      <c r="J104" s="2">
        <v>6.1820000000000004</v>
      </c>
      <c r="K104" s="2">
        <v>3.2509999999999999</v>
      </c>
    </row>
    <row r="105" spans="1:11" x14ac:dyDescent="0.25">
      <c r="A105" s="20">
        <v>0</v>
      </c>
      <c r="B105" s="2" t="s">
        <v>198</v>
      </c>
      <c r="C105" s="2" t="s">
        <v>199</v>
      </c>
      <c r="D105" s="2">
        <v>3.319</v>
      </c>
      <c r="E105" s="2">
        <v>10.57</v>
      </c>
      <c r="F105" s="2">
        <v>0.64</v>
      </c>
      <c r="G105" s="2">
        <v>0</v>
      </c>
      <c r="H105" s="2">
        <v>0.31</v>
      </c>
      <c r="I105" s="2">
        <v>155</v>
      </c>
      <c r="J105" s="2">
        <v>4.843</v>
      </c>
      <c r="K105" s="2">
        <v>2.7120000000000002</v>
      </c>
    </row>
    <row r="106" spans="1:11" x14ac:dyDescent="0.25">
      <c r="A106" s="20">
        <v>0</v>
      </c>
      <c r="B106" s="2" t="s">
        <v>200</v>
      </c>
      <c r="C106" s="2" t="s">
        <v>201</v>
      </c>
      <c r="D106" s="2">
        <v>3.331</v>
      </c>
      <c r="E106" s="2">
        <v>9.99</v>
      </c>
      <c r="F106" s="2">
        <v>1.61</v>
      </c>
      <c r="G106" s="2">
        <v>0</v>
      </c>
      <c r="H106" s="2">
        <v>1.39</v>
      </c>
      <c r="I106" s="2">
        <v>145</v>
      </c>
      <c r="J106" s="2">
        <v>4.4409999999999998</v>
      </c>
      <c r="K106" s="2">
        <v>2.4289999999999998</v>
      </c>
    </row>
    <row r="107" spans="1:11" x14ac:dyDescent="0.25">
      <c r="A107" s="20">
        <v>0</v>
      </c>
      <c r="B107" s="2" t="s">
        <v>202</v>
      </c>
      <c r="C107" s="2" t="s">
        <v>203</v>
      </c>
      <c r="D107" s="2">
        <v>15.069000000000001</v>
      </c>
      <c r="E107" s="2">
        <v>48.05</v>
      </c>
      <c r="F107" s="2">
        <v>1.1299999999999999</v>
      </c>
      <c r="G107" s="2">
        <v>0</v>
      </c>
      <c r="H107" s="2">
        <v>0.56000000000000005</v>
      </c>
      <c r="I107" s="2">
        <v>476</v>
      </c>
      <c r="J107" s="2">
        <v>16.725999999999999</v>
      </c>
      <c r="K107" s="2">
        <v>8.3140000000000001</v>
      </c>
    </row>
    <row r="108" spans="1:11" x14ac:dyDescent="0.25">
      <c r="A108" s="20">
        <v>0</v>
      </c>
      <c r="B108" s="2" t="s">
        <v>204</v>
      </c>
      <c r="C108" s="2" t="s">
        <v>205</v>
      </c>
      <c r="D108" s="2">
        <v>13.198</v>
      </c>
      <c r="E108" s="2">
        <v>48.17</v>
      </c>
      <c r="F108" s="2">
        <v>2.38</v>
      </c>
      <c r="G108" s="2">
        <v>0</v>
      </c>
      <c r="H108" s="2"/>
      <c r="I108" s="2">
        <v>548</v>
      </c>
      <c r="J108" s="2">
        <v>17.564</v>
      </c>
      <c r="K108" s="2">
        <v>5.7130000000000001</v>
      </c>
    </row>
    <row r="109" spans="1:11" x14ac:dyDescent="0.25">
      <c r="A109" s="20">
        <v>0</v>
      </c>
      <c r="B109" s="2" t="s">
        <v>206</v>
      </c>
      <c r="C109" s="2" t="s">
        <v>207</v>
      </c>
      <c r="D109" s="2">
        <v>0</v>
      </c>
      <c r="E109" s="2">
        <v>76.92</v>
      </c>
      <c r="F109" s="2">
        <v>4.17</v>
      </c>
      <c r="G109" s="2">
        <v>0</v>
      </c>
      <c r="H109" s="2">
        <v>0</v>
      </c>
      <c r="I109" s="2">
        <v>1156</v>
      </c>
      <c r="J109" s="2">
        <v>0</v>
      </c>
      <c r="K109" s="2">
        <v>0</v>
      </c>
    </row>
    <row r="110" spans="1:11" x14ac:dyDescent="0.25">
      <c r="A110" s="20">
        <v>0</v>
      </c>
      <c r="B110" s="2" t="s">
        <v>208</v>
      </c>
      <c r="C110" s="2" t="s">
        <v>209</v>
      </c>
      <c r="D110" s="2">
        <v>3.681</v>
      </c>
      <c r="E110" s="2">
        <v>12.81</v>
      </c>
      <c r="F110" s="2">
        <v>1.45</v>
      </c>
      <c r="G110" s="2">
        <v>0</v>
      </c>
      <c r="H110" s="2">
        <v>0.93</v>
      </c>
      <c r="I110" s="2">
        <v>146</v>
      </c>
      <c r="J110" s="2">
        <v>6.5250000000000004</v>
      </c>
      <c r="K110" s="2">
        <v>1.2230000000000001</v>
      </c>
    </row>
    <row r="111" spans="1:11" x14ac:dyDescent="0.25">
      <c r="A111" s="20">
        <v>0</v>
      </c>
      <c r="B111" s="2" t="s">
        <v>210</v>
      </c>
      <c r="C111" s="2" t="s">
        <v>211</v>
      </c>
      <c r="D111" s="2">
        <v>3.5950000000000002</v>
      </c>
      <c r="E111" s="2">
        <v>13.87</v>
      </c>
      <c r="F111" s="2">
        <v>1.35</v>
      </c>
      <c r="G111" s="2">
        <v>0</v>
      </c>
      <c r="H111" s="2">
        <v>0.94</v>
      </c>
      <c r="I111" s="2">
        <v>138</v>
      </c>
      <c r="J111" s="2">
        <v>5.7469999999999999</v>
      </c>
      <c r="K111" s="2">
        <v>1.6719999999999999</v>
      </c>
    </row>
    <row r="112" spans="1:11" x14ac:dyDescent="0.25">
      <c r="A112" s="20">
        <v>0</v>
      </c>
      <c r="B112" s="2" t="s">
        <v>212</v>
      </c>
      <c r="C112" s="2" t="s">
        <v>213</v>
      </c>
      <c r="D112" s="2">
        <v>3.5569999999999999</v>
      </c>
      <c r="E112" s="2">
        <v>13.05</v>
      </c>
      <c r="F112" s="2">
        <v>0.41</v>
      </c>
      <c r="G112" s="2">
        <v>0</v>
      </c>
      <c r="H112" s="2">
        <v>0.4</v>
      </c>
      <c r="I112" s="2">
        <v>141</v>
      </c>
      <c r="J112" s="2">
        <v>4.3239999999999998</v>
      </c>
      <c r="K112" s="2">
        <v>1.3240000000000001</v>
      </c>
    </row>
    <row r="113" spans="1:11" x14ac:dyDescent="0.25">
      <c r="A113" s="20">
        <v>0</v>
      </c>
      <c r="B113" s="2" t="s">
        <v>214</v>
      </c>
      <c r="C113" s="2" t="s">
        <v>215</v>
      </c>
      <c r="D113" s="2">
        <v>3.766</v>
      </c>
      <c r="E113" s="2">
        <v>55.5</v>
      </c>
      <c r="F113" s="2">
        <v>21.8</v>
      </c>
      <c r="G113" s="2">
        <v>0</v>
      </c>
      <c r="H113" s="2">
        <v>21.8</v>
      </c>
      <c r="I113" s="2">
        <v>800</v>
      </c>
      <c r="J113" s="2">
        <v>5.3410000000000002</v>
      </c>
      <c r="K113" s="2">
        <v>1.6830000000000001</v>
      </c>
    </row>
    <row r="114" spans="1:11" x14ac:dyDescent="0.25">
      <c r="A114" s="20">
        <v>0</v>
      </c>
      <c r="B114" s="2" t="s">
        <v>216</v>
      </c>
      <c r="C114" s="2" t="s">
        <v>217</v>
      </c>
      <c r="D114" s="2">
        <v>50.488999999999997</v>
      </c>
      <c r="E114" s="2">
        <v>0.85</v>
      </c>
      <c r="F114" s="2">
        <v>0.06</v>
      </c>
      <c r="G114" s="2">
        <v>0</v>
      </c>
      <c r="H114" s="2">
        <v>0.06</v>
      </c>
      <c r="I114" s="2">
        <v>11</v>
      </c>
      <c r="J114" s="2">
        <v>23.43</v>
      </c>
      <c r="K114" s="2">
        <v>3.01</v>
      </c>
    </row>
    <row r="115" spans="1:11" x14ac:dyDescent="0.25">
      <c r="A115" s="20">
        <v>0</v>
      </c>
      <c r="B115" s="2" t="s">
        <v>218</v>
      </c>
      <c r="C115" s="2" t="s">
        <v>219</v>
      </c>
      <c r="D115" s="2">
        <v>17.37</v>
      </c>
      <c r="E115" s="2">
        <v>37.86</v>
      </c>
      <c r="F115" s="2">
        <v>3.41</v>
      </c>
      <c r="G115" s="2">
        <v>0</v>
      </c>
      <c r="H115" s="2">
        <v>0.9</v>
      </c>
      <c r="I115" s="2">
        <v>1696</v>
      </c>
      <c r="J115" s="2">
        <v>8.734</v>
      </c>
      <c r="K115" s="2">
        <v>0.66100000000000003</v>
      </c>
    </row>
    <row r="116" spans="1:11" x14ac:dyDescent="0.25">
      <c r="A116" s="20">
        <v>0</v>
      </c>
      <c r="B116" s="2" t="s">
        <v>220</v>
      </c>
      <c r="C116" s="2" t="s">
        <v>221</v>
      </c>
      <c r="D116" s="2">
        <v>5.0999999999999997E-2</v>
      </c>
      <c r="E116" s="2">
        <v>3.37</v>
      </c>
      <c r="F116" s="2">
        <v>4.96</v>
      </c>
      <c r="G116" s="2">
        <v>0</v>
      </c>
      <c r="H116" s="2">
        <v>5.09</v>
      </c>
      <c r="I116" s="2">
        <v>42</v>
      </c>
      <c r="J116" s="2">
        <v>2.1000000000000001E-2</v>
      </c>
      <c r="K116" s="2">
        <v>3.0000000000000001E-3</v>
      </c>
    </row>
    <row r="117" spans="1:11" x14ac:dyDescent="0.25">
      <c r="A117" s="20">
        <v>0</v>
      </c>
      <c r="B117" s="2" t="s">
        <v>222</v>
      </c>
      <c r="C117" s="2" t="s">
        <v>223</v>
      </c>
      <c r="D117" s="2">
        <v>1.232</v>
      </c>
      <c r="E117" s="2">
        <v>3.95</v>
      </c>
      <c r="F117" s="2">
        <v>5.49</v>
      </c>
      <c r="G117" s="2">
        <v>0</v>
      </c>
      <c r="H117" s="2"/>
      <c r="I117" s="2">
        <v>59</v>
      </c>
      <c r="J117" s="2">
        <v>6.5000000000000002E-2</v>
      </c>
      <c r="K117" s="2">
        <v>8.9999999999999993E-3</v>
      </c>
    </row>
    <row r="118" spans="1:11" x14ac:dyDescent="0.25">
      <c r="A118" s="20">
        <v>0</v>
      </c>
      <c r="B118" s="2" t="s">
        <v>224</v>
      </c>
      <c r="C118" s="2" t="s">
        <v>225</v>
      </c>
      <c r="D118" s="2">
        <v>4.5910000000000002</v>
      </c>
      <c r="E118" s="2">
        <v>6.81</v>
      </c>
      <c r="F118" s="2">
        <v>10.039999999999999</v>
      </c>
      <c r="G118" s="2">
        <v>0</v>
      </c>
      <c r="H118" s="2"/>
      <c r="I118" s="2">
        <v>106</v>
      </c>
      <c r="J118" s="2">
        <v>2.335</v>
      </c>
      <c r="K118" s="2">
        <v>0.245</v>
      </c>
    </row>
    <row r="119" spans="1:11" x14ac:dyDescent="0.25">
      <c r="A119" s="20">
        <v>0</v>
      </c>
      <c r="B119" s="2" t="s">
        <v>226</v>
      </c>
      <c r="C119" s="2" t="s">
        <v>227</v>
      </c>
      <c r="D119" s="2">
        <v>0.499</v>
      </c>
      <c r="E119" s="2">
        <v>36.159999999999997</v>
      </c>
      <c r="F119" s="2">
        <v>51.98</v>
      </c>
      <c r="G119" s="2">
        <v>0</v>
      </c>
      <c r="H119" s="2">
        <v>51.98</v>
      </c>
      <c r="I119" s="2">
        <v>535</v>
      </c>
      <c r="J119" s="2">
        <v>0.2</v>
      </c>
      <c r="K119" s="2">
        <v>0.03</v>
      </c>
    </row>
    <row r="120" spans="1:11" x14ac:dyDescent="0.25">
      <c r="A120" s="20">
        <v>0</v>
      </c>
      <c r="B120" s="2" t="s">
        <v>228</v>
      </c>
      <c r="C120" s="2" t="s">
        <v>229</v>
      </c>
      <c r="D120" s="2">
        <v>0.47</v>
      </c>
      <c r="E120" s="2">
        <v>35.1</v>
      </c>
      <c r="F120" s="2">
        <v>52.19</v>
      </c>
      <c r="G120" s="2">
        <v>0</v>
      </c>
      <c r="H120" s="2">
        <v>52.19</v>
      </c>
      <c r="I120" s="2">
        <v>549</v>
      </c>
      <c r="J120" s="2">
        <v>0.19</v>
      </c>
      <c r="K120" s="2">
        <v>0.03</v>
      </c>
    </row>
    <row r="121" spans="1:11" x14ac:dyDescent="0.25">
      <c r="A121" s="20">
        <v>0</v>
      </c>
      <c r="B121" s="2" t="s">
        <v>230</v>
      </c>
      <c r="C121" s="2" t="s">
        <v>231</v>
      </c>
      <c r="D121" s="2">
        <v>24.609000000000002</v>
      </c>
      <c r="E121" s="2">
        <v>30.52</v>
      </c>
      <c r="F121" s="2">
        <v>2.17</v>
      </c>
      <c r="G121" s="2">
        <v>0</v>
      </c>
      <c r="H121" s="2">
        <v>2.17</v>
      </c>
      <c r="I121" s="2">
        <v>423</v>
      </c>
      <c r="J121" s="2">
        <v>8.1170000000000009</v>
      </c>
      <c r="K121" s="2">
        <v>0.84499999999999997</v>
      </c>
    </row>
    <row r="122" spans="1:11" x14ac:dyDescent="0.25">
      <c r="A122" s="20">
        <v>0</v>
      </c>
      <c r="B122" s="2" t="s">
        <v>232</v>
      </c>
      <c r="C122" s="2" t="s">
        <v>233</v>
      </c>
      <c r="D122" s="2">
        <v>20.638999999999999</v>
      </c>
      <c r="E122" s="2">
        <v>21.58</v>
      </c>
      <c r="F122" s="2">
        <v>0.12</v>
      </c>
      <c r="G122" s="2">
        <v>0</v>
      </c>
      <c r="H122" s="2">
        <v>0.12</v>
      </c>
      <c r="I122" s="2">
        <v>415</v>
      </c>
      <c r="J122" s="2">
        <v>6.8079999999999998</v>
      </c>
      <c r="K122" s="2">
        <v>0.70899999999999996</v>
      </c>
    </row>
    <row r="123" spans="1:11" x14ac:dyDescent="0.25">
      <c r="A123" s="20">
        <v>0</v>
      </c>
      <c r="B123" s="2" t="s">
        <v>234</v>
      </c>
      <c r="C123" s="2" t="s">
        <v>235</v>
      </c>
      <c r="D123" s="2">
        <v>7.1589999999999998</v>
      </c>
      <c r="E123" s="2">
        <v>14.07</v>
      </c>
      <c r="F123" s="2">
        <v>1.77</v>
      </c>
      <c r="G123" s="2">
        <v>0</v>
      </c>
      <c r="H123" s="2">
        <v>7.0000000000000007E-2</v>
      </c>
      <c r="I123" s="2">
        <v>3487</v>
      </c>
      <c r="J123" s="2">
        <v>9.07</v>
      </c>
      <c r="K123" s="2">
        <v>3.7330000000000001</v>
      </c>
    </row>
    <row r="124" spans="1:11" x14ac:dyDescent="0.25">
      <c r="A124" s="20">
        <v>0</v>
      </c>
      <c r="B124" s="2" t="s">
        <v>236</v>
      </c>
      <c r="C124" s="2" t="s">
        <v>237</v>
      </c>
      <c r="D124" s="2">
        <v>3.7109999999999999</v>
      </c>
      <c r="E124" s="2">
        <v>11.47</v>
      </c>
      <c r="F124" s="2">
        <v>23.67</v>
      </c>
      <c r="G124" s="2">
        <v>0</v>
      </c>
      <c r="H124" s="2">
        <v>23.67</v>
      </c>
      <c r="I124" s="2">
        <v>685</v>
      </c>
      <c r="J124" s="2">
        <v>6.2430000000000003</v>
      </c>
      <c r="K124" s="2">
        <v>1.738</v>
      </c>
    </row>
    <row r="125" spans="1:11" x14ac:dyDescent="0.25">
      <c r="A125" s="20">
        <v>0</v>
      </c>
      <c r="B125" s="2" t="s">
        <v>238</v>
      </c>
      <c r="C125" s="2" t="s">
        <v>239</v>
      </c>
      <c r="D125" s="2">
        <v>8.0340000000000007</v>
      </c>
      <c r="E125" s="2">
        <v>10.33</v>
      </c>
      <c r="F125" s="2">
        <v>5.48</v>
      </c>
      <c r="G125" s="2">
        <v>0.1</v>
      </c>
      <c r="H125" s="2">
        <v>0.19</v>
      </c>
      <c r="I125" s="2">
        <v>493</v>
      </c>
      <c r="J125" s="2">
        <v>4.7350000000000003</v>
      </c>
      <c r="K125" s="2">
        <v>1.397</v>
      </c>
    </row>
    <row r="126" spans="1:11" x14ac:dyDescent="0.25">
      <c r="A126" s="20">
        <v>0</v>
      </c>
      <c r="B126" s="2" t="s">
        <v>240</v>
      </c>
      <c r="C126" s="2" t="s">
        <v>241</v>
      </c>
      <c r="D126" s="2">
        <v>19.033000000000001</v>
      </c>
      <c r="E126" s="2">
        <v>21.44</v>
      </c>
      <c r="F126" s="2">
        <v>4.63</v>
      </c>
      <c r="G126" s="2">
        <v>0</v>
      </c>
      <c r="H126" s="2">
        <v>4.63</v>
      </c>
      <c r="I126" s="2">
        <v>1131</v>
      </c>
      <c r="J126" s="2">
        <v>8.5280000000000005</v>
      </c>
      <c r="K126" s="2">
        <v>0.90100000000000002</v>
      </c>
    </row>
    <row r="127" spans="1:11" x14ac:dyDescent="0.25">
      <c r="A127" s="20">
        <v>0</v>
      </c>
      <c r="B127" s="2" t="s">
        <v>242</v>
      </c>
      <c r="C127" s="2" t="s">
        <v>243</v>
      </c>
      <c r="D127" s="2">
        <v>17.939</v>
      </c>
      <c r="E127" s="2">
        <v>22.6</v>
      </c>
      <c r="F127" s="2">
        <v>2.87</v>
      </c>
      <c r="G127" s="2">
        <v>0</v>
      </c>
      <c r="H127" s="2">
        <v>2.87</v>
      </c>
      <c r="I127" s="2">
        <v>705</v>
      </c>
      <c r="J127" s="2">
        <v>8.0380000000000003</v>
      </c>
      <c r="K127" s="2">
        <v>0.85</v>
      </c>
    </row>
    <row r="128" spans="1:11" x14ac:dyDescent="0.25">
      <c r="A128" s="20">
        <v>0</v>
      </c>
      <c r="B128" s="2" t="s">
        <v>244</v>
      </c>
      <c r="C128" s="2" t="s">
        <v>245</v>
      </c>
      <c r="D128" s="2">
        <v>4.3419999999999996</v>
      </c>
      <c r="E128" s="2">
        <v>24.35</v>
      </c>
      <c r="F128" s="2">
        <v>1.91</v>
      </c>
      <c r="G128" s="2">
        <v>0</v>
      </c>
      <c r="H128" s="2">
        <v>0.52</v>
      </c>
      <c r="I128" s="2">
        <v>873</v>
      </c>
      <c r="J128" s="2">
        <v>2.0819999999999999</v>
      </c>
      <c r="K128" s="2">
        <v>0.222</v>
      </c>
    </row>
    <row r="129" spans="1:11" x14ac:dyDescent="0.25">
      <c r="A129" s="20">
        <v>0</v>
      </c>
      <c r="B129" s="2" t="s">
        <v>246</v>
      </c>
      <c r="C129" s="2" t="s">
        <v>247</v>
      </c>
      <c r="D129" s="2">
        <v>20.768000000000001</v>
      </c>
      <c r="E129" s="2">
        <v>24.35</v>
      </c>
      <c r="F129" s="2">
        <v>1.91</v>
      </c>
      <c r="G129" s="2">
        <v>0</v>
      </c>
      <c r="H129" s="2">
        <v>0.49</v>
      </c>
      <c r="I129" s="2">
        <v>21</v>
      </c>
      <c r="J129" s="2">
        <v>9.1890000000000001</v>
      </c>
      <c r="K129" s="2">
        <v>0.97199999999999998</v>
      </c>
    </row>
    <row r="130" spans="1:11" x14ac:dyDescent="0.25">
      <c r="A130" s="20">
        <v>0</v>
      </c>
      <c r="B130" s="2" t="s">
        <v>248</v>
      </c>
      <c r="C130" s="2" t="s">
        <v>249</v>
      </c>
      <c r="D130" s="2">
        <v>3.3820000000000001</v>
      </c>
      <c r="E130" s="2">
        <v>12.33</v>
      </c>
      <c r="F130" s="2">
        <v>1.01</v>
      </c>
      <c r="G130" s="2">
        <v>0</v>
      </c>
      <c r="H130" s="2">
        <v>0.25</v>
      </c>
      <c r="I130" s="2">
        <v>128</v>
      </c>
      <c r="J130" s="2">
        <v>3.9049999999999998</v>
      </c>
      <c r="K130" s="2">
        <v>1.8919999999999999</v>
      </c>
    </row>
    <row r="131" spans="1:11" x14ac:dyDescent="0.25">
      <c r="A131" s="20">
        <v>0</v>
      </c>
      <c r="B131" s="2" t="s">
        <v>250</v>
      </c>
      <c r="C131" s="2" t="s">
        <v>251</v>
      </c>
      <c r="D131" s="2">
        <v>8.6999999999999993</v>
      </c>
      <c r="E131" s="2">
        <v>7</v>
      </c>
      <c r="F131" s="2">
        <v>7</v>
      </c>
      <c r="G131" s="2">
        <v>0</v>
      </c>
      <c r="H131" s="2">
        <v>0.3</v>
      </c>
      <c r="I131" s="2">
        <v>70</v>
      </c>
      <c r="J131" s="2">
        <v>4.0999999999999996</v>
      </c>
      <c r="K131" s="2">
        <v>0.5</v>
      </c>
    </row>
    <row r="132" spans="1:11" x14ac:dyDescent="0.25">
      <c r="A132" s="20">
        <v>0</v>
      </c>
      <c r="B132" s="2" t="s">
        <v>252</v>
      </c>
      <c r="C132" s="2" t="s">
        <v>253</v>
      </c>
      <c r="D132" s="2">
        <v>6.6</v>
      </c>
      <c r="E132" s="2">
        <v>3.5</v>
      </c>
      <c r="F132" s="2">
        <v>7.1</v>
      </c>
      <c r="G132" s="2">
        <v>0</v>
      </c>
      <c r="H132" s="2">
        <v>0.22</v>
      </c>
      <c r="I132" s="2">
        <v>83</v>
      </c>
      <c r="J132" s="2">
        <v>3.1</v>
      </c>
      <c r="K132" s="2">
        <v>0.4</v>
      </c>
    </row>
    <row r="133" spans="1:11" x14ac:dyDescent="0.25">
      <c r="A133" s="20">
        <v>0</v>
      </c>
      <c r="B133" s="2" t="s">
        <v>254</v>
      </c>
      <c r="C133" s="2" t="s">
        <v>255</v>
      </c>
      <c r="D133" s="2">
        <v>0</v>
      </c>
      <c r="E133" s="2">
        <v>3.1</v>
      </c>
      <c r="F133" s="2">
        <v>15.6</v>
      </c>
      <c r="G133" s="2">
        <v>0</v>
      </c>
      <c r="H133" s="2">
        <v>0.39</v>
      </c>
      <c r="I133" s="2">
        <v>141</v>
      </c>
      <c r="J133" s="2">
        <v>0</v>
      </c>
      <c r="K133" s="2">
        <v>0</v>
      </c>
    </row>
    <row r="134" spans="1:11" x14ac:dyDescent="0.25">
      <c r="A134" s="20">
        <v>0</v>
      </c>
      <c r="B134" s="2" t="s">
        <v>256</v>
      </c>
      <c r="C134" s="2" t="s">
        <v>257</v>
      </c>
      <c r="D134" s="2">
        <v>11.58</v>
      </c>
      <c r="E134" s="2">
        <v>27.2</v>
      </c>
      <c r="F134" s="2">
        <v>2</v>
      </c>
      <c r="G134" s="2">
        <v>0</v>
      </c>
      <c r="H134" s="2">
        <v>0.57999999999999996</v>
      </c>
      <c r="I134" s="2">
        <v>725</v>
      </c>
      <c r="J134" s="2">
        <v>5.0199999999999996</v>
      </c>
      <c r="K134" s="2">
        <v>0.75</v>
      </c>
    </row>
    <row r="135" spans="1:11" x14ac:dyDescent="0.25">
      <c r="A135" s="20">
        <v>0</v>
      </c>
      <c r="B135" s="2" t="s">
        <v>258</v>
      </c>
      <c r="C135" s="2" t="s">
        <v>259</v>
      </c>
      <c r="D135" s="2">
        <v>0.11600000000000001</v>
      </c>
      <c r="E135" s="2">
        <v>3.86</v>
      </c>
      <c r="F135" s="2">
        <v>7.5</v>
      </c>
      <c r="G135" s="2">
        <v>0</v>
      </c>
      <c r="H135" s="2">
        <v>7.5</v>
      </c>
      <c r="I135" s="2">
        <v>59</v>
      </c>
      <c r="J135" s="2">
        <v>4.9000000000000002E-2</v>
      </c>
      <c r="K135" s="2">
        <v>5.0000000000000001E-3</v>
      </c>
    </row>
    <row r="136" spans="1:11" x14ac:dyDescent="0.25">
      <c r="A136" s="20">
        <v>0</v>
      </c>
      <c r="B136" s="2" t="s">
        <v>260</v>
      </c>
      <c r="C136" s="2" t="s">
        <v>261</v>
      </c>
      <c r="D136" s="2">
        <v>3.11</v>
      </c>
      <c r="E136" s="2">
        <v>40</v>
      </c>
      <c r="F136" s="2">
        <v>40</v>
      </c>
      <c r="G136" s="2">
        <v>0</v>
      </c>
      <c r="H136" s="2">
        <v>1.5</v>
      </c>
      <c r="I136" s="2">
        <v>1150</v>
      </c>
      <c r="J136" s="2">
        <v>1.446</v>
      </c>
      <c r="K136" s="2">
        <v>0.186</v>
      </c>
    </row>
    <row r="137" spans="1:11" x14ac:dyDescent="0.25">
      <c r="A137" s="20">
        <v>0</v>
      </c>
      <c r="B137" s="2" t="s">
        <v>262</v>
      </c>
      <c r="C137" s="2" t="s">
        <v>263</v>
      </c>
      <c r="D137" s="2">
        <v>0.64400000000000002</v>
      </c>
      <c r="E137" s="2">
        <v>15.69</v>
      </c>
      <c r="F137" s="2">
        <v>7.66</v>
      </c>
      <c r="G137" s="2">
        <v>0</v>
      </c>
      <c r="H137" s="2">
        <v>5.48</v>
      </c>
      <c r="I137" s="2">
        <v>702</v>
      </c>
      <c r="J137" s="2">
        <v>0.25</v>
      </c>
      <c r="K137" s="2">
        <v>5.7000000000000002E-2</v>
      </c>
    </row>
    <row r="138" spans="1:11" x14ac:dyDescent="0.25">
      <c r="A138" s="20">
        <v>0</v>
      </c>
      <c r="B138" s="2" t="s">
        <v>264</v>
      </c>
      <c r="C138" s="2" t="s">
        <v>265</v>
      </c>
      <c r="D138" s="2">
        <v>0</v>
      </c>
      <c r="E138" s="2">
        <v>3.53</v>
      </c>
      <c r="F138" s="2">
        <v>23.53</v>
      </c>
      <c r="G138" s="2">
        <v>1.2</v>
      </c>
      <c r="H138" s="2">
        <v>14.97</v>
      </c>
      <c r="I138" s="2">
        <v>135</v>
      </c>
      <c r="J138" s="2">
        <v>0</v>
      </c>
      <c r="K138" s="2">
        <v>0</v>
      </c>
    </row>
    <row r="139" spans="1:11" x14ac:dyDescent="0.25">
      <c r="A139" s="20">
        <v>0</v>
      </c>
      <c r="B139" s="2" t="s">
        <v>266</v>
      </c>
      <c r="C139" s="2" t="s">
        <v>267</v>
      </c>
      <c r="D139" s="2">
        <v>13.1</v>
      </c>
      <c r="E139" s="2">
        <v>12</v>
      </c>
      <c r="F139" s="2">
        <v>9.1999999999999993</v>
      </c>
      <c r="G139" s="2">
        <v>0.3</v>
      </c>
      <c r="H139" s="2">
        <v>6.7</v>
      </c>
      <c r="I139" s="2">
        <v>1638</v>
      </c>
      <c r="J139" s="2"/>
      <c r="K139" s="2"/>
    </row>
    <row r="140" spans="1:11" x14ac:dyDescent="0.25">
      <c r="A140" s="20">
        <v>0</v>
      </c>
      <c r="B140" s="2" t="s">
        <v>268</v>
      </c>
      <c r="C140" s="2" t="s">
        <v>269</v>
      </c>
      <c r="D140" s="2">
        <v>6.4</v>
      </c>
      <c r="E140" s="2">
        <v>16.3</v>
      </c>
      <c r="F140" s="2">
        <v>16.2</v>
      </c>
      <c r="G140" s="2">
        <v>0.2</v>
      </c>
      <c r="H140" s="2">
        <v>8.1999999999999993</v>
      </c>
      <c r="I140" s="2">
        <v>1705</v>
      </c>
      <c r="J140" s="2"/>
      <c r="K140" s="2"/>
    </row>
    <row r="141" spans="1:11" x14ac:dyDescent="0.25">
      <c r="A141" s="20">
        <v>0</v>
      </c>
      <c r="B141" s="2" t="s">
        <v>270</v>
      </c>
      <c r="C141" s="2" t="s">
        <v>271</v>
      </c>
      <c r="D141" s="2">
        <v>0.7</v>
      </c>
      <c r="E141" s="2">
        <v>22.7</v>
      </c>
      <c r="F141" s="2">
        <v>11.7</v>
      </c>
      <c r="G141" s="2">
        <v>0.2</v>
      </c>
      <c r="H141" s="2">
        <v>6.7</v>
      </c>
      <c r="I141" s="2">
        <v>1298</v>
      </c>
      <c r="J141" s="2"/>
      <c r="K141" s="2"/>
    </row>
    <row r="142" spans="1:11" x14ac:dyDescent="0.25">
      <c r="A142" s="20">
        <v>0</v>
      </c>
      <c r="B142" s="2" t="s">
        <v>272</v>
      </c>
      <c r="C142" s="2" t="s">
        <v>273</v>
      </c>
      <c r="D142" s="2">
        <v>14.4</v>
      </c>
      <c r="E142" s="2">
        <v>16.3</v>
      </c>
      <c r="F142" s="2">
        <v>9.8000000000000007</v>
      </c>
      <c r="G142" s="2">
        <v>0</v>
      </c>
      <c r="H142" s="2">
        <v>8.1</v>
      </c>
      <c r="I142" s="2">
        <v>1499</v>
      </c>
      <c r="J142" s="2"/>
      <c r="K142" s="2"/>
    </row>
    <row r="143" spans="1:11" x14ac:dyDescent="0.25">
      <c r="A143" s="20">
        <v>0</v>
      </c>
      <c r="B143" s="2" t="s">
        <v>274</v>
      </c>
      <c r="C143" s="2" t="s">
        <v>275</v>
      </c>
      <c r="D143" s="2">
        <v>0.8</v>
      </c>
      <c r="E143" s="2">
        <v>4.7</v>
      </c>
      <c r="F143" s="2">
        <v>15.1</v>
      </c>
      <c r="G143" s="2">
        <v>0</v>
      </c>
      <c r="H143" s="2">
        <v>7.2</v>
      </c>
      <c r="I143" s="2">
        <v>72</v>
      </c>
      <c r="J143" s="2"/>
      <c r="K143" s="2"/>
    </row>
    <row r="144" spans="1:11" x14ac:dyDescent="0.25">
      <c r="A144" s="20">
        <v>0</v>
      </c>
      <c r="B144" s="2" t="s">
        <v>276</v>
      </c>
      <c r="C144" s="2" t="s">
        <v>277</v>
      </c>
      <c r="D144" s="2">
        <v>0.84099999999999997</v>
      </c>
      <c r="E144" s="2">
        <v>2.6</v>
      </c>
      <c r="F144" s="2">
        <v>9</v>
      </c>
      <c r="G144" s="2">
        <v>0</v>
      </c>
      <c r="H144" s="2">
        <v>5</v>
      </c>
      <c r="I144" s="2">
        <v>100</v>
      </c>
      <c r="J144" s="2">
        <v>0.38400000000000001</v>
      </c>
      <c r="K144" s="2">
        <v>5.1999999999999998E-2</v>
      </c>
    </row>
    <row r="145" spans="1:11" x14ac:dyDescent="0.25">
      <c r="A145" s="20">
        <v>0</v>
      </c>
      <c r="B145" s="2" t="s">
        <v>278</v>
      </c>
      <c r="C145" s="2" t="s">
        <v>279</v>
      </c>
      <c r="D145" s="2">
        <v>2.8690000000000002</v>
      </c>
      <c r="E145" s="2">
        <v>3</v>
      </c>
      <c r="F145" s="2">
        <v>25</v>
      </c>
      <c r="G145" s="2">
        <v>0.4</v>
      </c>
      <c r="H145" s="2">
        <v>16</v>
      </c>
      <c r="I145" s="2">
        <v>72</v>
      </c>
      <c r="J145" s="2">
        <v>1.25</v>
      </c>
      <c r="K145" s="2">
        <v>0.29899999999999999</v>
      </c>
    </row>
    <row r="146" spans="1:11" x14ac:dyDescent="0.25">
      <c r="A146" s="20">
        <v>0</v>
      </c>
      <c r="B146" s="2" t="s">
        <v>280</v>
      </c>
      <c r="C146" s="2" t="s">
        <v>281</v>
      </c>
      <c r="D146" s="2">
        <v>13.317</v>
      </c>
      <c r="E146" s="2">
        <v>20</v>
      </c>
      <c r="F146" s="2">
        <v>1.37</v>
      </c>
      <c r="G146" s="2">
        <v>0</v>
      </c>
      <c r="H146" s="2">
        <v>0</v>
      </c>
      <c r="I146" s="2">
        <v>1529</v>
      </c>
      <c r="J146" s="2">
        <v>6.0979999999999999</v>
      </c>
      <c r="K146" s="2">
        <v>0.46200000000000002</v>
      </c>
    </row>
    <row r="147" spans="1:11" x14ac:dyDescent="0.25">
      <c r="A147" s="20">
        <v>0</v>
      </c>
      <c r="B147" s="2" t="s">
        <v>282</v>
      </c>
      <c r="C147" s="2" t="s">
        <v>283</v>
      </c>
      <c r="D147" s="2">
        <v>2.6349999999999998</v>
      </c>
      <c r="E147" s="2">
        <v>0.69</v>
      </c>
      <c r="F147" s="2">
        <v>35.07</v>
      </c>
      <c r="G147" s="2">
        <v>1.1000000000000001</v>
      </c>
      <c r="H147" s="2">
        <v>33.04</v>
      </c>
      <c r="I147" s="2">
        <v>67</v>
      </c>
      <c r="J147" s="2">
        <v>4.0019999999999998</v>
      </c>
      <c r="K147" s="2">
        <v>6.2690000000000001</v>
      </c>
    </row>
    <row r="148" spans="1:11" x14ac:dyDescent="0.25">
      <c r="A148" s="20">
        <v>0</v>
      </c>
      <c r="B148" s="2" t="s">
        <v>284</v>
      </c>
      <c r="C148" s="2" t="s">
        <v>285</v>
      </c>
      <c r="D148" s="2">
        <v>19.446000000000002</v>
      </c>
      <c r="E148" s="2">
        <v>0.68</v>
      </c>
      <c r="F148" s="2">
        <v>75.42</v>
      </c>
      <c r="G148" s="2">
        <v>1.2</v>
      </c>
      <c r="H148" s="2">
        <v>58.01</v>
      </c>
      <c r="I148" s="2">
        <v>123</v>
      </c>
      <c r="J148" s="2">
        <v>0.61799999999999999</v>
      </c>
      <c r="K148" s="2">
        <v>0.22900000000000001</v>
      </c>
    </row>
    <row r="149" spans="1:11" x14ac:dyDescent="0.25">
      <c r="A149" s="20">
        <v>0</v>
      </c>
      <c r="B149" s="2" t="s">
        <v>286</v>
      </c>
      <c r="C149" s="2" t="s">
        <v>287</v>
      </c>
      <c r="D149" s="2">
        <v>11.3</v>
      </c>
      <c r="E149" s="2">
        <v>24.7</v>
      </c>
      <c r="F149" s="2">
        <v>3.5</v>
      </c>
      <c r="G149" s="2">
        <v>0</v>
      </c>
      <c r="H149" s="2">
        <v>0.55000000000000004</v>
      </c>
      <c r="I149" s="2">
        <v>615</v>
      </c>
      <c r="J149" s="2">
        <v>4.8899999999999997</v>
      </c>
      <c r="K149" s="2">
        <v>0.51</v>
      </c>
    </row>
    <row r="150" spans="1:11" x14ac:dyDescent="0.25">
      <c r="A150" s="20">
        <v>0</v>
      </c>
      <c r="B150" s="2" t="s">
        <v>288</v>
      </c>
      <c r="C150" s="2" t="s">
        <v>289</v>
      </c>
      <c r="D150" s="2">
        <v>10.305</v>
      </c>
      <c r="E150" s="2">
        <v>35.6</v>
      </c>
      <c r="F150" s="2">
        <v>23.97</v>
      </c>
      <c r="G150" s="2"/>
      <c r="H150" s="2">
        <v>2.46</v>
      </c>
      <c r="I150" s="2">
        <v>576</v>
      </c>
      <c r="J150" s="2">
        <v>13.744999999999999</v>
      </c>
      <c r="K150" s="2">
        <v>7.5549999999999997</v>
      </c>
    </row>
    <row r="151" spans="1:11" x14ac:dyDescent="0.25">
      <c r="A151" s="20">
        <v>0</v>
      </c>
      <c r="B151" s="2" t="s">
        <v>290</v>
      </c>
      <c r="C151" s="2" t="s">
        <v>291</v>
      </c>
      <c r="D151" s="2">
        <v>1.865</v>
      </c>
      <c r="E151" s="2">
        <v>3.15</v>
      </c>
      <c r="F151" s="2">
        <v>4.78</v>
      </c>
      <c r="G151" s="2">
        <v>0</v>
      </c>
      <c r="H151" s="2">
        <v>5.05</v>
      </c>
      <c r="I151" s="2">
        <v>43</v>
      </c>
      <c r="J151" s="2">
        <v>0.81200000000000006</v>
      </c>
      <c r="K151" s="2">
        <v>0.19500000000000001</v>
      </c>
    </row>
    <row r="152" spans="1:11" x14ac:dyDescent="0.25">
      <c r="A152" s="20">
        <v>0</v>
      </c>
      <c r="B152" s="2" t="s">
        <v>292</v>
      </c>
      <c r="C152" s="2" t="s">
        <v>293</v>
      </c>
      <c r="D152" s="2">
        <v>16.742000000000001</v>
      </c>
      <c r="E152" s="2">
        <v>26.32</v>
      </c>
      <c r="F152" s="2">
        <v>38.42</v>
      </c>
      <c r="G152" s="2">
        <v>0</v>
      </c>
      <c r="H152" s="2">
        <v>38.42</v>
      </c>
      <c r="I152" s="2">
        <v>371</v>
      </c>
      <c r="J152" s="2">
        <v>7.9240000000000004</v>
      </c>
      <c r="K152" s="2">
        <v>0.66500000000000004</v>
      </c>
    </row>
    <row r="153" spans="1:11" x14ac:dyDescent="0.25">
      <c r="A153" s="20">
        <v>0</v>
      </c>
      <c r="B153" s="2" t="s">
        <v>294</v>
      </c>
      <c r="C153" s="2" t="s">
        <v>295</v>
      </c>
      <c r="D153" s="2">
        <v>4.5910000000000002</v>
      </c>
      <c r="E153" s="2">
        <v>6.81</v>
      </c>
      <c r="F153" s="2">
        <v>10.039999999999999</v>
      </c>
      <c r="G153" s="2">
        <v>0</v>
      </c>
      <c r="H153" s="2">
        <v>10.039999999999999</v>
      </c>
      <c r="I153" s="2">
        <v>106</v>
      </c>
      <c r="J153" s="2">
        <v>2.335</v>
      </c>
      <c r="K153" s="2">
        <v>0.245</v>
      </c>
    </row>
    <row r="154" spans="1:11" x14ac:dyDescent="0.25">
      <c r="A154" s="20">
        <v>0</v>
      </c>
      <c r="B154" s="2" t="s">
        <v>296</v>
      </c>
      <c r="C154" s="2" t="s">
        <v>297</v>
      </c>
      <c r="D154" s="2">
        <v>8.85</v>
      </c>
      <c r="E154" s="2">
        <v>17.600000000000001</v>
      </c>
      <c r="F154" s="2">
        <v>10.6</v>
      </c>
      <c r="G154" s="2">
        <v>0</v>
      </c>
      <c r="H154" s="2">
        <v>8.02</v>
      </c>
      <c r="I154" s="2">
        <v>1201</v>
      </c>
      <c r="J154" s="2">
        <v>4.13</v>
      </c>
      <c r="K154" s="2">
        <v>0.41</v>
      </c>
    </row>
    <row r="155" spans="1:11" x14ac:dyDescent="0.25">
      <c r="A155" s="20">
        <v>0</v>
      </c>
      <c r="B155" s="2" t="s">
        <v>298</v>
      </c>
      <c r="C155" s="2" t="s">
        <v>299</v>
      </c>
      <c r="D155" s="2">
        <v>0.74199999999999999</v>
      </c>
      <c r="E155" s="2">
        <v>3.98</v>
      </c>
      <c r="F155" s="2">
        <v>18.64</v>
      </c>
      <c r="G155" s="2">
        <v>0</v>
      </c>
      <c r="H155" s="2">
        <v>18.64</v>
      </c>
      <c r="I155" s="2">
        <v>53</v>
      </c>
      <c r="J155" s="2">
        <v>0.316</v>
      </c>
      <c r="K155" s="2">
        <v>3.3000000000000002E-2</v>
      </c>
    </row>
    <row r="156" spans="1:11" x14ac:dyDescent="0.25">
      <c r="A156" s="20">
        <v>0</v>
      </c>
      <c r="B156" s="2" t="s">
        <v>300</v>
      </c>
      <c r="C156" s="2" t="s">
        <v>301</v>
      </c>
      <c r="D156" s="2">
        <v>0.69699999999999995</v>
      </c>
      <c r="E156" s="2">
        <v>4.37</v>
      </c>
      <c r="F156" s="2">
        <v>19.05</v>
      </c>
      <c r="G156" s="2">
        <v>0</v>
      </c>
      <c r="H156" s="2">
        <v>19.05</v>
      </c>
      <c r="I156" s="2">
        <v>58</v>
      </c>
      <c r="J156" s="2">
        <v>0.29699999999999999</v>
      </c>
      <c r="K156" s="2">
        <v>3.1E-2</v>
      </c>
    </row>
    <row r="157" spans="1:11" x14ac:dyDescent="0.25">
      <c r="A157" s="20">
        <v>0</v>
      </c>
      <c r="B157" s="2" t="s">
        <v>302</v>
      </c>
      <c r="C157" s="2" t="s">
        <v>303</v>
      </c>
      <c r="D157" s="2">
        <v>0.11899999999999999</v>
      </c>
      <c r="E157" s="2">
        <v>4.4000000000000004</v>
      </c>
      <c r="F157" s="2">
        <v>19</v>
      </c>
      <c r="G157" s="2">
        <v>0</v>
      </c>
      <c r="H157" s="2">
        <v>19</v>
      </c>
      <c r="I157" s="2">
        <v>58</v>
      </c>
      <c r="J157" s="2">
        <v>0.05</v>
      </c>
      <c r="K157" s="2">
        <v>1.6E-2</v>
      </c>
    </row>
    <row r="158" spans="1:11" x14ac:dyDescent="0.25">
      <c r="A158" s="20">
        <v>0</v>
      </c>
      <c r="B158" s="2" t="s">
        <v>304</v>
      </c>
      <c r="C158" s="2" t="s">
        <v>305</v>
      </c>
      <c r="D158" s="2">
        <v>0.90900000000000003</v>
      </c>
      <c r="E158" s="2">
        <v>4.8600000000000003</v>
      </c>
      <c r="F158" s="2">
        <v>18.600000000000001</v>
      </c>
      <c r="G158" s="2">
        <v>0</v>
      </c>
      <c r="H158" s="2">
        <v>2.9</v>
      </c>
      <c r="I158" s="2">
        <v>58</v>
      </c>
      <c r="J158" s="2">
        <v>0.38700000000000001</v>
      </c>
      <c r="K158" s="2">
        <v>0.04</v>
      </c>
    </row>
    <row r="159" spans="1:11" x14ac:dyDescent="0.25">
      <c r="A159" s="20">
        <v>0</v>
      </c>
      <c r="B159" s="2" t="s">
        <v>306</v>
      </c>
      <c r="C159" s="2" t="s">
        <v>307</v>
      </c>
      <c r="D159" s="2">
        <v>0.80600000000000005</v>
      </c>
      <c r="E159" s="2">
        <v>4.93</v>
      </c>
      <c r="F159" s="2">
        <v>13.8</v>
      </c>
      <c r="G159" s="2">
        <v>0</v>
      </c>
      <c r="H159" s="2">
        <v>13.8</v>
      </c>
      <c r="I159" s="2">
        <v>66</v>
      </c>
      <c r="J159" s="2">
        <v>0.34300000000000003</v>
      </c>
      <c r="K159" s="2">
        <v>3.5999999999999997E-2</v>
      </c>
    </row>
    <row r="160" spans="1:11" x14ac:dyDescent="0.25">
      <c r="A160" s="20">
        <v>0</v>
      </c>
      <c r="B160" s="2" t="s">
        <v>308</v>
      </c>
      <c r="C160" s="2" t="s">
        <v>309</v>
      </c>
      <c r="D160" s="2">
        <v>0.11600000000000001</v>
      </c>
      <c r="E160" s="2">
        <v>3.86</v>
      </c>
      <c r="F160" s="2">
        <v>7.5</v>
      </c>
      <c r="G160" s="2">
        <v>0</v>
      </c>
      <c r="H160" s="2">
        <v>7.5</v>
      </c>
      <c r="I160" s="2">
        <v>59</v>
      </c>
      <c r="J160" s="2">
        <v>4.9000000000000002E-2</v>
      </c>
      <c r="K160" s="2">
        <v>5.0000000000000001E-3</v>
      </c>
    </row>
    <row r="161" spans="1:11" x14ac:dyDescent="0.25">
      <c r="A161" s="20">
        <v>0</v>
      </c>
      <c r="B161" s="2" t="s">
        <v>310</v>
      </c>
      <c r="C161" s="2" t="s">
        <v>311</v>
      </c>
      <c r="D161" s="2">
        <v>0</v>
      </c>
      <c r="E161" s="2">
        <v>3.53</v>
      </c>
      <c r="F161" s="2">
        <v>23.53</v>
      </c>
      <c r="G161" s="2">
        <v>1.2</v>
      </c>
      <c r="H161" s="2">
        <v>14.97</v>
      </c>
      <c r="I161" s="2">
        <v>135</v>
      </c>
      <c r="J161" s="2">
        <v>0</v>
      </c>
      <c r="K161" s="2">
        <v>0</v>
      </c>
    </row>
    <row r="162" spans="1:11" x14ac:dyDescent="0.25">
      <c r="A162" s="20">
        <v>0</v>
      </c>
      <c r="B162" s="2" t="s">
        <v>312</v>
      </c>
      <c r="C162" s="2" t="s">
        <v>313</v>
      </c>
      <c r="D162" s="2">
        <v>1.5529999999999999</v>
      </c>
      <c r="E162" s="2">
        <v>45.71</v>
      </c>
      <c r="F162" s="2">
        <v>18.5</v>
      </c>
      <c r="G162" s="2">
        <v>7.1</v>
      </c>
      <c r="H162" s="2">
        <v>5.71</v>
      </c>
      <c r="I162" s="2">
        <v>329</v>
      </c>
      <c r="J162" s="2">
        <v>12.105</v>
      </c>
      <c r="K162" s="2">
        <v>1.77</v>
      </c>
    </row>
    <row r="163" spans="1:11" x14ac:dyDescent="0.25">
      <c r="A163" s="20">
        <v>0</v>
      </c>
      <c r="B163" s="2" t="s">
        <v>314</v>
      </c>
      <c r="C163" s="2" t="s">
        <v>315</v>
      </c>
      <c r="D163" s="2">
        <v>1.087</v>
      </c>
      <c r="E163" s="2">
        <v>50</v>
      </c>
      <c r="F163" s="2">
        <v>22</v>
      </c>
      <c r="G163" s="2">
        <v>2</v>
      </c>
      <c r="H163" s="2">
        <v>4</v>
      </c>
      <c r="I163" s="2">
        <v>250</v>
      </c>
      <c r="J163" s="2">
        <v>8.4740000000000002</v>
      </c>
      <c r="K163" s="2">
        <v>1.2390000000000001</v>
      </c>
    </row>
    <row r="164" spans="1:11" x14ac:dyDescent="0.25">
      <c r="A164" s="20">
        <v>0</v>
      </c>
      <c r="B164" s="2" t="s">
        <v>316</v>
      </c>
      <c r="C164" s="2" t="s">
        <v>317</v>
      </c>
      <c r="D164" s="2">
        <v>4.5339999999999998</v>
      </c>
      <c r="E164" s="2">
        <v>6.84</v>
      </c>
      <c r="F164" s="2">
        <v>55.35</v>
      </c>
      <c r="G164" s="2">
        <v>0</v>
      </c>
      <c r="H164" s="2">
        <v>49.74</v>
      </c>
      <c r="I164" s="2">
        <v>129</v>
      </c>
      <c r="J164" s="2">
        <v>2.1429999999999998</v>
      </c>
      <c r="K164" s="2">
        <v>0.375</v>
      </c>
    </row>
    <row r="165" spans="1:11" x14ac:dyDescent="0.25">
      <c r="A165" s="20">
        <v>0</v>
      </c>
      <c r="B165" s="2" t="s">
        <v>318</v>
      </c>
      <c r="C165" s="2" t="s">
        <v>319</v>
      </c>
      <c r="D165" s="2">
        <v>13.718</v>
      </c>
      <c r="E165" s="2">
        <v>24.51</v>
      </c>
      <c r="F165" s="2">
        <v>2.04</v>
      </c>
      <c r="G165" s="2"/>
      <c r="H165" s="2">
        <v>0.55000000000000004</v>
      </c>
      <c r="I165" s="2">
        <v>1808</v>
      </c>
      <c r="J165" s="2">
        <v>6.4180000000000001</v>
      </c>
      <c r="K165" s="2">
        <v>1.244</v>
      </c>
    </row>
    <row r="166" spans="1:11" x14ac:dyDescent="0.25">
      <c r="A166" s="20">
        <v>0</v>
      </c>
      <c r="B166" s="2" t="s">
        <v>320</v>
      </c>
      <c r="C166" s="2" t="s">
        <v>321</v>
      </c>
      <c r="D166" s="2">
        <v>12.94</v>
      </c>
      <c r="E166" s="2">
        <v>18.09</v>
      </c>
      <c r="F166" s="2">
        <v>2.98</v>
      </c>
      <c r="G166" s="2">
        <v>0</v>
      </c>
      <c r="H166" s="2">
        <v>2.3199999999999998</v>
      </c>
      <c r="I166" s="2">
        <v>751</v>
      </c>
      <c r="J166" s="2">
        <v>5.9660000000000002</v>
      </c>
      <c r="K166" s="2">
        <v>1.1060000000000001</v>
      </c>
    </row>
    <row r="167" spans="1:11" x14ac:dyDescent="0.25">
      <c r="A167" s="20">
        <v>0</v>
      </c>
      <c r="B167" s="2" t="s">
        <v>322</v>
      </c>
      <c r="C167" s="2" t="s">
        <v>323</v>
      </c>
      <c r="D167" s="2">
        <v>13.661</v>
      </c>
      <c r="E167" s="2">
        <v>20.38</v>
      </c>
      <c r="F167" s="2">
        <v>2.5299999999999998</v>
      </c>
      <c r="G167" s="2"/>
      <c r="H167" s="2">
        <v>1.76</v>
      </c>
      <c r="I167" s="2">
        <v>704</v>
      </c>
      <c r="J167" s="2">
        <v>6.4589999999999996</v>
      </c>
      <c r="K167" s="2">
        <v>1.149</v>
      </c>
    </row>
    <row r="168" spans="1:11" x14ac:dyDescent="0.25">
      <c r="A168" s="20">
        <v>0</v>
      </c>
      <c r="B168" s="2" t="s">
        <v>324</v>
      </c>
      <c r="C168" s="2" t="s">
        <v>325</v>
      </c>
      <c r="D168" s="2">
        <v>1.899</v>
      </c>
      <c r="E168" s="2">
        <v>3.21</v>
      </c>
      <c r="F168" s="2">
        <v>4.88</v>
      </c>
      <c r="G168" s="2">
        <v>0</v>
      </c>
      <c r="H168" s="2">
        <v>4.88</v>
      </c>
      <c r="I168" s="2">
        <v>105</v>
      </c>
      <c r="J168" s="2">
        <v>0.82699999999999996</v>
      </c>
      <c r="K168" s="2">
        <v>0.19800000000000001</v>
      </c>
    </row>
    <row r="169" spans="1:11" x14ac:dyDescent="0.25">
      <c r="A169" s="20">
        <v>0</v>
      </c>
      <c r="B169" s="2" t="s">
        <v>326</v>
      </c>
      <c r="C169" s="2" t="s">
        <v>327</v>
      </c>
      <c r="D169" s="2">
        <v>0.752</v>
      </c>
      <c r="E169" s="2">
        <v>4.93</v>
      </c>
      <c r="F169" s="2">
        <v>13.8</v>
      </c>
      <c r="G169" s="2">
        <v>0</v>
      </c>
      <c r="H169" s="2">
        <v>5.43</v>
      </c>
      <c r="I169" s="2">
        <v>66</v>
      </c>
      <c r="J169" s="2">
        <v>0.313</v>
      </c>
      <c r="K169" s="2">
        <v>3.5000000000000003E-2</v>
      </c>
    </row>
    <row r="170" spans="1:11" x14ac:dyDescent="0.25">
      <c r="A170" s="20">
        <v>0</v>
      </c>
      <c r="B170" s="2" t="s">
        <v>328</v>
      </c>
      <c r="C170" s="2" t="s">
        <v>329</v>
      </c>
      <c r="D170" s="2">
        <v>0.48799999999999999</v>
      </c>
      <c r="E170" s="2">
        <v>4.4000000000000004</v>
      </c>
      <c r="F170" s="2">
        <v>19.7</v>
      </c>
      <c r="G170" s="2">
        <v>2</v>
      </c>
      <c r="H170" s="2">
        <v>12.61</v>
      </c>
      <c r="I170" s="2">
        <v>81</v>
      </c>
      <c r="J170" s="2">
        <v>0.20499999999999999</v>
      </c>
      <c r="K170" s="2">
        <v>0.03</v>
      </c>
    </row>
    <row r="171" spans="1:11" x14ac:dyDescent="0.25">
      <c r="A171" s="20">
        <v>0</v>
      </c>
      <c r="B171" s="2" t="s">
        <v>330</v>
      </c>
      <c r="C171" s="2" t="s">
        <v>331</v>
      </c>
      <c r="D171" s="2">
        <v>7.46</v>
      </c>
      <c r="E171" s="2">
        <v>4.0999999999999996</v>
      </c>
      <c r="F171" s="2">
        <v>22.2</v>
      </c>
      <c r="G171" s="2">
        <v>0.7</v>
      </c>
      <c r="H171" s="2">
        <v>21.16</v>
      </c>
      <c r="I171" s="2">
        <v>61</v>
      </c>
      <c r="J171" s="2">
        <v>3.49</v>
      </c>
      <c r="K171" s="2">
        <v>0.46</v>
      </c>
    </row>
    <row r="172" spans="1:11" x14ac:dyDescent="0.25">
      <c r="A172" s="20">
        <v>0</v>
      </c>
      <c r="B172" s="2" t="s">
        <v>332</v>
      </c>
      <c r="C172" s="2" t="s">
        <v>333</v>
      </c>
      <c r="D172" s="2">
        <v>13.202</v>
      </c>
      <c r="E172" s="2">
        <v>4.0999999999999996</v>
      </c>
      <c r="F172" s="2">
        <v>24.5</v>
      </c>
      <c r="G172" s="2">
        <v>0.8</v>
      </c>
      <c r="H172" s="2">
        <v>18.3</v>
      </c>
      <c r="I172" s="2">
        <v>68</v>
      </c>
      <c r="J172" s="2">
        <v>6.3869999999999996</v>
      </c>
      <c r="K172" s="2">
        <v>3.2570000000000001</v>
      </c>
    </row>
    <row r="173" spans="1:11" x14ac:dyDescent="0.25">
      <c r="A173" s="20">
        <v>0</v>
      </c>
      <c r="B173" s="2" t="s">
        <v>334</v>
      </c>
      <c r="C173" s="2" t="s">
        <v>335</v>
      </c>
      <c r="D173" s="2">
        <v>2.3170000000000002</v>
      </c>
      <c r="E173" s="2">
        <v>4.29</v>
      </c>
      <c r="F173" s="2">
        <v>37.14</v>
      </c>
      <c r="G173" s="2">
        <v>0</v>
      </c>
      <c r="H173" s="2">
        <v>18.57</v>
      </c>
      <c r="I173" s="2">
        <v>129</v>
      </c>
      <c r="J173" s="2">
        <v>2.661</v>
      </c>
      <c r="K173" s="2">
        <v>2.2719999999999998</v>
      </c>
    </row>
    <row r="174" spans="1:11" x14ac:dyDescent="0.25">
      <c r="A174" s="20">
        <v>0</v>
      </c>
      <c r="B174" s="2" t="s">
        <v>336</v>
      </c>
      <c r="C174" s="2" t="s">
        <v>337</v>
      </c>
      <c r="D174" s="2">
        <v>1.663</v>
      </c>
      <c r="E174" s="2">
        <v>3.7</v>
      </c>
      <c r="F174" s="2">
        <v>39.6</v>
      </c>
      <c r="G174" s="2">
        <v>1.2</v>
      </c>
      <c r="H174" s="2">
        <v>21.3</v>
      </c>
      <c r="I174" s="2">
        <v>162</v>
      </c>
      <c r="J174" s="2">
        <v>4.1500000000000004</v>
      </c>
      <c r="K174" s="2">
        <v>0.84699999999999998</v>
      </c>
    </row>
    <row r="175" spans="1:11" x14ac:dyDescent="0.25">
      <c r="A175" s="20">
        <v>0</v>
      </c>
      <c r="B175" s="2" t="s">
        <v>338</v>
      </c>
      <c r="C175" s="2" t="s">
        <v>339</v>
      </c>
      <c r="D175" s="2">
        <v>11.458</v>
      </c>
      <c r="E175" s="2">
        <v>5.21</v>
      </c>
      <c r="F175" s="2">
        <v>34.380000000000003</v>
      </c>
      <c r="G175" s="2">
        <v>1</v>
      </c>
      <c r="H175" s="2">
        <v>25</v>
      </c>
      <c r="I175" s="2">
        <v>94</v>
      </c>
      <c r="J175" s="2">
        <v>7.34</v>
      </c>
      <c r="K175" s="2">
        <v>1.657</v>
      </c>
    </row>
    <row r="176" spans="1:11" x14ac:dyDescent="0.25">
      <c r="A176" s="20">
        <v>0</v>
      </c>
      <c r="B176" s="2" t="s">
        <v>340</v>
      </c>
      <c r="C176" s="2" t="s">
        <v>341</v>
      </c>
      <c r="D176" s="2">
        <v>0.82099999999999995</v>
      </c>
      <c r="E176" s="2">
        <v>4.29</v>
      </c>
      <c r="F176" s="2">
        <v>39.64</v>
      </c>
      <c r="G176" s="2">
        <v>0</v>
      </c>
      <c r="H176" s="2">
        <v>17.86</v>
      </c>
      <c r="I176" s="2">
        <v>146</v>
      </c>
      <c r="J176" s="2">
        <v>0.94199999999999995</v>
      </c>
      <c r="K176" s="2">
        <v>0.80500000000000005</v>
      </c>
    </row>
    <row r="177" spans="1:11" x14ac:dyDescent="0.25">
      <c r="A177" s="20">
        <v>0</v>
      </c>
      <c r="B177" s="2" t="s">
        <v>342</v>
      </c>
      <c r="C177" s="2" t="s">
        <v>343</v>
      </c>
      <c r="D177" s="2">
        <v>0.82099999999999995</v>
      </c>
      <c r="E177" s="2">
        <v>5.71</v>
      </c>
      <c r="F177" s="2">
        <v>42.86</v>
      </c>
      <c r="G177" s="2">
        <v>7.1</v>
      </c>
      <c r="H177" s="2">
        <v>6.58</v>
      </c>
      <c r="I177" s="2">
        <v>164</v>
      </c>
      <c r="J177" s="2">
        <v>0.94199999999999995</v>
      </c>
      <c r="K177" s="2">
        <v>0.80500000000000005</v>
      </c>
    </row>
    <row r="178" spans="1:11" x14ac:dyDescent="0.25">
      <c r="A178" s="20">
        <v>0</v>
      </c>
      <c r="B178" s="2" t="s">
        <v>344</v>
      </c>
      <c r="C178" s="2" t="s">
        <v>345</v>
      </c>
      <c r="D178" s="2">
        <v>0.23200000000000001</v>
      </c>
      <c r="E178" s="2">
        <v>4.4000000000000004</v>
      </c>
      <c r="F178" s="2">
        <v>11.88</v>
      </c>
      <c r="G178" s="2">
        <v>2.2000000000000002</v>
      </c>
      <c r="H178" s="2">
        <v>2.64</v>
      </c>
      <c r="I178" s="2">
        <v>92</v>
      </c>
      <c r="J178" s="2">
        <v>2.3180000000000001</v>
      </c>
      <c r="K178" s="2">
        <v>0.39500000000000002</v>
      </c>
    </row>
    <row r="179" spans="1:11" x14ac:dyDescent="0.25">
      <c r="A179" s="20">
        <v>0</v>
      </c>
      <c r="B179" s="2" t="s">
        <v>346</v>
      </c>
      <c r="C179" s="2" t="s">
        <v>347</v>
      </c>
      <c r="D179" s="2">
        <v>17.027000000000001</v>
      </c>
      <c r="E179" s="2">
        <v>23.54</v>
      </c>
      <c r="F179" s="2">
        <v>1.75</v>
      </c>
      <c r="G179" s="2">
        <v>0</v>
      </c>
      <c r="H179" s="2">
        <v>1.23</v>
      </c>
      <c r="I179" s="2">
        <v>338</v>
      </c>
      <c r="J179" s="2">
        <v>7.8710000000000004</v>
      </c>
      <c r="K179" s="2">
        <v>0.86399999999999999</v>
      </c>
    </row>
    <row r="180" spans="1:11" x14ac:dyDescent="0.25">
      <c r="A180" s="20">
        <v>0</v>
      </c>
      <c r="B180" s="2" t="s">
        <v>348</v>
      </c>
      <c r="C180" s="2" t="s">
        <v>349</v>
      </c>
      <c r="D180" s="2">
        <v>12.930999999999999</v>
      </c>
      <c r="E180" s="2">
        <v>16.09</v>
      </c>
      <c r="F180" s="2">
        <v>8.85</v>
      </c>
      <c r="G180" s="2">
        <v>0</v>
      </c>
      <c r="H180" s="2">
        <v>6.24</v>
      </c>
      <c r="I180" s="2">
        <v>1279</v>
      </c>
      <c r="J180" s="2">
        <v>5.6550000000000002</v>
      </c>
      <c r="K180" s="2">
        <v>0.99</v>
      </c>
    </row>
    <row r="181" spans="1:11" x14ac:dyDescent="0.25">
      <c r="A181" s="20">
        <v>0</v>
      </c>
      <c r="B181" s="2" t="s">
        <v>350</v>
      </c>
      <c r="C181" s="2" t="s">
        <v>351</v>
      </c>
      <c r="D181" s="2">
        <v>15.057</v>
      </c>
      <c r="E181" s="2">
        <v>16.86</v>
      </c>
      <c r="F181" s="2">
        <v>8.56</v>
      </c>
      <c r="G181" s="2">
        <v>0</v>
      </c>
      <c r="H181" s="2">
        <v>5.59</v>
      </c>
      <c r="I181" s="2">
        <v>1441</v>
      </c>
      <c r="J181" s="2">
        <v>6.8460000000000001</v>
      </c>
      <c r="K181" s="2">
        <v>1.0489999999999999</v>
      </c>
    </row>
    <row r="182" spans="1:11" x14ac:dyDescent="0.25">
      <c r="A182" s="20">
        <v>0</v>
      </c>
      <c r="B182" s="2" t="s">
        <v>352</v>
      </c>
      <c r="C182" s="2" t="s">
        <v>353</v>
      </c>
      <c r="D182" s="2">
        <v>3.1779999999999999</v>
      </c>
      <c r="E182" s="2">
        <v>10.97</v>
      </c>
      <c r="F182" s="2">
        <v>0.83</v>
      </c>
      <c r="G182" s="2">
        <v>0</v>
      </c>
      <c r="H182" s="2">
        <v>7.0000000000000007E-2</v>
      </c>
      <c r="I182" s="2">
        <v>3663</v>
      </c>
      <c r="J182" s="2">
        <v>4</v>
      </c>
      <c r="K182" s="2">
        <v>1.627</v>
      </c>
    </row>
    <row r="183" spans="1:11" x14ac:dyDescent="0.25">
      <c r="A183" s="20">
        <v>3.7633239999999998E-2</v>
      </c>
      <c r="B183" s="2" t="s">
        <v>354</v>
      </c>
      <c r="C183" s="2" t="s">
        <v>355</v>
      </c>
      <c r="D183" s="2">
        <v>0.11700000000000001</v>
      </c>
      <c r="E183" s="2">
        <v>10.19</v>
      </c>
      <c r="F183" s="2">
        <v>3.6</v>
      </c>
      <c r="G183" s="2">
        <v>0</v>
      </c>
      <c r="H183" s="2">
        <v>3.24</v>
      </c>
      <c r="I183" s="2">
        <v>36</v>
      </c>
      <c r="J183" s="2">
        <v>5.2999999999999999E-2</v>
      </c>
      <c r="K183" s="2">
        <v>1.2E-2</v>
      </c>
    </row>
    <row r="184" spans="1:11" x14ac:dyDescent="0.25">
      <c r="A184" s="20">
        <v>0</v>
      </c>
      <c r="B184" s="2" t="s">
        <v>356</v>
      </c>
      <c r="C184" s="2" t="s">
        <v>357</v>
      </c>
      <c r="D184" s="2">
        <v>0.11799999999999999</v>
      </c>
      <c r="E184" s="2">
        <v>84.08</v>
      </c>
      <c r="F184" s="2">
        <v>4.51</v>
      </c>
      <c r="G184" s="2">
        <v>0</v>
      </c>
      <c r="H184" s="2">
        <v>0</v>
      </c>
      <c r="I184" s="2">
        <v>1299</v>
      </c>
      <c r="J184" s="2">
        <v>0.125</v>
      </c>
      <c r="K184" s="2">
        <v>4.4999999999999998E-2</v>
      </c>
    </row>
    <row r="185" spans="1:11" x14ac:dyDescent="0.25">
      <c r="A185" s="20">
        <v>0</v>
      </c>
      <c r="B185" s="2" t="s">
        <v>358</v>
      </c>
      <c r="C185" s="2" t="s">
        <v>359</v>
      </c>
      <c r="D185" s="2">
        <v>5.6470000000000002</v>
      </c>
      <c r="E185" s="2">
        <v>13.41</v>
      </c>
      <c r="F185" s="2">
        <v>10.71</v>
      </c>
      <c r="G185" s="2">
        <v>0</v>
      </c>
      <c r="H185" s="2">
        <v>7.06</v>
      </c>
      <c r="I185" s="2">
        <v>1102</v>
      </c>
      <c r="J185" s="2">
        <v>2.4580000000000002</v>
      </c>
      <c r="K185" s="2">
        <v>0.41499999999999998</v>
      </c>
    </row>
    <row r="186" spans="1:11" x14ac:dyDescent="0.25">
      <c r="A186" s="20">
        <v>0</v>
      </c>
      <c r="B186" s="2" t="s">
        <v>360</v>
      </c>
      <c r="C186" s="2" t="s">
        <v>361</v>
      </c>
      <c r="D186" s="2">
        <v>12.602</v>
      </c>
      <c r="E186" s="2">
        <v>27.35</v>
      </c>
      <c r="F186" s="2">
        <v>4.0599999999999996</v>
      </c>
      <c r="G186" s="2">
        <v>0</v>
      </c>
      <c r="H186" s="2">
        <v>0.26</v>
      </c>
      <c r="I186" s="2">
        <v>628</v>
      </c>
      <c r="J186" s="2">
        <v>5.3040000000000003</v>
      </c>
      <c r="K186" s="2">
        <v>0.89300000000000002</v>
      </c>
    </row>
    <row r="187" spans="1:11" x14ac:dyDescent="0.25">
      <c r="A187" s="20">
        <v>0</v>
      </c>
      <c r="B187" s="2" t="s">
        <v>362</v>
      </c>
      <c r="C187" s="2" t="s">
        <v>363</v>
      </c>
      <c r="D187" s="2">
        <v>2.3490000000000002</v>
      </c>
      <c r="E187" s="2">
        <v>3.36</v>
      </c>
      <c r="F187" s="2">
        <v>23.15</v>
      </c>
      <c r="G187" s="2">
        <v>0</v>
      </c>
      <c r="H187" s="2">
        <v>19.46</v>
      </c>
      <c r="I187" s="2">
        <v>64</v>
      </c>
      <c r="J187" s="2">
        <v>1.0329999999999999</v>
      </c>
      <c r="K187" s="2">
        <v>0.125</v>
      </c>
    </row>
    <row r="188" spans="1:11" x14ac:dyDescent="0.25">
      <c r="A188" s="20">
        <v>0</v>
      </c>
      <c r="B188" s="2" t="s">
        <v>364</v>
      </c>
      <c r="C188" s="2" t="s">
        <v>365</v>
      </c>
      <c r="D188" s="2">
        <v>17.895</v>
      </c>
      <c r="E188" s="2">
        <v>2.11</v>
      </c>
      <c r="F188" s="2">
        <v>37.119999999999997</v>
      </c>
      <c r="G188" s="2">
        <v>1.1000000000000001</v>
      </c>
      <c r="H188" s="2">
        <v>21.05</v>
      </c>
      <c r="I188" s="2">
        <v>84</v>
      </c>
      <c r="J188" s="2">
        <v>1.173</v>
      </c>
      <c r="K188" s="2">
        <v>2.2080000000000002</v>
      </c>
    </row>
    <row r="189" spans="1:11" x14ac:dyDescent="0.25">
      <c r="A189" s="20">
        <v>0</v>
      </c>
      <c r="B189" s="2" t="s">
        <v>366</v>
      </c>
      <c r="C189" s="2" t="s">
        <v>367</v>
      </c>
      <c r="D189" s="2">
        <v>0</v>
      </c>
      <c r="E189" s="2">
        <v>32.14</v>
      </c>
      <c r="F189" s="2">
        <v>7.14</v>
      </c>
      <c r="G189" s="2">
        <v>0</v>
      </c>
      <c r="H189" s="2">
        <v>0</v>
      </c>
      <c r="I189" s="2">
        <v>1000</v>
      </c>
      <c r="J189" s="2">
        <v>0</v>
      </c>
      <c r="K189" s="2">
        <v>0</v>
      </c>
    </row>
    <row r="190" spans="1:11" x14ac:dyDescent="0.25">
      <c r="A190" s="20">
        <v>0</v>
      </c>
      <c r="B190" s="2" t="s">
        <v>368</v>
      </c>
      <c r="C190" s="2" t="s">
        <v>369</v>
      </c>
      <c r="D190" s="2">
        <v>11.472</v>
      </c>
      <c r="E190" s="2">
        <v>23.63</v>
      </c>
      <c r="F190" s="2">
        <v>8.06</v>
      </c>
      <c r="G190" s="2">
        <v>0</v>
      </c>
      <c r="H190" s="2">
        <v>2.2400000000000002</v>
      </c>
      <c r="I190" s="2">
        <v>682</v>
      </c>
      <c r="J190" s="2">
        <v>5.1040000000000001</v>
      </c>
      <c r="K190" s="2">
        <v>0.86099999999999999</v>
      </c>
    </row>
    <row r="191" spans="1:11" x14ac:dyDescent="0.25">
      <c r="A191" s="20">
        <v>0</v>
      </c>
      <c r="B191" s="2" t="s">
        <v>370</v>
      </c>
      <c r="C191" s="2" t="s">
        <v>371</v>
      </c>
      <c r="D191" s="2">
        <v>0.17799999999999999</v>
      </c>
      <c r="E191" s="2">
        <v>9.07</v>
      </c>
      <c r="F191" s="2">
        <v>8.09</v>
      </c>
      <c r="G191" s="2">
        <v>0.3</v>
      </c>
      <c r="H191" s="2">
        <v>7.61</v>
      </c>
      <c r="I191" s="2">
        <v>36</v>
      </c>
      <c r="J191" s="2">
        <v>0.06</v>
      </c>
      <c r="K191" s="2">
        <v>1.0999999999999999E-2</v>
      </c>
    </row>
    <row r="192" spans="1:11" x14ac:dyDescent="0.25">
      <c r="A192" s="20">
        <v>0</v>
      </c>
      <c r="B192" s="2" t="s">
        <v>372</v>
      </c>
      <c r="C192" s="2" t="s">
        <v>373</v>
      </c>
      <c r="D192" s="2">
        <v>1.8320000000000001</v>
      </c>
      <c r="E192" s="2">
        <v>8.25</v>
      </c>
      <c r="F192" s="2">
        <v>11.67</v>
      </c>
      <c r="G192" s="2">
        <v>1</v>
      </c>
      <c r="H192" s="2">
        <v>11</v>
      </c>
      <c r="I192" s="2">
        <v>34</v>
      </c>
      <c r="J192" s="2">
        <v>0.745</v>
      </c>
      <c r="K192" s="2">
        <v>0.13100000000000001</v>
      </c>
    </row>
    <row r="193" spans="1:11" x14ac:dyDescent="0.25">
      <c r="A193" s="20">
        <v>0</v>
      </c>
      <c r="B193" s="2" t="s">
        <v>374</v>
      </c>
      <c r="C193" s="2" t="s">
        <v>375</v>
      </c>
      <c r="D193" s="2">
        <v>0.11</v>
      </c>
      <c r="E193" s="2">
        <v>8.0299999999999994</v>
      </c>
      <c r="F193" s="2">
        <v>12.53</v>
      </c>
      <c r="G193" s="2">
        <v>0.4</v>
      </c>
      <c r="H193" s="2">
        <v>11.63</v>
      </c>
      <c r="I193" s="2">
        <v>33</v>
      </c>
      <c r="J193" s="2">
        <v>2.4E-2</v>
      </c>
      <c r="K193" s="2">
        <v>8.0000000000000002E-3</v>
      </c>
    </row>
    <row r="194" spans="1:11" x14ac:dyDescent="0.25">
      <c r="A194" s="20">
        <v>0</v>
      </c>
      <c r="B194" s="2" t="s">
        <v>376</v>
      </c>
      <c r="C194" s="2" t="s">
        <v>377</v>
      </c>
      <c r="D194" s="2">
        <v>0.10299999999999999</v>
      </c>
      <c r="E194" s="2">
        <v>8.0299999999999994</v>
      </c>
      <c r="F194" s="2">
        <v>11.62</v>
      </c>
      <c r="G194" s="2">
        <v>0.7</v>
      </c>
      <c r="H194" s="2">
        <v>10.86</v>
      </c>
      <c r="I194" s="2">
        <v>33</v>
      </c>
      <c r="J194" s="2">
        <v>2.4E-2</v>
      </c>
      <c r="K194" s="2">
        <v>0.01</v>
      </c>
    </row>
    <row r="195" spans="1:11" x14ac:dyDescent="0.25">
      <c r="A195" s="20">
        <v>0</v>
      </c>
      <c r="B195" s="2" t="s">
        <v>378</v>
      </c>
      <c r="C195" s="2" t="s">
        <v>379</v>
      </c>
      <c r="D195" s="2">
        <v>1.599</v>
      </c>
      <c r="E195" s="2">
        <v>8.17</v>
      </c>
      <c r="F195" s="2">
        <v>11.89</v>
      </c>
      <c r="G195" s="2">
        <v>1</v>
      </c>
      <c r="H195" s="2">
        <v>11.23</v>
      </c>
      <c r="I195" s="2">
        <v>33</v>
      </c>
      <c r="J195" s="2">
        <v>0.65</v>
      </c>
      <c r="K195" s="2">
        <v>0.113</v>
      </c>
    </row>
    <row r="196" spans="1:11" x14ac:dyDescent="0.25">
      <c r="A196" s="20">
        <v>0</v>
      </c>
      <c r="B196" s="2" t="s">
        <v>380</v>
      </c>
      <c r="C196" s="2" t="s">
        <v>381</v>
      </c>
      <c r="D196" s="2">
        <v>0.105</v>
      </c>
      <c r="E196" s="2">
        <v>8.0500000000000007</v>
      </c>
      <c r="F196" s="2">
        <v>12.07</v>
      </c>
      <c r="G196" s="2">
        <v>0.6</v>
      </c>
      <c r="H196" s="2">
        <v>11.27</v>
      </c>
      <c r="I196" s="2">
        <v>33</v>
      </c>
      <c r="J196" s="2">
        <v>2.5999999999999999E-2</v>
      </c>
      <c r="K196" s="2">
        <v>1.4E-2</v>
      </c>
    </row>
    <row r="197" spans="1:11" x14ac:dyDescent="0.25">
      <c r="A197" s="20">
        <v>0</v>
      </c>
      <c r="B197" s="2" t="s">
        <v>382</v>
      </c>
      <c r="C197" s="2" t="s">
        <v>383</v>
      </c>
      <c r="D197" s="2">
        <v>0.13300000000000001</v>
      </c>
      <c r="E197" s="2">
        <v>8.64</v>
      </c>
      <c r="F197" s="2">
        <v>10.37</v>
      </c>
      <c r="G197" s="2">
        <v>0.5</v>
      </c>
      <c r="H197" s="2">
        <v>9.5399999999999991</v>
      </c>
      <c r="I197" s="2">
        <v>34</v>
      </c>
      <c r="J197" s="2">
        <v>3.9E-2</v>
      </c>
      <c r="K197" s="2">
        <v>8.9999999999999993E-3</v>
      </c>
    </row>
    <row r="198" spans="1:11" x14ac:dyDescent="0.25">
      <c r="A198" s="20">
        <v>0</v>
      </c>
      <c r="B198" s="2" t="s">
        <v>384</v>
      </c>
      <c r="C198" s="2" t="s">
        <v>385</v>
      </c>
      <c r="D198" s="2">
        <v>1.23</v>
      </c>
      <c r="E198" s="2">
        <v>9.9499999999999993</v>
      </c>
      <c r="F198" s="2">
        <v>3.94</v>
      </c>
      <c r="G198" s="2">
        <v>0</v>
      </c>
      <c r="H198" s="2">
        <v>3.56</v>
      </c>
      <c r="I198" s="2">
        <v>34</v>
      </c>
      <c r="J198" s="2">
        <v>0.48599999999999999</v>
      </c>
      <c r="K198" s="2">
        <v>7.5999999999999998E-2</v>
      </c>
    </row>
    <row r="199" spans="1:11" x14ac:dyDescent="0.25">
      <c r="A199" s="20">
        <v>0</v>
      </c>
      <c r="B199" s="2" t="s">
        <v>386</v>
      </c>
      <c r="C199" s="2" t="s">
        <v>387</v>
      </c>
      <c r="D199" s="2">
        <v>0.65800000000000003</v>
      </c>
      <c r="E199" s="2">
        <v>3.79</v>
      </c>
      <c r="F199" s="2">
        <v>4.4800000000000004</v>
      </c>
      <c r="G199" s="2">
        <v>0</v>
      </c>
      <c r="H199" s="2">
        <v>4.6100000000000003</v>
      </c>
      <c r="I199" s="2">
        <v>40</v>
      </c>
      <c r="J199" s="2">
        <v>0.31</v>
      </c>
      <c r="K199" s="2">
        <v>5.2999999999999999E-2</v>
      </c>
    </row>
    <row r="200" spans="1:11" x14ac:dyDescent="0.25">
      <c r="A200" s="20">
        <v>0</v>
      </c>
      <c r="B200" s="2" t="s">
        <v>388</v>
      </c>
      <c r="C200" s="2" t="s">
        <v>389</v>
      </c>
      <c r="D200" s="2">
        <v>0.53300000000000003</v>
      </c>
      <c r="E200" s="2">
        <v>3.39</v>
      </c>
      <c r="F200" s="2">
        <v>10.199999999999999</v>
      </c>
      <c r="G200" s="2">
        <v>0</v>
      </c>
      <c r="H200" s="2">
        <v>9.2100000000000009</v>
      </c>
      <c r="I200" s="2">
        <v>37</v>
      </c>
      <c r="J200" s="2">
        <v>0.26200000000000001</v>
      </c>
      <c r="K200" s="2">
        <v>4.1000000000000002E-2</v>
      </c>
    </row>
    <row r="201" spans="1:11" x14ac:dyDescent="0.25">
      <c r="A201" s="20">
        <v>0</v>
      </c>
      <c r="B201" s="2" t="s">
        <v>390</v>
      </c>
      <c r="C201" s="2" t="s">
        <v>391</v>
      </c>
      <c r="D201" s="2">
        <v>2.395</v>
      </c>
      <c r="E201" s="2">
        <v>9</v>
      </c>
      <c r="F201" s="2">
        <v>3.98</v>
      </c>
      <c r="G201" s="2">
        <v>0</v>
      </c>
      <c r="H201" s="2">
        <v>4</v>
      </c>
      <c r="I201" s="2">
        <v>35</v>
      </c>
      <c r="J201" s="2">
        <v>2.1360000000000001</v>
      </c>
      <c r="K201" s="2">
        <v>0.46899999999999997</v>
      </c>
    </row>
    <row r="202" spans="1:11" x14ac:dyDescent="0.25">
      <c r="A202" s="20">
        <v>0</v>
      </c>
      <c r="B202" s="2" t="s">
        <v>392</v>
      </c>
      <c r="C202" s="2" t="s">
        <v>393</v>
      </c>
      <c r="D202" s="2">
        <v>1.599</v>
      </c>
      <c r="E202" s="2">
        <v>7.33</v>
      </c>
      <c r="F202" s="2">
        <v>12.29</v>
      </c>
      <c r="G202" s="2">
        <v>0</v>
      </c>
      <c r="H202" s="2">
        <v>12</v>
      </c>
      <c r="I202" s="2">
        <v>37</v>
      </c>
      <c r="J202" s="2">
        <v>1.2649999999999999</v>
      </c>
      <c r="K202" s="2">
        <v>0.219</v>
      </c>
    </row>
    <row r="203" spans="1:11" x14ac:dyDescent="0.25">
      <c r="A203" s="20">
        <v>0</v>
      </c>
      <c r="B203" s="2" t="s">
        <v>394</v>
      </c>
      <c r="C203" s="2" t="s">
        <v>395</v>
      </c>
      <c r="D203" s="2">
        <v>0</v>
      </c>
      <c r="E203" s="2">
        <v>2.94</v>
      </c>
      <c r="F203" s="2">
        <v>17.04</v>
      </c>
      <c r="G203" s="2">
        <v>0</v>
      </c>
      <c r="H203" s="2">
        <v>5.88</v>
      </c>
      <c r="I203" s="2">
        <v>47</v>
      </c>
      <c r="J203" s="2">
        <v>0</v>
      </c>
      <c r="K203" s="2">
        <v>0</v>
      </c>
    </row>
    <row r="204" spans="1:11" x14ac:dyDescent="0.25">
      <c r="A204" s="20">
        <v>0</v>
      </c>
      <c r="B204" s="2" t="s">
        <v>396</v>
      </c>
      <c r="C204" s="2" t="s">
        <v>397</v>
      </c>
      <c r="D204" s="2">
        <v>1.4650000000000001</v>
      </c>
      <c r="E204" s="2">
        <v>8.64</v>
      </c>
      <c r="F204" s="2">
        <v>9.5399999999999991</v>
      </c>
      <c r="G204" s="2">
        <v>0</v>
      </c>
      <c r="H204" s="2">
        <v>9.5399999999999991</v>
      </c>
      <c r="I204" s="2">
        <v>40</v>
      </c>
      <c r="J204" s="2">
        <v>0.84599999999999997</v>
      </c>
      <c r="K204" s="2">
        <v>0.20300000000000001</v>
      </c>
    </row>
    <row r="205" spans="1:11" x14ac:dyDescent="0.25">
      <c r="A205" s="20">
        <v>0</v>
      </c>
      <c r="B205" s="2" t="s">
        <v>398</v>
      </c>
      <c r="C205" s="2" t="s">
        <v>399</v>
      </c>
      <c r="D205" s="2">
        <v>15.904</v>
      </c>
      <c r="E205" s="2">
        <v>5.62</v>
      </c>
      <c r="F205" s="2">
        <v>11.89</v>
      </c>
      <c r="G205" s="2">
        <v>1.1000000000000001</v>
      </c>
      <c r="H205" s="2">
        <v>10.8</v>
      </c>
      <c r="I205" s="2">
        <v>56</v>
      </c>
      <c r="J205" s="2">
        <v>6.2080000000000002</v>
      </c>
      <c r="K205" s="2">
        <v>1.879</v>
      </c>
    </row>
    <row r="206" spans="1:11" x14ac:dyDescent="0.25">
      <c r="A206" s="20">
        <v>0</v>
      </c>
      <c r="B206" s="2" t="s">
        <v>400</v>
      </c>
      <c r="C206" s="2" t="s">
        <v>401</v>
      </c>
      <c r="D206" s="2">
        <v>2.7170000000000001</v>
      </c>
      <c r="E206" s="2">
        <v>3</v>
      </c>
      <c r="F206" s="2">
        <v>28.89</v>
      </c>
      <c r="G206" s="2">
        <v>1</v>
      </c>
      <c r="H206" s="2">
        <v>21.26</v>
      </c>
      <c r="I206" s="2">
        <v>115</v>
      </c>
      <c r="J206" s="2">
        <v>1.7749999999999999</v>
      </c>
      <c r="K206" s="2">
        <v>0.747</v>
      </c>
    </row>
    <row r="207" spans="1:11" x14ac:dyDescent="0.25">
      <c r="A207" s="20">
        <v>0</v>
      </c>
      <c r="B207" s="2" t="s">
        <v>402</v>
      </c>
      <c r="C207" s="2" t="s">
        <v>403</v>
      </c>
      <c r="D207" s="2">
        <v>1.8129999999999999</v>
      </c>
      <c r="E207" s="2">
        <v>1.54</v>
      </c>
      <c r="F207" s="2">
        <v>32.75</v>
      </c>
      <c r="G207" s="2">
        <v>0</v>
      </c>
      <c r="H207" s="2">
        <v>18.46</v>
      </c>
      <c r="I207" s="2">
        <v>46</v>
      </c>
      <c r="J207" s="2">
        <v>0.81899999999999995</v>
      </c>
      <c r="K207" s="2">
        <v>0.13700000000000001</v>
      </c>
    </row>
    <row r="208" spans="1:11" x14ac:dyDescent="0.25">
      <c r="A208" s="20">
        <v>0</v>
      </c>
      <c r="B208" s="2" t="s">
        <v>404</v>
      </c>
      <c r="C208" s="2" t="s">
        <v>405</v>
      </c>
      <c r="D208" s="2">
        <v>3.2759999999999998</v>
      </c>
      <c r="E208" s="2">
        <v>3.33</v>
      </c>
      <c r="F208" s="2">
        <v>3.33</v>
      </c>
      <c r="G208" s="2">
        <v>0</v>
      </c>
      <c r="H208" s="2">
        <v>3.33</v>
      </c>
      <c r="I208" s="2">
        <v>50</v>
      </c>
      <c r="J208" s="2">
        <v>1.526</v>
      </c>
      <c r="K208" s="2">
        <v>0.25700000000000001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EE54-F3EE-414D-BA71-4387D5CEF570}">
  <sheetPr codeName="Sheet28"/>
  <dimension ref="A1:L209"/>
  <sheetViews>
    <sheetView workbookViewId="0">
      <selection activeCell="B11" sqref="B11"/>
    </sheetView>
  </sheetViews>
  <sheetFormatPr defaultColWidth="11" defaultRowHeight="15.75" x14ac:dyDescent="0.25"/>
  <cols>
    <col min="3" max="3" width="41.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01001</v>
      </c>
      <c r="C3" s="10" t="str" cm="1">
        <f t="array" ref="C3">INDEX($B$11:$K$208, $A$3, C1)</f>
        <v>BUTTER,WITH SALT</v>
      </c>
      <c r="D3" s="10" cm="1">
        <f t="array" ref="D3">INDEX($B$11:$K$74, $A$3, D1)</f>
        <v>51.368000000000002</v>
      </c>
      <c r="E3" s="10" cm="1">
        <f t="array" ref="E3">INDEX($B$11:$K$74, $A$3, E1)</f>
        <v>0.85</v>
      </c>
      <c r="F3" s="10" cm="1">
        <f t="array" ref="F3">INDEX($B$11:$K$74, $A$3, F1)</f>
        <v>0.06</v>
      </c>
      <c r="G3" s="10" cm="1">
        <f t="array" ref="G3">INDEX($B$11:$K$74, $A$3, G1)</f>
        <v>0</v>
      </c>
      <c r="H3" s="10" cm="1">
        <f t="array" ref="H3">INDEX($B$11:$K$74, $A$3, H1)</f>
        <v>0.06</v>
      </c>
      <c r="I3" s="10" cm="1">
        <f t="array" ref="I3">INDEX($B$11:$K$74, $A$3, I1)</f>
        <v>643</v>
      </c>
      <c r="J3" s="10" cm="1">
        <f t="array" ref="J3">INDEX($B$11:$K$74, $A$3, J1)</f>
        <v>21.021000000000001</v>
      </c>
      <c r="K3" s="10" cm="1">
        <f t="array" ref="K3">INDEX($B$11:$K$74, $A$3, K1)</f>
        <v>3.0430000000000001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3.33</v>
      </c>
      <c r="I4" s="12">
        <f t="shared" si="0"/>
        <v>50</v>
      </c>
      <c r="J4" s="12">
        <f t="shared" si="0"/>
        <v>1.526</v>
      </c>
      <c r="K4" s="10">
        <f t="shared" si="0"/>
        <v>0.25700000000000001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1.7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42.042000000000002</v>
      </c>
      <c r="K6" s="10">
        <f>A7*K3</f>
        <v>6.0860000000000003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55.5</v>
      </c>
      <c r="I7" s="10">
        <f t="shared" si="1"/>
        <v>7.7760497667185069E-2</v>
      </c>
      <c r="J7" s="10">
        <f t="shared" si="1"/>
        <v>7.2594072594072592E-2</v>
      </c>
      <c r="K7" s="10">
        <f>K4/K3</f>
        <v>8.4456128820243184E-2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1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A11">
        <v>0</v>
      </c>
      <c r="B11" s="2" t="s">
        <v>10</v>
      </c>
      <c r="C11" s="2" t="s">
        <v>11</v>
      </c>
      <c r="D11" s="16">
        <v>51.368000000000002</v>
      </c>
      <c r="E11" s="3">
        <v>0.85</v>
      </c>
      <c r="F11" s="3">
        <v>0.06</v>
      </c>
      <c r="G11" s="3">
        <v>0</v>
      </c>
      <c r="H11" s="3">
        <v>0.06</v>
      </c>
      <c r="I11" s="3">
        <v>643</v>
      </c>
      <c r="J11" s="3">
        <v>21.021000000000001</v>
      </c>
      <c r="K11" s="3">
        <v>3.0430000000000001</v>
      </c>
    </row>
    <row r="12" spans="1:11" x14ac:dyDescent="0.25">
      <c r="A12">
        <v>0</v>
      </c>
      <c r="B12" s="2" t="s">
        <v>12</v>
      </c>
      <c r="C12" s="2" t="s">
        <v>13</v>
      </c>
      <c r="D12" s="17">
        <v>45.39</v>
      </c>
      <c r="E12" s="3">
        <v>0.49</v>
      </c>
      <c r="F12" s="3">
        <v>2.87</v>
      </c>
      <c r="G12" s="3">
        <v>0</v>
      </c>
      <c r="H12" s="3">
        <v>0.06</v>
      </c>
      <c r="I12" s="3">
        <v>583</v>
      </c>
      <c r="J12" s="3">
        <v>19.873999999999999</v>
      </c>
      <c r="K12" s="3">
        <v>3.331</v>
      </c>
    </row>
    <row r="13" spans="1:11" x14ac:dyDescent="0.25">
      <c r="A13">
        <v>0</v>
      </c>
      <c r="B13" s="2" t="s">
        <v>14</v>
      </c>
      <c r="C13" s="2" t="s">
        <v>15</v>
      </c>
      <c r="D13" s="17">
        <v>61.923999999999999</v>
      </c>
      <c r="E13" s="3">
        <v>0.28000000000000003</v>
      </c>
      <c r="F13" s="3">
        <v>0</v>
      </c>
      <c r="G13" s="3">
        <v>0</v>
      </c>
      <c r="H13" s="3">
        <v>0</v>
      </c>
      <c r="I13" s="3">
        <v>2</v>
      </c>
      <c r="J13" s="3">
        <v>28.731999999999999</v>
      </c>
      <c r="K13" s="3">
        <v>3.694</v>
      </c>
    </row>
    <row r="14" spans="1:11" x14ac:dyDescent="0.25">
      <c r="A14">
        <v>0</v>
      </c>
      <c r="B14" s="2" t="s">
        <v>16</v>
      </c>
      <c r="C14" s="2" t="s">
        <v>17</v>
      </c>
      <c r="D14" s="17">
        <v>18.669</v>
      </c>
      <c r="E14" s="3">
        <v>21.4</v>
      </c>
      <c r="F14" s="3">
        <v>2.34</v>
      </c>
      <c r="G14" s="3">
        <v>0</v>
      </c>
      <c r="H14" s="3">
        <v>0.5</v>
      </c>
      <c r="I14" s="3">
        <v>1146</v>
      </c>
      <c r="J14" s="3">
        <v>7.7779999999999996</v>
      </c>
      <c r="K14" s="3">
        <v>0.8</v>
      </c>
    </row>
    <row r="15" spans="1:11" x14ac:dyDescent="0.25">
      <c r="A15">
        <v>0</v>
      </c>
      <c r="B15" s="2" t="s">
        <v>18</v>
      </c>
      <c r="C15" s="2" t="s">
        <v>19</v>
      </c>
      <c r="D15" s="17">
        <v>17.41</v>
      </c>
      <c r="E15" s="3">
        <v>20.75</v>
      </c>
      <c r="F15" s="3">
        <v>0.45</v>
      </c>
      <c r="G15" s="3">
        <v>0</v>
      </c>
      <c r="H15" s="21">
        <v>0.45</v>
      </c>
      <c r="I15" s="3">
        <v>629</v>
      </c>
      <c r="J15" s="3">
        <v>8.0129999999999999</v>
      </c>
      <c r="K15" s="3">
        <v>0.82599999999999996</v>
      </c>
    </row>
    <row r="16" spans="1:11" x14ac:dyDescent="0.25">
      <c r="A16">
        <v>0</v>
      </c>
      <c r="B16" s="2" t="s">
        <v>20</v>
      </c>
      <c r="C16" s="2" t="s">
        <v>21</v>
      </c>
      <c r="D16" s="17">
        <v>15.259</v>
      </c>
      <c r="E16" s="3">
        <v>19.8</v>
      </c>
      <c r="F16" s="3">
        <v>0.46</v>
      </c>
      <c r="G16" s="3">
        <v>0</v>
      </c>
      <c r="H16" s="8">
        <v>0.46</v>
      </c>
      <c r="I16" s="3">
        <v>842</v>
      </c>
      <c r="J16" s="3">
        <v>7.0229999999999997</v>
      </c>
      <c r="K16" s="3">
        <v>0.72399999999999998</v>
      </c>
    </row>
    <row r="17" spans="1:11" x14ac:dyDescent="0.25">
      <c r="A17">
        <v>0</v>
      </c>
      <c r="B17" s="2" t="s">
        <v>22</v>
      </c>
      <c r="C17" s="2" t="s">
        <v>23</v>
      </c>
      <c r="D17" s="17">
        <v>18.584</v>
      </c>
      <c r="E17" s="3">
        <v>25.18</v>
      </c>
      <c r="F17" s="3">
        <v>3.06</v>
      </c>
      <c r="G17" s="3">
        <v>0</v>
      </c>
      <c r="H17" s="3"/>
      <c r="I17" s="3">
        <v>690</v>
      </c>
      <c r="J17" s="3">
        <v>8.2750000000000004</v>
      </c>
      <c r="K17" s="3">
        <v>0.83</v>
      </c>
    </row>
    <row r="18" spans="1:11" x14ac:dyDescent="0.25">
      <c r="A18">
        <v>0</v>
      </c>
      <c r="B18" s="2" t="s">
        <v>24</v>
      </c>
      <c r="C18" s="2" t="s">
        <v>25</v>
      </c>
      <c r="D18" s="17">
        <v>18.867000000000001</v>
      </c>
      <c r="E18" s="3">
        <v>22.87</v>
      </c>
      <c r="F18" s="3">
        <v>3.09</v>
      </c>
      <c r="G18" s="3">
        <v>0</v>
      </c>
      <c r="H18" s="3">
        <v>0.48</v>
      </c>
      <c r="I18" s="3">
        <v>653</v>
      </c>
      <c r="J18" s="3">
        <v>9.2460000000000004</v>
      </c>
      <c r="K18" s="3">
        <v>1.421</v>
      </c>
    </row>
    <row r="19" spans="1:11" x14ac:dyDescent="0.25">
      <c r="A19">
        <v>0</v>
      </c>
      <c r="B19" s="2" t="s">
        <v>26</v>
      </c>
      <c r="C19" s="2" t="s">
        <v>27</v>
      </c>
      <c r="D19" s="17">
        <v>1.718</v>
      </c>
      <c r="E19" s="3">
        <v>11.12</v>
      </c>
      <c r="F19" s="3">
        <v>3.38</v>
      </c>
      <c r="G19" s="3">
        <v>0</v>
      </c>
      <c r="H19" s="3">
        <v>2.67</v>
      </c>
      <c r="I19" s="3">
        <v>364</v>
      </c>
      <c r="J19" s="3">
        <v>0.77800000000000002</v>
      </c>
      <c r="K19" s="3">
        <v>0.123</v>
      </c>
    </row>
    <row r="20" spans="1:11" x14ac:dyDescent="0.25">
      <c r="A20">
        <v>0</v>
      </c>
      <c r="B20" s="2" t="s">
        <v>28</v>
      </c>
      <c r="C20" s="2" t="s">
        <v>29</v>
      </c>
      <c r="D20" s="17">
        <v>2.3109999999999999</v>
      </c>
      <c r="E20" s="3">
        <v>10.69</v>
      </c>
      <c r="F20" s="3">
        <v>4.6100000000000003</v>
      </c>
      <c r="G20" s="3">
        <v>0.2</v>
      </c>
      <c r="H20" s="8">
        <v>2.38</v>
      </c>
      <c r="I20" s="3">
        <v>344</v>
      </c>
      <c r="J20" s="3">
        <v>1.036</v>
      </c>
      <c r="K20" s="3">
        <v>0.124</v>
      </c>
    </row>
    <row r="21" spans="1:11" x14ac:dyDescent="0.25">
      <c r="A21">
        <v>0</v>
      </c>
      <c r="B21" s="2" t="s">
        <v>30</v>
      </c>
      <c r="C21" s="2" t="s">
        <v>31</v>
      </c>
      <c r="D21" s="17">
        <v>0.16900000000000001</v>
      </c>
      <c r="E21" s="3">
        <v>10.34</v>
      </c>
      <c r="F21" s="3">
        <v>6.66</v>
      </c>
      <c r="G21" s="3">
        <v>0</v>
      </c>
      <c r="H21" s="3">
        <v>1.85</v>
      </c>
      <c r="I21" s="3">
        <v>372</v>
      </c>
      <c r="J21" s="3">
        <v>7.9000000000000001E-2</v>
      </c>
      <c r="K21" s="3">
        <v>3.0000000000000001E-3</v>
      </c>
    </row>
    <row r="22" spans="1:11" x14ac:dyDescent="0.25">
      <c r="A22">
        <v>0</v>
      </c>
      <c r="B22" s="2" t="s">
        <v>32</v>
      </c>
      <c r="C22" s="2" t="s">
        <v>33</v>
      </c>
      <c r="D22" s="17">
        <v>1.2350000000000001</v>
      </c>
      <c r="E22" s="3">
        <v>10.45</v>
      </c>
      <c r="F22" s="3">
        <v>4.76</v>
      </c>
      <c r="G22" s="3">
        <v>0</v>
      </c>
      <c r="H22" s="3">
        <v>4</v>
      </c>
      <c r="I22" s="3">
        <v>308</v>
      </c>
      <c r="J22" s="3">
        <v>0.51600000000000001</v>
      </c>
      <c r="K22" s="3">
        <v>8.3000000000000004E-2</v>
      </c>
    </row>
    <row r="23" spans="1:11" x14ac:dyDescent="0.25">
      <c r="A23">
        <v>0</v>
      </c>
      <c r="B23" s="2" t="s">
        <v>34</v>
      </c>
      <c r="C23" s="2" t="s">
        <v>35</v>
      </c>
      <c r="D23" s="17">
        <v>0.64500000000000002</v>
      </c>
      <c r="E23" s="3">
        <v>12.39</v>
      </c>
      <c r="F23" s="3">
        <v>2.72</v>
      </c>
      <c r="G23" s="3">
        <v>0</v>
      </c>
      <c r="H23" s="21">
        <v>2.72</v>
      </c>
      <c r="I23" s="3">
        <v>406</v>
      </c>
      <c r="J23" s="3">
        <v>0.29099999999999998</v>
      </c>
      <c r="K23" s="3">
        <v>3.1E-2</v>
      </c>
    </row>
    <row r="24" spans="1:11" x14ac:dyDescent="0.25">
      <c r="A24">
        <v>0</v>
      </c>
      <c r="B24" s="2" t="s">
        <v>36</v>
      </c>
      <c r="C24" s="2" t="s">
        <v>37</v>
      </c>
      <c r="D24" s="17">
        <v>20.213000000000001</v>
      </c>
      <c r="E24" s="3">
        <v>6.15</v>
      </c>
      <c r="F24" s="3">
        <v>5.52</v>
      </c>
      <c r="G24" s="3">
        <v>0</v>
      </c>
      <c r="H24" s="3">
        <v>3.76</v>
      </c>
      <c r="I24" s="3">
        <v>314</v>
      </c>
      <c r="J24" s="3">
        <v>8.907</v>
      </c>
      <c r="K24" s="3">
        <v>1.4830000000000001</v>
      </c>
    </row>
    <row r="25" spans="1:11" x14ac:dyDescent="0.25">
      <c r="A25">
        <v>0</v>
      </c>
      <c r="B25" s="2" t="s">
        <v>38</v>
      </c>
      <c r="C25" s="2" t="s">
        <v>39</v>
      </c>
      <c r="D25" s="17">
        <v>17.571999999999999</v>
      </c>
      <c r="E25" s="3">
        <v>24.99</v>
      </c>
      <c r="F25" s="3">
        <v>1.43</v>
      </c>
      <c r="G25" s="3">
        <v>0</v>
      </c>
      <c r="H25" s="3">
        <v>1.43</v>
      </c>
      <c r="I25" s="3">
        <v>812</v>
      </c>
      <c r="J25" s="3">
        <v>8.125</v>
      </c>
      <c r="K25" s="3">
        <v>0.66500000000000004</v>
      </c>
    </row>
    <row r="26" spans="1:11" x14ac:dyDescent="0.25">
      <c r="A26">
        <v>0</v>
      </c>
      <c r="B26" s="2" t="s">
        <v>40</v>
      </c>
      <c r="C26" s="2" t="s">
        <v>41</v>
      </c>
      <c r="D26" s="17">
        <v>14.946</v>
      </c>
      <c r="E26" s="3">
        <v>14.21</v>
      </c>
      <c r="F26" s="3">
        <v>4.09</v>
      </c>
      <c r="G26" s="3">
        <v>0</v>
      </c>
      <c r="H26" s="3">
        <v>4.09</v>
      </c>
      <c r="I26" s="3">
        <v>917</v>
      </c>
      <c r="J26" s="3">
        <v>4.6230000000000002</v>
      </c>
      <c r="K26" s="3">
        <v>0.59099999999999997</v>
      </c>
    </row>
    <row r="27" spans="1:11" x14ac:dyDescent="0.25">
      <c r="A27">
        <v>0</v>
      </c>
      <c r="B27" s="2" t="s">
        <v>42</v>
      </c>
      <c r="C27" s="2" t="s">
        <v>43</v>
      </c>
      <c r="D27" s="17">
        <v>19.196000000000002</v>
      </c>
      <c r="E27" s="3">
        <v>25.6</v>
      </c>
      <c r="F27" s="3">
        <v>1.55</v>
      </c>
      <c r="G27" s="3">
        <v>0</v>
      </c>
      <c r="H27" s="8">
        <v>1.55</v>
      </c>
      <c r="I27" s="3">
        <v>800</v>
      </c>
      <c r="J27" s="3">
        <v>8.6869999999999994</v>
      </c>
      <c r="K27" s="3">
        <v>1.6539999999999999</v>
      </c>
    </row>
    <row r="28" spans="1:11" x14ac:dyDescent="0.25">
      <c r="A28">
        <v>0</v>
      </c>
      <c r="B28" s="2" t="s">
        <v>44</v>
      </c>
      <c r="C28" s="2" t="s">
        <v>45</v>
      </c>
      <c r="D28" s="17">
        <v>17.614000000000001</v>
      </c>
      <c r="E28" s="3">
        <v>24.94</v>
      </c>
      <c r="F28" s="3">
        <v>2.2200000000000002</v>
      </c>
      <c r="G28" s="3">
        <v>0</v>
      </c>
      <c r="H28" s="3">
        <v>2.2200000000000002</v>
      </c>
      <c r="I28" s="3">
        <v>819</v>
      </c>
      <c r="J28" s="3">
        <v>7.7469999999999999</v>
      </c>
      <c r="K28" s="3">
        <v>0.65700000000000003</v>
      </c>
    </row>
    <row r="29" spans="1:11" x14ac:dyDescent="0.25">
      <c r="A29">
        <v>0</v>
      </c>
      <c r="B29" s="2" t="s">
        <v>46</v>
      </c>
      <c r="C29" s="2" t="s">
        <v>47</v>
      </c>
      <c r="D29" s="17">
        <v>18.913</v>
      </c>
      <c r="E29" s="3">
        <v>29.81</v>
      </c>
      <c r="F29" s="3">
        <v>0.36</v>
      </c>
      <c r="G29" s="3">
        <v>0</v>
      </c>
      <c r="H29" s="8">
        <v>0.36</v>
      </c>
      <c r="I29" s="3">
        <v>714</v>
      </c>
      <c r="J29" s="3">
        <v>10.042999999999999</v>
      </c>
      <c r="K29" s="3">
        <v>1.7330000000000001</v>
      </c>
    </row>
    <row r="30" spans="1:11" x14ac:dyDescent="0.25">
      <c r="A30">
        <v>0</v>
      </c>
      <c r="B30" s="2" t="s">
        <v>48</v>
      </c>
      <c r="C30" s="2" t="s">
        <v>49</v>
      </c>
      <c r="D30" s="17">
        <v>16.745999999999999</v>
      </c>
      <c r="E30" s="3">
        <v>20.05</v>
      </c>
      <c r="F30" s="3">
        <v>0.49</v>
      </c>
      <c r="G30" s="3">
        <v>0</v>
      </c>
      <c r="H30" s="3">
        <v>0.49</v>
      </c>
      <c r="I30" s="3">
        <v>800</v>
      </c>
      <c r="J30" s="3">
        <v>8.6059999999999999</v>
      </c>
      <c r="K30" s="3">
        <v>0.495</v>
      </c>
    </row>
    <row r="31" spans="1:11" x14ac:dyDescent="0.25">
      <c r="A31">
        <v>0</v>
      </c>
      <c r="B31" s="2" t="s">
        <v>50</v>
      </c>
      <c r="C31" s="2" t="s">
        <v>51</v>
      </c>
      <c r="D31" s="17">
        <v>19.065999999999999</v>
      </c>
      <c r="E31" s="3">
        <v>24.48</v>
      </c>
      <c r="F31" s="3">
        <v>0.68</v>
      </c>
      <c r="G31" s="3">
        <v>0</v>
      </c>
      <c r="H31" s="8">
        <v>0.5</v>
      </c>
      <c r="I31" s="3">
        <v>600</v>
      </c>
      <c r="J31" s="3">
        <v>8.7509999999999994</v>
      </c>
      <c r="K31" s="3">
        <v>0.89900000000000002</v>
      </c>
    </row>
    <row r="32" spans="1:11" x14ac:dyDescent="0.25">
      <c r="A32">
        <v>0</v>
      </c>
      <c r="B32" s="2" t="s">
        <v>52</v>
      </c>
      <c r="C32" s="2" t="s">
        <v>53</v>
      </c>
      <c r="D32" s="17">
        <v>13.151999999999999</v>
      </c>
      <c r="E32" s="3">
        <v>22.17</v>
      </c>
      <c r="F32" s="3">
        <v>2.19</v>
      </c>
      <c r="G32" s="3">
        <v>0</v>
      </c>
      <c r="H32" s="3">
        <v>1.03</v>
      </c>
      <c r="I32" s="3">
        <v>627</v>
      </c>
      <c r="J32" s="3">
        <v>6.5730000000000004</v>
      </c>
      <c r="K32" s="3">
        <v>0.76500000000000001</v>
      </c>
    </row>
    <row r="33" spans="1:11" x14ac:dyDescent="0.25">
      <c r="A33">
        <v>0</v>
      </c>
      <c r="B33" s="2" t="s">
        <v>54</v>
      </c>
      <c r="C33" s="2" t="s">
        <v>55</v>
      </c>
      <c r="D33" s="17">
        <v>15.561</v>
      </c>
      <c r="E33" s="3">
        <v>21.6</v>
      </c>
      <c r="F33" s="3">
        <v>2.4700000000000002</v>
      </c>
      <c r="G33" s="3">
        <v>0</v>
      </c>
      <c r="H33" s="3">
        <v>1.01</v>
      </c>
      <c r="I33" s="3">
        <v>710</v>
      </c>
      <c r="J33" s="3">
        <v>7.0270000000000001</v>
      </c>
      <c r="K33" s="3">
        <v>0.77800000000000002</v>
      </c>
    </row>
    <row r="34" spans="1:11" x14ac:dyDescent="0.25">
      <c r="A34">
        <v>0</v>
      </c>
      <c r="B34" s="2" t="s">
        <v>56</v>
      </c>
      <c r="C34" s="2" t="s">
        <v>57</v>
      </c>
      <c r="D34" s="17">
        <v>10.114000000000001</v>
      </c>
      <c r="E34" s="3">
        <v>24.26</v>
      </c>
      <c r="F34" s="3">
        <v>2.77</v>
      </c>
      <c r="G34" s="3">
        <v>0</v>
      </c>
      <c r="H34" s="10">
        <v>1.1299999999999999</v>
      </c>
      <c r="I34" s="3">
        <v>619</v>
      </c>
      <c r="J34" s="3">
        <v>4.51</v>
      </c>
      <c r="K34" s="3">
        <v>0.47199999999999998</v>
      </c>
    </row>
    <row r="35" spans="1:11" x14ac:dyDescent="0.25">
      <c r="A35">
        <v>0</v>
      </c>
      <c r="B35" s="2" t="s">
        <v>58</v>
      </c>
      <c r="C35" s="2" t="s">
        <v>59</v>
      </c>
      <c r="D35" s="17">
        <v>11.295</v>
      </c>
      <c r="E35" s="3">
        <v>23.75</v>
      </c>
      <c r="F35" s="3">
        <v>5.58</v>
      </c>
      <c r="G35" s="3">
        <v>0</v>
      </c>
      <c r="H35" s="8">
        <v>1.9</v>
      </c>
      <c r="I35" s="3">
        <v>666</v>
      </c>
      <c r="J35" s="3">
        <v>5.7409999999999997</v>
      </c>
      <c r="K35" s="3">
        <v>1.0189999999999999</v>
      </c>
    </row>
    <row r="36" spans="1:11" x14ac:dyDescent="0.25">
      <c r="A36">
        <v>0</v>
      </c>
      <c r="B36" s="2" t="s">
        <v>60</v>
      </c>
      <c r="C36" s="2" t="s">
        <v>61</v>
      </c>
      <c r="D36" s="17">
        <v>19.113</v>
      </c>
      <c r="E36" s="3">
        <v>23.41</v>
      </c>
      <c r="F36" s="3">
        <v>1.1200000000000001</v>
      </c>
      <c r="G36" s="3">
        <v>0</v>
      </c>
      <c r="H36" s="21">
        <v>1.1200000000000001</v>
      </c>
      <c r="I36" s="3">
        <v>628</v>
      </c>
      <c r="J36" s="3">
        <v>8.7110000000000003</v>
      </c>
      <c r="K36" s="3">
        <v>0.66100000000000003</v>
      </c>
    </row>
    <row r="37" spans="1:11" x14ac:dyDescent="0.25">
      <c r="A37">
        <v>0</v>
      </c>
      <c r="B37" s="2" t="s">
        <v>62</v>
      </c>
      <c r="C37" s="2" t="s">
        <v>63</v>
      </c>
      <c r="D37" s="17">
        <v>12.79</v>
      </c>
      <c r="E37" s="3">
        <v>9.15</v>
      </c>
      <c r="F37" s="3">
        <v>3.59</v>
      </c>
      <c r="G37" s="3">
        <v>0</v>
      </c>
      <c r="H37" s="3">
        <v>3.19</v>
      </c>
      <c r="I37" s="3">
        <v>334</v>
      </c>
      <c r="J37" s="3">
        <v>5.7839999999999998</v>
      </c>
      <c r="K37" s="3">
        <v>0.97</v>
      </c>
    </row>
    <row r="38" spans="1:11" x14ac:dyDescent="0.25">
      <c r="A38">
        <v>0</v>
      </c>
      <c r="B38" s="2" t="s">
        <v>64</v>
      </c>
      <c r="C38" s="2" t="s">
        <v>65</v>
      </c>
      <c r="D38" s="17">
        <v>16.41</v>
      </c>
      <c r="E38" s="3">
        <v>35.75</v>
      </c>
      <c r="F38" s="3">
        <v>3.22</v>
      </c>
      <c r="G38" s="3">
        <v>0</v>
      </c>
      <c r="H38" s="10">
        <v>0.8</v>
      </c>
      <c r="I38" s="3">
        <v>1376</v>
      </c>
      <c r="J38" s="3">
        <v>7.5149999999999997</v>
      </c>
      <c r="K38" s="3">
        <v>0.56899999999999995</v>
      </c>
    </row>
    <row r="39" spans="1:11" x14ac:dyDescent="0.25">
      <c r="A39">
        <v>0</v>
      </c>
      <c r="B39" s="2" t="s">
        <v>66</v>
      </c>
      <c r="C39" s="2" t="s">
        <v>67</v>
      </c>
      <c r="D39" s="17">
        <v>17.077999999999999</v>
      </c>
      <c r="E39" s="3">
        <v>25.58</v>
      </c>
      <c r="F39" s="3">
        <v>2.14</v>
      </c>
      <c r="G39" s="3">
        <v>0</v>
      </c>
      <c r="H39" s="21">
        <v>0.56000000000000005</v>
      </c>
      <c r="I39" s="3">
        <v>876</v>
      </c>
      <c r="J39" s="3">
        <v>7.3929999999999998</v>
      </c>
      <c r="K39" s="3">
        <v>0.76900000000000002</v>
      </c>
    </row>
    <row r="40" spans="1:11" x14ac:dyDescent="0.25">
      <c r="A40">
        <v>0</v>
      </c>
      <c r="B40" s="2" t="s">
        <v>68</v>
      </c>
      <c r="C40" s="2" t="s">
        <v>69</v>
      </c>
      <c r="D40" s="17">
        <v>8.2949999999999999</v>
      </c>
      <c r="E40" s="3">
        <v>11.26</v>
      </c>
      <c r="F40" s="3">
        <v>3.04</v>
      </c>
      <c r="G40" s="3">
        <v>0</v>
      </c>
      <c r="H40" s="3">
        <v>0.27</v>
      </c>
      <c r="I40" s="3">
        <v>84</v>
      </c>
      <c r="J40" s="3">
        <v>3.6269999999999998</v>
      </c>
      <c r="K40" s="3">
        <v>0.38500000000000001</v>
      </c>
    </row>
    <row r="41" spans="1:11" x14ac:dyDescent="0.25">
      <c r="A41">
        <v>0</v>
      </c>
      <c r="B41" s="2" t="s">
        <v>70</v>
      </c>
      <c r="C41" s="2" t="s">
        <v>71</v>
      </c>
      <c r="D41" s="17">
        <v>4.9269999999999996</v>
      </c>
      <c r="E41" s="3">
        <v>11.39</v>
      </c>
      <c r="F41" s="3">
        <v>5.14</v>
      </c>
      <c r="G41" s="3">
        <v>0</v>
      </c>
      <c r="H41" s="3">
        <v>0.31</v>
      </c>
      <c r="I41" s="3">
        <v>99</v>
      </c>
      <c r="J41" s="3">
        <v>2.3140000000000001</v>
      </c>
      <c r="K41" s="3">
        <v>0.26</v>
      </c>
    </row>
    <row r="42" spans="1:11" x14ac:dyDescent="0.25">
      <c r="A42">
        <v>0</v>
      </c>
      <c r="B42" s="2" t="s">
        <v>72</v>
      </c>
      <c r="C42" s="2" t="s">
        <v>73</v>
      </c>
      <c r="D42" s="17">
        <v>17.114999999999998</v>
      </c>
      <c r="E42" s="3">
        <v>31.8</v>
      </c>
      <c r="F42" s="3">
        <v>3.63</v>
      </c>
      <c r="G42" s="3">
        <v>0</v>
      </c>
      <c r="H42" s="3">
        <v>0.73</v>
      </c>
      <c r="I42" s="3">
        <v>1433</v>
      </c>
      <c r="J42" s="3">
        <v>7.8380000000000001</v>
      </c>
      <c r="K42" s="3">
        <v>0.59299999999999997</v>
      </c>
    </row>
    <row r="43" spans="1:11" x14ac:dyDescent="0.25">
      <c r="A43">
        <v>0</v>
      </c>
      <c r="B43" s="2" t="s">
        <v>74</v>
      </c>
      <c r="C43" s="2" t="s">
        <v>75</v>
      </c>
      <c r="D43" s="17">
        <v>18.227</v>
      </c>
      <c r="E43" s="3">
        <v>26.96</v>
      </c>
      <c r="F43" s="3">
        <v>1.44</v>
      </c>
      <c r="G43" s="3">
        <v>0</v>
      </c>
      <c r="H43" s="3">
        <v>0</v>
      </c>
      <c r="I43" s="3">
        <v>187</v>
      </c>
      <c r="J43" s="3">
        <v>8.0459999999999994</v>
      </c>
      <c r="K43" s="3">
        <v>1.341</v>
      </c>
    </row>
    <row r="44" spans="1:11" x14ac:dyDescent="0.25">
      <c r="A44">
        <v>0</v>
      </c>
      <c r="B44" s="2" t="s">
        <v>76</v>
      </c>
      <c r="C44" s="2" t="s">
        <v>77</v>
      </c>
      <c r="D44" s="17">
        <v>16.774999999999999</v>
      </c>
      <c r="E44" s="3">
        <v>24.41</v>
      </c>
      <c r="F44" s="3">
        <v>1.88</v>
      </c>
      <c r="G44" s="3">
        <v>0</v>
      </c>
      <c r="H44" s="8"/>
      <c r="I44" s="3">
        <v>753</v>
      </c>
      <c r="J44" s="3">
        <v>7.1360000000000001</v>
      </c>
      <c r="K44" s="3">
        <v>0.72099999999999997</v>
      </c>
    </row>
    <row r="45" spans="1:11" x14ac:dyDescent="0.25">
      <c r="A45">
        <v>0</v>
      </c>
      <c r="B45" s="2" t="s">
        <v>78</v>
      </c>
      <c r="C45" s="2" t="s">
        <v>79</v>
      </c>
      <c r="D45" s="17">
        <v>18.056999999999999</v>
      </c>
      <c r="E45" s="3">
        <v>18.13</v>
      </c>
      <c r="F45" s="3">
        <v>4.78</v>
      </c>
      <c r="G45" s="3">
        <v>0</v>
      </c>
      <c r="H45" s="3">
        <v>2.2599999999999998</v>
      </c>
      <c r="I45" s="3">
        <v>1671</v>
      </c>
      <c r="J45" s="3">
        <v>8.2360000000000007</v>
      </c>
      <c r="K45" s="3">
        <v>1.286</v>
      </c>
    </row>
    <row r="46" spans="1:11" x14ac:dyDescent="0.25">
      <c r="A46">
        <v>0</v>
      </c>
      <c r="B46" s="2" t="s">
        <v>80</v>
      </c>
      <c r="C46" s="2" t="s">
        <v>81</v>
      </c>
      <c r="D46" s="17">
        <v>19.663</v>
      </c>
      <c r="E46" s="3">
        <v>22.13</v>
      </c>
      <c r="F46" s="3">
        <v>1.73</v>
      </c>
      <c r="G46" s="3">
        <v>0.1</v>
      </c>
      <c r="H46" s="21">
        <v>0.62</v>
      </c>
      <c r="I46" s="3">
        <v>915</v>
      </c>
      <c r="J46" s="3">
        <v>8.9369999999999994</v>
      </c>
      <c r="K46" s="3">
        <v>0.98799999999999999</v>
      </c>
    </row>
    <row r="47" spans="1:11" x14ac:dyDescent="0.25">
      <c r="A47">
        <v>0</v>
      </c>
      <c r="B47" s="2" t="s">
        <v>82</v>
      </c>
      <c r="C47" s="2" t="s">
        <v>83</v>
      </c>
      <c r="D47" s="17">
        <v>16.045000000000002</v>
      </c>
      <c r="E47" s="3">
        <v>24.73</v>
      </c>
      <c r="F47" s="3">
        <v>2.1</v>
      </c>
      <c r="G47" s="3">
        <v>0</v>
      </c>
      <c r="H47" s="3">
        <v>1.23</v>
      </c>
      <c r="I47" s="3">
        <v>1370</v>
      </c>
      <c r="J47" s="3">
        <v>7.0460000000000003</v>
      </c>
      <c r="K47" s="3">
        <v>0.622</v>
      </c>
    </row>
    <row r="48" spans="1:11" x14ac:dyDescent="0.25">
      <c r="A48">
        <v>0</v>
      </c>
      <c r="B48" s="2" t="s">
        <v>84</v>
      </c>
      <c r="C48" s="2" t="s">
        <v>85</v>
      </c>
      <c r="D48" s="17">
        <v>15.355</v>
      </c>
      <c r="E48" s="3">
        <v>19.66</v>
      </c>
      <c r="F48" s="3">
        <v>8.32</v>
      </c>
      <c r="G48" s="3">
        <v>0</v>
      </c>
      <c r="H48" s="3"/>
      <c r="I48" s="3">
        <v>966</v>
      </c>
      <c r="J48" s="3">
        <v>7.165</v>
      </c>
      <c r="K48" s="3">
        <v>0.71899999999999997</v>
      </c>
    </row>
    <row r="49" spans="1:11" x14ac:dyDescent="0.25">
      <c r="A49">
        <v>0</v>
      </c>
      <c r="B49" s="2" t="s">
        <v>86</v>
      </c>
      <c r="C49" s="2" t="s">
        <v>87</v>
      </c>
      <c r="D49" s="17">
        <v>15.487</v>
      </c>
      <c r="E49" s="3">
        <v>21.92</v>
      </c>
      <c r="F49" s="3">
        <v>4.5</v>
      </c>
      <c r="G49" s="3">
        <v>0</v>
      </c>
      <c r="H49" s="3"/>
      <c r="I49" s="3">
        <v>1552</v>
      </c>
      <c r="J49" s="3">
        <v>6.8010000000000002</v>
      </c>
      <c r="K49" s="3">
        <v>0.6</v>
      </c>
    </row>
    <row r="50" spans="1:11" x14ac:dyDescent="0.25">
      <c r="A50">
        <v>0</v>
      </c>
      <c r="B50" s="2" t="s">
        <v>88</v>
      </c>
      <c r="C50" s="2" t="s">
        <v>89</v>
      </c>
      <c r="D50" s="17">
        <v>13.327</v>
      </c>
      <c r="E50" s="3">
        <v>16.41</v>
      </c>
      <c r="F50" s="3">
        <v>8.73</v>
      </c>
      <c r="G50" s="3">
        <v>0</v>
      </c>
      <c r="H50" s="3">
        <v>7.32</v>
      </c>
      <c r="I50" s="3">
        <v>1625</v>
      </c>
      <c r="J50" s="3">
        <v>6.2190000000000003</v>
      </c>
      <c r="K50" s="3">
        <v>0.624</v>
      </c>
    </row>
    <row r="51" spans="1:11" x14ac:dyDescent="0.25">
      <c r="A51">
        <v>0</v>
      </c>
      <c r="B51" s="2" t="s">
        <v>90</v>
      </c>
      <c r="C51" s="2" t="s">
        <v>91</v>
      </c>
      <c r="D51" s="17">
        <v>7.032</v>
      </c>
      <c r="E51" s="3">
        <v>3.13</v>
      </c>
      <c r="F51" s="3">
        <v>4.7300000000000004</v>
      </c>
      <c r="G51" s="3">
        <v>0</v>
      </c>
      <c r="H51" s="3">
        <v>4.13</v>
      </c>
      <c r="I51" s="3">
        <v>61</v>
      </c>
      <c r="J51" s="3">
        <v>3.32</v>
      </c>
      <c r="K51" s="3">
        <v>0.55400000000000005</v>
      </c>
    </row>
    <row r="52" spans="1:11" x14ac:dyDescent="0.25">
      <c r="A52">
        <v>0</v>
      </c>
      <c r="B52" s="2" t="s">
        <v>92</v>
      </c>
      <c r="C52" s="2" t="s">
        <v>93</v>
      </c>
      <c r="D52" s="17">
        <v>19.337</v>
      </c>
      <c r="E52" s="3">
        <v>2.17</v>
      </c>
      <c r="F52" s="3">
        <v>2.96</v>
      </c>
      <c r="G52" s="3">
        <v>0</v>
      </c>
      <c r="H52" s="21">
        <v>2.96</v>
      </c>
      <c r="I52" s="3">
        <v>34</v>
      </c>
      <c r="J52" s="3">
        <v>9.093</v>
      </c>
      <c r="K52" s="3">
        <v>0.88400000000000001</v>
      </c>
    </row>
    <row r="53" spans="1:11" x14ac:dyDescent="0.25">
      <c r="A53">
        <v>0</v>
      </c>
      <c r="B53" s="2" t="s">
        <v>94</v>
      </c>
      <c r="C53" s="2" t="s">
        <v>95</v>
      </c>
      <c r="D53" s="17">
        <v>13.831</v>
      </c>
      <c r="E53" s="3">
        <v>3.2</v>
      </c>
      <c r="F53" s="3">
        <v>12.49</v>
      </c>
      <c r="G53" s="3">
        <v>0</v>
      </c>
      <c r="H53" s="3">
        <v>8</v>
      </c>
      <c r="I53" s="3">
        <v>8</v>
      </c>
      <c r="J53" s="3">
        <v>6.4180000000000001</v>
      </c>
      <c r="K53" s="3">
        <v>0.82499999999999996</v>
      </c>
    </row>
    <row r="54" spans="1:11" x14ac:dyDescent="0.25">
      <c r="A54">
        <v>0</v>
      </c>
      <c r="B54" s="2" t="s">
        <v>96</v>
      </c>
      <c r="C54" s="2" t="s">
        <v>97</v>
      </c>
      <c r="D54" s="17">
        <v>7.47</v>
      </c>
      <c r="E54" s="3">
        <v>2.94</v>
      </c>
      <c r="F54" s="3">
        <v>4.26</v>
      </c>
      <c r="G54" s="3">
        <v>0</v>
      </c>
      <c r="H54" s="21">
        <v>0.16</v>
      </c>
      <c r="I54" s="3">
        <v>89</v>
      </c>
      <c r="J54" s="3">
        <v>3.4660000000000002</v>
      </c>
      <c r="K54" s="3">
        <v>0.44600000000000001</v>
      </c>
    </row>
    <row r="55" spans="1:11" x14ac:dyDescent="0.25">
      <c r="A55">
        <v>0</v>
      </c>
      <c r="B55" s="2" t="s">
        <v>98</v>
      </c>
      <c r="C55" s="2" t="s">
        <v>99</v>
      </c>
      <c r="D55" s="17">
        <v>10.14</v>
      </c>
      <c r="E55" s="3">
        <v>2.44</v>
      </c>
      <c r="F55" s="3">
        <v>4.63</v>
      </c>
      <c r="G55" s="3">
        <v>0</v>
      </c>
      <c r="H55" s="8">
        <v>3.41</v>
      </c>
      <c r="I55" s="3">
        <v>31</v>
      </c>
      <c r="J55" s="3">
        <v>4.5940000000000003</v>
      </c>
      <c r="K55" s="3">
        <v>0.8</v>
      </c>
    </row>
    <row r="56" spans="1:11" x14ac:dyDescent="0.25">
      <c r="A56">
        <v>0</v>
      </c>
      <c r="B56" s="2" t="s">
        <v>100</v>
      </c>
      <c r="C56" s="2" t="s">
        <v>101</v>
      </c>
      <c r="D56" s="17">
        <v>2.5910000000000002</v>
      </c>
      <c r="E56" s="3">
        <v>4.55</v>
      </c>
      <c r="F56" s="3">
        <v>8.0500000000000007</v>
      </c>
      <c r="G56" s="3">
        <v>0</v>
      </c>
      <c r="H56" s="8">
        <v>8.0500000000000007</v>
      </c>
      <c r="I56" s="3">
        <v>54</v>
      </c>
      <c r="J56" s="3">
        <v>1.302</v>
      </c>
      <c r="K56" s="3">
        <v>0.19800000000000001</v>
      </c>
    </row>
    <row r="57" spans="1:11" x14ac:dyDescent="0.25">
      <c r="A57">
        <v>0</v>
      </c>
      <c r="B57" s="2" t="s">
        <v>102</v>
      </c>
      <c r="C57" s="2" t="s">
        <v>103</v>
      </c>
      <c r="D57" s="17">
        <v>13.272</v>
      </c>
      <c r="E57" s="3">
        <v>3.25</v>
      </c>
      <c r="F57" s="3">
        <v>4.68</v>
      </c>
      <c r="G57" s="3">
        <v>0</v>
      </c>
      <c r="H57" s="21">
        <v>4.68</v>
      </c>
      <c r="I57" s="3">
        <v>48</v>
      </c>
      <c r="J57" s="3">
        <v>1.958</v>
      </c>
      <c r="K57" s="3">
        <v>0.46800000000000003</v>
      </c>
    </row>
    <row r="58" spans="1:11" x14ac:dyDescent="0.25">
      <c r="A58">
        <v>0</v>
      </c>
      <c r="B58" s="2" t="s">
        <v>104</v>
      </c>
      <c r="C58" s="2" t="s">
        <v>105</v>
      </c>
      <c r="D58" s="17">
        <v>0.76800000000000002</v>
      </c>
      <c r="E58" s="3">
        <v>3.33</v>
      </c>
      <c r="F58" s="3">
        <v>4.74</v>
      </c>
      <c r="G58" s="3">
        <v>0</v>
      </c>
      <c r="H58" s="3"/>
      <c r="I58" s="3">
        <v>57</v>
      </c>
      <c r="J58" s="3">
        <v>1.7829999999999999</v>
      </c>
      <c r="K58" s="3">
        <v>0.75</v>
      </c>
    </row>
    <row r="59" spans="1:11" x14ac:dyDescent="0.25">
      <c r="A59">
        <v>0</v>
      </c>
      <c r="B59" s="2" t="s">
        <v>106</v>
      </c>
      <c r="C59" s="2" t="s">
        <v>107</v>
      </c>
      <c r="D59" s="17">
        <v>3.101</v>
      </c>
      <c r="E59" s="3">
        <v>3.33</v>
      </c>
      <c r="F59" s="3">
        <v>4.74</v>
      </c>
      <c r="G59" s="3">
        <v>0</v>
      </c>
      <c r="H59" s="3">
        <v>4.74</v>
      </c>
      <c r="I59" s="3">
        <v>57</v>
      </c>
      <c r="J59" s="3">
        <v>0.1</v>
      </c>
      <c r="K59" s="3">
        <v>0.01</v>
      </c>
    </row>
    <row r="60" spans="1:11" x14ac:dyDescent="0.25">
      <c r="A60">
        <v>0</v>
      </c>
      <c r="B60" s="2" t="s">
        <v>108</v>
      </c>
      <c r="C60" s="2" t="s">
        <v>109</v>
      </c>
      <c r="D60" s="17">
        <v>0</v>
      </c>
      <c r="E60" s="3">
        <v>21.05</v>
      </c>
      <c r="F60" s="3">
        <v>10.53</v>
      </c>
      <c r="G60" s="3">
        <v>0</v>
      </c>
      <c r="H60" s="3">
        <v>5.26</v>
      </c>
      <c r="I60" s="3">
        <v>1316</v>
      </c>
      <c r="J60" s="3">
        <v>0</v>
      </c>
      <c r="K60" s="3">
        <v>0</v>
      </c>
    </row>
    <row r="61" spans="1:11" x14ac:dyDescent="0.25">
      <c r="A61">
        <v>0</v>
      </c>
      <c r="B61" s="2" t="s">
        <v>110</v>
      </c>
      <c r="C61" s="2" t="s">
        <v>111</v>
      </c>
      <c r="D61" s="17">
        <v>9.3040000000000003</v>
      </c>
      <c r="E61" s="3">
        <v>1</v>
      </c>
      <c r="F61" s="3">
        <v>11.38</v>
      </c>
      <c r="G61" s="3">
        <v>0</v>
      </c>
      <c r="H61" s="21"/>
      <c r="I61" s="3">
        <v>79</v>
      </c>
      <c r="J61" s="3">
        <v>0.106</v>
      </c>
      <c r="K61" s="3">
        <v>3.0000000000000001E-3</v>
      </c>
    </row>
    <row r="62" spans="1:11" x14ac:dyDescent="0.25">
      <c r="A62">
        <v>0</v>
      </c>
      <c r="B62" s="2" t="s">
        <v>112</v>
      </c>
      <c r="C62" s="2" t="s">
        <v>113</v>
      </c>
      <c r="D62" s="17">
        <v>19.146000000000001</v>
      </c>
      <c r="E62" s="3">
        <v>2.48</v>
      </c>
      <c r="F62" s="3">
        <v>59.29</v>
      </c>
      <c r="G62" s="3">
        <v>0</v>
      </c>
      <c r="H62" s="3">
        <v>7.77</v>
      </c>
      <c r="I62" s="3">
        <v>124</v>
      </c>
      <c r="J62" s="3">
        <v>9.7959999999999994</v>
      </c>
      <c r="K62" s="3">
        <v>0.40799999999999997</v>
      </c>
    </row>
    <row r="63" spans="1:11" x14ac:dyDescent="0.25">
      <c r="A63">
        <v>0</v>
      </c>
      <c r="B63" s="2" t="s">
        <v>114</v>
      </c>
      <c r="C63" s="2" t="s">
        <v>115</v>
      </c>
      <c r="D63" s="17">
        <v>36.722999999999999</v>
      </c>
      <c r="E63" s="3">
        <v>4.9000000000000004</v>
      </c>
      <c r="F63" s="3">
        <v>52.54</v>
      </c>
      <c r="G63" s="3">
        <v>0</v>
      </c>
      <c r="H63" s="3">
        <v>52.54</v>
      </c>
      <c r="I63" s="3">
        <v>122</v>
      </c>
      <c r="J63" s="3">
        <v>0.6</v>
      </c>
      <c r="K63" s="3">
        <v>0.44700000000000001</v>
      </c>
    </row>
    <row r="64" spans="1:11" x14ac:dyDescent="0.25">
      <c r="A64">
        <v>0</v>
      </c>
      <c r="B64" s="2" t="s">
        <v>116</v>
      </c>
      <c r="C64" s="2" t="s">
        <v>117</v>
      </c>
      <c r="D64" s="17">
        <v>10.683999999999999</v>
      </c>
      <c r="E64" s="3">
        <v>3.61</v>
      </c>
      <c r="F64" s="3">
        <v>17.13</v>
      </c>
      <c r="G64" s="3">
        <v>0</v>
      </c>
      <c r="H64" s="3">
        <v>17.13</v>
      </c>
      <c r="I64" s="3">
        <v>66</v>
      </c>
      <c r="J64" s="3">
        <v>0.84299999999999997</v>
      </c>
      <c r="K64" s="3">
        <v>0.20100000000000001</v>
      </c>
    </row>
    <row r="65" spans="1:11" x14ac:dyDescent="0.25">
      <c r="A65">
        <v>0</v>
      </c>
      <c r="B65" s="2" t="s">
        <v>118</v>
      </c>
      <c r="C65" s="2" t="s">
        <v>119</v>
      </c>
      <c r="D65" s="17">
        <v>18.911999999999999</v>
      </c>
      <c r="E65" s="3">
        <v>0.98</v>
      </c>
      <c r="F65" s="3">
        <v>16.07</v>
      </c>
      <c r="G65" s="3">
        <v>0</v>
      </c>
      <c r="H65" s="3">
        <v>16.07</v>
      </c>
      <c r="I65" s="3">
        <v>62</v>
      </c>
      <c r="J65" s="3">
        <v>1.927</v>
      </c>
      <c r="K65" s="3">
        <v>0.24099999999999999</v>
      </c>
    </row>
    <row r="66" spans="1:11" x14ac:dyDescent="0.25">
      <c r="A66">
        <v>0</v>
      </c>
      <c r="B66" s="2" t="s">
        <v>120</v>
      </c>
      <c r="C66" s="2" t="s">
        <v>121</v>
      </c>
      <c r="D66" s="17">
        <v>21.783000000000001</v>
      </c>
      <c r="E66" s="3">
        <v>1.25</v>
      </c>
      <c r="F66" s="3">
        <v>23.05</v>
      </c>
      <c r="G66" s="3">
        <v>0</v>
      </c>
      <c r="H66" s="3">
        <v>23.05</v>
      </c>
      <c r="I66" s="3">
        <v>25</v>
      </c>
      <c r="J66" s="3">
        <v>1.6160000000000001</v>
      </c>
      <c r="K66" s="3">
        <v>0.52300000000000002</v>
      </c>
    </row>
    <row r="67" spans="1:11" x14ac:dyDescent="0.25">
      <c r="A67">
        <v>0</v>
      </c>
      <c r="B67" s="2" t="s">
        <v>122</v>
      </c>
      <c r="C67" s="2" t="s">
        <v>123</v>
      </c>
      <c r="D67" s="17">
        <v>17.791</v>
      </c>
      <c r="E67" s="3">
        <v>2.4</v>
      </c>
      <c r="F67" s="3">
        <v>6.63</v>
      </c>
      <c r="G67" s="3">
        <v>0</v>
      </c>
      <c r="H67" s="3">
        <v>6.63</v>
      </c>
      <c r="I67" s="3">
        <v>102</v>
      </c>
      <c r="J67" s="3">
        <v>0.58799999999999997</v>
      </c>
      <c r="K67" s="3">
        <v>5.6000000000000001E-2</v>
      </c>
    </row>
    <row r="68" spans="1:11" x14ac:dyDescent="0.25">
      <c r="A68">
        <v>0</v>
      </c>
      <c r="B68" s="2" t="s">
        <v>124</v>
      </c>
      <c r="C68" s="2" t="s">
        <v>125</v>
      </c>
      <c r="D68" s="17">
        <v>3.0369999999999999</v>
      </c>
      <c r="E68" s="3">
        <v>1.75</v>
      </c>
      <c r="F68" s="3">
        <v>6.16</v>
      </c>
      <c r="G68" s="3">
        <v>0</v>
      </c>
      <c r="H68" s="3"/>
      <c r="I68" s="3">
        <v>78</v>
      </c>
      <c r="J68" s="3">
        <v>0.17599999999999999</v>
      </c>
      <c r="K68" s="3">
        <v>8.0000000000000002E-3</v>
      </c>
    </row>
    <row r="69" spans="1:11" x14ac:dyDescent="0.25">
      <c r="A69">
        <v>0</v>
      </c>
      <c r="B69" s="2" t="s">
        <v>126</v>
      </c>
      <c r="C69" s="2" t="s">
        <v>127</v>
      </c>
      <c r="D69" s="17">
        <v>1.1950000000000001</v>
      </c>
      <c r="E69" s="3">
        <v>3.48</v>
      </c>
      <c r="F69" s="3">
        <v>4.97</v>
      </c>
      <c r="G69" s="3">
        <v>0</v>
      </c>
      <c r="H69" s="8"/>
      <c r="I69" s="3">
        <v>52</v>
      </c>
      <c r="J69" s="3">
        <v>0.55500000000000005</v>
      </c>
      <c r="K69" s="3">
        <v>7.0999999999999994E-2</v>
      </c>
    </row>
    <row r="70" spans="1:11" x14ac:dyDescent="0.25">
      <c r="A70">
        <v>0</v>
      </c>
      <c r="B70" s="2" t="s">
        <v>128</v>
      </c>
      <c r="C70" s="2" t="s">
        <v>129</v>
      </c>
      <c r="D70" s="17">
        <v>1.232</v>
      </c>
      <c r="E70" s="3">
        <v>3.95</v>
      </c>
      <c r="F70" s="3">
        <v>5.49</v>
      </c>
      <c r="G70" s="3">
        <v>0</v>
      </c>
      <c r="H70" s="3">
        <v>5.26</v>
      </c>
      <c r="I70" s="3">
        <v>59</v>
      </c>
      <c r="J70" s="3">
        <v>0.57199999999999995</v>
      </c>
      <c r="K70" s="3">
        <v>7.3999999999999996E-2</v>
      </c>
    </row>
    <row r="71" spans="1:11" x14ac:dyDescent="0.25">
      <c r="A71">
        <v>0</v>
      </c>
      <c r="B71" s="2" t="s">
        <v>130</v>
      </c>
      <c r="C71" s="2" t="s">
        <v>131</v>
      </c>
      <c r="D71" s="17">
        <v>0.60399999999999998</v>
      </c>
      <c r="E71" s="3">
        <v>3.48</v>
      </c>
      <c r="F71" s="3">
        <v>4.97</v>
      </c>
      <c r="G71" s="3">
        <v>0</v>
      </c>
      <c r="H71" s="3"/>
      <c r="I71" s="3">
        <v>52</v>
      </c>
      <c r="J71" s="3">
        <v>0.28000000000000003</v>
      </c>
      <c r="K71" s="3">
        <v>3.5999999999999997E-2</v>
      </c>
    </row>
    <row r="72" spans="1:11" x14ac:dyDescent="0.25">
      <c r="A72">
        <v>0</v>
      </c>
      <c r="B72" s="2" t="s">
        <v>132</v>
      </c>
      <c r="C72" s="2" t="s">
        <v>133</v>
      </c>
      <c r="D72" s="17">
        <v>0.72799999999999998</v>
      </c>
      <c r="E72" s="3">
        <v>3.93</v>
      </c>
      <c r="F72" s="3">
        <v>5.52</v>
      </c>
      <c r="G72" s="3">
        <v>0</v>
      </c>
      <c r="H72" s="3"/>
      <c r="I72" s="3">
        <v>58</v>
      </c>
      <c r="J72" s="3">
        <v>0.33800000000000002</v>
      </c>
      <c r="K72" s="3">
        <v>4.2999999999999997E-2</v>
      </c>
    </row>
    <row r="73" spans="1:11" x14ac:dyDescent="0.25">
      <c r="A73">
        <v>0</v>
      </c>
      <c r="B73" s="2" t="s">
        <v>134</v>
      </c>
      <c r="C73" s="2" t="s">
        <v>135</v>
      </c>
      <c r="D73" s="17">
        <v>0.16200000000000001</v>
      </c>
      <c r="E73" s="3">
        <v>3.57</v>
      </c>
      <c r="F73" s="3">
        <v>5.0199999999999996</v>
      </c>
      <c r="G73" s="3">
        <v>0</v>
      </c>
      <c r="H73" s="3">
        <v>5.0199999999999996</v>
      </c>
      <c r="I73" s="3">
        <v>53</v>
      </c>
      <c r="J73" s="3">
        <v>6.5000000000000002E-2</v>
      </c>
      <c r="K73" s="3">
        <v>8.9999999999999993E-3</v>
      </c>
    </row>
    <row r="74" spans="1:11" x14ac:dyDescent="0.25">
      <c r="A74" s="2">
        <v>0</v>
      </c>
      <c r="B74" s="2" t="s">
        <v>136</v>
      </c>
      <c r="C74" s="2" t="s">
        <v>137</v>
      </c>
      <c r="D74" s="17">
        <v>0.16200000000000001</v>
      </c>
      <c r="E74" s="3">
        <v>3.96</v>
      </c>
      <c r="F74" s="3">
        <v>5.56</v>
      </c>
      <c r="G74" s="3">
        <v>0</v>
      </c>
      <c r="H74" s="3"/>
      <c r="I74" s="3">
        <v>59</v>
      </c>
      <c r="J74" s="3">
        <v>6.5000000000000002E-2</v>
      </c>
      <c r="K74" s="3">
        <v>8.9999999999999993E-3</v>
      </c>
    </row>
    <row r="75" spans="1:11" x14ac:dyDescent="0.25">
      <c r="A75" s="2">
        <v>0</v>
      </c>
      <c r="B75" s="2" t="s">
        <v>138</v>
      </c>
      <c r="C75" s="2" t="s">
        <v>139</v>
      </c>
      <c r="D75" s="17">
        <v>0.54800000000000004</v>
      </c>
      <c r="E75" s="3">
        <v>3.31</v>
      </c>
      <c r="F75" s="3">
        <v>4.79</v>
      </c>
      <c r="G75" s="3">
        <v>0</v>
      </c>
      <c r="H75" s="3">
        <v>4.79</v>
      </c>
      <c r="I75" s="3">
        <v>190</v>
      </c>
      <c r="J75" s="3">
        <v>0.254</v>
      </c>
      <c r="K75" s="3">
        <v>3.3000000000000002E-2</v>
      </c>
    </row>
    <row r="76" spans="1:11" x14ac:dyDescent="0.25">
      <c r="A76" s="2">
        <v>0</v>
      </c>
      <c r="B76" s="2" t="s">
        <v>140</v>
      </c>
      <c r="C76" s="2" t="s">
        <v>141</v>
      </c>
      <c r="D76" s="17">
        <v>2.1539999999999999</v>
      </c>
      <c r="E76" s="3">
        <v>3.1</v>
      </c>
      <c r="F76" s="3">
        <v>4.46</v>
      </c>
      <c r="G76" s="3">
        <v>0</v>
      </c>
      <c r="H76" s="21">
        <v>4.46</v>
      </c>
      <c r="I76" s="3">
        <v>3</v>
      </c>
      <c r="J76" s="3">
        <v>0.999</v>
      </c>
      <c r="K76" s="3">
        <v>0.128</v>
      </c>
    </row>
    <row r="77" spans="1:11" x14ac:dyDescent="0.25">
      <c r="A77" s="2">
        <v>0</v>
      </c>
      <c r="B77" s="2" t="s">
        <v>142</v>
      </c>
      <c r="C77" s="2" t="s">
        <v>143</v>
      </c>
      <c r="D77" s="17">
        <v>16.742000000000001</v>
      </c>
      <c r="E77" s="3">
        <v>26.32</v>
      </c>
      <c r="F77" s="3">
        <v>38.42</v>
      </c>
      <c r="G77" s="3">
        <v>0</v>
      </c>
      <c r="H77" s="3">
        <v>38.42</v>
      </c>
      <c r="I77" s="3">
        <v>371</v>
      </c>
      <c r="J77" s="3">
        <v>7.9240000000000004</v>
      </c>
      <c r="K77" s="3">
        <v>0.66500000000000004</v>
      </c>
    </row>
    <row r="78" spans="1:11" x14ac:dyDescent="0.25">
      <c r="A78" s="2">
        <v>0</v>
      </c>
      <c r="B78" s="2" t="s">
        <v>144</v>
      </c>
      <c r="C78" s="2" t="s">
        <v>145</v>
      </c>
      <c r="D78" s="17">
        <v>0.499</v>
      </c>
      <c r="E78" s="3">
        <v>36.159999999999997</v>
      </c>
      <c r="F78" s="3">
        <v>51.98</v>
      </c>
      <c r="G78" s="3">
        <v>0</v>
      </c>
      <c r="H78" s="3">
        <v>51.98</v>
      </c>
      <c r="I78" s="3">
        <v>535</v>
      </c>
      <c r="J78" s="3">
        <v>0.20100000000000001</v>
      </c>
      <c r="K78" s="3">
        <v>0.03</v>
      </c>
    </row>
    <row r="79" spans="1:11" x14ac:dyDescent="0.25">
      <c r="A79" s="2">
        <v>0</v>
      </c>
      <c r="B79" s="2" t="s">
        <v>146</v>
      </c>
      <c r="C79" s="2" t="s">
        <v>147</v>
      </c>
      <c r="D79" s="17">
        <v>0.46700000000000003</v>
      </c>
      <c r="E79" s="3">
        <v>35.1</v>
      </c>
      <c r="F79" s="3">
        <v>52.19</v>
      </c>
      <c r="G79" s="3">
        <v>0</v>
      </c>
      <c r="H79" s="3">
        <v>52.19</v>
      </c>
      <c r="I79" s="3">
        <v>549</v>
      </c>
      <c r="J79" s="3">
        <v>0.187</v>
      </c>
      <c r="K79" s="3">
        <v>2.8000000000000001E-2</v>
      </c>
    </row>
    <row r="80" spans="1:11" x14ac:dyDescent="0.25">
      <c r="A80" s="2">
        <v>0</v>
      </c>
      <c r="B80" s="2" t="s">
        <v>148</v>
      </c>
      <c r="C80" s="2" t="s">
        <v>149</v>
      </c>
      <c r="D80" s="17">
        <v>0.124</v>
      </c>
      <c r="E80" s="3">
        <v>35.5</v>
      </c>
      <c r="F80" s="3">
        <v>51.8</v>
      </c>
      <c r="G80" s="3">
        <v>0</v>
      </c>
      <c r="H80" s="3"/>
      <c r="I80" s="3">
        <v>2280</v>
      </c>
      <c r="J80" s="3">
        <v>5.8000000000000003E-2</v>
      </c>
      <c r="K80" s="3">
        <v>7.0000000000000001E-3</v>
      </c>
    </row>
    <row r="81" spans="1:12" x14ac:dyDescent="0.25">
      <c r="A81" s="2">
        <v>0</v>
      </c>
      <c r="B81" s="2" t="s">
        <v>150</v>
      </c>
      <c r="C81" s="2" t="s">
        <v>151</v>
      </c>
      <c r="D81" s="17">
        <v>3.5979999999999999</v>
      </c>
      <c r="E81" s="3">
        <v>34.299999999999997</v>
      </c>
      <c r="F81" s="3">
        <v>49</v>
      </c>
      <c r="G81" s="3">
        <v>0</v>
      </c>
      <c r="H81" s="8">
        <v>49</v>
      </c>
      <c r="I81" s="3">
        <v>517</v>
      </c>
      <c r="J81" s="3">
        <v>1.669</v>
      </c>
      <c r="K81" s="3">
        <v>0.215</v>
      </c>
    </row>
    <row r="82" spans="1:12" x14ac:dyDescent="0.25">
      <c r="A82" s="2">
        <v>0</v>
      </c>
      <c r="B82" s="2" t="s">
        <v>152</v>
      </c>
      <c r="C82" s="2" t="s">
        <v>153</v>
      </c>
      <c r="D82" s="17">
        <v>4.5910000000000002</v>
      </c>
      <c r="E82" s="3">
        <v>6.81</v>
      </c>
      <c r="F82" s="3">
        <v>10.039999999999999</v>
      </c>
      <c r="G82" s="3">
        <v>0</v>
      </c>
      <c r="H82" s="3">
        <v>10.039999999999999</v>
      </c>
      <c r="I82" s="3">
        <v>106</v>
      </c>
      <c r="J82" s="3">
        <v>2.335</v>
      </c>
      <c r="K82" s="3">
        <v>0.245</v>
      </c>
    </row>
    <row r="83" spans="1:12" x14ac:dyDescent="0.25">
      <c r="A83" s="2">
        <v>0</v>
      </c>
      <c r="B83" s="2" t="s">
        <v>154</v>
      </c>
      <c r="C83" s="2" t="s">
        <v>155</v>
      </c>
      <c r="D83" s="17">
        <v>2.1040000000000001</v>
      </c>
      <c r="E83" s="3">
        <v>3.17</v>
      </c>
      <c r="F83" s="3">
        <v>10.34</v>
      </c>
      <c r="G83" s="3">
        <v>0.8</v>
      </c>
      <c r="H83" s="3">
        <v>9.5399999999999991</v>
      </c>
      <c r="I83" s="3">
        <v>60</v>
      </c>
      <c r="J83" s="3">
        <v>0.99</v>
      </c>
      <c r="K83" s="3">
        <v>0.124</v>
      </c>
    </row>
    <row r="84" spans="1:12" x14ac:dyDescent="0.25">
      <c r="A84" s="2">
        <v>0</v>
      </c>
      <c r="B84" s="2" t="s">
        <v>156</v>
      </c>
      <c r="C84" s="2" t="s">
        <v>157</v>
      </c>
      <c r="D84" s="2">
        <v>1.177</v>
      </c>
      <c r="E84" s="2">
        <v>2.99</v>
      </c>
      <c r="F84" s="2">
        <v>12.13</v>
      </c>
      <c r="G84" s="2">
        <v>0.7</v>
      </c>
      <c r="H84" s="2">
        <v>9.5500000000000007</v>
      </c>
      <c r="I84" s="2">
        <v>66</v>
      </c>
      <c r="J84" s="2">
        <v>0.45500000000000002</v>
      </c>
      <c r="K84" s="2">
        <v>8.8999999999999996E-2</v>
      </c>
      <c r="L84" s="2"/>
    </row>
    <row r="85" spans="1:12" x14ac:dyDescent="0.25">
      <c r="A85" s="2">
        <v>0</v>
      </c>
      <c r="B85" s="2" t="s">
        <v>158</v>
      </c>
      <c r="C85" s="2" t="s">
        <v>159</v>
      </c>
      <c r="D85" s="2">
        <v>1.431</v>
      </c>
      <c r="E85" s="2">
        <v>3.52</v>
      </c>
      <c r="F85" s="2">
        <v>10.74</v>
      </c>
      <c r="G85" s="2">
        <v>1</v>
      </c>
      <c r="H85" s="2">
        <v>9.66</v>
      </c>
      <c r="I85" s="2">
        <v>44</v>
      </c>
      <c r="J85" s="2">
        <v>0.67700000000000005</v>
      </c>
      <c r="K85" s="2">
        <v>8.4000000000000005E-2</v>
      </c>
      <c r="L85" s="2"/>
    </row>
    <row r="86" spans="1:12" x14ac:dyDescent="0.25">
      <c r="A86" s="2">
        <v>0</v>
      </c>
      <c r="B86" s="2" t="s">
        <v>160</v>
      </c>
      <c r="C86" s="2" t="s">
        <v>161</v>
      </c>
      <c r="D86" s="2">
        <v>2.6669999999999998</v>
      </c>
      <c r="E86" s="2">
        <v>3.56</v>
      </c>
      <c r="F86" s="2">
        <v>4.45</v>
      </c>
      <c r="G86" s="2">
        <v>0</v>
      </c>
      <c r="H86" s="2">
        <v>4.45</v>
      </c>
      <c r="I86" s="2">
        <v>50</v>
      </c>
      <c r="J86" s="2">
        <v>1.109</v>
      </c>
      <c r="K86" s="2">
        <v>0.14899999999999999</v>
      </c>
      <c r="L86" s="2"/>
    </row>
    <row r="87" spans="1:12" x14ac:dyDescent="0.25">
      <c r="A87" s="2">
        <v>0</v>
      </c>
      <c r="B87" s="2" t="s">
        <v>162</v>
      </c>
      <c r="C87" s="2" t="s">
        <v>163</v>
      </c>
      <c r="D87" s="2">
        <v>2.0089999999999999</v>
      </c>
      <c r="E87" s="2">
        <v>1.03</v>
      </c>
      <c r="F87" s="2">
        <v>6.89</v>
      </c>
      <c r="G87" s="2">
        <v>0</v>
      </c>
      <c r="H87" s="2">
        <v>6.89</v>
      </c>
      <c r="I87" s="2">
        <v>17</v>
      </c>
      <c r="J87" s="2">
        <v>1.6579999999999999</v>
      </c>
      <c r="K87" s="2">
        <v>0.497</v>
      </c>
      <c r="L87" s="2"/>
    </row>
    <row r="88" spans="1:12" x14ac:dyDescent="0.25">
      <c r="A88" s="2">
        <v>0</v>
      </c>
      <c r="B88" s="2" t="s">
        <v>164</v>
      </c>
      <c r="C88" s="2" t="s">
        <v>165</v>
      </c>
      <c r="D88" s="2">
        <v>4.5970000000000004</v>
      </c>
      <c r="E88" s="2">
        <v>3.75</v>
      </c>
      <c r="F88" s="2">
        <v>5.18</v>
      </c>
      <c r="G88" s="2">
        <v>0</v>
      </c>
      <c r="H88" s="2"/>
      <c r="I88" s="2">
        <v>52</v>
      </c>
      <c r="J88" s="2">
        <v>1.7869999999999999</v>
      </c>
      <c r="K88" s="2">
        <v>0.14599999999999999</v>
      </c>
      <c r="L88" s="2"/>
    </row>
    <row r="89" spans="1:12" x14ac:dyDescent="0.25">
      <c r="A89" s="2">
        <v>0</v>
      </c>
      <c r="B89" s="2" t="s">
        <v>166</v>
      </c>
      <c r="C89" s="2" t="s">
        <v>167</v>
      </c>
      <c r="D89" s="2">
        <v>4.6029999999999998</v>
      </c>
      <c r="E89" s="2">
        <v>5.98</v>
      </c>
      <c r="F89" s="2">
        <v>5.36</v>
      </c>
      <c r="G89" s="2">
        <v>0</v>
      </c>
      <c r="H89" s="2"/>
      <c r="I89" s="2">
        <v>44</v>
      </c>
      <c r="J89" s="2">
        <v>1.724</v>
      </c>
      <c r="K89" s="2">
        <v>0.308</v>
      </c>
      <c r="L89" s="2"/>
    </row>
    <row r="90" spans="1:12" x14ac:dyDescent="0.25">
      <c r="A90" s="2">
        <v>0</v>
      </c>
      <c r="B90" s="2" t="s">
        <v>168</v>
      </c>
      <c r="C90" s="2" t="s">
        <v>169</v>
      </c>
      <c r="D90" s="2">
        <v>1.681</v>
      </c>
      <c r="E90" s="2">
        <v>3.05</v>
      </c>
      <c r="F90" s="2">
        <v>21.15</v>
      </c>
      <c r="G90" s="2">
        <v>0.3</v>
      </c>
      <c r="H90" s="2">
        <v>20.85</v>
      </c>
      <c r="I90" s="2">
        <v>111</v>
      </c>
      <c r="J90" s="2">
        <v>0.78</v>
      </c>
      <c r="K90" s="2">
        <v>0.1</v>
      </c>
      <c r="L90" s="2"/>
    </row>
    <row r="91" spans="1:12" x14ac:dyDescent="0.25">
      <c r="A91" s="2">
        <v>0</v>
      </c>
      <c r="B91" s="2" t="s">
        <v>170</v>
      </c>
      <c r="C91" s="2" t="s">
        <v>171</v>
      </c>
      <c r="D91" s="2">
        <v>1.8859999999999999</v>
      </c>
      <c r="E91" s="2">
        <v>3.86</v>
      </c>
      <c r="F91" s="2">
        <v>17.75</v>
      </c>
      <c r="G91" s="2">
        <v>0</v>
      </c>
      <c r="H91" s="2">
        <v>17.75</v>
      </c>
      <c r="I91" s="2">
        <v>95</v>
      </c>
      <c r="J91" s="2">
        <v>0.875</v>
      </c>
      <c r="K91" s="2">
        <v>0.113</v>
      </c>
      <c r="L91" s="2"/>
    </row>
    <row r="92" spans="1:12" x14ac:dyDescent="0.25">
      <c r="A92" s="2">
        <v>0</v>
      </c>
      <c r="B92" s="2" t="s">
        <v>172</v>
      </c>
      <c r="C92" s="2" t="s">
        <v>173</v>
      </c>
      <c r="D92" s="2">
        <v>0.34200000000000003</v>
      </c>
      <c r="E92" s="2">
        <v>11.73</v>
      </c>
      <c r="F92" s="2">
        <v>73.45</v>
      </c>
      <c r="G92" s="2">
        <v>0</v>
      </c>
      <c r="H92" s="2">
        <v>73.45</v>
      </c>
      <c r="I92" s="2">
        <v>968</v>
      </c>
      <c r="J92" s="2">
        <v>0.14899999999999999</v>
      </c>
      <c r="K92" s="2">
        <v>2.1000000000000001E-2</v>
      </c>
      <c r="L92" s="2"/>
    </row>
    <row r="93" spans="1:12" x14ac:dyDescent="0.25">
      <c r="A93" s="2">
        <v>0</v>
      </c>
      <c r="B93" s="2" t="s">
        <v>174</v>
      </c>
      <c r="C93" s="2" t="s">
        <v>175</v>
      </c>
      <c r="D93" s="2">
        <v>0.23</v>
      </c>
      <c r="E93" s="2">
        <v>0.85</v>
      </c>
      <c r="F93" s="2">
        <v>5.14</v>
      </c>
      <c r="G93" s="2">
        <v>0</v>
      </c>
      <c r="H93" s="2">
        <v>5.14</v>
      </c>
      <c r="I93" s="2">
        <v>54</v>
      </c>
      <c r="J93" s="2">
        <v>0.1</v>
      </c>
      <c r="K93" s="2">
        <v>1.0999999999999999E-2</v>
      </c>
      <c r="L93" s="2"/>
    </row>
    <row r="94" spans="1:12" x14ac:dyDescent="0.25">
      <c r="A94" s="2">
        <v>0</v>
      </c>
      <c r="B94" s="2" t="s">
        <v>176</v>
      </c>
      <c r="C94" s="2" t="s">
        <v>177</v>
      </c>
      <c r="D94" s="2">
        <v>0.68400000000000005</v>
      </c>
      <c r="E94" s="2">
        <v>12.93</v>
      </c>
      <c r="F94" s="2">
        <v>74.459999999999994</v>
      </c>
      <c r="G94" s="2">
        <v>0</v>
      </c>
      <c r="H94" s="2">
        <v>74.459999999999994</v>
      </c>
      <c r="I94" s="2">
        <v>1079</v>
      </c>
      <c r="J94" s="2">
        <v>0.29699999999999999</v>
      </c>
      <c r="K94" s="2">
        <v>3.4000000000000002E-2</v>
      </c>
      <c r="L94" s="2"/>
    </row>
    <row r="95" spans="1:12" x14ac:dyDescent="0.25">
      <c r="A95" s="2">
        <v>0</v>
      </c>
      <c r="B95" s="2" t="s">
        <v>178</v>
      </c>
      <c r="C95" s="2" t="s">
        <v>179</v>
      </c>
      <c r="D95" s="2">
        <v>1</v>
      </c>
      <c r="E95" s="2">
        <v>5.25</v>
      </c>
      <c r="F95" s="2">
        <v>7.04</v>
      </c>
      <c r="G95" s="2">
        <v>0</v>
      </c>
      <c r="H95" s="2">
        <v>7.04</v>
      </c>
      <c r="I95" s="2">
        <v>70</v>
      </c>
      <c r="J95" s="2">
        <v>0.42599999999999999</v>
      </c>
      <c r="K95" s="2">
        <v>4.3999999999999997E-2</v>
      </c>
      <c r="L95" s="2"/>
    </row>
    <row r="96" spans="1:12" x14ac:dyDescent="0.25">
      <c r="A96" s="2">
        <v>0</v>
      </c>
      <c r="B96" s="2" t="s">
        <v>180</v>
      </c>
      <c r="C96" s="2" t="s">
        <v>181</v>
      </c>
      <c r="D96" s="2">
        <v>0.11600000000000001</v>
      </c>
      <c r="E96" s="2">
        <v>5.73</v>
      </c>
      <c r="F96" s="2">
        <v>7.68</v>
      </c>
      <c r="G96" s="2">
        <v>0</v>
      </c>
      <c r="H96" s="2">
        <v>7.68</v>
      </c>
      <c r="I96" s="2">
        <v>77</v>
      </c>
      <c r="J96" s="2">
        <v>4.9000000000000002E-2</v>
      </c>
      <c r="K96" s="2">
        <v>5.0000000000000001E-3</v>
      </c>
      <c r="L96" s="2"/>
    </row>
    <row r="97" spans="1:12" x14ac:dyDescent="0.25">
      <c r="A97" s="2">
        <v>0</v>
      </c>
      <c r="B97" s="2" t="s">
        <v>182</v>
      </c>
      <c r="C97" s="2" t="s">
        <v>183</v>
      </c>
      <c r="D97" s="2">
        <v>0.80600000000000005</v>
      </c>
      <c r="E97" s="2">
        <v>4.93</v>
      </c>
      <c r="F97" s="2">
        <v>13.8</v>
      </c>
      <c r="G97" s="2">
        <v>0</v>
      </c>
      <c r="H97" s="2">
        <v>13.8</v>
      </c>
      <c r="I97" s="2">
        <v>66</v>
      </c>
      <c r="J97" s="2">
        <v>0.34300000000000003</v>
      </c>
      <c r="K97" s="2">
        <v>3.5999999999999997E-2</v>
      </c>
      <c r="L97" s="2"/>
    </row>
    <row r="98" spans="1:12" x14ac:dyDescent="0.25">
      <c r="A98" s="2">
        <v>0</v>
      </c>
      <c r="B98" s="2" t="s">
        <v>184</v>
      </c>
      <c r="C98" s="2" t="s">
        <v>185</v>
      </c>
      <c r="D98" s="2">
        <v>0.74199999999999999</v>
      </c>
      <c r="E98" s="2">
        <v>3.98</v>
      </c>
      <c r="F98" s="2">
        <v>18.64</v>
      </c>
      <c r="G98" s="2">
        <v>0</v>
      </c>
      <c r="H98" s="2">
        <v>18.64</v>
      </c>
      <c r="I98" s="2">
        <v>53</v>
      </c>
      <c r="J98" s="2">
        <v>0.316</v>
      </c>
      <c r="K98" s="2">
        <v>3.3000000000000002E-2</v>
      </c>
      <c r="L98" s="2"/>
    </row>
    <row r="99" spans="1:12" x14ac:dyDescent="0.25">
      <c r="A99" s="2">
        <v>0</v>
      </c>
      <c r="B99" s="2" t="s">
        <v>186</v>
      </c>
      <c r="C99" s="2" t="s">
        <v>187</v>
      </c>
      <c r="D99" s="2">
        <v>0.69699999999999995</v>
      </c>
      <c r="E99" s="2">
        <v>4.37</v>
      </c>
      <c r="F99" s="2">
        <v>19.05</v>
      </c>
      <c r="G99" s="2">
        <v>0</v>
      </c>
      <c r="H99" s="2">
        <v>19.05</v>
      </c>
      <c r="I99" s="2">
        <v>58</v>
      </c>
      <c r="J99" s="2">
        <v>0.29699999999999999</v>
      </c>
      <c r="K99" s="2">
        <v>3.1E-2</v>
      </c>
      <c r="L99" s="2"/>
    </row>
    <row r="100" spans="1:12" x14ac:dyDescent="0.25">
      <c r="A100" s="2">
        <v>0</v>
      </c>
      <c r="B100" s="2" t="s">
        <v>188</v>
      </c>
      <c r="C100" s="2" t="s">
        <v>189</v>
      </c>
      <c r="D100" s="2">
        <v>0.90900000000000003</v>
      </c>
      <c r="E100" s="2">
        <v>4.8600000000000003</v>
      </c>
      <c r="F100" s="2">
        <v>18.600000000000001</v>
      </c>
      <c r="G100" s="2">
        <v>0</v>
      </c>
      <c r="H100" s="2"/>
      <c r="I100" s="2">
        <v>65</v>
      </c>
      <c r="J100" s="2">
        <v>0.38700000000000001</v>
      </c>
      <c r="K100" s="2">
        <v>0.04</v>
      </c>
      <c r="L100" s="2"/>
    </row>
    <row r="101" spans="1:12" x14ac:dyDescent="0.25">
      <c r="A101" s="2">
        <v>0</v>
      </c>
      <c r="B101" s="2" t="s">
        <v>190</v>
      </c>
      <c r="C101" s="2" t="s">
        <v>191</v>
      </c>
      <c r="D101" s="2">
        <v>3.1259999999999999</v>
      </c>
      <c r="E101" s="2">
        <v>12.56</v>
      </c>
      <c r="F101" s="2">
        <v>0.72</v>
      </c>
      <c r="G101" s="2">
        <v>0</v>
      </c>
      <c r="H101" s="2">
        <v>0.37</v>
      </c>
      <c r="I101" s="2">
        <v>142</v>
      </c>
      <c r="J101" s="2">
        <v>3.6579999999999999</v>
      </c>
      <c r="K101" s="2">
        <v>1.911</v>
      </c>
      <c r="L101" s="2"/>
    </row>
    <row r="102" spans="1:12" x14ac:dyDescent="0.25">
      <c r="A102" s="2">
        <v>0</v>
      </c>
      <c r="B102" s="2" t="s">
        <v>192</v>
      </c>
      <c r="C102" s="2" t="s">
        <v>193</v>
      </c>
      <c r="D102" s="2">
        <v>9.5510000000000002</v>
      </c>
      <c r="E102" s="2">
        <v>15.86</v>
      </c>
      <c r="F102" s="2">
        <v>3.59</v>
      </c>
      <c r="G102" s="2">
        <v>0</v>
      </c>
      <c r="H102" s="2">
        <v>0.56000000000000005</v>
      </c>
      <c r="I102" s="2">
        <v>48</v>
      </c>
      <c r="J102" s="2">
        <v>11.738</v>
      </c>
      <c r="K102" s="2">
        <v>4.2039999999999997</v>
      </c>
      <c r="L102" s="2"/>
    </row>
    <row r="103" spans="1:12" x14ac:dyDescent="0.25">
      <c r="A103" s="2">
        <v>0</v>
      </c>
      <c r="B103" s="2" t="s">
        <v>194</v>
      </c>
      <c r="C103" s="2" t="s">
        <v>195</v>
      </c>
      <c r="D103" s="2">
        <v>8.6150000000000002</v>
      </c>
      <c r="E103" s="2">
        <v>15.53</v>
      </c>
      <c r="F103" s="2">
        <v>0.81</v>
      </c>
      <c r="G103" s="2">
        <v>0</v>
      </c>
      <c r="H103" s="2">
        <v>0.16</v>
      </c>
      <c r="I103" s="2">
        <v>67</v>
      </c>
      <c r="J103" s="2">
        <v>9.9559999999999995</v>
      </c>
      <c r="K103" s="2">
        <v>4.827</v>
      </c>
      <c r="L103" s="2"/>
    </row>
    <row r="104" spans="1:12" x14ac:dyDescent="0.25">
      <c r="A104" s="2">
        <v>0</v>
      </c>
      <c r="B104" s="2" t="s">
        <v>196</v>
      </c>
      <c r="C104" s="2" t="s">
        <v>197</v>
      </c>
      <c r="D104" s="2">
        <v>4.3230000000000004</v>
      </c>
      <c r="E104" s="2">
        <v>13.61</v>
      </c>
      <c r="F104" s="2">
        <v>0.83</v>
      </c>
      <c r="G104" s="2">
        <v>0</v>
      </c>
      <c r="H104" s="2">
        <v>0.4</v>
      </c>
      <c r="I104" s="2">
        <v>207</v>
      </c>
      <c r="J104" s="2">
        <v>6.1820000000000004</v>
      </c>
      <c r="K104" s="2">
        <v>3.2509999999999999</v>
      </c>
      <c r="L104" s="2"/>
    </row>
    <row r="105" spans="1:12" x14ac:dyDescent="0.25">
      <c r="A105" s="2">
        <v>0</v>
      </c>
      <c r="B105" s="2" t="s">
        <v>198</v>
      </c>
      <c r="C105" s="2" t="s">
        <v>199</v>
      </c>
      <c r="D105" s="2">
        <v>3.319</v>
      </c>
      <c r="E105" s="2">
        <v>10.57</v>
      </c>
      <c r="F105" s="2">
        <v>0.64</v>
      </c>
      <c r="G105" s="2">
        <v>0</v>
      </c>
      <c r="H105" s="2">
        <v>0.31</v>
      </c>
      <c r="I105" s="2">
        <v>155</v>
      </c>
      <c r="J105" s="2">
        <v>4.843</v>
      </c>
      <c r="K105" s="2">
        <v>2.7120000000000002</v>
      </c>
      <c r="L105" s="2"/>
    </row>
    <row r="106" spans="1:12" x14ac:dyDescent="0.25">
      <c r="A106" s="2">
        <v>0</v>
      </c>
      <c r="B106" s="2" t="s">
        <v>200</v>
      </c>
      <c r="C106" s="2" t="s">
        <v>201</v>
      </c>
      <c r="D106" s="2">
        <v>3.331</v>
      </c>
      <c r="E106" s="2">
        <v>9.99</v>
      </c>
      <c r="F106" s="2">
        <v>1.61</v>
      </c>
      <c r="G106" s="2">
        <v>0</v>
      </c>
      <c r="H106" s="2">
        <v>1.39</v>
      </c>
      <c r="I106" s="2">
        <v>145</v>
      </c>
      <c r="J106" s="2">
        <v>4.4409999999999998</v>
      </c>
      <c r="K106" s="2">
        <v>2.4289999999999998</v>
      </c>
      <c r="L106" s="2"/>
    </row>
    <row r="107" spans="1:12" x14ac:dyDescent="0.25">
      <c r="A107" s="2">
        <v>0</v>
      </c>
      <c r="B107" s="2" t="s">
        <v>202</v>
      </c>
      <c r="C107" s="2" t="s">
        <v>203</v>
      </c>
      <c r="D107" s="2">
        <v>15.069000000000001</v>
      </c>
      <c r="E107" s="2">
        <v>48.05</v>
      </c>
      <c r="F107" s="2">
        <v>1.1299999999999999</v>
      </c>
      <c r="G107" s="2">
        <v>0</v>
      </c>
      <c r="H107" s="2">
        <v>0.56000000000000005</v>
      </c>
      <c r="I107" s="2">
        <v>476</v>
      </c>
      <c r="J107" s="2">
        <v>16.725999999999999</v>
      </c>
      <c r="K107" s="2">
        <v>8.3140000000000001</v>
      </c>
      <c r="L107" s="2"/>
    </row>
    <row r="108" spans="1:12" x14ac:dyDescent="0.25">
      <c r="A108" s="2">
        <v>0</v>
      </c>
      <c r="B108" s="2" t="s">
        <v>204</v>
      </c>
      <c r="C108" s="2" t="s">
        <v>205</v>
      </c>
      <c r="D108" s="2">
        <v>13.198</v>
      </c>
      <c r="E108" s="2">
        <v>48.17</v>
      </c>
      <c r="F108" s="2">
        <v>2.38</v>
      </c>
      <c r="G108" s="2">
        <v>0</v>
      </c>
      <c r="H108" s="2"/>
      <c r="I108" s="2">
        <v>548</v>
      </c>
      <c r="J108" s="2">
        <v>17.564</v>
      </c>
      <c r="K108" s="2">
        <v>5.7130000000000001</v>
      </c>
      <c r="L108" s="2"/>
    </row>
    <row r="109" spans="1:12" x14ac:dyDescent="0.25">
      <c r="A109" s="2">
        <v>0</v>
      </c>
      <c r="B109" s="2" t="s">
        <v>206</v>
      </c>
      <c r="C109" s="2" t="s">
        <v>207</v>
      </c>
      <c r="D109" s="2">
        <v>0</v>
      </c>
      <c r="E109" s="2">
        <v>76.92</v>
      </c>
      <c r="F109" s="2">
        <v>4.17</v>
      </c>
      <c r="G109" s="2">
        <v>0</v>
      </c>
      <c r="H109" s="2">
        <v>0</v>
      </c>
      <c r="I109" s="2">
        <v>1156</v>
      </c>
      <c r="J109" s="2">
        <v>0</v>
      </c>
      <c r="K109" s="2">
        <v>0</v>
      </c>
      <c r="L109" s="2"/>
    </row>
    <row r="110" spans="1:12" x14ac:dyDescent="0.25">
      <c r="A110" s="2">
        <v>0</v>
      </c>
      <c r="B110" s="2" t="s">
        <v>208</v>
      </c>
      <c r="C110" s="2" t="s">
        <v>209</v>
      </c>
      <c r="D110" s="2">
        <v>3.681</v>
      </c>
      <c r="E110" s="2">
        <v>12.81</v>
      </c>
      <c r="F110" s="2">
        <v>1.45</v>
      </c>
      <c r="G110" s="2">
        <v>0</v>
      </c>
      <c r="H110" s="2">
        <v>0.93</v>
      </c>
      <c r="I110" s="2">
        <v>146</v>
      </c>
      <c r="J110" s="2">
        <v>6.5250000000000004</v>
      </c>
      <c r="K110" s="2">
        <v>1.2230000000000001</v>
      </c>
      <c r="L110" s="2"/>
    </row>
    <row r="111" spans="1:12" x14ac:dyDescent="0.25">
      <c r="A111" s="2">
        <v>0</v>
      </c>
      <c r="B111" s="2" t="s">
        <v>210</v>
      </c>
      <c r="C111" s="2" t="s">
        <v>211</v>
      </c>
      <c r="D111" s="2">
        <v>3.5950000000000002</v>
      </c>
      <c r="E111" s="2">
        <v>13.87</v>
      </c>
      <c r="F111" s="2">
        <v>1.35</v>
      </c>
      <c r="G111" s="2">
        <v>0</v>
      </c>
      <c r="H111" s="2">
        <v>0.94</v>
      </c>
      <c r="I111" s="2">
        <v>138</v>
      </c>
      <c r="J111" s="2">
        <v>5.7469999999999999</v>
      </c>
      <c r="K111" s="2">
        <v>1.6719999999999999</v>
      </c>
      <c r="L111" s="2"/>
    </row>
    <row r="112" spans="1:12" x14ac:dyDescent="0.25">
      <c r="A112" s="2">
        <v>0</v>
      </c>
      <c r="B112" s="2" t="s">
        <v>212</v>
      </c>
      <c r="C112" s="2" t="s">
        <v>213</v>
      </c>
      <c r="D112" s="2">
        <v>3.5569999999999999</v>
      </c>
      <c r="E112" s="2">
        <v>13.05</v>
      </c>
      <c r="F112" s="2">
        <v>0.41</v>
      </c>
      <c r="G112" s="2">
        <v>0</v>
      </c>
      <c r="H112" s="2">
        <v>0.4</v>
      </c>
      <c r="I112" s="2">
        <v>141</v>
      </c>
      <c r="J112" s="2">
        <v>4.3239999999999998</v>
      </c>
      <c r="K112" s="2">
        <v>1.3240000000000001</v>
      </c>
      <c r="L112" s="2"/>
    </row>
    <row r="113" spans="1:12" x14ac:dyDescent="0.25">
      <c r="A113" s="2">
        <v>0</v>
      </c>
      <c r="B113" s="2" t="s">
        <v>214</v>
      </c>
      <c r="C113" s="2" t="s">
        <v>215</v>
      </c>
      <c r="D113" s="2">
        <v>3.766</v>
      </c>
      <c r="E113" s="2">
        <v>55.5</v>
      </c>
      <c r="F113" s="2">
        <v>21.8</v>
      </c>
      <c r="G113" s="2">
        <v>0</v>
      </c>
      <c r="H113" s="2">
        <v>21.8</v>
      </c>
      <c r="I113" s="2">
        <v>800</v>
      </c>
      <c r="J113" s="2">
        <v>5.3410000000000002</v>
      </c>
      <c r="K113" s="2">
        <v>1.6830000000000001</v>
      </c>
      <c r="L113" s="2"/>
    </row>
    <row r="114" spans="1:12" x14ac:dyDescent="0.25">
      <c r="A114" s="2">
        <v>0</v>
      </c>
      <c r="B114" s="2" t="s">
        <v>216</v>
      </c>
      <c r="C114" s="2" t="s">
        <v>217</v>
      </c>
      <c r="D114" s="2">
        <v>50.488999999999997</v>
      </c>
      <c r="E114" s="2">
        <v>0.85</v>
      </c>
      <c r="F114" s="2">
        <v>0.06</v>
      </c>
      <c r="G114" s="2">
        <v>0</v>
      </c>
      <c r="H114" s="2">
        <v>0.06</v>
      </c>
      <c r="I114" s="2">
        <v>11</v>
      </c>
      <c r="J114" s="2">
        <v>23.43</v>
      </c>
      <c r="K114" s="2">
        <v>3.01</v>
      </c>
      <c r="L114" s="2"/>
    </row>
    <row r="115" spans="1:12" x14ac:dyDescent="0.25">
      <c r="A115" s="2">
        <v>0</v>
      </c>
      <c r="B115" s="2" t="s">
        <v>218</v>
      </c>
      <c r="C115" s="2" t="s">
        <v>219</v>
      </c>
      <c r="D115" s="2">
        <v>17.37</v>
      </c>
      <c r="E115" s="2">
        <v>37.86</v>
      </c>
      <c r="F115" s="2">
        <v>3.41</v>
      </c>
      <c r="G115" s="2">
        <v>0</v>
      </c>
      <c r="H115" s="2">
        <v>0.9</v>
      </c>
      <c r="I115" s="2">
        <v>1696</v>
      </c>
      <c r="J115" s="2">
        <v>8.734</v>
      </c>
      <c r="K115" s="2">
        <v>0.66100000000000003</v>
      </c>
      <c r="L115" s="2"/>
    </row>
    <row r="116" spans="1:12" x14ac:dyDescent="0.25">
      <c r="A116" s="2">
        <v>0</v>
      </c>
      <c r="B116" s="2" t="s">
        <v>220</v>
      </c>
      <c r="C116" s="2" t="s">
        <v>221</v>
      </c>
      <c r="D116" s="2">
        <v>5.0999999999999997E-2</v>
      </c>
      <c r="E116" s="2">
        <v>3.37</v>
      </c>
      <c r="F116" s="2">
        <v>4.96</v>
      </c>
      <c r="G116" s="2">
        <v>0</v>
      </c>
      <c r="H116" s="2">
        <v>5.09</v>
      </c>
      <c r="I116" s="2">
        <v>42</v>
      </c>
      <c r="J116" s="2">
        <v>2.1000000000000001E-2</v>
      </c>
      <c r="K116" s="2">
        <v>3.0000000000000001E-3</v>
      </c>
      <c r="L116" s="2"/>
    </row>
    <row r="117" spans="1:12" x14ac:dyDescent="0.25">
      <c r="A117" s="2">
        <v>0</v>
      </c>
      <c r="B117" s="2" t="s">
        <v>222</v>
      </c>
      <c r="C117" s="2" t="s">
        <v>223</v>
      </c>
      <c r="D117" s="2">
        <v>1.232</v>
      </c>
      <c r="E117" s="2">
        <v>3.95</v>
      </c>
      <c r="F117" s="2">
        <v>5.49</v>
      </c>
      <c r="G117" s="2">
        <v>0</v>
      </c>
      <c r="H117" s="2"/>
      <c r="I117" s="2">
        <v>59</v>
      </c>
      <c r="J117" s="2">
        <v>6.5000000000000002E-2</v>
      </c>
      <c r="K117" s="2">
        <v>8.9999999999999993E-3</v>
      </c>
      <c r="L117" s="2"/>
    </row>
    <row r="118" spans="1:12" x14ac:dyDescent="0.25">
      <c r="A118" s="2">
        <v>0</v>
      </c>
      <c r="B118" s="2" t="s">
        <v>224</v>
      </c>
      <c r="C118" s="2" t="s">
        <v>225</v>
      </c>
      <c r="D118" s="2">
        <v>4.5910000000000002</v>
      </c>
      <c r="E118" s="2">
        <v>6.81</v>
      </c>
      <c r="F118" s="2">
        <v>10.039999999999999</v>
      </c>
      <c r="G118" s="2">
        <v>0</v>
      </c>
      <c r="H118" s="2"/>
      <c r="I118" s="2">
        <v>106</v>
      </c>
      <c r="J118" s="2">
        <v>2.335</v>
      </c>
      <c r="K118" s="2">
        <v>0.245</v>
      </c>
      <c r="L118" s="2"/>
    </row>
    <row r="119" spans="1:12" x14ac:dyDescent="0.25">
      <c r="A119" s="2">
        <v>0</v>
      </c>
      <c r="B119" s="2" t="s">
        <v>226</v>
      </c>
      <c r="C119" s="2" t="s">
        <v>227</v>
      </c>
      <c r="D119" s="2">
        <v>0.499</v>
      </c>
      <c r="E119" s="2">
        <v>36.159999999999997</v>
      </c>
      <c r="F119" s="2">
        <v>51.98</v>
      </c>
      <c r="G119" s="2">
        <v>0</v>
      </c>
      <c r="H119" s="2">
        <v>51.98</v>
      </c>
      <c r="I119" s="2">
        <v>535</v>
      </c>
      <c r="J119" s="2">
        <v>0.2</v>
      </c>
      <c r="K119" s="2">
        <v>0.03</v>
      </c>
      <c r="L119" s="2"/>
    </row>
    <row r="120" spans="1:12" x14ac:dyDescent="0.25">
      <c r="A120" s="2">
        <v>0</v>
      </c>
      <c r="B120" s="2" t="s">
        <v>228</v>
      </c>
      <c r="C120" s="2" t="s">
        <v>229</v>
      </c>
      <c r="D120" s="2">
        <v>0.47</v>
      </c>
      <c r="E120" s="2">
        <v>35.1</v>
      </c>
      <c r="F120" s="2">
        <v>52.19</v>
      </c>
      <c r="G120" s="2">
        <v>0</v>
      </c>
      <c r="H120" s="2">
        <v>52.19</v>
      </c>
      <c r="I120" s="2">
        <v>549</v>
      </c>
      <c r="J120" s="2">
        <v>0.19</v>
      </c>
      <c r="K120" s="2">
        <v>0.03</v>
      </c>
      <c r="L120" s="2"/>
    </row>
    <row r="121" spans="1:12" x14ac:dyDescent="0.25">
      <c r="A121" s="2">
        <v>0</v>
      </c>
      <c r="B121" s="2" t="s">
        <v>230</v>
      </c>
      <c r="C121" s="2" t="s">
        <v>231</v>
      </c>
      <c r="D121" s="2">
        <v>24.609000000000002</v>
      </c>
      <c r="E121" s="2">
        <v>30.52</v>
      </c>
      <c r="F121" s="2">
        <v>2.17</v>
      </c>
      <c r="G121" s="2">
        <v>0</v>
      </c>
      <c r="H121" s="2">
        <v>2.17</v>
      </c>
      <c r="I121" s="2">
        <v>423</v>
      </c>
      <c r="J121" s="2">
        <v>8.1170000000000009</v>
      </c>
      <c r="K121" s="2">
        <v>0.84499999999999997</v>
      </c>
      <c r="L121" s="2"/>
    </row>
    <row r="122" spans="1:12" x14ac:dyDescent="0.25">
      <c r="A122" s="2">
        <v>0</v>
      </c>
      <c r="B122" s="2" t="s">
        <v>232</v>
      </c>
      <c r="C122" s="2" t="s">
        <v>233</v>
      </c>
      <c r="D122" s="2">
        <v>20.638999999999999</v>
      </c>
      <c r="E122" s="2">
        <v>21.58</v>
      </c>
      <c r="F122" s="2">
        <v>0.12</v>
      </c>
      <c r="G122" s="2">
        <v>0</v>
      </c>
      <c r="H122" s="2">
        <v>0.12</v>
      </c>
      <c r="I122" s="2">
        <v>415</v>
      </c>
      <c r="J122" s="2">
        <v>6.8079999999999998</v>
      </c>
      <c r="K122" s="2">
        <v>0.70899999999999996</v>
      </c>
      <c r="L122" s="2"/>
    </row>
    <row r="123" spans="1:12" x14ac:dyDescent="0.25">
      <c r="A123" s="2">
        <v>0</v>
      </c>
      <c r="B123" s="2" t="s">
        <v>234</v>
      </c>
      <c r="C123" s="2" t="s">
        <v>235</v>
      </c>
      <c r="D123" s="2">
        <v>7.1589999999999998</v>
      </c>
      <c r="E123" s="2">
        <v>14.07</v>
      </c>
      <c r="F123" s="2">
        <v>1.77</v>
      </c>
      <c r="G123" s="2">
        <v>0</v>
      </c>
      <c r="H123" s="2">
        <v>7.0000000000000007E-2</v>
      </c>
      <c r="I123" s="2">
        <v>3487</v>
      </c>
      <c r="J123" s="2">
        <v>9.07</v>
      </c>
      <c r="K123" s="2">
        <v>3.7330000000000001</v>
      </c>
      <c r="L123" s="2"/>
    </row>
    <row r="124" spans="1:12" x14ac:dyDescent="0.25">
      <c r="A124" s="2">
        <v>0</v>
      </c>
      <c r="B124" s="2" t="s">
        <v>236</v>
      </c>
      <c r="C124" s="2" t="s">
        <v>237</v>
      </c>
      <c r="D124" s="2">
        <v>3.7109999999999999</v>
      </c>
      <c r="E124" s="2">
        <v>11.47</v>
      </c>
      <c r="F124" s="2">
        <v>23.67</v>
      </c>
      <c r="G124" s="2">
        <v>0</v>
      </c>
      <c r="H124" s="2">
        <v>23.67</v>
      </c>
      <c r="I124" s="2">
        <v>685</v>
      </c>
      <c r="J124" s="2">
        <v>6.2430000000000003</v>
      </c>
      <c r="K124" s="2">
        <v>1.738</v>
      </c>
      <c r="L124" s="2"/>
    </row>
    <row r="125" spans="1:12" x14ac:dyDescent="0.25">
      <c r="A125" s="2">
        <v>0</v>
      </c>
      <c r="B125" s="2" t="s">
        <v>238</v>
      </c>
      <c r="C125" s="2" t="s">
        <v>239</v>
      </c>
      <c r="D125" s="2">
        <v>8.0340000000000007</v>
      </c>
      <c r="E125" s="2">
        <v>10.33</v>
      </c>
      <c r="F125" s="2">
        <v>5.48</v>
      </c>
      <c r="G125" s="2">
        <v>0.1</v>
      </c>
      <c r="H125" s="2">
        <v>0.19</v>
      </c>
      <c r="I125" s="2">
        <v>493</v>
      </c>
      <c r="J125" s="2">
        <v>4.7350000000000003</v>
      </c>
      <c r="K125" s="2">
        <v>1.397</v>
      </c>
      <c r="L125" s="2"/>
    </row>
    <row r="126" spans="1:12" x14ac:dyDescent="0.25">
      <c r="A126" s="2">
        <v>0</v>
      </c>
      <c r="B126" s="2" t="s">
        <v>240</v>
      </c>
      <c r="C126" s="2" t="s">
        <v>241</v>
      </c>
      <c r="D126" s="2">
        <v>19.033000000000001</v>
      </c>
      <c r="E126" s="2">
        <v>21.44</v>
      </c>
      <c r="F126" s="2">
        <v>4.63</v>
      </c>
      <c r="G126" s="2">
        <v>0</v>
      </c>
      <c r="H126" s="2">
        <v>4.63</v>
      </c>
      <c r="I126" s="2">
        <v>1131</v>
      </c>
      <c r="J126" s="2">
        <v>8.5280000000000005</v>
      </c>
      <c r="K126" s="2">
        <v>0.90100000000000002</v>
      </c>
      <c r="L126" s="2"/>
    </row>
    <row r="127" spans="1:12" x14ac:dyDescent="0.25">
      <c r="A127" s="2">
        <v>0</v>
      </c>
      <c r="B127" s="2" t="s">
        <v>242</v>
      </c>
      <c r="C127" s="2" t="s">
        <v>243</v>
      </c>
      <c r="D127" s="2">
        <v>17.939</v>
      </c>
      <c r="E127" s="2">
        <v>22.6</v>
      </c>
      <c r="F127" s="2">
        <v>2.87</v>
      </c>
      <c r="G127" s="2">
        <v>0</v>
      </c>
      <c r="H127" s="2">
        <v>2.87</v>
      </c>
      <c r="I127" s="2">
        <v>705</v>
      </c>
      <c r="J127" s="2">
        <v>8.0380000000000003</v>
      </c>
      <c r="K127" s="2">
        <v>0.85</v>
      </c>
      <c r="L127" s="2"/>
    </row>
    <row r="128" spans="1:12" x14ac:dyDescent="0.25">
      <c r="A128" s="2">
        <v>0</v>
      </c>
      <c r="B128" s="2" t="s">
        <v>244</v>
      </c>
      <c r="C128" s="2" t="s">
        <v>245</v>
      </c>
      <c r="D128" s="2">
        <v>4.3419999999999996</v>
      </c>
      <c r="E128" s="2">
        <v>24.35</v>
      </c>
      <c r="F128" s="2">
        <v>1.91</v>
      </c>
      <c r="G128" s="2">
        <v>0</v>
      </c>
      <c r="H128" s="2">
        <v>0.52</v>
      </c>
      <c r="I128" s="2">
        <v>873</v>
      </c>
      <c r="J128" s="2">
        <v>2.0819999999999999</v>
      </c>
      <c r="K128" s="2">
        <v>0.222</v>
      </c>
      <c r="L128" s="2"/>
    </row>
    <row r="129" spans="1:12" x14ac:dyDescent="0.25">
      <c r="A129" s="2">
        <v>0</v>
      </c>
      <c r="B129" s="2" t="s">
        <v>246</v>
      </c>
      <c r="C129" s="2" t="s">
        <v>247</v>
      </c>
      <c r="D129" s="2">
        <v>20.768000000000001</v>
      </c>
      <c r="E129" s="2">
        <v>24.35</v>
      </c>
      <c r="F129" s="2">
        <v>1.91</v>
      </c>
      <c r="G129" s="2">
        <v>0</v>
      </c>
      <c r="H129" s="2">
        <v>0.49</v>
      </c>
      <c r="I129" s="2">
        <v>21</v>
      </c>
      <c r="J129" s="2">
        <v>9.1890000000000001</v>
      </c>
      <c r="K129" s="2">
        <v>0.97199999999999998</v>
      </c>
      <c r="L129" s="2"/>
    </row>
    <row r="130" spans="1:12" x14ac:dyDescent="0.25">
      <c r="A130" s="2">
        <v>0</v>
      </c>
      <c r="B130" s="2" t="s">
        <v>248</v>
      </c>
      <c r="C130" s="2" t="s">
        <v>249</v>
      </c>
      <c r="D130" s="2">
        <v>3.3820000000000001</v>
      </c>
      <c r="E130" s="2">
        <v>12.33</v>
      </c>
      <c r="F130" s="2">
        <v>1.01</v>
      </c>
      <c r="G130" s="2">
        <v>0</v>
      </c>
      <c r="H130" s="2">
        <v>0.25</v>
      </c>
      <c r="I130" s="2">
        <v>128</v>
      </c>
      <c r="J130" s="2">
        <v>3.9049999999999998</v>
      </c>
      <c r="K130" s="2">
        <v>1.8919999999999999</v>
      </c>
      <c r="L130" s="2"/>
    </row>
    <row r="131" spans="1:12" x14ac:dyDescent="0.25">
      <c r="A131" s="2">
        <v>0</v>
      </c>
      <c r="B131" s="2" t="s">
        <v>250</v>
      </c>
      <c r="C131" s="2" t="s">
        <v>251</v>
      </c>
      <c r="D131" s="2">
        <v>8.6999999999999993</v>
      </c>
      <c r="E131" s="2">
        <v>7</v>
      </c>
      <c r="F131" s="2">
        <v>7</v>
      </c>
      <c r="G131" s="2">
        <v>0</v>
      </c>
      <c r="H131" s="2">
        <v>0.3</v>
      </c>
      <c r="I131" s="2">
        <v>70</v>
      </c>
      <c r="J131" s="2">
        <v>4.0999999999999996</v>
      </c>
      <c r="K131" s="2">
        <v>0.5</v>
      </c>
      <c r="L131" s="2"/>
    </row>
    <row r="132" spans="1:12" x14ac:dyDescent="0.25">
      <c r="A132" s="2">
        <v>0</v>
      </c>
      <c r="B132" s="2" t="s">
        <v>252</v>
      </c>
      <c r="C132" s="2" t="s">
        <v>253</v>
      </c>
      <c r="D132" s="2">
        <v>6.6</v>
      </c>
      <c r="E132" s="2">
        <v>3.5</v>
      </c>
      <c r="F132" s="2">
        <v>7.1</v>
      </c>
      <c r="G132" s="2">
        <v>0</v>
      </c>
      <c r="H132" s="2">
        <v>0.22</v>
      </c>
      <c r="I132" s="2">
        <v>83</v>
      </c>
      <c r="J132" s="2">
        <v>3.1</v>
      </c>
      <c r="K132" s="2">
        <v>0.4</v>
      </c>
      <c r="L132" s="2"/>
    </row>
    <row r="133" spans="1:12" x14ac:dyDescent="0.25">
      <c r="A133" s="2">
        <v>0</v>
      </c>
      <c r="B133" s="2" t="s">
        <v>254</v>
      </c>
      <c r="C133" s="2" t="s">
        <v>255</v>
      </c>
      <c r="D133" s="2">
        <v>0</v>
      </c>
      <c r="E133" s="2">
        <v>3.1</v>
      </c>
      <c r="F133" s="2">
        <v>15.6</v>
      </c>
      <c r="G133" s="2">
        <v>0</v>
      </c>
      <c r="H133" s="2">
        <v>0.39</v>
      </c>
      <c r="I133" s="2">
        <v>141</v>
      </c>
      <c r="J133" s="2">
        <v>0</v>
      </c>
      <c r="K133" s="2">
        <v>0</v>
      </c>
      <c r="L133" s="2"/>
    </row>
    <row r="134" spans="1:12" x14ac:dyDescent="0.25">
      <c r="A134" s="2">
        <v>0</v>
      </c>
      <c r="B134" s="2" t="s">
        <v>256</v>
      </c>
      <c r="C134" s="2" t="s">
        <v>257</v>
      </c>
      <c r="D134" s="2">
        <v>11.58</v>
      </c>
      <c r="E134" s="2">
        <v>27.2</v>
      </c>
      <c r="F134" s="2">
        <v>2</v>
      </c>
      <c r="G134" s="2">
        <v>0</v>
      </c>
      <c r="H134" s="2">
        <v>0.57999999999999996</v>
      </c>
      <c r="I134" s="2">
        <v>725</v>
      </c>
      <c r="J134" s="2">
        <v>5.0199999999999996</v>
      </c>
      <c r="K134" s="2">
        <v>0.75</v>
      </c>
      <c r="L134" s="2"/>
    </row>
    <row r="135" spans="1:12" x14ac:dyDescent="0.25">
      <c r="A135" s="2">
        <v>0</v>
      </c>
      <c r="B135" s="2" t="s">
        <v>258</v>
      </c>
      <c r="C135" s="2" t="s">
        <v>259</v>
      </c>
      <c r="D135" s="2">
        <v>0.11600000000000001</v>
      </c>
      <c r="E135" s="2">
        <v>3.86</v>
      </c>
      <c r="F135" s="2">
        <v>7.5</v>
      </c>
      <c r="G135" s="2">
        <v>0</v>
      </c>
      <c r="H135" s="2">
        <v>7.5</v>
      </c>
      <c r="I135" s="2">
        <v>59</v>
      </c>
      <c r="J135" s="2">
        <v>4.9000000000000002E-2</v>
      </c>
      <c r="K135" s="2">
        <v>5.0000000000000001E-3</v>
      </c>
      <c r="L135" s="2"/>
    </row>
    <row r="136" spans="1:12" x14ac:dyDescent="0.25">
      <c r="A136" s="2">
        <v>0</v>
      </c>
      <c r="B136" s="2" t="s">
        <v>260</v>
      </c>
      <c r="C136" s="2" t="s">
        <v>261</v>
      </c>
      <c r="D136" s="2">
        <v>3.11</v>
      </c>
      <c r="E136" s="2">
        <v>40</v>
      </c>
      <c r="F136" s="2">
        <v>40</v>
      </c>
      <c r="G136" s="2">
        <v>0</v>
      </c>
      <c r="H136" s="2">
        <v>1.5</v>
      </c>
      <c r="I136" s="2">
        <v>1150</v>
      </c>
      <c r="J136" s="2">
        <v>1.446</v>
      </c>
      <c r="K136" s="2">
        <v>0.186</v>
      </c>
      <c r="L136" s="2"/>
    </row>
    <row r="137" spans="1:12" x14ac:dyDescent="0.25">
      <c r="A137" s="2">
        <v>0</v>
      </c>
      <c r="B137" s="2" t="s">
        <v>262</v>
      </c>
      <c r="C137" s="2" t="s">
        <v>263</v>
      </c>
      <c r="D137" s="2">
        <v>0.64400000000000002</v>
      </c>
      <c r="E137" s="2">
        <v>15.69</v>
      </c>
      <c r="F137" s="2">
        <v>7.66</v>
      </c>
      <c r="G137" s="2">
        <v>0</v>
      </c>
      <c r="H137" s="2">
        <v>5.48</v>
      </c>
      <c r="I137" s="2">
        <v>702</v>
      </c>
      <c r="J137" s="2">
        <v>0.25</v>
      </c>
      <c r="K137" s="2">
        <v>5.7000000000000002E-2</v>
      </c>
      <c r="L137" s="2"/>
    </row>
    <row r="138" spans="1:12" x14ac:dyDescent="0.25">
      <c r="A138" s="2">
        <v>0</v>
      </c>
      <c r="B138" s="2" t="s">
        <v>264</v>
      </c>
      <c r="C138" s="2" t="s">
        <v>265</v>
      </c>
      <c r="D138" s="2">
        <v>0</v>
      </c>
      <c r="E138" s="2">
        <v>3.53</v>
      </c>
      <c r="F138" s="2">
        <v>23.53</v>
      </c>
      <c r="G138" s="2">
        <v>1.2</v>
      </c>
      <c r="H138" s="2">
        <v>14.97</v>
      </c>
      <c r="I138" s="2">
        <v>135</v>
      </c>
      <c r="J138" s="2">
        <v>0</v>
      </c>
      <c r="K138" s="2">
        <v>0</v>
      </c>
      <c r="L138" s="2"/>
    </row>
    <row r="139" spans="1:12" x14ac:dyDescent="0.25">
      <c r="A139" s="2">
        <v>0</v>
      </c>
      <c r="B139" s="2" t="s">
        <v>266</v>
      </c>
      <c r="C139" s="2" t="s">
        <v>267</v>
      </c>
      <c r="D139" s="2">
        <v>13.1</v>
      </c>
      <c r="E139" s="2">
        <v>12</v>
      </c>
      <c r="F139" s="2">
        <v>9.1999999999999993</v>
      </c>
      <c r="G139" s="2">
        <v>0.3</v>
      </c>
      <c r="H139" s="2">
        <v>6.7</v>
      </c>
      <c r="I139" s="2">
        <v>1638</v>
      </c>
      <c r="J139" s="2"/>
      <c r="K139" s="2"/>
      <c r="L139" s="2"/>
    </row>
    <row r="140" spans="1:12" x14ac:dyDescent="0.25">
      <c r="A140" s="2">
        <v>0</v>
      </c>
      <c r="B140" s="2" t="s">
        <v>268</v>
      </c>
      <c r="C140" s="2" t="s">
        <v>269</v>
      </c>
      <c r="D140" s="2">
        <v>6.4</v>
      </c>
      <c r="E140" s="2">
        <v>16.3</v>
      </c>
      <c r="F140" s="2">
        <v>16.2</v>
      </c>
      <c r="G140" s="2">
        <v>0.2</v>
      </c>
      <c r="H140" s="2">
        <v>8.1999999999999993</v>
      </c>
      <c r="I140" s="2">
        <v>1705</v>
      </c>
      <c r="J140" s="2"/>
      <c r="K140" s="2"/>
      <c r="L140" s="2"/>
    </row>
    <row r="141" spans="1:12" x14ac:dyDescent="0.25">
      <c r="A141" s="2">
        <v>0</v>
      </c>
      <c r="B141" s="2" t="s">
        <v>270</v>
      </c>
      <c r="C141" s="2" t="s">
        <v>271</v>
      </c>
      <c r="D141" s="2">
        <v>0.7</v>
      </c>
      <c r="E141" s="2">
        <v>22.7</v>
      </c>
      <c r="F141" s="2">
        <v>11.7</v>
      </c>
      <c r="G141" s="2">
        <v>0.2</v>
      </c>
      <c r="H141" s="2">
        <v>6.7</v>
      </c>
      <c r="I141" s="2">
        <v>1298</v>
      </c>
      <c r="J141" s="2"/>
      <c r="K141" s="2"/>
      <c r="L141" s="2"/>
    </row>
    <row r="142" spans="1:12" x14ac:dyDescent="0.25">
      <c r="A142" s="2">
        <v>0</v>
      </c>
      <c r="B142" s="2" t="s">
        <v>272</v>
      </c>
      <c r="C142" s="2" t="s">
        <v>273</v>
      </c>
      <c r="D142" s="2">
        <v>14.4</v>
      </c>
      <c r="E142" s="2">
        <v>16.3</v>
      </c>
      <c r="F142" s="2">
        <v>9.8000000000000007</v>
      </c>
      <c r="G142" s="2">
        <v>0</v>
      </c>
      <c r="H142" s="2">
        <v>8.1</v>
      </c>
      <c r="I142" s="2">
        <v>1499</v>
      </c>
      <c r="J142" s="2"/>
      <c r="K142" s="2"/>
      <c r="L142" s="2"/>
    </row>
    <row r="143" spans="1:12" x14ac:dyDescent="0.25">
      <c r="A143" s="2">
        <v>0</v>
      </c>
      <c r="B143" s="2" t="s">
        <v>274</v>
      </c>
      <c r="C143" s="2" t="s">
        <v>275</v>
      </c>
      <c r="D143" s="2">
        <v>0.8</v>
      </c>
      <c r="E143" s="2">
        <v>4.7</v>
      </c>
      <c r="F143" s="2">
        <v>15.1</v>
      </c>
      <c r="G143" s="2">
        <v>0</v>
      </c>
      <c r="H143" s="2">
        <v>7.2</v>
      </c>
      <c r="I143" s="2">
        <v>72</v>
      </c>
      <c r="J143" s="2"/>
      <c r="K143" s="2"/>
      <c r="L143" s="2"/>
    </row>
    <row r="144" spans="1:12" x14ac:dyDescent="0.25">
      <c r="A144" s="2">
        <v>0</v>
      </c>
      <c r="B144" s="2" t="s">
        <v>276</v>
      </c>
      <c r="C144" s="2" t="s">
        <v>277</v>
      </c>
      <c r="D144" s="2">
        <v>0.84099999999999997</v>
      </c>
      <c r="E144" s="2">
        <v>2.6</v>
      </c>
      <c r="F144" s="2">
        <v>9</v>
      </c>
      <c r="G144" s="2">
        <v>0</v>
      </c>
      <c r="H144" s="2">
        <v>5</v>
      </c>
      <c r="I144" s="2">
        <v>100</v>
      </c>
      <c r="J144" s="2">
        <v>0.38400000000000001</v>
      </c>
      <c r="K144" s="2">
        <v>5.1999999999999998E-2</v>
      </c>
      <c r="L144" s="2"/>
    </row>
    <row r="145" spans="1:12" x14ac:dyDescent="0.25">
      <c r="A145" s="2">
        <v>0</v>
      </c>
      <c r="B145" s="2" t="s">
        <v>278</v>
      </c>
      <c r="C145" s="2" t="s">
        <v>279</v>
      </c>
      <c r="D145" s="2">
        <v>2.8690000000000002</v>
      </c>
      <c r="E145" s="2">
        <v>3</v>
      </c>
      <c r="F145" s="2">
        <v>25</v>
      </c>
      <c r="G145" s="2">
        <v>0.4</v>
      </c>
      <c r="H145" s="2">
        <v>16</v>
      </c>
      <c r="I145" s="2">
        <v>72</v>
      </c>
      <c r="J145" s="2">
        <v>1.25</v>
      </c>
      <c r="K145" s="2">
        <v>0.29899999999999999</v>
      </c>
      <c r="L145" s="2"/>
    </row>
    <row r="146" spans="1:12" x14ac:dyDescent="0.25">
      <c r="A146" s="2">
        <v>0</v>
      </c>
      <c r="B146" s="2" t="s">
        <v>280</v>
      </c>
      <c r="C146" s="2" t="s">
        <v>281</v>
      </c>
      <c r="D146" s="2">
        <v>13.317</v>
      </c>
      <c r="E146" s="2">
        <v>20</v>
      </c>
      <c r="F146" s="2">
        <v>1.37</v>
      </c>
      <c r="G146" s="2">
        <v>0</v>
      </c>
      <c r="H146" s="2">
        <v>0</v>
      </c>
      <c r="I146" s="2">
        <v>1529</v>
      </c>
      <c r="J146" s="2">
        <v>6.0979999999999999</v>
      </c>
      <c r="K146" s="2">
        <v>0.46200000000000002</v>
      </c>
      <c r="L146" s="2"/>
    </row>
    <row r="147" spans="1:12" x14ac:dyDescent="0.25">
      <c r="A147" s="2">
        <v>0</v>
      </c>
      <c r="B147" s="2" t="s">
        <v>282</v>
      </c>
      <c r="C147" s="2" t="s">
        <v>283</v>
      </c>
      <c r="D147" s="2">
        <v>2.6349999999999998</v>
      </c>
      <c r="E147" s="2">
        <v>0.69</v>
      </c>
      <c r="F147" s="2">
        <v>35.07</v>
      </c>
      <c r="G147" s="2">
        <v>1.1000000000000001</v>
      </c>
      <c r="H147" s="2">
        <v>33.04</v>
      </c>
      <c r="I147" s="2">
        <v>67</v>
      </c>
      <c r="J147" s="2">
        <v>4.0019999999999998</v>
      </c>
      <c r="K147" s="2">
        <v>6.2690000000000001</v>
      </c>
      <c r="L147" s="2"/>
    </row>
    <row r="148" spans="1:12" x14ac:dyDescent="0.25">
      <c r="A148" s="2">
        <v>0</v>
      </c>
      <c r="B148" s="2" t="s">
        <v>284</v>
      </c>
      <c r="C148" s="2" t="s">
        <v>285</v>
      </c>
      <c r="D148" s="2">
        <v>19.446000000000002</v>
      </c>
      <c r="E148" s="2">
        <v>0.68</v>
      </c>
      <c r="F148" s="2">
        <v>75.42</v>
      </c>
      <c r="G148" s="2">
        <v>1.2</v>
      </c>
      <c r="H148" s="2">
        <v>58.01</v>
      </c>
      <c r="I148" s="2">
        <v>123</v>
      </c>
      <c r="J148" s="2">
        <v>0.61799999999999999</v>
      </c>
      <c r="K148" s="2">
        <v>0.22900000000000001</v>
      </c>
      <c r="L148" s="2"/>
    </row>
    <row r="149" spans="1:12" x14ac:dyDescent="0.25">
      <c r="A149" s="2">
        <v>0</v>
      </c>
      <c r="B149" s="2" t="s">
        <v>286</v>
      </c>
      <c r="C149" s="2" t="s">
        <v>287</v>
      </c>
      <c r="D149" s="2">
        <v>11.3</v>
      </c>
      <c r="E149" s="2">
        <v>24.7</v>
      </c>
      <c r="F149" s="2">
        <v>3.5</v>
      </c>
      <c r="G149" s="2">
        <v>0</v>
      </c>
      <c r="H149" s="2">
        <v>0.55000000000000004</v>
      </c>
      <c r="I149" s="2">
        <v>615</v>
      </c>
      <c r="J149" s="2">
        <v>4.8899999999999997</v>
      </c>
      <c r="K149" s="2">
        <v>0.51</v>
      </c>
      <c r="L149" s="2"/>
    </row>
    <row r="150" spans="1:12" x14ac:dyDescent="0.25">
      <c r="A150" s="2">
        <v>0</v>
      </c>
      <c r="B150" s="2" t="s">
        <v>288</v>
      </c>
      <c r="C150" s="2" t="s">
        <v>289</v>
      </c>
      <c r="D150" s="2">
        <v>10.305</v>
      </c>
      <c r="E150" s="2">
        <v>35.6</v>
      </c>
      <c r="F150" s="2">
        <v>23.97</v>
      </c>
      <c r="G150" s="2"/>
      <c r="H150" s="2">
        <v>2.46</v>
      </c>
      <c r="I150" s="2">
        <v>576</v>
      </c>
      <c r="J150" s="2">
        <v>13.744999999999999</v>
      </c>
      <c r="K150" s="2">
        <v>7.5549999999999997</v>
      </c>
      <c r="L150" s="2"/>
    </row>
    <row r="151" spans="1:12" x14ac:dyDescent="0.25">
      <c r="A151" s="2">
        <v>0</v>
      </c>
      <c r="B151" s="2" t="s">
        <v>290</v>
      </c>
      <c r="C151" s="2" t="s">
        <v>291</v>
      </c>
      <c r="D151" s="2">
        <v>1.865</v>
      </c>
      <c r="E151" s="2">
        <v>3.15</v>
      </c>
      <c r="F151" s="2">
        <v>4.78</v>
      </c>
      <c r="G151" s="2">
        <v>0</v>
      </c>
      <c r="H151" s="2">
        <v>5.05</v>
      </c>
      <c r="I151" s="2">
        <v>43</v>
      </c>
      <c r="J151" s="2">
        <v>0.81200000000000006</v>
      </c>
      <c r="K151" s="2">
        <v>0.19500000000000001</v>
      </c>
      <c r="L151" s="2"/>
    </row>
    <row r="152" spans="1:12" x14ac:dyDescent="0.25">
      <c r="A152" s="2">
        <v>0</v>
      </c>
      <c r="B152" s="2" t="s">
        <v>292</v>
      </c>
      <c r="C152" s="2" t="s">
        <v>293</v>
      </c>
      <c r="D152" s="2">
        <v>16.742000000000001</v>
      </c>
      <c r="E152" s="2">
        <v>26.32</v>
      </c>
      <c r="F152" s="2">
        <v>38.42</v>
      </c>
      <c r="G152" s="2">
        <v>0</v>
      </c>
      <c r="H152" s="2">
        <v>38.42</v>
      </c>
      <c r="I152" s="2">
        <v>371</v>
      </c>
      <c r="J152" s="2">
        <v>7.9240000000000004</v>
      </c>
      <c r="K152" s="2">
        <v>0.66500000000000004</v>
      </c>
      <c r="L152" s="2"/>
    </row>
    <row r="153" spans="1:12" x14ac:dyDescent="0.25">
      <c r="A153" s="2">
        <v>0</v>
      </c>
      <c r="B153" s="2" t="s">
        <v>294</v>
      </c>
      <c r="C153" s="2" t="s">
        <v>295</v>
      </c>
      <c r="D153" s="2">
        <v>4.5910000000000002</v>
      </c>
      <c r="E153" s="2">
        <v>6.81</v>
      </c>
      <c r="F153" s="2">
        <v>10.039999999999999</v>
      </c>
      <c r="G153" s="2">
        <v>0</v>
      </c>
      <c r="H153" s="2">
        <v>10.039999999999999</v>
      </c>
      <c r="I153" s="2">
        <v>106</v>
      </c>
      <c r="J153" s="2">
        <v>2.335</v>
      </c>
      <c r="K153" s="2">
        <v>0.245</v>
      </c>
      <c r="L153" s="2"/>
    </row>
    <row r="154" spans="1:12" x14ac:dyDescent="0.25">
      <c r="A154" s="2">
        <v>0</v>
      </c>
      <c r="B154" s="2" t="s">
        <v>296</v>
      </c>
      <c r="C154" s="2" t="s">
        <v>297</v>
      </c>
      <c r="D154" s="2">
        <v>8.85</v>
      </c>
      <c r="E154" s="2">
        <v>17.600000000000001</v>
      </c>
      <c r="F154" s="2">
        <v>10.6</v>
      </c>
      <c r="G154" s="2">
        <v>0</v>
      </c>
      <c r="H154" s="2">
        <v>8.02</v>
      </c>
      <c r="I154" s="2">
        <v>1201</v>
      </c>
      <c r="J154" s="2">
        <v>4.13</v>
      </c>
      <c r="K154" s="2">
        <v>0.41</v>
      </c>
      <c r="L154" s="2"/>
    </row>
    <row r="155" spans="1:12" x14ac:dyDescent="0.25">
      <c r="A155" s="2">
        <v>0</v>
      </c>
      <c r="B155" s="2" t="s">
        <v>298</v>
      </c>
      <c r="C155" s="2" t="s">
        <v>299</v>
      </c>
      <c r="D155" s="2">
        <v>0.74199999999999999</v>
      </c>
      <c r="E155" s="2">
        <v>3.98</v>
      </c>
      <c r="F155" s="2">
        <v>18.64</v>
      </c>
      <c r="G155" s="2">
        <v>0</v>
      </c>
      <c r="H155" s="2">
        <v>18.64</v>
      </c>
      <c r="I155" s="2">
        <v>53</v>
      </c>
      <c r="J155" s="2">
        <v>0.316</v>
      </c>
      <c r="K155" s="2">
        <v>3.3000000000000002E-2</v>
      </c>
      <c r="L155" s="2"/>
    </row>
    <row r="156" spans="1:12" x14ac:dyDescent="0.25">
      <c r="A156" s="2">
        <v>0</v>
      </c>
      <c r="B156" s="2" t="s">
        <v>300</v>
      </c>
      <c r="C156" s="2" t="s">
        <v>301</v>
      </c>
      <c r="D156" s="2">
        <v>0.69699999999999995</v>
      </c>
      <c r="E156" s="2">
        <v>4.37</v>
      </c>
      <c r="F156" s="2">
        <v>19.05</v>
      </c>
      <c r="G156" s="2">
        <v>0</v>
      </c>
      <c r="H156" s="2">
        <v>19.05</v>
      </c>
      <c r="I156" s="2">
        <v>58</v>
      </c>
      <c r="J156" s="2">
        <v>0.29699999999999999</v>
      </c>
      <c r="K156" s="2">
        <v>3.1E-2</v>
      </c>
      <c r="L156" s="2"/>
    </row>
    <row r="157" spans="1:12" x14ac:dyDescent="0.25">
      <c r="A157" s="2">
        <v>0</v>
      </c>
      <c r="B157" s="2" t="s">
        <v>302</v>
      </c>
      <c r="C157" s="2" t="s">
        <v>303</v>
      </c>
      <c r="D157" s="2">
        <v>0.11899999999999999</v>
      </c>
      <c r="E157" s="2">
        <v>4.4000000000000004</v>
      </c>
      <c r="F157" s="2">
        <v>19</v>
      </c>
      <c r="G157" s="2">
        <v>0</v>
      </c>
      <c r="H157" s="2">
        <v>19</v>
      </c>
      <c r="I157" s="2">
        <v>58</v>
      </c>
      <c r="J157" s="2">
        <v>0.05</v>
      </c>
      <c r="K157" s="2">
        <v>1.6E-2</v>
      </c>
      <c r="L157" s="2"/>
    </row>
    <row r="158" spans="1:12" x14ac:dyDescent="0.25">
      <c r="A158" s="2">
        <v>0</v>
      </c>
      <c r="B158" s="2" t="s">
        <v>304</v>
      </c>
      <c r="C158" s="2" t="s">
        <v>305</v>
      </c>
      <c r="D158" s="2">
        <v>0.90900000000000003</v>
      </c>
      <c r="E158" s="2">
        <v>4.8600000000000003</v>
      </c>
      <c r="F158" s="2">
        <v>18.600000000000001</v>
      </c>
      <c r="G158" s="2">
        <v>0</v>
      </c>
      <c r="H158" s="2">
        <v>2.9</v>
      </c>
      <c r="I158" s="2">
        <v>58</v>
      </c>
      <c r="J158" s="2">
        <v>0.38700000000000001</v>
      </c>
      <c r="K158" s="2">
        <v>0.04</v>
      </c>
      <c r="L158" s="2"/>
    </row>
    <row r="159" spans="1:12" x14ac:dyDescent="0.25">
      <c r="A159" s="2">
        <v>0</v>
      </c>
      <c r="B159" s="2" t="s">
        <v>306</v>
      </c>
      <c r="C159" s="2" t="s">
        <v>307</v>
      </c>
      <c r="D159" s="2">
        <v>0.80600000000000005</v>
      </c>
      <c r="E159" s="2">
        <v>4.93</v>
      </c>
      <c r="F159" s="2">
        <v>13.8</v>
      </c>
      <c r="G159" s="2">
        <v>0</v>
      </c>
      <c r="H159" s="2">
        <v>13.8</v>
      </c>
      <c r="I159" s="2">
        <v>66</v>
      </c>
      <c r="J159" s="2">
        <v>0.34300000000000003</v>
      </c>
      <c r="K159" s="2">
        <v>3.5999999999999997E-2</v>
      </c>
      <c r="L159" s="2"/>
    </row>
    <row r="160" spans="1:12" x14ac:dyDescent="0.25">
      <c r="A160" s="2">
        <v>0</v>
      </c>
      <c r="B160" s="2" t="s">
        <v>308</v>
      </c>
      <c r="C160" s="2" t="s">
        <v>309</v>
      </c>
      <c r="D160" s="2">
        <v>0.11600000000000001</v>
      </c>
      <c r="E160" s="2">
        <v>3.86</v>
      </c>
      <c r="F160" s="2">
        <v>7.5</v>
      </c>
      <c r="G160" s="2">
        <v>0</v>
      </c>
      <c r="H160" s="2">
        <v>7.5</v>
      </c>
      <c r="I160" s="2">
        <v>59</v>
      </c>
      <c r="J160" s="2">
        <v>4.9000000000000002E-2</v>
      </c>
      <c r="K160" s="2">
        <v>5.0000000000000001E-3</v>
      </c>
      <c r="L160" s="2"/>
    </row>
    <row r="161" spans="1:12" x14ac:dyDescent="0.25">
      <c r="A161" s="2">
        <v>0</v>
      </c>
      <c r="B161" s="2" t="s">
        <v>310</v>
      </c>
      <c r="C161" s="2" t="s">
        <v>311</v>
      </c>
      <c r="D161" s="2">
        <v>0</v>
      </c>
      <c r="E161" s="2">
        <v>3.53</v>
      </c>
      <c r="F161" s="2">
        <v>23.53</v>
      </c>
      <c r="G161" s="2">
        <v>1.2</v>
      </c>
      <c r="H161" s="2">
        <v>14.97</v>
      </c>
      <c r="I161" s="2">
        <v>135</v>
      </c>
      <c r="J161" s="2">
        <v>0</v>
      </c>
      <c r="K161" s="2">
        <v>0</v>
      </c>
      <c r="L161" s="2"/>
    </row>
    <row r="162" spans="1:12" x14ac:dyDescent="0.25">
      <c r="A162" s="2">
        <v>0</v>
      </c>
      <c r="B162" s="2" t="s">
        <v>312</v>
      </c>
      <c r="C162" s="2" t="s">
        <v>313</v>
      </c>
      <c r="D162" s="2">
        <v>1.5529999999999999</v>
      </c>
      <c r="E162" s="2">
        <v>45.71</v>
      </c>
      <c r="F162" s="2">
        <v>18.5</v>
      </c>
      <c r="G162" s="2">
        <v>7.1</v>
      </c>
      <c r="H162" s="2">
        <v>5.71</v>
      </c>
      <c r="I162" s="2">
        <v>329</v>
      </c>
      <c r="J162" s="2">
        <v>12.105</v>
      </c>
      <c r="K162" s="2">
        <v>1.77</v>
      </c>
      <c r="L162" s="2"/>
    </row>
    <row r="163" spans="1:12" x14ac:dyDescent="0.25">
      <c r="A163" s="2">
        <v>0</v>
      </c>
      <c r="B163" s="2" t="s">
        <v>314</v>
      </c>
      <c r="C163" s="2" t="s">
        <v>315</v>
      </c>
      <c r="D163" s="2">
        <v>1.087</v>
      </c>
      <c r="E163" s="2">
        <v>50</v>
      </c>
      <c r="F163" s="2">
        <v>22</v>
      </c>
      <c r="G163" s="2">
        <v>2</v>
      </c>
      <c r="H163" s="2">
        <v>4</v>
      </c>
      <c r="I163" s="2">
        <v>250</v>
      </c>
      <c r="J163" s="2">
        <v>8.4740000000000002</v>
      </c>
      <c r="K163" s="2">
        <v>1.2390000000000001</v>
      </c>
      <c r="L163" s="2"/>
    </row>
    <row r="164" spans="1:12" x14ac:dyDescent="0.25">
      <c r="A164" s="2">
        <v>0</v>
      </c>
      <c r="B164" s="2" t="s">
        <v>316</v>
      </c>
      <c r="C164" s="2" t="s">
        <v>317</v>
      </c>
      <c r="D164" s="2">
        <v>4.5339999999999998</v>
      </c>
      <c r="E164" s="2">
        <v>6.84</v>
      </c>
      <c r="F164" s="2">
        <v>55.35</v>
      </c>
      <c r="G164" s="2">
        <v>0</v>
      </c>
      <c r="H164" s="2">
        <v>49.74</v>
      </c>
      <c r="I164" s="2">
        <v>129</v>
      </c>
      <c r="J164" s="2">
        <v>2.1429999999999998</v>
      </c>
      <c r="K164" s="2">
        <v>0.375</v>
      </c>
      <c r="L164" s="2"/>
    </row>
    <row r="165" spans="1:12" x14ac:dyDescent="0.25">
      <c r="A165" s="2">
        <v>0</v>
      </c>
      <c r="B165" s="2" t="s">
        <v>318</v>
      </c>
      <c r="C165" s="2" t="s">
        <v>319</v>
      </c>
      <c r="D165" s="2">
        <v>13.718</v>
      </c>
      <c r="E165" s="2">
        <v>24.51</v>
      </c>
      <c r="F165" s="2">
        <v>2.04</v>
      </c>
      <c r="G165" s="2"/>
      <c r="H165" s="2">
        <v>0.55000000000000004</v>
      </c>
      <c r="I165" s="2">
        <v>1808</v>
      </c>
      <c r="J165" s="2">
        <v>6.4180000000000001</v>
      </c>
      <c r="K165" s="2">
        <v>1.244</v>
      </c>
      <c r="L165" s="2"/>
    </row>
    <row r="166" spans="1:12" x14ac:dyDescent="0.25">
      <c r="A166" s="2">
        <v>0</v>
      </c>
      <c r="B166" s="2" t="s">
        <v>320</v>
      </c>
      <c r="C166" s="2" t="s">
        <v>321</v>
      </c>
      <c r="D166" s="2">
        <v>12.94</v>
      </c>
      <c r="E166" s="2">
        <v>18.09</v>
      </c>
      <c r="F166" s="2">
        <v>2.98</v>
      </c>
      <c r="G166" s="2">
        <v>0</v>
      </c>
      <c r="H166" s="2">
        <v>2.3199999999999998</v>
      </c>
      <c r="I166" s="2">
        <v>751</v>
      </c>
      <c r="J166" s="2">
        <v>5.9660000000000002</v>
      </c>
      <c r="K166" s="2">
        <v>1.1060000000000001</v>
      </c>
      <c r="L166" s="2"/>
    </row>
    <row r="167" spans="1:12" x14ac:dyDescent="0.25">
      <c r="A167" s="2">
        <v>0</v>
      </c>
      <c r="B167" s="2" t="s">
        <v>322</v>
      </c>
      <c r="C167" s="2" t="s">
        <v>323</v>
      </c>
      <c r="D167" s="2">
        <v>13.661</v>
      </c>
      <c r="E167" s="2">
        <v>20.38</v>
      </c>
      <c r="F167" s="2">
        <v>2.5299999999999998</v>
      </c>
      <c r="G167" s="2"/>
      <c r="H167" s="2">
        <v>1.76</v>
      </c>
      <c r="I167" s="2">
        <v>704</v>
      </c>
      <c r="J167" s="2">
        <v>6.4589999999999996</v>
      </c>
      <c r="K167" s="2">
        <v>1.149</v>
      </c>
      <c r="L167" s="2"/>
    </row>
    <row r="168" spans="1:12" x14ac:dyDescent="0.25">
      <c r="A168" s="2">
        <v>0</v>
      </c>
      <c r="B168" s="2" t="s">
        <v>324</v>
      </c>
      <c r="C168" s="2" t="s">
        <v>325</v>
      </c>
      <c r="D168" s="2">
        <v>1.899</v>
      </c>
      <c r="E168" s="2">
        <v>3.21</v>
      </c>
      <c r="F168" s="2">
        <v>4.88</v>
      </c>
      <c r="G168" s="2">
        <v>0</v>
      </c>
      <c r="H168" s="2">
        <v>4.88</v>
      </c>
      <c r="I168" s="2">
        <v>105</v>
      </c>
      <c r="J168" s="2">
        <v>0.82699999999999996</v>
      </c>
      <c r="K168" s="2">
        <v>0.19800000000000001</v>
      </c>
      <c r="L168" s="2"/>
    </row>
    <row r="169" spans="1:12" x14ac:dyDescent="0.25">
      <c r="A169" s="2">
        <v>0</v>
      </c>
      <c r="B169" s="2" t="s">
        <v>326</v>
      </c>
      <c r="C169" s="2" t="s">
        <v>327</v>
      </c>
      <c r="D169" s="2">
        <v>0.752</v>
      </c>
      <c r="E169" s="2">
        <v>4.93</v>
      </c>
      <c r="F169" s="2">
        <v>13.8</v>
      </c>
      <c r="G169" s="2">
        <v>0</v>
      </c>
      <c r="H169" s="2">
        <v>5.43</v>
      </c>
      <c r="I169" s="2">
        <v>66</v>
      </c>
      <c r="J169" s="2">
        <v>0.313</v>
      </c>
      <c r="K169" s="2">
        <v>3.5000000000000003E-2</v>
      </c>
      <c r="L169" s="2"/>
    </row>
    <row r="170" spans="1:12" x14ac:dyDescent="0.25">
      <c r="A170" s="2">
        <v>0</v>
      </c>
      <c r="B170" s="2" t="s">
        <v>328</v>
      </c>
      <c r="C170" s="2" t="s">
        <v>329</v>
      </c>
      <c r="D170" s="2">
        <v>0.48799999999999999</v>
      </c>
      <c r="E170" s="2">
        <v>4.4000000000000004</v>
      </c>
      <c r="F170" s="2">
        <v>19.7</v>
      </c>
      <c r="G170" s="2">
        <v>2</v>
      </c>
      <c r="H170" s="2">
        <v>12.61</v>
      </c>
      <c r="I170" s="2">
        <v>81</v>
      </c>
      <c r="J170" s="2">
        <v>0.20499999999999999</v>
      </c>
      <c r="K170" s="2">
        <v>0.03</v>
      </c>
      <c r="L170" s="2"/>
    </row>
    <row r="171" spans="1:12" x14ac:dyDescent="0.25">
      <c r="A171" s="2">
        <v>0</v>
      </c>
      <c r="B171" s="2" t="s">
        <v>330</v>
      </c>
      <c r="C171" s="2" t="s">
        <v>331</v>
      </c>
      <c r="D171" s="2">
        <v>7.46</v>
      </c>
      <c r="E171" s="2">
        <v>4.0999999999999996</v>
      </c>
      <c r="F171" s="2">
        <v>22.2</v>
      </c>
      <c r="G171" s="2">
        <v>0.7</v>
      </c>
      <c r="H171" s="2">
        <v>21.16</v>
      </c>
      <c r="I171" s="2">
        <v>61</v>
      </c>
      <c r="J171" s="2">
        <v>3.49</v>
      </c>
      <c r="K171" s="2">
        <v>0.46</v>
      </c>
      <c r="L171" s="2"/>
    </row>
    <row r="172" spans="1:12" x14ac:dyDescent="0.25">
      <c r="A172" s="2">
        <v>0</v>
      </c>
      <c r="B172" s="2" t="s">
        <v>332</v>
      </c>
      <c r="C172" s="2" t="s">
        <v>333</v>
      </c>
      <c r="D172" s="2">
        <v>13.202</v>
      </c>
      <c r="E172" s="2">
        <v>4.0999999999999996</v>
      </c>
      <c r="F172" s="2">
        <v>24.5</v>
      </c>
      <c r="G172" s="2">
        <v>0.8</v>
      </c>
      <c r="H172" s="2">
        <v>18.3</v>
      </c>
      <c r="I172" s="2">
        <v>68</v>
      </c>
      <c r="J172" s="2">
        <v>6.3869999999999996</v>
      </c>
      <c r="K172" s="2">
        <v>3.2570000000000001</v>
      </c>
      <c r="L172" s="2"/>
    </row>
    <row r="173" spans="1:12" x14ac:dyDescent="0.25">
      <c r="A173" s="2">
        <v>0</v>
      </c>
      <c r="B173" s="2" t="s">
        <v>334</v>
      </c>
      <c r="C173" s="2" t="s">
        <v>335</v>
      </c>
      <c r="D173" s="2">
        <v>2.3170000000000002</v>
      </c>
      <c r="E173" s="2">
        <v>4.29</v>
      </c>
      <c r="F173" s="2">
        <v>37.14</v>
      </c>
      <c r="G173" s="2">
        <v>0</v>
      </c>
      <c r="H173" s="2">
        <v>18.57</v>
      </c>
      <c r="I173" s="2">
        <v>129</v>
      </c>
      <c r="J173" s="2">
        <v>2.661</v>
      </c>
      <c r="K173" s="2">
        <v>2.2719999999999998</v>
      </c>
      <c r="L173" s="2"/>
    </row>
    <row r="174" spans="1:12" x14ac:dyDescent="0.25">
      <c r="A174" s="2">
        <v>0</v>
      </c>
      <c r="B174" s="2" t="s">
        <v>336</v>
      </c>
      <c r="C174" s="2" t="s">
        <v>337</v>
      </c>
      <c r="D174" s="2">
        <v>1.663</v>
      </c>
      <c r="E174" s="2">
        <v>3.7</v>
      </c>
      <c r="F174" s="2">
        <v>39.6</v>
      </c>
      <c r="G174" s="2">
        <v>1.2</v>
      </c>
      <c r="H174" s="2">
        <v>21.3</v>
      </c>
      <c r="I174" s="2">
        <v>162</v>
      </c>
      <c r="J174" s="2">
        <v>4.1500000000000004</v>
      </c>
      <c r="K174" s="2">
        <v>0.84699999999999998</v>
      </c>
      <c r="L174" s="2"/>
    </row>
    <row r="175" spans="1:12" x14ac:dyDescent="0.25">
      <c r="A175" s="2">
        <v>0</v>
      </c>
      <c r="B175" s="2" t="s">
        <v>338</v>
      </c>
      <c r="C175" s="2" t="s">
        <v>339</v>
      </c>
      <c r="D175" s="2">
        <v>11.458</v>
      </c>
      <c r="E175" s="2">
        <v>5.21</v>
      </c>
      <c r="F175" s="2">
        <v>34.380000000000003</v>
      </c>
      <c r="G175" s="2">
        <v>1</v>
      </c>
      <c r="H175" s="2">
        <v>25</v>
      </c>
      <c r="I175" s="2">
        <v>94</v>
      </c>
      <c r="J175" s="2">
        <v>7.34</v>
      </c>
      <c r="K175" s="2">
        <v>1.657</v>
      </c>
      <c r="L175" s="2"/>
    </row>
    <row r="176" spans="1:12" x14ac:dyDescent="0.25">
      <c r="A176" s="2">
        <v>0</v>
      </c>
      <c r="B176" s="2" t="s">
        <v>340</v>
      </c>
      <c r="C176" s="2" t="s">
        <v>341</v>
      </c>
      <c r="D176" s="2">
        <v>0.82099999999999995</v>
      </c>
      <c r="E176" s="2">
        <v>4.29</v>
      </c>
      <c r="F176" s="2">
        <v>39.64</v>
      </c>
      <c r="G176" s="2">
        <v>0</v>
      </c>
      <c r="H176" s="2">
        <v>17.86</v>
      </c>
      <c r="I176" s="2">
        <v>146</v>
      </c>
      <c r="J176" s="2">
        <v>0.94199999999999995</v>
      </c>
      <c r="K176" s="2">
        <v>0.80500000000000005</v>
      </c>
      <c r="L176" s="2"/>
    </row>
    <row r="177" spans="1:12" x14ac:dyDescent="0.25">
      <c r="A177" s="2">
        <v>0</v>
      </c>
      <c r="B177" s="2" t="s">
        <v>342</v>
      </c>
      <c r="C177" s="2" t="s">
        <v>343</v>
      </c>
      <c r="D177" s="2">
        <v>0.82099999999999995</v>
      </c>
      <c r="E177" s="2">
        <v>5.71</v>
      </c>
      <c r="F177" s="2">
        <v>42.86</v>
      </c>
      <c r="G177" s="2">
        <v>7.1</v>
      </c>
      <c r="H177" s="2">
        <v>6.58</v>
      </c>
      <c r="I177" s="2">
        <v>164</v>
      </c>
      <c r="J177" s="2">
        <v>0.94199999999999995</v>
      </c>
      <c r="K177" s="2">
        <v>0.80500000000000005</v>
      </c>
      <c r="L177" s="2"/>
    </row>
    <row r="178" spans="1:12" x14ac:dyDescent="0.25">
      <c r="A178" s="2">
        <v>0</v>
      </c>
      <c r="B178" s="2" t="s">
        <v>344</v>
      </c>
      <c r="C178" s="2" t="s">
        <v>345</v>
      </c>
      <c r="D178" s="2">
        <v>0.23200000000000001</v>
      </c>
      <c r="E178" s="2">
        <v>4.4000000000000004</v>
      </c>
      <c r="F178" s="2">
        <v>11.88</v>
      </c>
      <c r="G178" s="2">
        <v>2.2000000000000002</v>
      </c>
      <c r="H178" s="2">
        <v>2.64</v>
      </c>
      <c r="I178" s="2">
        <v>92</v>
      </c>
      <c r="J178" s="2">
        <v>2.3180000000000001</v>
      </c>
      <c r="K178" s="2">
        <v>0.39500000000000002</v>
      </c>
      <c r="L178" s="2"/>
    </row>
    <row r="179" spans="1:12" x14ac:dyDescent="0.25">
      <c r="A179" s="2">
        <v>0</v>
      </c>
      <c r="B179" s="2" t="s">
        <v>346</v>
      </c>
      <c r="C179" s="2" t="s">
        <v>347</v>
      </c>
      <c r="D179" s="2">
        <v>17.027000000000001</v>
      </c>
      <c r="E179" s="2">
        <v>23.54</v>
      </c>
      <c r="F179" s="2">
        <v>1.75</v>
      </c>
      <c r="G179" s="2">
        <v>0</v>
      </c>
      <c r="H179" s="2">
        <v>1.23</v>
      </c>
      <c r="I179" s="2">
        <v>338</v>
      </c>
      <c r="J179" s="2">
        <v>7.8710000000000004</v>
      </c>
      <c r="K179" s="2">
        <v>0.86399999999999999</v>
      </c>
      <c r="L179" s="2"/>
    </row>
    <row r="180" spans="1:12" x14ac:dyDescent="0.25">
      <c r="A180" s="2">
        <v>0</v>
      </c>
      <c r="B180" s="2" t="s">
        <v>348</v>
      </c>
      <c r="C180" s="2" t="s">
        <v>349</v>
      </c>
      <c r="D180" s="2">
        <v>12.930999999999999</v>
      </c>
      <c r="E180" s="2">
        <v>16.09</v>
      </c>
      <c r="F180" s="2">
        <v>8.85</v>
      </c>
      <c r="G180" s="2">
        <v>0</v>
      </c>
      <c r="H180" s="2">
        <v>6.24</v>
      </c>
      <c r="I180" s="2">
        <v>1279</v>
      </c>
      <c r="J180" s="2">
        <v>5.6550000000000002</v>
      </c>
      <c r="K180" s="2">
        <v>0.99</v>
      </c>
      <c r="L180" s="2"/>
    </row>
    <row r="181" spans="1:12" x14ac:dyDescent="0.25">
      <c r="A181" s="2">
        <v>0</v>
      </c>
      <c r="B181" s="2" t="s">
        <v>350</v>
      </c>
      <c r="C181" s="2" t="s">
        <v>351</v>
      </c>
      <c r="D181" s="2">
        <v>15.057</v>
      </c>
      <c r="E181" s="2">
        <v>16.86</v>
      </c>
      <c r="F181" s="2">
        <v>8.56</v>
      </c>
      <c r="G181" s="2">
        <v>0</v>
      </c>
      <c r="H181" s="2">
        <v>5.59</v>
      </c>
      <c r="I181" s="2">
        <v>1441</v>
      </c>
      <c r="J181" s="2">
        <v>6.8460000000000001</v>
      </c>
      <c r="K181" s="2">
        <v>1.0489999999999999</v>
      </c>
      <c r="L181" s="2"/>
    </row>
    <row r="182" spans="1:12" x14ac:dyDescent="0.25">
      <c r="A182" s="2">
        <v>0</v>
      </c>
      <c r="B182" s="2" t="s">
        <v>352</v>
      </c>
      <c r="C182" s="2" t="s">
        <v>353</v>
      </c>
      <c r="D182" s="2">
        <v>3.1779999999999999</v>
      </c>
      <c r="E182" s="2">
        <v>10.97</v>
      </c>
      <c r="F182" s="2">
        <v>0.83</v>
      </c>
      <c r="G182" s="2">
        <v>0</v>
      </c>
      <c r="H182" s="2">
        <v>7.0000000000000007E-2</v>
      </c>
      <c r="I182" s="2">
        <v>3663</v>
      </c>
      <c r="J182" s="2">
        <v>4</v>
      </c>
      <c r="K182" s="2">
        <v>1.627</v>
      </c>
      <c r="L182" s="2"/>
    </row>
    <row r="183" spans="1:12" x14ac:dyDescent="0.25">
      <c r="A183" s="2">
        <v>0</v>
      </c>
      <c r="B183" s="2" t="s">
        <v>354</v>
      </c>
      <c r="C183" s="2" t="s">
        <v>355</v>
      </c>
      <c r="D183" s="2">
        <v>0.11700000000000001</v>
      </c>
      <c r="E183" s="2">
        <v>10.19</v>
      </c>
      <c r="F183" s="2">
        <v>3.6</v>
      </c>
      <c r="G183" s="2">
        <v>0</v>
      </c>
      <c r="H183" s="2">
        <v>3.24</v>
      </c>
      <c r="I183" s="2">
        <v>36</v>
      </c>
      <c r="J183" s="2">
        <v>5.2999999999999999E-2</v>
      </c>
      <c r="K183" s="2">
        <v>1.2E-2</v>
      </c>
      <c r="L183" s="2"/>
    </row>
    <row r="184" spans="1:12" x14ac:dyDescent="0.25">
      <c r="A184" s="2">
        <v>0</v>
      </c>
      <c r="B184" s="2" t="s">
        <v>356</v>
      </c>
      <c r="C184" s="2" t="s">
        <v>357</v>
      </c>
      <c r="D184" s="2">
        <v>0.11799999999999999</v>
      </c>
      <c r="E184" s="2">
        <v>84.08</v>
      </c>
      <c r="F184" s="2">
        <v>4.51</v>
      </c>
      <c r="G184" s="2">
        <v>0</v>
      </c>
      <c r="H184" s="2">
        <v>0</v>
      </c>
      <c r="I184" s="2">
        <v>1299</v>
      </c>
      <c r="J184" s="2">
        <v>0.125</v>
      </c>
      <c r="K184" s="2">
        <v>4.4999999999999998E-2</v>
      </c>
      <c r="L184" s="2"/>
    </row>
    <row r="185" spans="1:12" x14ac:dyDescent="0.25">
      <c r="A185" s="2">
        <v>0</v>
      </c>
      <c r="B185" s="2" t="s">
        <v>358</v>
      </c>
      <c r="C185" s="2" t="s">
        <v>359</v>
      </c>
      <c r="D185" s="2">
        <v>5.6470000000000002</v>
      </c>
      <c r="E185" s="2">
        <v>13.41</v>
      </c>
      <c r="F185" s="2">
        <v>10.71</v>
      </c>
      <c r="G185" s="2">
        <v>0</v>
      </c>
      <c r="H185" s="2">
        <v>7.06</v>
      </c>
      <c r="I185" s="2">
        <v>1102</v>
      </c>
      <c r="J185" s="2">
        <v>2.4580000000000002</v>
      </c>
      <c r="K185" s="2">
        <v>0.41499999999999998</v>
      </c>
      <c r="L185" s="2"/>
    </row>
    <row r="186" spans="1:12" x14ac:dyDescent="0.25">
      <c r="A186" s="2">
        <v>0</v>
      </c>
      <c r="B186" s="2" t="s">
        <v>360</v>
      </c>
      <c r="C186" s="2" t="s">
        <v>361</v>
      </c>
      <c r="D186" s="2">
        <v>12.602</v>
      </c>
      <c r="E186" s="2">
        <v>27.35</v>
      </c>
      <c r="F186" s="2">
        <v>4.0599999999999996</v>
      </c>
      <c r="G186" s="2">
        <v>0</v>
      </c>
      <c r="H186" s="2">
        <v>0.26</v>
      </c>
      <c r="I186" s="2">
        <v>628</v>
      </c>
      <c r="J186" s="2">
        <v>5.3040000000000003</v>
      </c>
      <c r="K186" s="2">
        <v>0.89300000000000002</v>
      </c>
      <c r="L186" s="2"/>
    </row>
    <row r="187" spans="1:12" x14ac:dyDescent="0.25">
      <c r="A187" s="2">
        <v>0</v>
      </c>
      <c r="B187" s="2" t="s">
        <v>362</v>
      </c>
      <c r="C187" s="2" t="s">
        <v>363</v>
      </c>
      <c r="D187" s="2">
        <v>2.3490000000000002</v>
      </c>
      <c r="E187" s="2">
        <v>3.36</v>
      </c>
      <c r="F187" s="2">
        <v>23.15</v>
      </c>
      <c r="G187" s="2">
        <v>0</v>
      </c>
      <c r="H187" s="2">
        <v>19.46</v>
      </c>
      <c r="I187" s="2">
        <v>64</v>
      </c>
      <c r="J187" s="2">
        <v>1.0329999999999999</v>
      </c>
      <c r="K187" s="2">
        <v>0.125</v>
      </c>
      <c r="L187" s="2"/>
    </row>
    <row r="188" spans="1:12" x14ac:dyDescent="0.25">
      <c r="A188" s="2">
        <v>0</v>
      </c>
      <c r="B188" s="2" t="s">
        <v>364</v>
      </c>
      <c r="C188" s="2" t="s">
        <v>365</v>
      </c>
      <c r="D188" s="2">
        <v>17.895</v>
      </c>
      <c r="E188" s="2">
        <v>2.11</v>
      </c>
      <c r="F188" s="2">
        <v>37.119999999999997</v>
      </c>
      <c r="G188" s="2">
        <v>1.1000000000000001</v>
      </c>
      <c r="H188" s="2">
        <v>21.05</v>
      </c>
      <c r="I188" s="2">
        <v>84</v>
      </c>
      <c r="J188" s="2">
        <v>1.173</v>
      </c>
      <c r="K188" s="2">
        <v>2.2080000000000002</v>
      </c>
      <c r="L188" s="2"/>
    </row>
    <row r="189" spans="1:12" x14ac:dyDescent="0.25">
      <c r="A189" s="2">
        <v>0</v>
      </c>
      <c r="B189" s="2" t="s">
        <v>366</v>
      </c>
      <c r="C189" s="2" t="s">
        <v>367</v>
      </c>
      <c r="D189" s="2">
        <v>0</v>
      </c>
      <c r="E189" s="2">
        <v>32.14</v>
      </c>
      <c r="F189" s="2">
        <v>7.14</v>
      </c>
      <c r="G189" s="2">
        <v>0</v>
      </c>
      <c r="H189" s="2">
        <v>0</v>
      </c>
      <c r="I189" s="2">
        <v>1000</v>
      </c>
      <c r="J189" s="2">
        <v>0</v>
      </c>
      <c r="K189" s="2">
        <v>0</v>
      </c>
      <c r="L189" s="2"/>
    </row>
    <row r="190" spans="1:12" x14ac:dyDescent="0.25">
      <c r="A190" s="2">
        <v>0</v>
      </c>
      <c r="B190" s="2" t="s">
        <v>368</v>
      </c>
      <c r="C190" s="2" t="s">
        <v>369</v>
      </c>
      <c r="D190" s="2">
        <v>11.472</v>
      </c>
      <c r="E190" s="2">
        <v>23.63</v>
      </c>
      <c r="F190" s="2">
        <v>8.06</v>
      </c>
      <c r="G190" s="2">
        <v>0</v>
      </c>
      <c r="H190" s="2">
        <v>2.2400000000000002</v>
      </c>
      <c r="I190" s="2">
        <v>682</v>
      </c>
      <c r="J190" s="2">
        <v>5.1040000000000001</v>
      </c>
      <c r="K190" s="2">
        <v>0.86099999999999999</v>
      </c>
      <c r="L190" s="2"/>
    </row>
    <row r="191" spans="1:12" x14ac:dyDescent="0.25">
      <c r="A191" s="2">
        <v>0</v>
      </c>
      <c r="B191" s="2" t="s">
        <v>370</v>
      </c>
      <c r="C191" s="2" t="s">
        <v>371</v>
      </c>
      <c r="D191" s="2">
        <v>0.17799999999999999</v>
      </c>
      <c r="E191" s="2">
        <v>9.07</v>
      </c>
      <c r="F191" s="2">
        <v>8.09</v>
      </c>
      <c r="G191" s="2">
        <v>0.3</v>
      </c>
      <c r="H191" s="2">
        <v>7.61</v>
      </c>
      <c r="I191" s="2">
        <v>36</v>
      </c>
      <c r="J191" s="2">
        <v>0.06</v>
      </c>
      <c r="K191" s="2">
        <v>1.0999999999999999E-2</v>
      </c>
      <c r="L191" s="2"/>
    </row>
    <row r="192" spans="1:12" x14ac:dyDescent="0.25">
      <c r="A192" s="2">
        <v>0</v>
      </c>
      <c r="B192" s="2" t="s">
        <v>372</v>
      </c>
      <c r="C192" s="2" t="s">
        <v>373</v>
      </c>
      <c r="D192" s="2">
        <v>1.8320000000000001</v>
      </c>
      <c r="E192" s="2">
        <v>8.25</v>
      </c>
      <c r="F192" s="2">
        <v>11.67</v>
      </c>
      <c r="G192" s="2">
        <v>1</v>
      </c>
      <c r="H192" s="2">
        <v>11</v>
      </c>
      <c r="I192" s="2">
        <v>34</v>
      </c>
      <c r="J192" s="2">
        <v>0.745</v>
      </c>
      <c r="K192" s="2">
        <v>0.13100000000000001</v>
      </c>
      <c r="L192" s="2"/>
    </row>
    <row r="193" spans="1:12" x14ac:dyDescent="0.25">
      <c r="A193" s="2">
        <v>0</v>
      </c>
      <c r="B193" s="2" t="s">
        <v>374</v>
      </c>
      <c r="C193" s="2" t="s">
        <v>375</v>
      </c>
      <c r="D193" s="2">
        <v>0.11</v>
      </c>
      <c r="E193" s="2">
        <v>8.0299999999999994</v>
      </c>
      <c r="F193" s="2">
        <v>12.53</v>
      </c>
      <c r="G193" s="2">
        <v>0.4</v>
      </c>
      <c r="H193" s="2">
        <v>11.63</v>
      </c>
      <c r="I193" s="2">
        <v>33</v>
      </c>
      <c r="J193" s="2">
        <v>2.4E-2</v>
      </c>
      <c r="K193" s="2">
        <v>8.0000000000000002E-3</v>
      </c>
      <c r="L193" s="2"/>
    </row>
    <row r="194" spans="1:12" x14ac:dyDescent="0.25">
      <c r="A194" s="2">
        <v>0</v>
      </c>
      <c r="B194" s="2" t="s">
        <v>376</v>
      </c>
      <c r="C194" s="2" t="s">
        <v>377</v>
      </c>
      <c r="D194" s="2">
        <v>0.10299999999999999</v>
      </c>
      <c r="E194" s="2">
        <v>8.0299999999999994</v>
      </c>
      <c r="F194" s="2">
        <v>11.62</v>
      </c>
      <c r="G194" s="2">
        <v>0.7</v>
      </c>
      <c r="H194" s="2">
        <v>10.86</v>
      </c>
      <c r="I194" s="2">
        <v>33</v>
      </c>
      <c r="J194" s="2">
        <v>2.4E-2</v>
      </c>
      <c r="K194" s="2">
        <v>0.01</v>
      </c>
      <c r="L194" s="2"/>
    </row>
    <row r="195" spans="1:12" x14ac:dyDescent="0.25">
      <c r="A195" s="2">
        <v>0</v>
      </c>
      <c r="B195" s="2" t="s">
        <v>378</v>
      </c>
      <c r="C195" s="2" t="s">
        <v>379</v>
      </c>
      <c r="D195" s="2">
        <v>1.599</v>
      </c>
      <c r="E195" s="2">
        <v>8.17</v>
      </c>
      <c r="F195" s="2">
        <v>11.89</v>
      </c>
      <c r="G195" s="2">
        <v>1</v>
      </c>
      <c r="H195" s="2">
        <v>11.23</v>
      </c>
      <c r="I195" s="2">
        <v>33</v>
      </c>
      <c r="J195" s="2">
        <v>0.65</v>
      </c>
      <c r="K195" s="2">
        <v>0.113</v>
      </c>
      <c r="L195" s="2"/>
    </row>
    <row r="196" spans="1:12" x14ac:dyDescent="0.25">
      <c r="A196" s="2">
        <v>0</v>
      </c>
      <c r="B196" s="2" t="s">
        <v>380</v>
      </c>
      <c r="C196" s="2" t="s">
        <v>381</v>
      </c>
      <c r="D196" s="2">
        <v>0.105</v>
      </c>
      <c r="E196" s="2">
        <v>8.0500000000000007</v>
      </c>
      <c r="F196" s="2">
        <v>12.07</v>
      </c>
      <c r="G196" s="2">
        <v>0.6</v>
      </c>
      <c r="H196" s="2">
        <v>11.27</v>
      </c>
      <c r="I196" s="2">
        <v>33</v>
      </c>
      <c r="J196" s="2">
        <v>2.5999999999999999E-2</v>
      </c>
      <c r="K196" s="2">
        <v>1.4E-2</v>
      </c>
      <c r="L196" s="2"/>
    </row>
    <row r="197" spans="1:12" x14ac:dyDescent="0.25">
      <c r="A197" s="2">
        <v>0</v>
      </c>
      <c r="B197" s="2" t="s">
        <v>382</v>
      </c>
      <c r="C197" s="2" t="s">
        <v>383</v>
      </c>
      <c r="D197" s="2">
        <v>0.13300000000000001</v>
      </c>
      <c r="E197" s="2">
        <v>8.64</v>
      </c>
      <c r="F197" s="2">
        <v>10.37</v>
      </c>
      <c r="G197" s="2">
        <v>0.5</v>
      </c>
      <c r="H197" s="2">
        <v>9.5399999999999991</v>
      </c>
      <c r="I197" s="2">
        <v>34</v>
      </c>
      <c r="J197" s="2">
        <v>3.9E-2</v>
      </c>
      <c r="K197" s="2">
        <v>8.9999999999999993E-3</v>
      </c>
      <c r="L197" s="2"/>
    </row>
    <row r="198" spans="1:12" x14ac:dyDescent="0.25">
      <c r="A198" s="2">
        <v>0</v>
      </c>
      <c r="B198" s="2" t="s">
        <v>384</v>
      </c>
      <c r="C198" s="2" t="s">
        <v>385</v>
      </c>
      <c r="D198" s="2">
        <v>1.23</v>
      </c>
      <c r="E198" s="2">
        <v>9.9499999999999993</v>
      </c>
      <c r="F198" s="2">
        <v>3.94</v>
      </c>
      <c r="G198" s="2">
        <v>0</v>
      </c>
      <c r="H198" s="2">
        <v>3.56</v>
      </c>
      <c r="I198" s="2">
        <v>34</v>
      </c>
      <c r="J198" s="2">
        <v>0.48599999999999999</v>
      </c>
      <c r="K198" s="2">
        <v>7.5999999999999998E-2</v>
      </c>
      <c r="L198" s="2"/>
    </row>
    <row r="199" spans="1:12" x14ac:dyDescent="0.25">
      <c r="A199" s="2">
        <v>0</v>
      </c>
      <c r="B199" s="2" t="s">
        <v>386</v>
      </c>
      <c r="C199" s="2" t="s">
        <v>387</v>
      </c>
      <c r="D199" s="2">
        <v>0.65800000000000003</v>
      </c>
      <c r="E199" s="2">
        <v>3.79</v>
      </c>
      <c r="F199" s="2">
        <v>4.4800000000000004</v>
      </c>
      <c r="G199" s="2">
        <v>0</v>
      </c>
      <c r="H199" s="2">
        <v>4.6100000000000003</v>
      </c>
      <c r="I199" s="2">
        <v>40</v>
      </c>
      <c r="J199" s="2">
        <v>0.31</v>
      </c>
      <c r="K199" s="2">
        <v>5.2999999999999999E-2</v>
      </c>
      <c r="L199" s="2"/>
    </row>
    <row r="200" spans="1:12" x14ac:dyDescent="0.25">
      <c r="A200" s="2">
        <v>0</v>
      </c>
      <c r="B200" s="2" t="s">
        <v>388</v>
      </c>
      <c r="C200" s="2" t="s">
        <v>389</v>
      </c>
      <c r="D200" s="2">
        <v>0.53300000000000003</v>
      </c>
      <c r="E200" s="2">
        <v>3.39</v>
      </c>
      <c r="F200" s="2">
        <v>10.199999999999999</v>
      </c>
      <c r="G200" s="2">
        <v>0</v>
      </c>
      <c r="H200" s="2">
        <v>9.2100000000000009</v>
      </c>
      <c r="I200" s="2">
        <v>37</v>
      </c>
      <c r="J200" s="2">
        <v>0.26200000000000001</v>
      </c>
      <c r="K200" s="2">
        <v>4.1000000000000002E-2</v>
      </c>
      <c r="L200" s="2"/>
    </row>
    <row r="201" spans="1:12" x14ac:dyDescent="0.25">
      <c r="A201" s="2">
        <v>0</v>
      </c>
      <c r="B201" s="2" t="s">
        <v>390</v>
      </c>
      <c r="C201" s="2" t="s">
        <v>391</v>
      </c>
      <c r="D201" s="2">
        <v>2.395</v>
      </c>
      <c r="E201" s="2">
        <v>9</v>
      </c>
      <c r="F201" s="2">
        <v>3.98</v>
      </c>
      <c r="G201" s="2">
        <v>0</v>
      </c>
      <c r="H201" s="2">
        <v>4</v>
      </c>
      <c r="I201" s="2">
        <v>35</v>
      </c>
      <c r="J201" s="2">
        <v>2.1360000000000001</v>
      </c>
      <c r="K201" s="2">
        <v>0.46899999999999997</v>
      </c>
      <c r="L201" s="2"/>
    </row>
    <row r="202" spans="1:12" x14ac:dyDescent="0.25">
      <c r="A202" s="2">
        <v>0</v>
      </c>
      <c r="B202" s="2" t="s">
        <v>392</v>
      </c>
      <c r="C202" s="2" t="s">
        <v>393</v>
      </c>
      <c r="D202" s="2">
        <v>1.599</v>
      </c>
      <c r="E202" s="2">
        <v>7.33</v>
      </c>
      <c r="F202" s="2">
        <v>12.29</v>
      </c>
      <c r="G202" s="2">
        <v>0</v>
      </c>
      <c r="H202" s="2">
        <v>12</v>
      </c>
      <c r="I202" s="2">
        <v>37</v>
      </c>
      <c r="J202" s="2">
        <v>1.2649999999999999</v>
      </c>
      <c r="K202" s="2">
        <v>0.219</v>
      </c>
      <c r="L202" s="2"/>
    </row>
    <row r="203" spans="1:12" x14ac:dyDescent="0.25">
      <c r="A203" s="2">
        <v>0</v>
      </c>
      <c r="B203" s="2" t="s">
        <v>394</v>
      </c>
      <c r="C203" s="2" t="s">
        <v>395</v>
      </c>
      <c r="D203" s="2">
        <v>0</v>
      </c>
      <c r="E203" s="2">
        <v>2.94</v>
      </c>
      <c r="F203" s="2">
        <v>17.04</v>
      </c>
      <c r="G203" s="2">
        <v>0</v>
      </c>
      <c r="H203" s="2">
        <v>5.88</v>
      </c>
      <c r="I203" s="2">
        <v>47</v>
      </c>
      <c r="J203" s="2">
        <v>0</v>
      </c>
      <c r="K203" s="2">
        <v>0</v>
      </c>
      <c r="L203" s="2"/>
    </row>
    <row r="204" spans="1:12" x14ac:dyDescent="0.25">
      <c r="A204" s="2">
        <v>0</v>
      </c>
      <c r="B204" s="2" t="s">
        <v>396</v>
      </c>
      <c r="C204" s="2" t="s">
        <v>397</v>
      </c>
      <c r="D204" s="2">
        <v>1.4650000000000001</v>
      </c>
      <c r="E204" s="2">
        <v>8.64</v>
      </c>
      <c r="F204" s="2">
        <v>9.5399999999999991</v>
      </c>
      <c r="G204" s="2">
        <v>0</v>
      </c>
      <c r="H204" s="2">
        <v>9.5399999999999991</v>
      </c>
      <c r="I204" s="2">
        <v>40</v>
      </c>
      <c r="J204" s="2">
        <v>0.84599999999999997</v>
      </c>
      <c r="K204" s="2">
        <v>0.20300000000000001</v>
      </c>
      <c r="L204" s="2"/>
    </row>
    <row r="205" spans="1:12" x14ac:dyDescent="0.25">
      <c r="A205" s="2">
        <v>0</v>
      </c>
      <c r="B205" s="2" t="s">
        <v>398</v>
      </c>
      <c r="C205" s="2" t="s">
        <v>399</v>
      </c>
      <c r="D205" s="2">
        <v>15.904</v>
      </c>
      <c r="E205" s="2">
        <v>5.62</v>
      </c>
      <c r="F205" s="2">
        <v>11.89</v>
      </c>
      <c r="G205" s="2">
        <v>1.1000000000000001</v>
      </c>
      <c r="H205" s="2">
        <v>10.8</v>
      </c>
      <c r="I205" s="2">
        <v>56</v>
      </c>
      <c r="J205" s="2">
        <v>6.2080000000000002</v>
      </c>
      <c r="K205" s="2">
        <v>1.879</v>
      </c>
      <c r="L205" s="2"/>
    </row>
    <row r="206" spans="1:12" x14ac:dyDescent="0.25">
      <c r="A206" s="2">
        <v>0</v>
      </c>
      <c r="B206" s="2" t="s">
        <v>400</v>
      </c>
      <c r="C206" s="2" t="s">
        <v>401</v>
      </c>
      <c r="D206" s="2">
        <v>2.7170000000000001</v>
      </c>
      <c r="E206" s="2">
        <v>3</v>
      </c>
      <c r="F206" s="2">
        <v>28.89</v>
      </c>
      <c r="G206" s="2">
        <v>1</v>
      </c>
      <c r="H206" s="2">
        <v>21.26</v>
      </c>
      <c r="I206" s="2">
        <v>115</v>
      </c>
      <c r="J206" s="2">
        <v>1.7749999999999999</v>
      </c>
      <c r="K206" s="2">
        <v>0.747</v>
      </c>
      <c r="L206" s="2"/>
    </row>
    <row r="207" spans="1:12" x14ac:dyDescent="0.25">
      <c r="A207" s="2">
        <v>0</v>
      </c>
      <c r="B207" s="2" t="s">
        <v>402</v>
      </c>
      <c r="C207" s="2" t="s">
        <v>403</v>
      </c>
      <c r="D207" s="2">
        <v>1.8129999999999999</v>
      </c>
      <c r="E207" s="2">
        <v>1.54</v>
      </c>
      <c r="F207" s="2">
        <v>32.75</v>
      </c>
      <c r="G207" s="2">
        <v>0</v>
      </c>
      <c r="H207" s="2">
        <v>18.46</v>
      </c>
      <c r="I207" s="2">
        <v>46</v>
      </c>
      <c r="J207" s="2">
        <v>0.81899999999999995</v>
      </c>
      <c r="K207" s="2">
        <v>0.13700000000000001</v>
      </c>
      <c r="L207" s="2"/>
    </row>
    <row r="208" spans="1:12" x14ac:dyDescent="0.25">
      <c r="A208" s="2">
        <v>1</v>
      </c>
      <c r="B208" s="2" t="s">
        <v>404</v>
      </c>
      <c r="C208" s="2" t="s">
        <v>405</v>
      </c>
      <c r="D208" s="2">
        <v>3.2759999999999998</v>
      </c>
      <c r="E208" s="2">
        <v>3.33</v>
      </c>
      <c r="F208" s="2">
        <v>3.33</v>
      </c>
      <c r="G208" s="2">
        <v>0</v>
      </c>
      <c r="H208" s="2">
        <v>3.33</v>
      </c>
      <c r="I208" s="2">
        <v>50</v>
      </c>
      <c r="J208" s="2">
        <v>1.526</v>
      </c>
      <c r="K208" s="2">
        <v>0.25700000000000001</v>
      </c>
      <c r="L208" s="2"/>
    </row>
    <row r="209" spans="1:12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655B-CA84-B243-8A9E-FC45A03B11AE}">
  <sheetPr codeName="Sheet4"/>
  <dimension ref="A1:K208"/>
  <sheetViews>
    <sheetView topLeftCell="A19" workbookViewId="0">
      <selection activeCell="E35" sqref="E35"/>
    </sheetView>
  </sheetViews>
  <sheetFormatPr defaultColWidth="11" defaultRowHeight="15.75" x14ac:dyDescent="0.25"/>
  <cols>
    <col min="3" max="3" width="41.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02001</v>
      </c>
      <c r="C3" s="10" t="str" cm="1">
        <f t="array" ref="C3">INDEX($B$11:$K$208, $A$3, C1)</f>
        <v>ALLSPICE,GROUND</v>
      </c>
      <c r="D3" s="10" cm="1">
        <f t="array" ref="D3">INDEX($B$11:$K$74, $A$3, D1)</f>
        <v>6.09</v>
      </c>
      <c r="E3" s="10" cm="1">
        <f t="array" ref="E3">INDEX($B$11:$K$74, $A$3, E1)</f>
        <v>72.12</v>
      </c>
      <c r="F3" s="10" cm="1">
        <f t="array" ref="F3">INDEX($B$11:$K$74, $A$3, F1)</f>
        <v>21.6</v>
      </c>
      <c r="G3" s="10" cm="1">
        <f t="array" ref="G3">INDEX($B$11:$K$74, $A$3, G1)</f>
        <v>0</v>
      </c>
      <c r="H3" s="10" cm="1">
        <f t="array" ref="H3">INDEX($B$11:$K$74, $A$3, H1)</f>
        <v>77</v>
      </c>
      <c r="I3" s="10" cm="1">
        <f t="array" ref="I3">INDEX($B$11:$K$74, $A$3, I1)</f>
        <v>2.5499999999999998</v>
      </c>
      <c r="J3" s="10" cm="1">
        <f t="array" ref="J3">INDEX($B$11:$K$74, $A$3, J1)</f>
        <v>0.66</v>
      </c>
      <c r="K3" s="10" cm="1">
        <f t="array" ref="K3">INDEX($B$11:$K$74, $A$3, K1)</f>
        <v>2.36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144.24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1.32</v>
      </c>
      <c r="K6" s="10">
        <f>A7*K3</f>
        <v>4.72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1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A11">
        <v>0</v>
      </c>
      <c r="B11" s="2" t="s">
        <v>543</v>
      </c>
      <c r="C11" s="2" t="s">
        <v>544</v>
      </c>
      <c r="D11" s="3">
        <v>6.09</v>
      </c>
      <c r="E11" s="3">
        <v>72.12</v>
      </c>
      <c r="F11" s="3">
        <v>21.6</v>
      </c>
      <c r="H11" s="3">
        <v>77</v>
      </c>
      <c r="I11" s="3">
        <v>2.5499999999999998</v>
      </c>
      <c r="J11" s="3">
        <v>0.66</v>
      </c>
      <c r="K11" s="3">
        <v>2.36</v>
      </c>
    </row>
    <row r="12" spans="1:11" x14ac:dyDescent="0.25">
      <c r="A12">
        <v>0</v>
      </c>
      <c r="B12" s="2" t="s">
        <v>545</v>
      </c>
      <c r="C12" s="2" t="s">
        <v>546</v>
      </c>
      <c r="D12" s="3">
        <v>17.600000000000001</v>
      </c>
      <c r="E12" s="3">
        <v>50.02</v>
      </c>
      <c r="F12" s="3">
        <v>14.6</v>
      </c>
      <c r="H12" s="3">
        <v>16</v>
      </c>
      <c r="I12" s="3">
        <v>0.58599999999999997</v>
      </c>
      <c r="J12" s="3">
        <v>9.7799999999999994</v>
      </c>
      <c r="K12" s="3">
        <v>3.15</v>
      </c>
    </row>
    <row r="13" spans="1:11" x14ac:dyDescent="0.25">
      <c r="A13">
        <v>0</v>
      </c>
      <c r="B13" s="2" t="s">
        <v>547</v>
      </c>
      <c r="C13" s="2" t="s">
        <v>548</v>
      </c>
      <c r="D13" s="3">
        <v>22.98</v>
      </c>
      <c r="E13" s="3">
        <v>47.75</v>
      </c>
      <c r="F13" s="3">
        <v>37.700000000000003</v>
      </c>
      <c r="G13" s="3">
        <v>1.71</v>
      </c>
      <c r="H13" s="3">
        <v>76</v>
      </c>
      <c r="I13" s="3">
        <v>2.157</v>
      </c>
      <c r="J13" s="3">
        <v>1.238</v>
      </c>
      <c r="K13" s="3">
        <v>0.498</v>
      </c>
    </row>
    <row r="14" spans="1:11" x14ac:dyDescent="0.25">
      <c r="A14">
        <v>0</v>
      </c>
      <c r="B14" s="2" t="s">
        <v>549</v>
      </c>
      <c r="C14" s="2" t="s">
        <v>550</v>
      </c>
      <c r="D14" s="3">
        <v>7.61</v>
      </c>
      <c r="E14" s="3">
        <v>74.97</v>
      </c>
      <c r="F14" s="3">
        <v>26.3</v>
      </c>
      <c r="H14" s="3">
        <v>23</v>
      </c>
      <c r="I14" s="3">
        <v>2.2799999999999998</v>
      </c>
      <c r="J14" s="3">
        <v>1.64</v>
      </c>
      <c r="K14" s="3">
        <v>2.29</v>
      </c>
    </row>
    <row r="15" spans="1:11" x14ac:dyDescent="0.25">
      <c r="A15">
        <v>0</v>
      </c>
      <c r="B15" s="2" t="s">
        <v>551</v>
      </c>
      <c r="C15" s="2" t="s">
        <v>552</v>
      </c>
      <c r="D15" s="3">
        <v>19.77</v>
      </c>
      <c r="E15" s="3">
        <v>49.9</v>
      </c>
      <c r="F15" s="3">
        <v>38</v>
      </c>
      <c r="G15" s="3">
        <v>0.64</v>
      </c>
      <c r="H15" s="3">
        <v>17</v>
      </c>
      <c r="I15" s="3">
        <v>0.62</v>
      </c>
      <c r="J15" s="3">
        <v>7.125</v>
      </c>
      <c r="K15" s="3">
        <v>3.2719999999999998</v>
      </c>
    </row>
    <row r="16" spans="1:11" x14ac:dyDescent="0.25">
      <c r="A16">
        <v>0</v>
      </c>
      <c r="B16" s="2" t="s">
        <v>553</v>
      </c>
      <c r="C16" s="2" t="s">
        <v>554</v>
      </c>
      <c r="D16" s="3">
        <v>10.76</v>
      </c>
      <c r="E16" s="3">
        <v>68.47</v>
      </c>
      <c r="F16" s="3">
        <v>28</v>
      </c>
      <c r="H16" s="3">
        <v>18</v>
      </c>
      <c r="I16" s="3">
        <v>0.68</v>
      </c>
      <c r="J16" s="3">
        <v>0.87</v>
      </c>
      <c r="K16" s="3">
        <v>0.43</v>
      </c>
    </row>
    <row r="17" spans="1:11" x14ac:dyDescent="0.25">
      <c r="A17">
        <v>0</v>
      </c>
      <c r="B17" s="2" t="s">
        <v>555</v>
      </c>
      <c r="C17" s="2" t="s">
        <v>556</v>
      </c>
      <c r="D17" s="3">
        <v>18.07</v>
      </c>
      <c r="E17" s="3">
        <v>41.35</v>
      </c>
      <c r="F17" s="3">
        <v>11.8</v>
      </c>
      <c r="G17" s="3">
        <v>0.67</v>
      </c>
      <c r="H17" s="3">
        <v>160</v>
      </c>
      <c r="I17" s="3">
        <v>2.19</v>
      </c>
      <c r="J17" s="3">
        <v>15.93</v>
      </c>
      <c r="K17" s="3">
        <v>3.72</v>
      </c>
    </row>
    <row r="18" spans="1:11" x14ac:dyDescent="0.25">
      <c r="A18">
        <v>0</v>
      </c>
      <c r="B18" s="2" t="s">
        <v>557</v>
      </c>
      <c r="C18" s="2" t="s">
        <v>558</v>
      </c>
      <c r="D18" s="3">
        <v>23.2</v>
      </c>
      <c r="E18" s="3">
        <v>49.1</v>
      </c>
      <c r="F18" s="3">
        <v>11.3</v>
      </c>
      <c r="H18" s="3">
        <v>83</v>
      </c>
      <c r="I18" s="3">
        <v>0.16900000000000001</v>
      </c>
      <c r="J18" s="3">
        <v>1.399</v>
      </c>
      <c r="K18" s="3">
        <v>1.8</v>
      </c>
    </row>
    <row r="19" spans="1:11" x14ac:dyDescent="0.25">
      <c r="A19">
        <v>0</v>
      </c>
      <c r="B19" s="2" t="s">
        <v>559</v>
      </c>
      <c r="C19" s="2" t="s">
        <v>560</v>
      </c>
      <c r="D19" s="3">
        <v>13.46</v>
      </c>
      <c r="E19" s="3">
        <v>49.7</v>
      </c>
      <c r="F19" s="3">
        <v>34.799999999999997</v>
      </c>
      <c r="G19" s="3">
        <v>7.19</v>
      </c>
      <c r="H19" s="3">
        <v>2867</v>
      </c>
      <c r="I19" s="3">
        <v>2.4620000000000002</v>
      </c>
      <c r="J19" s="3">
        <v>3.2109999999999999</v>
      </c>
      <c r="K19" s="3">
        <v>8.0060000000000002</v>
      </c>
    </row>
    <row r="20" spans="1:11" x14ac:dyDescent="0.25">
      <c r="A20">
        <v>0</v>
      </c>
      <c r="B20" s="2" t="s">
        <v>433</v>
      </c>
      <c r="C20" s="2" t="s">
        <v>434</v>
      </c>
      <c r="D20" s="3">
        <v>3.99</v>
      </c>
      <c r="E20" s="3">
        <v>80.59</v>
      </c>
      <c r="F20" s="3">
        <v>53.1</v>
      </c>
      <c r="G20" s="3">
        <v>2.17</v>
      </c>
      <c r="H20" s="3">
        <v>10</v>
      </c>
      <c r="I20" s="3">
        <v>0.34499999999999997</v>
      </c>
      <c r="J20" s="3">
        <v>0.246</v>
      </c>
      <c r="K20" s="3">
        <v>6.8000000000000005E-2</v>
      </c>
    </row>
    <row r="21" spans="1:11" x14ac:dyDescent="0.25">
      <c r="A21">
        <v>0</v>
      </c>
      <c r="B21" s="2" t="s">
        <v>435</v>
      </c>
      <c r="C21" s="2" t="s">
        <v>436</v>
      </c>
      <c r="D21" s="3">
        <v>5.97</v>
      </c>
      <c r="E21" s="3">
        <v>65.53</v>
      </c>
      <c r="F21" s="3">
        <v>33.9</v>
      </c>
      <c r="G21" s="3">
        <v>2.38</v>
      </c>
      <c r="H21" s="3">
        <v>277</v>
      </c>
      <c r="I21" s="3">
        <v>3.952</v>
      </c>
      <c r="J21" s="3">
        <v>1.393</v>
      </c>
      <c r="K21" s="3">
        <v>3.6059999999999999</v>
      </c>
    </row>
    <row r="22" spans="1:11" x14ac:dyDescent="0.25">
      <c r="A22">
        <v>0</v>
      </c>
      <c r="B22" s="2" t="s">
        <v>437</v>
      </c>
      <c r="C22" s="2" t="s">
        <v>438</v>
      </c>
      <c r="D22" s="3">
        <v>21.93</v>
      </c>
      <c r="E22" s="3">
        <v>52.1</v>
      </c>
      <c r="F22" s="3">
        <v>10.4</v>
      </c>
      <c r="G22" s="3">
        <v>7.27</v>
      </c>
      <c r="H22" s="3">
        <v>211</v>
      </c>
      <c r="I22" s="3">
        <v>0.115</v>
      </c>
      <c r="J22" s="3">
        <v>2.2320000000000002</v>
      </c>
      <c r="K22" s="3">
        <v>0.32800000000000001</v>
      </c>
    </row>
    <row r="23" spans="1:11" x14ac:dyDescent="0.25">
      <c r="A23">
        <v>0</v>
      </c>
      <c r="B23" s="2" t="s">
        <v>439</v>
      </c>
      <c r="C23" s="2" t="s">
        <v>440</v>
      </c>
      <c r="D23" s="3">
        <v>12.37</v>
      </c>
      <c r="E23" s="3">
        <v>54.99</v>
      </c>
      <c r="F23" s="3">
        <v>41.9</v>
      </c>
      <c r="H23" s="3">
        <v>35</v>
      </c>
      <c r="I23" s="3">
        <v>0.99</v>
      </c>
      <c r="J23" s="3">
        <v>13.58</v>
      </c>
      <c r="K23" s="3">
        <v>1.75</v>
      </c>
    </row>
    <row r="24" spans="1:11" x14ac:dyDescent="0.25">
      <c r="A24">
        <v>0</v>
      </c>
      <c r="B24" s="2" t="s">
        <v>441</v>
      </c>
      <c r="C24" s="2" t="s">
        <v>442</v>
      </c>
      <c r="D24" s="3">
        <v>17.809999999999999</v>
      </c>
      <c r="E24" s="3">
        <v>44.24</v>
      </c>
      <c r="F24" s="3">
        <v>10.5</v>
      </c>
      <c r="G24" s="3">
        <v>2.25</v>
      </c>
      <c r="H24" s="3">
        <v>168</v>
      </c>
      <c r="I24" s="3">
        <v>1.5349999999999999</v>
      </c>
      <c r="J24" s="3">
        <v>14.04</v>
      </c>
      <c r="K24" s="3">
        <v>3.2789999999999999</v>
      </c>
    </row>
    <row r="25" spans="1:11" x14ac:dyDescent="0.25">
      <c r="A25">
        <v>0</v>
      </c>
      <c r="B25" s="2" t="s">
        <v>443</v>
      </c>
      <c r="C25" s="2" t="s">
        <v>444</v>
      </c>
      <c r="D25" s="3">
        <v>14.29</v>
      </c>
      <c r="E25" s="3">
        <v>55.83</v>
      </c>
      <c r="F25" s="3">
        <v>53.2</v>
      </c>
      <c r="G25" s="3">
        <v>2.76</v>
      </c>
      <c r="H25" s="3">
        <v>52</v>
      </c>
      <c r="I25" s="3">
        <v>1.6479999999999999</v>
      </c>
      <c r="J25" s="3">
        <v>8.782</v>
      </c>
      <c r="K25" s="3">
        <v>3.056</v>
      </c>
    </row>
    <row r="26" spans="1:11" x14ac:dyDescent="0.25">
      <c r="A26">
        <v>0</v>
      </c>
      <c r="B26" s="2" t="s">
        <v>445</v>
      </c>
      <c r="C26" s="2" t="s">
        <v>446</v>
      </c>
      <c r="D26" s="3">
        <v>15.98</v>
      </c>
      <c r="E26" s="3">
        <v>55.17</v>
      </c>
      <c r="F26" s="3">
        <v>21.1</v>
      </c>
      <c r="H26" s="3">
        <v>20</v>
      </c>
      <c r="I26" s="3">
        <v>0.73</v>
      </c>
      <c r="J26" s="3">
        <v>9.41</v>
      </c>
      <c r="K26" s="3">
        <v>1.01</v>
      </c>
    </row>
    <row r="27" spans="1:11" x14ac:dyDescent="0.25">
      <c r="A27">
        <v>0</v>
      </c>
      <c r="B27" s="2" t="s">
        <v>447</v>
      </c>
      <c r="C27" s="2" t="s">
        <v>448</v>
      </c>
      <c r="D27" s="3">
        <v>19.96</v>
      </c>
      <c r="E27" s="3">
        <v>55.82</v>
      </c>
      <c r="F27" s="3">
        <v>13.6</v>
      </c>
      <c r="H27" s="3">
        <v>208</v>
      </c>
      <c r="I27" s="3">
        <v>0.23400000000000001</v>
      </c>
    </row>
    <row r="28" spans="1:11" x14ac:dyDescent="0.25">
      <c r="A28">
        <v>0</v>
      </c>
      <c r="B28" s="2" t="s">
        <v>449</v>
      </c>
      <c r="C28" s="2" t="s">
        <v>450</v>
      </c>
      <c r="D28" s="3">
        <v>15.8</v>
      </c>
      <c r="E28" s="3">
        <v>52.29</v>
      </c>
      <c r="F28" s="3">
        <v>39.799999999999997</v>
      </c>
      <c r="H28" s="3">
        <v>88</v>
      </c>
      <c r="I28" s="3">
        <v>0.48</v>
      </c>
      <c r="J28" s="3">
        <v>9.91</v>
      </c>
      <c r="K28" s="3">
        <v>1.69</v>
      </c>
    </row>
    <row r="29" spans="1:11" x14ac:dyDescent="0.25">
      <c r="A29">
        <v>0</v>
      </c>
      <c r="B29" s="2" t="s">
        <v>451</v>
      </c>
      <c r="C29" s="2" t="s">
        <v>452</v>
      </c>
      <c r="D29" s="3">
        <v>23</v>
      </c>
      <c r="E29" s="3">
        <v>58.35</v>
      </c>
      <c r="F29" s="3">
        <v>24.6</v>
      </c>
      <c r="H29" s="3">
        <v>67</v>
      </c>
      <c r="I29" s="3">
        <v>1.46</v>
      </c>
    </row>
    <row r="30" spans="1:11" x14ac:dyDescent="0.25">
      <c r="A30">
        <v>0</v>
      </c>
      <c r="B30" s="2" t="s">
        <v>453</v>
      </c>
      <c r="C30" s="2" t="s">
        <v>454</v>
      </c>
      <c r="D30" s="3">
        <v>16.55</v>
      </c>
      <c r="E30" s="3">
        <v>72.73</v>
      </c>
      <c r="F30" s="3">
        <v>9</v>
      </c>
      <c r="G30" s="3">
        <v>2.4300000000000002</v>
      </c>
      <c r="H30" s="3">
        <v>60</v>
      </c>
      <c r="I30" s="3">
        <v>0.249</v>
      </c>
      <c r="J30" s="3">
        <v>0.115</v>
      </c>
      <c r="K30" s="3">
        <v>0.17799999999999999</v>
      </c>
    </row>
    <row r="31" spans="1:11" x14ac:dyDescent="0.25">
      <c r="A31">
        <v>0</v>
      </c>
      <c r="B31" s="2" t="s">
        <v>455</v>
      </c>
      <c r="C31" s="2" t="s">
        <v>456</v>
      </c>
      <c r="D31" s="3">
        <v>8.98</v>
      </c>
      <c r="E31" s="3">
        <v>71.62</v>
      </c>
      <c r="F31" s="3">
        <v>14.1</v>
      </c>
      <c r="G31" s="3">
        <v>3.39</v>
      </c>
      <c r="H31" s="3">
        <v>27</v>
      </c>
      <c r="I31" s="3">
        <v>2.5990000000000002</v>
      </c>
      <c r="J31" s="3">
        <v>0.47899999999999998</v>
      </c>
      <c r="K31" s="3">
        <v>0.92900000000000005</v>
      </c>
    </row>
    <row r="32" spans="1:11" x14ac:dyDescent="0.25">
      <c r="A32">
        <v>0</v>
      </c>
      <c r="B32" s="2" t="s">
        <v>457</v>
      </c>
      <c r="C32" s="2" t="s">
        <v>458</v>
      </c>
      <c r="D32" s="3">
        <v>6.71</v>
      </c>
      <c r="E32" s="3">
        <v>50.5</v>
      </c>
      <c r="F32" s="3">
        <v>20.2</v>
      </c>
      <c r="H32" s="3">
        <v>80</v>
      </c>
      <c r="I32" s="3">
        <v>9.51</v>
      </c>
      <c r="J32" s="3">
        <v>11.17</v>
      </c>
      <c r="K32" s="3">
        <v>4.3899999999999997</v>
      </c>
    </row>
    <row r="33" spans="1:11" x14ac:dyDescent="0.25">
      <c r="A33">
        <v>0</v>
      </c>
      <c r="B33" s="2" t="s">
        <v>459</v>
      </c>
      <c r="C33" s="2" t="s">
        <v>460</v>
      </c>
      <c r="D33" s="3">
        <v>12.66</v>
      </c>
      <c r="E33" s="3">
        <v>60.56</v>
      </c>
      <c r="F33" s="3">
        <v>40.299999999999997</v>
      </c>
      <c r="G33" s="3">
        <v>4.09</v>
      </c>
      <c r="H33" s="3">
        <v>77</v>
      </c>
      <c r="I33" s="3">
        <v>0.52900000000000003</v>
      </c>
      <c r="J33" s="3">
        <v>0.94</v>
      </c>
      <c r="K33" s="3">
        <v>4.4050000000000002</v>
      </c>
    </row>
    <row r="34" spans="1:11" x14ac:dyDescent="0.25">
      <c r="A34">
        <v>0</v>
      </c>
      <c r="B34" s="2" t="s">
        <v>461</v>
      </c>
      <c r="C34" s="2" t="s">
        <v>462</v>
      </c>
      <c r="D34" s="3">
        <v>26.08</v>
      </c>
      <c r="E34" s="3">
        <v>28.09</v>
      </c>
      <c r="F34" s="3">
        <v>12.2</v>
      </c>
      <c r="G34" s="3">
        <v>6.79</v>
      </c>
      <c r="H34" s="3">
        <v>13</v>
      </c>
      <c r="I34" s="3">
        <v>1.9890000000000001</v>
      </c>
      <c r="J34" s="3">
        <v>22.518000000000001</v>
      </c>
      <c r="K34" s="3">
        <v>10.087999999999999</v>
      </c>
    </row>
    <row r="35" spans="1:11" x14ac:dyDescent="0.25">
      <c r="A35">
        <v>0</v>
      </c>
      <c r="B35" s="2" t="s">
        <v>463</v>
      </c>
      <c r="C35" s="2" t="s">
        <v>464</v>
      </c>
      <c r="D35" s="3">
        <v>5.84</v>
      </c>
      <c r="E35" s="3">
        <v>49.29</v>
      </c>
      <c r="F35" s="3">
        <v>20.8</v>
      </c>
      <c r="G35" s="3">
        <v>2.99</v>
      </c>
      <c r="H35" s="3">
        <v>16</v>
      </c>
      <c r="I35" s="3">
        <v>25.94</v>
      </c>
      <c r="J35" s="3">
        <v>3.22</v>
      </c>
      <c r="K35" s="3">
        <v>0.35</v>
      </c>
    </row>
    <row r="36" spans="1:11" x14ac:dyDescent="0.25">
      <c r="A36">
        <v>0</v>
      </c>
      <c r="B36" s="2" t="s">
        <v>465</v>
      </c>
      <c r="C36" s="2" t="s">
        <v>466</v>
      </c>
      <c r="D36" s="3">
        <v>10.41</v>
      </c>
      <c r="E36" s="3">
        <v>79.12</v>
      </c>
      <c r="F36" s="3">
        <v>15.2</v>
      </c>
      <c r="G36" s="3">
        <v>6.63</v>
      </c>
      <c r="H36" s="3">
        <v>73</v>
      </c>
      <c r="I36" s="3">
        <v>0.219</v>
      </c>
      <c r="J36" s="3">
        <v>0.20200000000000001</v>
      </c>
      <c r="K36" s="3">
        <v>0.31</v>
      </c>
    </row>
    <row r="37" spans="1:11" x14ac:dyDescent="0.25">
      <c r="A37">
        <v>0</v>
      </c>
      <c r="B37" s="2" t="s">
        <v>467</v>
      </c>
      <c r="C37" s="2" t="s">
        <v>468</v>
      </c>
      <c r="D37" s="3">
        <v>9</v>
      </c>
      <c r="E37" s="3">
        <v>68.92</v>
      </c>
      <c r="F37" s="3">
        <v>42.5</v>
      </c>
      <c r="G37" s="3">
        <v>4.09</v>
      </c>
      <c r="H37" s="3">
        <v>25</v>
      </c>
      <c r="I37" s="3">
        <v>1.5509999999999999</v>
      </c>
      <c r="J37" s="3">
        <v>0.71599999999999997</v>
      </c>
      <c r="K37" s="3">
        <v>1.369</v>
      </c>
    </row>
    <row r="38" spans="1:11" x14ac:dyDescent="0.25">
      <c r="A38">
        <v>0</v>
      </c>
      <c r="B38" s="2" t="s">
        <v>469</v>
      </c>
      <c r="C38" s="2" t="s">
        <v>470</v>
      </c>
      <c r="D38" s="3">
        <v>14.14</v>
      </c>
      <c r="E38" s="3">
        <v>53.99</v>
      </c>
      <c r="F38" s="3">
        <v>34.9</v>
      </c>
      <c r="G38" s="3">
        <v>10.34</v>
      </c>
      <c r="H38" s="3">
        <v>68</v>
      </c>
      <c r="I38" s="3">
        <v>2.14</v>
      </c>
      <c r="J38" s="3">
        <v>1.6950000000000001</v>
      </c>
      <c r="K38" s="3">
        <v>7.766</v>
      </c>
    </row>
    <row r="39" spans="1:11" x14ac:dyDescent="0.25">
      <c r="A39">
        <v>0</v>
      </c>
      <c r="B39" s="2" t="s">
        <v>471</v>
      </c>
      <c r="C39" s="2" t="s">
        <v>472</v>
      </c>
      <c r="D39" s="3">
        <v>26.63</v>
      </c>
      <c r="E39" s="3">
        <v>50.64</v>
      </c>
      <c r="F39" s="3">
        <v>26.7</v>
      </c>
      <c r="G39" s="3">
        <v>7.27</v>
      </c>
      <c r="H39" s="3">
        <v>452</v>
      </c>
      <c r="I39" s="3">
        <v>1.3779999999999999</v>
      </c>
      <c r="J39" s="3">
        <v>0.76100000000000001</v>
      </c>
      <c r="K39" s="3">
        <v>3.1240000000000001</v>
      </c>
    </row>
    <row r="40" spans="1:11" x14ac:dyDescent="0.25">
      <c r="A40">
        <v>0</v>
      </c>
      <c r="B40" s="2" t="s">
        <v>473</v>
      </c>
      <c r="C40" s="2" t="s">
        <v>474</v>
      </c>
      <c r="D40" s="3">
        <v>10.39</v>
      </c>
      <c r="E40" s="3">
        <v>63.95</v>
      </c>
      <c r="F40" s="3">
        <v>25.3</v>
      </c>
      <c r="G40" s="3">
        <v>0.64</v>
      </c>
      <c r="H40" s="3">
        <v>20</v>
      </c>
      <c r="I40" s="3">
        <v>1.3919999999999999</v>
      </c>
      <c r="J40" s="3">
        <v>0.73899999999999999</v>
      </c>
      <c r="K40" s="3">
        <v>0.998</v>
      </c>
    </row>
    <row r="41" spans="1:11" x14ac:dyDescent="0.25">
      <c r="A41">
        <v>0</v>
      </c>
      <c r="B41" s="2" t="s">
        <v>475</v>
      </c>
      <c r="C41" s="2" t="s">
        <v>476</v>
      </c>
      <c r="D41" s="3">
        <v>12.01</v>
      </c>
      <c r="E41" s="3">
        <v>56.63</v>
      </c>
      <c r="F41" s="3">
        <v>27.2</v>
      </c>
      <c r="G41" s="3">
        <v>10.34</v>
      </c>
      <c r="H41" s="3">
        <v>30</v>
      </c>
      <c r="I41" s="3">
        <v>3.26</v>
      </c>
      <c r="J41" s="3">
        <v>2.75</v>
      </c>
      <c r="K41" s="3">
        <v>8.3699999999999992</v>
      </c>
    </row>
    <row r="42" spans="1:11" x14ac:dyDescent="0.25">
      <c r="A42">
        <v>0</v>
      </c>
      <c r="B42" s="2" t="s">
        <v>477</v>
      </c>
      <c r="C42" s="2" t="s">
        <v>478</v>
      </c>
      <c r="D42" s="3">
        <v>10.4</v>
      </c>
      <c r="E42" s="3">
        <v>68.61</v>
      </c>
      <c r="F42" s="3">
        <v>26.2</v>
      </c>
      <c r="H42" s="3">
        <v>5</v>
      </c>
      <c r="I42" s="3">
        <v>0.626</v>
      </c>
      <c r="J42" s="3">
        <v>0.78900000000000003</v>
      </c>
      <c r="K42" s="3">
        <v>0.61599999999999999</v>
      </c>
    </row>
    <row r="43" spans="1:11" x14ac:dyDescent="0.25">
      <c r="A43">
        <v>0</v>
      </c>
      <c r="B43" s="2" t="s">
        <v>479</v>
      </c>
      <c r="C43" s="2" t="s">
        <v>480</v>
      </c>
      <c r="D43" s="3">
        <v>17.989999999999998</v>
      </c>
      <c r="E43" s="3">
        <v>28.13</v>
      </c>
      <c r="F43" s="3">
        <v>19.5</v>
      </c>
      <c r="G43" s="3">
        <v>2.99</v>
      </c>
      <c r="H43" s="3">
        <v>26</v>
      </c>
      <c r="I43" s="3">
        <v>4.5170000000000003</v>
      </c>
      <c r="J43" s="3">
        <v>5.9820000000000002</v>
      </c>
      <c r="K43" s="3">
        <v>28.568999999999999</v>
      </c>
    </row>
    <row r="44" spans="1:11" x14ac:dyDescent="0.25">
      <c r="A44">
        <v>0</v>
      </c>
      <c r="B44" s="2" t="s">
        <v>481</v>
      </c>
      <c r="C44" s="2" t="s">
        <v>482</v>
      </c>
      <c r="D44" s="3">
        <v>9.59</v>
      </c>
      <c r="E44" s="3">
        <v>65.59</v>
      </c>
      <c r="F44" s="3">
        <v>11.3</v>
      </c>
      <c r="G44" s="3">
        <v>1.8</v>
      </c>
      <c r="H44" s="3">
        <v>27</v>
      </c>
      <c r="I44" s="3">
        <v>3.29</v>
      </c>
      <c r="J44" s="3">
        <v>1.206</v>
      </c>
      <c r="K44" s="3">
        <v>1.9359999999999999</v>
      </c>
    </row>
    <row r="45" spans="1:11" x14ac:dyDescent="0.25">
      <c r="A45">
        <v>0</v>
      </c>
      <c r="B45" s="2" t="s">
        <v>483</v>
      </c>
      <c r="C45" s="2" t="s">
        <v>484</v>
      </c>
      <c r="D45" s="3">
        <v>5.76</v>
      </c>
      <c r="E45" s="3">
        <v>69.28</v>
      </c>
      <c r="F45" s="3">
        <v>14.8</v>
      </c>
      <c r="G45" s="3">
        <v>7.76</v>
      </c>
      <c r="H45" s="3">
        <v>52</v>
      </c>
      <c r="I45" s="3">
        <v>6.53</v>
      </c>
      <c r="J45" s="3">
        <v>1.1020000000000001</v>
      </c>
      <c r="K45" s="3">
        <v>0.78</v>
      </c>
    </row>
    <row r="46" spans="1:11" x14ac:dyDescent="0.25">
      <c r="A46">
        <v>0</v>
      </c>
      <c r="B46" s="2" t="s">
        <v>485</v>
      </c>
      <c r="C46" s="2" t="s">
        <v>486</v>
      </c>
      <c r="D46" s="3">
        <v>4.88</v>
      </c>
      <c r="E46" s="3">
        <v>64.06</v>
      </c>
      <c r="F46" s="3">
        <v>42.6</v>
      </c>
      <c r="H46" s="3">
        <v>50</v>
      </c>
      <c r="I46" s="3">
        <v>7.3710000000000004</v>
      </c>
      <c r="J46" s="3">
        <v>3.0139999999999998</v>
      </c>
      <c r="K46" s="3">
        <v>2.339</v>
      </c>
    </row>
    <row r="47" spans="1:11" x14ac:dyDescent="0.25">
      <c r="A47">
        <v>0</v>
      </c>
      <c r="B47" s="2" t="s">
        <v>487</v>
      </c>
      <c r="C47" s="2" t="s">
        <v>488</v>
      </c>
      <c r="D47" s="3">
        <v>11.43</v>
      </c>
      <c r="E47" s="3">
        <v>65.37</v>
      </c>
      <c r="F47" s="3">
        <v>3.9</v>
      </c>
      <c r="H47" s="3">
        <v>148</v>
      </c>
      <c r="I47" s="3">
        <v>1.5860000000000001</v>
      </c>
      <c r="J47" s="3">
        <v>0.42899999999999999</v>
      </c>
      <c r="K47" s="3">
        <v>2.0670000000000002</v>
      </c>
    </row>
    <row r="48" spans="1:11" x14ac:dyDescent="0.25">
      <c r="A48">
        <v>0</v>
      </c>
      <c r="B48" s="2" t="s">
        <v>489</v>
      </c>
      <c r="C48" s="2" t="s">
        <v>490</v>
      </c>
      <c r="D48" s="3">
        <v>10.63</v>
      </c>
      <c r="E48" s="3">
        <v>60.73</v>
      </c>
      <c r="F48" s="3">
        <v>40.299999999999997</v>
      </c>
      <c r="G48" s="3">
        <v>1.71</v>
      </c>
      <c r="H48" s="3">
        <v>11</v>
      </c>
      <c r="I48" s="3">
        <v>7.03</v>
      </c>
      <c r="J48" s="3">
        <v>1.87</v>
      </c>
      <c r="K48" s="3">
        <v>1.76</v>
      </c>
    </row>
    <row r="49" spans="1:11" x14ac:dyDescent="0.25">
      <c r="A49">
        <v>0</v>
      </c>
      <c r="B49" s="2" t="s">
        <v>491</v>
      </c>
      <c r="C49" s="2" t="s">
        <v>492</v>
      </c>
      <c r="D49" s="3">
        <v>6.73</v>
      </c>
      <c r="E49" s="3">
        <v>68.73</v>
      </c>
      <c r="F49" s="3">
        <v>45.7</v>
      </c>
      <c r="H49" s="3">
        <v>24</v>
      </c>
      <c r="I49" s="3">
        <v>3.26</v>
      </c>
    </row>
    <row r="50" spans="1:11" x14ac:dyDescent="0.25">
      <c r="A50">
        <v>0</v>
      </c>
      <c r="B50" s="2" t="s">
        <v>493</v>
      </c>
      <c r="C50" s="2" t="s">
        <v>494</v>
      </c>
      <c r="D50" s="3">
        <v>22.77</v>
      </c>
      <c r="E50" s="3">
        <v>50.22</v>
      </c>
      <c r="F50" s="3">
        <v>7.4</v>
      </c>
      <c r="H50" s="3">
        <v>62</v>
      </c>
      <c r="I50" s="3">
        <v>1.881</v>
      </c>
      <c r="J50" s="3">
        <v>0.47399999999999998</v>
      </c>
      <c r="K50" s="3">
        <v>3.698</v>
      </c>
    </row>
    <row r="51" spans="1:11" x14ac:dyDescent="0.25">
      <c r="A51">
        <v>0</v>
      </c>
      <c r="B51" s="2" t="s">
        <v>495</v>
      </c>
      <c r="C51" s="2" t="s">
        <v>496</v>
      </c>
      <c r="D51" s="3">
        <v>9.11</v>
      </c>
      <c r="E51" s="3">
        <v>63.94</v>
      </c>
      <c r="F51" s="3">
        <v>37</v>
      </c>
      <c r="G51" s="3">
        <v>1.71</v>
      </c>
      <c r="H51" s="3">
        <v>55</v>
      </c>
      <c r="I51" s="3">
        <v>2.73</v>
      </c>
      <c r="J51" s="3">
        <v>0.47</v>
      </c>
      <c r="K51" s="3">
        <v>1.19</v>
      </c>
    </row>
    <row r="52" spans="1:11" x14ac:dyDescent="0.25">
      <c r="A52">
        <v>0</v>
      </c>
      <c r="B52" s="2" t="s">
        <v>497</v>
      </c>
      <c r="C52" s="2" t="s">
        <v>498</v>
      </c>
      <c r="D52" s="3">
        <v>9.68</v>
      </c>
      <c r="E52" s="3">
        <v>67.14</v>
      </c>
      <c r="F52" s="3">
        <v>22.7</v>
      </c>
      <c r="G52" s="3">
        <v>3.21</v>
      </c>
      <c r="H52" s="3">
        <v>27</v>
      </c>
      <c r="I52" s="3">
        <v>1.8380000000000001</v>
      </c>
      <c r="J52" s="3">
        <v>0.44900000000000001</v>
      </c>
      <c r="K52" s="3">
        <v>0.75600000000000001</v>
      </c>
    </row>
    <row r="53" spans="1:11" x14ac:dyDescent="0.25">
      <c r="A53">
        <v>0</v>
      </c>
      <c r="B53" s="2" t="s">
        <v>499</v>
      </c>
      <c r="C53" s="2" t="s">
        <v>500</v>
      </c>
      <c r="D53" s="3">
        <v>3.15</v>
      </c>
      <c r="E53" s="3">
        <v>2.65</v>
      </c>
      <c r="F53" s="3">
        <v>1.6</v>
      </c>
      <c r="G53" s="3">
        <v>0.3</v>
      </c>
      <c r="H53" s="3">
        <v>4</v>
      </c>
      <c r="I53" s="3">
        <v>4.1000000000000002E-2</v>
      </c>
      <c r="J53" s="3">
        <v>8.7999999999999995E-2</v>
      </c>
      <c r="K53" s="3">
        <v>0.38900000000000001</v>
      </c>
    </row>
    <row r="54" spans="1:11" x14ac:dyDescent="0.25">
      <c r="A54">
        <v>0</v>
      </c>
      <c r="B54" s="2" t="s">
        <v>501</v>
      </c>
      <c r="C54" s="2" t="s">
        <v>502</v>
      </c>
      <c r="D54" s="3">
        <v>3.46</v>
      </c>
      <c r="E54" s="3">
        <v>7.02</v>
      </c>
      <c r="F54" s="3">
        <v>2.1</v>
      </c>
      <c r="H54" s="3">
        <v>61</v>
      </c>
      <c r="I54" s="3">
        <v>0.06</v>
      </c>
      <c r="J54" s="3">
        <v>0.80200000000000005</v>
      </c>
      <c r="K54" s="3">
        <v>9.5000000000000001E-2</v>
      </c>
    </row>
    <row r="55" spans="1:11" x14ac:dyDescent="0.25">
      <c r="A55">
        <v>0</v>
      </c>
      <c r="B55" s="2" t="s">
        <v>503</v>
      </c>
      <c r="C55" s="2" t="s">
        <v>504</v>
      </c>
      <c r="D55" s="3">
        <v>3.74</v>
      </c>
      <c r="E55" s="3">
        <v>5.83</v>
      </c>
      <c r="F55" s="3">
        <v>4</v>
      </c>
      <c r="G55" s="3">
        <v>0.92</v>
      </c>
      <c r="H55" s="3">
        <v>1104</v>
      </c>
      <c r="I55" s="3">
        <v>0.214</v>
      </c>
      <c r="J55" s="3">
        <v>2.1819999999999999</v>
      </c>
      <c r="K55" s="3">
        <v>0.77400000000000002</v>
      </c>
    </row>
    <row r="56" spans="1:11" x14ac:dyDescent="0.25">
      <c r="A56">
        <v>0</v>
      </c>
      <c r="B56" s="2" t="s">
        <v>505</v>
      </c>
      <c r="C56" s="2" t="s">
        <v>506</v>
      </c>
      <c r="D56" s="3">
        <v>0</v>
      </c>
      <c r="E56" s="3">
        <v>0</v>
      </c>
      <c r="F56" s="3">
        <v>0</v>
      </c>
      <c r="G56" s="3">
        <v>0</v>
      </c>
      <c r="H56" s="3">
        <v>38758</v>
      </c>
      <c r="I56" s="3">
        <v>0</v>
      </c>
      <c r="J56" s="3">
        <v>0</v>
      </c>
      <c r="K56" s="3">
        <v>0</v>
      </c>
    </row>
    <row r="57" spans="1:11" x14ac:dyDescent="0.25">
      <c r="A57">
        <v>0</v>
      </c>
      <c r="B57" s="2" t="s">
        <v>507</v>
      </c>
      <c r="C57" s="2" t="s">
        <v>508</v>
      </c>
      <c r="D57" s="3">
        <v>0</v>
      </c>
      <c r="E57" s="3">
        <v>0.93</v>
      </c>
      <c r="F57" s="3">
        <v>0</v>
      </c>
      <c r="G57" s="3">
        <v>0.4</v>
      </c>
      <c r="H57" s="3">
        <v>5</v>
      </c>
      <c r="I57" s="3">
        <v>0</v>
      </c>
      <c r="J57" s="3">
        <v>0</v>
      </c>
      <c r="K57" s="3">
        <v>0</v>
      </c>
    </row>
    <row r="58" spans="1:11" x14ac:dyDescent="0.25">
      <c r="A58">
        <v>0</v>
      </c>
      <c r="B58" s="2" t="s">
        <v>509</v>
      </c>
      <c r="C58" s="2" t="s">
        <v>510</v>
      </c>
      <c r="D58" s="3">
        <v>5.56</v>
      </c>
      <c r="E58" s="3">
        <v>24.45</v>
      </c>
      <c r="F58" s="3">
        <v>14</v>
      </c>
      <c r="H58" s="3">
        <v>9</v>
      </c>
      <c r="I58" s="3">
        <v>0.46700000000000003</v>
      </c>
      <c r="J58" s="3">
        <v>8.1000000000000003E-2</v>
      </c>
      <c r="K58" s="3">
        <v>0.53200000000000003</v>
      </c>
    </row>
    <row r="59" spans="1:11" x14ac:dyDescent="0.25">
      <c r="A59">
        <v>0</v>
      </c>
      <c r="B59" s="2" t="s">
        <v>511</v>
      </c>
      <c r="C59" s="2" t="s">
        <v>512</v>
      </c>
      <c r="D59" s="3">
        <v>0.06</v>
      </c>
      <c r="E59" s="3">
        <v>12.65</v>
      </c>
      <c r="F59" s="3">
        <v>0</v>
      </c>
      <c r="G59" s="3">
        <v>12.65</v>
      </c>
      <c r="H59" s="3">
        <v>9</v>
      </c>
      <c r="I59" s="3">
        <v>0.01</v>
      </c>
      <c r="J59" s="3">
        <v>0.01</v>
      </c>
      <c r="K59" s="3">
        <v>4.0000000000000001E-3</v>
      </c>
    </row>
    <row r="60" spans="1:11" x14ac:dyDescent="0.25">
      <c r="A60">
        <v>0</v>
      </c>
      <c r="B60" s="2" t="s">
        <v>513</v>
      </c>
      <c r="C60" s="2" t="s">
        <v>514</v>
      </c>
      <c r="D60" s="3">
        <v>0.05</v>
      </c>
      <c r="E60" s="3">
        <v>2.41</v>
      </c>
      <c r="F60" s="3">
        <v>0</v>
      </c>
      <c r="H60" s="3">
        <v>4</v>
      </c>
    </row>
    <row r="61" spans="1:11" x14ac:dyDescent="0.25">
      <c r="A61">
        <v>0</v>
      </c>
      <c r="B61" s="2" t="s">
        <v>515</v>
      </c>
      <c r="C61" s="2" t="s">
        <v>516</v>
      </c>
      <c r="D61" s="3">
        <v>0.03</v>
      </c>
      <c r="E61" s="3">
        <v>14.4</v>
      </c>
      <c r="F61" s="3">
        <v>0</v>
      </c>
      <c r="G61" s="3">
        <v>14.4</v>
      </c>
      <c r="H61" s="3">
        <v>3</v>
      </c>
      <c r="I61" s="3">
        <v>0</v>
      </c>
      <c r="J61" s="3">
        <v>0</v>
      </c>
      <c r="K61" s="3">
        <v>0</v>
      </c>
    </row>
    <row r="62" spans="1:11" x14ac:dyDescent="0.25">
      <c r="A62">
        <v>0</v>
      </c>
      <c r="B62" s="2" t="s">
        <v>517</v>
      </c>
      <c r="C62" s="2" t="s">
        <v>518</v>
      </c>
      <c r="D62" s="3">
        <v>0</v>
      </c>
      <c r="E62" s="3">
        <v>0.04</v>
      </c>
      <c r="F62" s="3">
        <v>0</v>
      </c>
      <c r="G62" s="3">
        <v>0.04</v>
      </c>
      <c r="H62" s="3">
        <v>2</v>
      </c>
      <c r="I62" s="3">
        <v>0</v>
      </c>
      <c r="J62" s="3">
        <v>0</v>
      </c>
      <c r="K62" s="3">
        <v>0</v>
      </c>
    </row>
    <row r="63" spans="1:11" x14ac:dyDescent="0.25">
      <c r="A63">
        <v>0</v>
      </c>
      <c r="B63" s="2" t="s">
        <v>519</v>
      </c>
      <c r="C63" s="2" t="s">
        <v>520</v>
      </c>
      <c r="D63" s="3">
        <v>2.36</v>
      </c>
      <c r="E63" s="3">
        <v>4.8899999999999997</v>
      </c>
      <c r="F63" s="3">
        <v>3.2</v>
      </c>
      <c r="G63" s="3">
        <v>0.41</v>
      </c>
      <c r="H63" s="3">
        <v>2348</v>
      </c>
      <c r="I63" s="3">
        <v>0.23300000000000001</v>
      </c>
      <c r="J63" s="3">
        <v>6.3E-2</v>
      </c>
      <c r="K63" s="3">
        <v>0.30399999999999999</v>
      </c>
    </row>
    <row r="64" spans="1:11" x14ac:dyDescent="0.25">
      <c r="A64">
        <v>0</v>
      </c>
      <c r="B64" s="2" t="s">
        <v>521</v>
      </c>
      <c r="C64" s="2" t="s">
        <v>522</v>
      </c>
      <c r="D64" s="3">
        <v>1.18</v>
      </c>
      <c r="E64" s="3">
        <v>11.29</v>
      </c>
      <c r="F64" s="3">
        <v>3.3</v>
      </c>
      <c r="G64" s="3">
        <v>7.99</v>
      </c>
      <c r="H64" s="3">
        <v>420</v>
      </c>
      <c r="I64" s="3">
        <v>0.09</v>
      </c>
      <c r="J64" s="3">
        <v>0.13</v>
      </c>
      <c r="K64" s="3">
        <v>0.33900000000000002</v>
      </c>
    </row>
    <row r="65" spans="1:11" x14ac:dyDescent="0.25">
      <c r="A65">
        <v>0</v>
      </c>
      <c r="B65" s="2" t="s">
        <v>523</v>
      </c>
      <c r="C65" s="2" t="s">
        <v>524</v>
      </c>
      <c r="D65" s="3">
        <v>3.31</v>
      </c>
      <c r="E65" s="3">
        <v>20.7</v>
      </c>
      <c r="F65" s="3">
        <v>14.1</v>
      </c>
      <c r="H65" s="3">
        <v>26</v>
      </c>
      <c r="I65" s="3">
        <v>2.8380000000000001</v>
      </c>
      <c r="J65" s="3">
        <v>1.1599999999999999</v>
      </c>
      <c r="K65" s="3">
        <v>0.90100000000000002</v>
      </c>
    </row>
    <row r="66" spans="1:11" x14ac:dyDescent="0.25">
      <c r="A66">
        <v>0</v>
      </c>
      <c r="B66" s="2" t="s">
        <v>525</v>
      </c>
      <c r="C66" s="2" t="s">
        <v>526</v>
      </c>
      <c r="D66" s="3">
        <v>3.75</v>
      </c>
      <c r="E66" s="3">
        <v>14.89</v>
      </c>
      <c r="F66" s="3">
        <v>8</v>
      </c>
      <c r="H66" s="3">
        <v>31</v>
      </c>
      <c r="I66" s="3">
        <v>0.246</v>
      </c>
      <c r="J66" s="3">
        <v>3.3000000000000002E-2</v>
      </c>
      <c r="K66" s="3">
        <v>0.50800000000000001</v>
      </c>
    </row>
    <row r="67" spans="1:11" x14ac:dyDescent="0.25">
      <c r="A67">
        <v>0</v>
      </c>
      <c r="B67" s="2" t="s">
        <v>527</v>
      </c>
      <c r="C67" s="2" t="s">
        <v>528</v>
      </c>
      <c r="D67" s="3">
        <v>3.29</v>
      </c>
      <c r="E67" s="3">
        <v>8.41</v>
      </c>
      <c r="F67" s="3">
        <v>6.8</v>
      </c>
      <c r="H67" s="3">
        <v>30</v>
      </c>
      <c r="I67" s="3">
        <v>0.191</v>
      </c>
      <c r="J67" s="3">
        <v>2.5000000000000001E-2</v>
      </c>
      <c r="K67" s="3">
        <v>0.39400000000000002</v>
      </c>
    </row>
    <row r="68" spans="1:11" x14ac:dyDescent="0.25">
      <c r="A68">
        <v>0</v>
      </c>
      <c r="B68" s="2" t="s">
        <v>529</v>
      </c>
      <c r="C68" s="2" t="s">
        <v>530</v>
      </c>
      <c r="D68" s="3">
        <v>19.93</v>
      </c>
      <c r="E68" s="3">
        <v>52.04</v>
      </c>
      <c r="F68" s="3">
        <v>29.8</v>
      </c>
      <c r="H68" s="3">
        <v>344</v>
      </c>
      <c r="I68" s="3">
        <v>1.577</v>
      </c>
      <c r="J68" s="3">
        <v>0.21</v>
      </c>
      <c r="K68" s="3">
        <v>3.2570000000000001</v>
      </c>
    </row>
    <row r="69" spans="1:11" x14ac:dyDescent="0.25">
      <c r="A69">
        <v>0</v>
      </c>
      <c r="B69" s="2" t="s">
        <v>531</v>
      </c>
      <c r="C69" s="2" t="s">
        <v>532</v>
      </c>
      <c r="D69" s="3">
        <v>0.04</v>
      </c>
      <c r="E69" s="3">
        <v>0.27</v>
      </c>
      <c r="F69" s="3">
        <v>0</v>
      </c>
      <c r="G69" s="3">
        <v>0</v>
      </c>
      <c r="H69" s="3">
        <v>8</v>
      </c>
      <c r="I69" s="3">
        <v>0</v>
      </c>
    </row>
    <row r="70" spans="1:11" x14ac:dyDescent="0.25">
      <c r="A70">
        <v>0</v>
      </c>
      <c r="B70" s="2" t="s">
        <v>533</v>
      </c>
      <c r="C70" s="2" t="s">
        <v>534</v>
      </c>
      <c r="D70" s="3">
        <v>0.49</v>
      </c>
      <c r="E70" s="3">
        <v>17.03</v>
      </c>
      <c r="G70" s="3">
        <v>14.95</v>
      </c>
      <c r="H70" s="3">
        <v>23</v>
      </c>
      <c r="I70" s="3">
        <v>0</v>
      </c>
    </row>
    <row r="71" spans="1:11" x14ac:dyDescent="0.25">
      <c r="A71">
        <v>0</v>
      </c>
      <c r="B71" s="2" t="s">
        <v>535</v>
      </c>
      <c r="C71" s="2" t="s">
        <v>536</v>
      </c>
      <c r="D71" s="3">
        <v>0</v>
      </c>
      <c r="E71" s="3">
        <v>56.29</v>
      </c>
      <c r="F71" s="3">
        <v>18.8</v>
      </c>
      <c r="G71" s="3">
        <v>18.760000000000002</v>
      </c>
      <c r="H71" s="3">
        <v>8068</v>
      </c>
      <c r="I71" s="3">
        <v>0</v>
      </c>
    </row>
    <row r="72" spans="1:11" x14ac:dyDescent="0.25">
      <c r="A72">
        <v>0</v>
      </c>
      <c r="B72" s="2" t="s">
        <v>537</v>
      </c>
      <c r="C72" s="2" t="s">
        <v>538</v>
      </c>
      <c r="D72" s="3">
        <v>0</v>
      </c>
      <c r="E72" s="3">
        <v>0</v>
      </c>
      <c r="F72" s="3">
        <v>0</v>
      </c>
      <c r="G72" s="3">
        <v>0</v>
      </c>
      <c r="H72" s="3">
        <v>17000</v>
      </c>
      <c r="I72" s="3">
        <v>0</v>
      </c>
    </row>
    <row r="73" spans="1:11" x14ac:dyDescent="0.25">
      <c r="A73">
        <v>0</v>
      </c>
      <c r="B73" s="2" t="s">
        <v>539</v>
      </c>
      <c r="C73" s="2" t="s">
        <v>540</v>
      </c>
      <c r="D73" s="3">
        <v>4.5</v>
      </c>
      <c r="E73" s="3">
        <v>58</v>
      </c>
      <c r="F73" s="3">
        <v>13.3</v>
      </c>
      <c r="G73" s="3">
        <v>10.83</v>
      </c>
      <c r="H73" s="3">
        <v>7203</v>
      </c>
      <c r="I73" s="3">
        <v>0</v>
      </c>
    </row>
    <row r="74" spans="1:11" x14ac:dyDescent="0.25">
      <c r="A74">
        <v>0</v>
      </c>
      <c r="B74" s="2" t="s">
        <v>541</v>
      </c>
      <c r="C74" s="2" t="s">
        <v>542</v>
      </c>
      <c r="D74" s="3">
        <v>10.82</v>
      </c>
      <c r="E74" s="3">
        <v>56.56</v>
      </c>
      <c r="F74" s="3">
        <v>10.8</v>
      </c>
      <c r="G74" s="3">
        <v>8.67</v>
      </c>
      <c r="H74" s="3">
        <v>4616</v>
      </c>
      <c r="I74" s="3">
        <v>0</v>
      </c>
      <c r="K74" s="3">
        <v>5.556</v>
      </c>
    </row>
    <row r="75" spans="1:11" x14ac:dyDescent="0.25">
      <c r="A75">
        <v>0</v>
      </c>
    </row>
    <row r="76" spans="1:11" x14ac:dyDescent="0.25">
      <c r="A76">
        <v>0</v>
      </c>
    </row>
    <row r="77" spans="1:11" x14ac:dyDescent="0.25">
      <c r="A77">
        <v>0</v>
      </c>
    </row>
    <row r="78" spans="1:11" x14ac:dyDescent="0.25">
      <c r="A78">
        <v>0</v>
      </c>
    </row>
    <row r="79" spans="1:11" x14ac:dyDescent="0.25">
      <c r="A79">
        <v>0</v>
      </c>
    </row>
    <row r="80" spans="1:1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  <row r="113" spans="1:1" x14ac:dyDescent="0.25">
      <c r="A113">
        <v>0</v>
      </c>
    </row>
    <row r="114" spans="1:1" x14ac:dyDescent="0.25">
      <c r="A114">
        <v>0</v>
      </c>
    </row>
    <row r="115" spans="1:1" x14ac:dyDescent="0.25">
      <c r="A115">
        <v>0</v>
      </c>
    </row>
    <row r="116" spans="1:1" x14ac:dyDescent="0.25">
      <c r="A116">
        <v>0</v>
      </c>
    </row>
    <row r="117" spans="1:1" x14ac:dyDescent="0.25">
      <c r="A117">
        <v>0</v>
      </c>
    </row>
    <row r="118" spans="1:1" x14ac:dyDescent="0.25">
      <c r="A118">
        <v>0</v>
      </c>
    </row>
    <row r="119" spans="1:1" x14ac:dyDescent="0.25">
      <c r="A119">
        <v>0</v>
      </c>
    </row>
    <row r="120" spans="1:1" x14ac:dyDescent="0.25">
      <c r="A120">
        <v>0</v>
      </c>
    </row>
    <row r="121" spans="1:1" x14ac:dyDescent="0.25">
      <c r="A121">
        <v>0</v>
      </c>
    </row>
    <row r="122" spans="1:1" x14ac:dyDescent="0.25">
      <c r="A122">
        <v>0</v>
      </c>
    </row>
    <row r="123" spans="1:1" x14ac:dyDescent="0.25">
      <c r="A123">
        <v>0</v>
      </c>
    </row>
    <row r="124" spans="1:1" x14ac:dyDescent="0.25">
      <c r="A124">
        <v>0</v>
      </c>
    </row>
    <row r="125" spans="1:1" x14ac:dyDescent="0.25">
      <c r="A125">
        <v>0</v>
      </c>
    </row>
    <row r="126" spans="1:1" x14ac:dyDescent="0.25">
      <c r="A126">
        <v>0</v>
      </c>
    </row>
    <row r="127" spans="1:1" x14ac:dyDescent="0.25">
      <c r="A127">
        <v>0</v>
      </c>
    </row>
    <row r="128" spans="1:1" x14ac:dyDescent="0.25">
      <c r="A128">
        <v>0</v>
      </c>
    </row>
    <row r="129" spans="1:1" x14ac:dyDescent="0.25">
      <c r="A129">
        <v>0</v>
      </c>
    </row>
    <row r="130" spans="1:1" x14ac:dyDescent="0.25">
      <c r="A130">
        <v>0</v>
      </c>
    </row>
    <row r="131" spans="1:1" x14ac:dyDescent="0.25">
      <c r="A131">
        <v>0</v>
      </c>
    </row>
    <row r="132" spans="1:1" x14ac:dyDescent="0.25">
      <c r="A132">
        <v>0</v>
      </c>
    </row>
    <row r="133" spans="1:1" x14ac:dyDescent="0.25">
      <c r="A133">
        <v>0</v>
      </c>
    </row>
    <row r="134" spans="1:1" x14ac:dyDescent="0.25">
      <c r="A134">
        <v>0</v>
      </c>
    </row>
    <row r="135" spans="1:1" x14ac:dyDescent="0.25">
      <c r="A135">
        <v>0</v>
      </c>
    </row>
    <row r="136" spans="1:1" x14ac:dyDescent="0.25">
      <c r="A136">
        <v>0</v>
      </c>
    </row>
    <row r="137" spans="1:1" x14ac:dyDescent="0.25">
      <c r="A137">
        <v>0</v>
      </c>
    </row>
    <row r="138" spans="1:1" x14ac:dyDescent="0.25">
      <c r="A138">
        <v>0</v>
      </c>
    </row>
    <row r="139" spans="1:1" x14ac:dyDescent="0.25">
      <c r="A139">
        <v>0</v>
      </c>
    </row>
    <row r="140" spans="1:1" x14ac:dyDescent="0.25">
      <c r="A140">
        <v>0</v>
      </c>
    </row>
    <row r="141" spans="1:1" x14ac:dyDescent="0.25">
      <c r="A141">
        <v>0</v>
      </c>
    </row>
    <row r="142" spans="1:1" x14ac:dyDescent="0.25">
      <c r="A142">
        <v>0</v>
      </c>
    </row>
    <row r="143" spans="1:1" x14ac:dyDescent="0.25">
      <c r="A143">
        <v>0</v>
      </c>
    </row>
    <row r="144" spans="1:1" x14ac:dyDescent="0.25">
      <c r="A144">
        <v>0</v>
      </c>
    </row>
    <row r="145" spans="1:1" x14ac:dyDescent="0.25">
      <c r="A145">
        <v>0</v>
      </c>
    </row>
    <row r="146" spans="1:1" x14ac:dyDescent="0.25">
      <c r="A146">
        <v>0</v>
      </c>
    </row>
    <row r="147" spans="1:1" x14ac:dyDescent="0.25">
      <c r="A147">
        <v>0</v>
      </c>
    </row>
    <row r="148" spans="1:1" x14ac:dyDescent="0.25">
      <c r="A148">
        <v>0</v>
      </c>
    </row>
    <row r="149" spans="1:1" x14ac:dyDescent="0.25">
      <c r="A149">
        <v>0</v>
      </c>
    </row>
    <row r="150" spans="1:1" x14ac:dyDescent="0.25">
      <c r="A150">
        <v>0</v>
      </c>
    </row>
    <row r="151" spans="1:1" x14ac:dyDescent="0.25">
      <c r="A151">
        <v>0</v>
      </c>
    </row>
    <row r="152" spans="1:1" x14ac:dyDescent="0.25">
      <c r="A152">
        <v>0</v>
      </c>
    </row>
    <row r="153" spans="1:1" x14ac:dyDescent="0.25">
      <c r="A153">
        <v>0</v>
      </c>
    </row>
    <row r="154" spans="1:1" x14ac:dyDescent="0.25">
      <c r="A154">
        <v>0</v>
      </c>
    </row>
    <row r="155" spans="1:1" x14ac:dyDescent="0.25">
      <c r="A155">
        <v>0</v>
      </c>
    </row>
    <row r="156" spans="1:1" x14ac:dyDescent="0.25">
      <c r="A156">
        <v>0</v>
      </c>
    </row>
    <row r="157" spans="1:1" x14ac:dyDescent="0.25">
      <c r="A157">
        <v>0</v>
      </c>
    </row>
    <row r="158" spans="1:1" x14ac:dyDescent="0.25">
      <c r="A158">
        <v>0</v>
      </c>
    </row>
    <row r="159" spans="1:1" x14ac:dyDescent="0.25">
      <c r="A159">
        <v>0</v>
      </c>
    </row>
    <row r="160" spans="1:1" x14ac:dyDescent="0.25">
      <c r="A160">
        <v>0</v>
      </c>
    </row>
    <row r="161" spans="1:1" x14ac:dyDescent="0.25">
      <c r="A161">
        <v>0</v>
      </c>
    </row>
    <row r="162" spans="1:1" x14ac:dyDescent="0.25">
      <c r="A162">
        <v>0</v>
      </c>
    </row>
    <row r="163" spans="1:1" x14ac:dyDescent="0.25">
      <c r="A163">
        <v>0</v>
      </c>
    </row>
    <row r="164" spans="1:1" x14ac:dyDescent="0.25">
      <c r="A164">
        <v>0</v>
      </c>
    </row>
    <row r="165" spans="1:1" x14ac:dyDescent="0.25">
      <c r="A165">
        <v>0</v>
      </c>
    </row>
    <row r="166" spans="1:1" x14ac:dyDescent="0.25">
      <c r="A166">
        <v>0</v>
      </c>
    </row>
    <row r="167" spans="1:1" x14ac:dyDescent="0.25">
      <c r="A167">
        <v>0</v>
      </c>
    </row>
    <row r="168" spans="1:1" x14ac:dyDescent="0.25">
      <c r="A168">
        <v>0</v>
      </c>
    </row>
    <row r="169" spans="1:1" x14ac:dyDescent="0.25">
      <c r="A169">
        <v>0</v>
      </c>
    </row>
    <row r="170" spans="1:1" x14ac:dyDescent="0.25">
      <c r="A170">
        <v>0</v>
      </c>
    </row>
    <row r="171" spans="1:1" x14ac:dyDescent="0.25">
      <c r="A171">
        <v>0</v>
      </c>
    </row>
    <row r="172" spans="1:1" x14ac:dyDescent="0.25">
      <c r="A172">
        <v>0</v>
      </c>
    </row>
    <row r="173" spans="1:1" x14ac:dyDescent="0.25">
      <c r="A173">
        <v>0</v>
      </c>
    </row>
    <row r="174" spans="1:1" x14ac:dyDescent="0.25">
      <c r="A174">
        <v>0</v>
      </c>
    </row>
    <row r="175" spans="1:1" x14ac:dyDescent="0.25">
      <c r="A175">
        <v>0</v>
      </c>
    </row>
    <row r="176" spans="1:1" x14ac:dyDescent="0.25">
      <c r="A176">
        <v>0</v>
      </c>
    </row>
    <row r="177" spans="1:1" x14ac:dyDescent="0.25">
      <c r="A177">
        <v>0</v>
      </c>
    </row>
    <row r="178" spans="1:1" x14ac:dyDescent="0.25">
      <c r="A178">
        <v>0</v>
      </c>
    </row>
    <row r="179" spans="1:1" x14ac:dyDescent="0.25">
      <c r="A179">
        <v>0</v>
      </c>
    </row>
    <row r="180" spans="1:1" x14ac:dyDescent="0.25">
      <c r="A180">
        <v>0</v>
      </c>
    </row>
    <row r="181" spans="1:1" x14ac:dyDescent="0.25">
      <c r="A181">
        <v>0</v>
      </c>
    </row>
    <row r="182" spans="1:1" x14ac:dyDescent="0.25">
      <c r="A182">
        <v>0</v>
      </c>
    </row>
    <row r="183" spans="1:1" x14ac:dyDescent="0.25">
      <c r="A183">
        <v>0</v>
      </c>
    </row>
    <row r="184" spans="1:1" x14ac:dyDescent="0.25">
      <c r="A184">
        <v>0</v>
      </c>
    </row>
    <row r="185" spans="1:1" x14ac:dyDescent="0.25">
      <c r="A185">
        <v>0</v>
      </c>
    </row>
    <row r="186" spans="1:1" x14ac:dyDescent="0.25">
      <c r="A186">
        <v>0</v>
      </c>
    </row>
    <row r="187" spans="1:1" x14ac:dyDescent="0.25">
      <c r="A187">
        <v>0</v>
      </c>
    </row>
    <row r="188" spans="1:1" x14ac:dyDescent="0.25">
      <c r="A188">
        <v>0</v>
      </c>
    </row>
    <row r="189" spans="1:1" x14ac:dyDescent="0.25">
      <c r="A189">
        <v>0</v>
      </c>
    </row>
    <row r="190" spans="1:1" x14ac:dyDescent="0.25">
      <c r="A190">
        <v>0</v>
      </c>
    </row>
    <row r="191" spans="1:1" x14ac:dyDescent="0.25">
      <c r="A191">
        <v>0</v>
      </c>
    </row>
    <row r="192" spans="1:1" x14ac:dyDescent="0.25">
      <c r="A192">
        <v>0</v>
      </c>
    </row>
    <row r="193" spans="1:1" x14ac:dyDescent="0.25">
      <c r="A193">
        <v>0</v>
      </c>
    </row>
    <row r="194" spans="1:1" x14ac:dyDescent="0.25">
      <c r="A194">
        <v>0</v>
      </c>
    </row>
    <row r="195" spans="1:1" x14ac:dyDescent="0.25">
      <c r="A195">
        <v>0</v>
      </c>
    </row>
    <row r="196" spans="1:1" x14ac:dyDescent="0.25">
      <c r="A196">
        <v>0</v>
      </c>
    </row>
    <row r="197" spans="1:1" x14ac:dyDescent="0.25">
      <c r="A197">
        <v>0</v>
      </c>
    </row>
    <row r="198" spans="1:1" x14ac:dyDescent="0.25">
      <c r="A198">
        <v>0</v>
      </c>
    </row>
    <row r="199" spans="1:1" x14ac:dyDescent="0.25">
      <c r="A199">
        <v>0</v>
      </c>
    </row>
    <row r="200" spans="1:1" x14ac:dyDescent="0.25">
      <c r="A200">
        <v>0</v>
      </c>
    </row>
    <row r="201" spans="1:1" x14ac:dyDescent="0.25">
      <c r="A201">
        <v>0</v>
      </c>
    </row>
    <row r="202" spans="1:1" x14ac:dyDescent="0.25">
      <c r="A202">
        <v>0</v>
      </c>
    </row>
    <row r="203" spans="1:1" x14ac:dyDescent="0.25">
      <c r="A203">
        <v>0</v>
      </c>
    </row>
    <row r="204" spans="1:1" x14ac:dyDescent="0.25">
      <c r="A204">
        <v>0</v>
      </c>
    </row>
    <row r="205" spans="1:1" x14ac:dyDescent="0.25">
      <c r="A205">
        <v>0</v>
      </c>
    </row>
    <row r="206" spans="1:1" x14ac:dyDescent="0.25">
      <c r="A206">
        <v>0</v>
      </c>
    </row>
    <row r="207" spans="1:1" x14ac:dyDescent="0.25">
      <c r="A207">
        <v>0</v>
      </c>
    </row>
    <row r="208" spans="1:1" x14ac:dyDescent="0.25">
      <c r="A208">
        <v>1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9DB00-24F6-5546-BC63-2E91F058162F}">
  <sheetPr codeName="Sheet5"/>
  <dimension ref="A1:K208"/>
  <sheetViews>
    <sheetView topLeftCell="A160" workbookViewId="0">
      <selection activeCell="C217" sqref="C217"/>
    </sheetView>
  </sheetViews>
  <sheetFormatPr defaultColWidth="11" defaultRowHeight="15.75" x14ac:dyDescent="0.25"/>
  <cols>
    <col min="3" max="3" width="58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03000</v>
      </c>
      <c r="C3" s="10" t="str" cm="1">
        <f t="array" ref="C3">INDEX($B$11:$K$208, $A$3, C1)</f>
        <v>CLIF Z BAR</v>
      </c>
      <c r="D3" s="10" cm="1">
        <f t="array" ref="D3">INDEX($B$11:$K$74, $A$3, D1)</f>
        <v>5.55</v>
      </c>
      <c r="E3" s="10" cm="1">
        <f t="array" ref="E3">INDEX($B$11:$K$74, $A$3, E1)</f>
        <v>74.72</v>
      </c>
      <c r="F3" s="10" cm="1">
        <f t="array" ref="F3">INDEX($B$11:$K$74, $A$3, F1)</f>
        <v>8.3000000000000007</v>
      </c>
      <c r="G3" s="10" cm="1">
        <f t="array" ref="G3">INDEX($B$11:$K$74, $A$3, G1)</f>
        <v>30.56</v>
      </c>
      <c r="H3" s="10" cm="1">
        <f t="array" ref="H3">INDEX($B$11:$K$74, $A$3, H1)</f>
        <v>375</v>
      </c>
      <c r="I3" s="10" cm="1">
        <f t="array" ref="I3">INDEX($B$11:$K$74, $A$3, I1)</f>
        <v>2.7210000000000001</v>
      </c>
      <c r="J3" s="10" cm="1">
        <f t="array" ref="J3">INDEX($B$11:$K$74, $A$3, J1)</f>
        <v>2.4470000000000001</v>
      </c>
      <c r="K3" s="10" cm="1">
        <f t="array" ref="K3">INDEX($B$11:$K$74, $A$3, K1)</f>
        <v>3.319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149.44</v>
      </c>
      <c r="F6" s="10">
        <f>A6*F3</f>
        <v>0</v>
      </c>
      <c r="G6" s="10">
        <f>A7*G3</f>
        <v>61.12</v>
      </c>
      <c r="H6" s="12">
        <f>A6*H3</f>
        <v>0</v>
      </c>
      <c r="I6" s="12">
        <f>A6*I3</f>
        <v>0</v>
      </c>
      <c r="J6" s="12">
        <f>A7*J3</f>
        <v>4.8940000000000001</v>
      </c>
      <c r="K6" s="10">
        <f>A7*K3</f>
        <v>6.6379999999999999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561</v>
      </c>
      <c r="C11" s="2" t="s">
        <v>562</v>
      </c>
      <c r="D11" s="3">
        <v>5.55</v>
      </c>
      <c r="E11" s="3">
        <v>74.72</v>
      </c>
      <c r="F11" s="3">
        <v>8.3000000000000007</v>
      </c>
      <c r="G11" s="3">
        <v>30.56</v>
      </c>
      <c r="H11" s="3">
        <v>375</v>
      </c>
      <c r="I11" s="3">
        <v>2.7210000000000001</v>
      </c>
      <c r="J11" s="3">
        <v>2.4470000000000001</v>
      </c>
      <c r="K11" s="3">
        <v>3.319</v>
      </c>
    </row>
    <row r="12" spans="1:11" x14ac:dyDescent="0.25">
      <c r="B12" s="2" t="s">
        <v>563</v>
      </c>
      <c r="C12" s="2" t="s">
        <v>564</v>
      </c>
      <c r="D12" s="3">
        <v>0</v>
      </c>
      <c r="E12" s="3">
        <v>86.68</v>
      </c>
      <c r="F12" s="3">
        <v>0</v>
      </c>
      <c r="G12" s="3">
        <v>57.4</v>
      </c>
      <c r="H12" s="3">
        <v>89</v>
      </c>
      <c r="I12" s="3">
        <v>0</v>
      </c>
      <c r="J12" s="3">
        <v>0</v>
      </c>
      <c r="K12" s="3">
        <v>0</v>
      </c>
    </row>
    <row r="13" spans="1:11" x14ac:dyDescent="0.25">
      <c r="B13" s="2" t="s">
        <v>565</v>
      </c>
      <c r="C13" s="2" t="s">
        <v>566</v>
      </c>
      <c r="D13" s="3">
        <v>12.03</v>
      </c>
      <c r="E13" s="3">
        <v>2.4300000000000002</v>
      </c>
      <c r="F13" s="3">
        <v>0</v>
      </c>
      <c r="G13" s="3">
        <v>0</v>
      </c>
      <c r="H13" s="3">
        <v>41</v>
      </c>
      <c r="I13" s="3">
        <v>1.18</v>
      </c>
      <c r="J13" s="3">
        <v>0.95</v>
      </c>
      <c r="K13" s="3">
        <v>0.16</v>
      </c>
    </row>
    <row r="14" spans="1:11" x14ac:dyDescent="0.25">
      <c r="B14" s="2" t="s">
        <v>567</v>
      </c>
      <c r="C14" s="2" t="s">
        <v>568</v>
      </c>
      <c r="D14" s="3">
        <v>12.03</v>
      </c>
      <c r="E14" s="3">
        <v>2.4300000000000002</v>
      </c>
      <c r="F14" s="3">
        <v>0</v>
      </c>
      <c r="G14" s="3">
        <v>0</v>
      </c>
      <c r="H14" s="3">
        <v>41</v>
      </c>
      <c r="I14" s="3">
        <v>1.18</v>
      </c>
      <c r="J14" s="3">
        <v>0.95</v>
      </c>
      <c r="K14" s="3">
        <v>0.16</v>
      </c>
    </row>
    <row r="15" spans="1:11" x14ac:dyDescent="0.25">
      <c r="B15" s="2" t="s">
        <v>569</v>
      </c>
      <c r="C15" s="2" t="s">
        <v>570</v>
      </c>
      <c r="D15" s="3">
        <v>13.12</v>
      </c>
      <c r="E15" s="3">
        <v>1.51</v>
      </c>
      <c r="F15" s="3">
        <v>0</v>
      </c>
      <c r="G15" s="3">
        <v>0</v>
      </c>
      <c r="H15" s="3">
        <v>39</v>
      </c>
      <c r="I15" s="3">
        <v>1.0629999999999999</v>
      </c>
      <c r="J15" s="3">
        <v>1.054</v>
      </c>
      <c r="K15" s="3">
        <v>0.157</v>
      </c>
    </row>
    <row r="16" spans="1:11" x14ac:dyDescent="0.25">
      <c r="B16" s="2" t="s">
        <v>571</v>
      </c>
      <c r="C16" s="2" t="s">
        <v>572</v>
      </c>
      <c r="D16" s="3">
        <v>14</v>
      </c>
      <c r="E16" s="3">
        <v>0</v>
      </c>
      <c r="F16" s="3">
        <v>0</v>
      </c>
      <c r="G16" s="3">
        <v>0</v>
      </c>
      <c r="H16" s="3">
        <v>42</v>
      </c>
      <c r="I16" s="3">
        <v>2.4</v>
      </c>
      <c r="J16" s="3">
        <v>3.58</v>
      </c>
      <c r="K16" s="3">
        <v>0.78</v>
      </c>
    </row>
    <row r="17" spans="2:11" x14ac:dyDescent="0.25">
      <c r="B17" s="2" t="s">
        <v>573</v>
      </c>
      <c r="C17" s="2" t="s">
        <v>574</v>
      </c>
      <c r="D17" s="3">
        <v>11.3</v>
      </c>
      <c r="E17" s="3">
        <v>3.7</v>
      </c>
      <c r="F17" s="3">
        <v>0</v>
      </c>
      <c r="G17" s="3">
        <v>0</v>
      </c>
      <c r="H17" s="3">
        <v>44</v>
      </c>
      <c r="I17" s="3">
        <v>1.2669999999999999</v>
      </c>
      <c r="J17" s="3">
        <v>1.8029999999999999</v>
      </c>
      <c r="K17" s="3">
        <v>0.51</v>
      </c>
    </row>
    <row r="18" spans="2:11" x14ac:dyDescent="0.25">
      <c r="B18" s="2" t="s">
        <v>575</v>
      </c>
      <c r="C18" s="2" t="s">
        <v>576</v>
      </c>
      <c r="D18" s="3">
        <v>11.3</v>
      </c>
      <c r="E18" s="3">
        <v>3.7</v>
      </c>
      <c r="F18" s="3">
        <v>0</v>
      </c>
      <c r="G18" s="3">
        <v>0</v>
      </c>
      <c r="H18" s="3">
        <v>44</v>
      </c>
      <c r="I18" s="3">
        <v>1.2709999999999999</v>
      </c>
      <c r="J18" s="3">
        <v>1.804</v>
      </c>
      <c r="K18" s="3">
        <v>0.51600000000000001</v>
      </c>
    </row>
    <row r="19" spans="2:11" x14ac:dyDescent="0.25">
      <c r="B19" s="2" t="s">
        <v>577</v>
      </c>
      <c r="C19" s="2" t="s">
        <v>578</v>
      </c>
      <c r="D19" s="3">
        <v>14.07</v>
      </c>
      <c r="E19" s="3">
        <v>0.85</v>
      </c>
      <c r="F19" s="3">
        <v>0</v>
      </c>
      <c r="G19" s="3">
        <v>0</v>
      </c>
      <c r="H19" s="3">
        <v>43</v>
      </c>
      <c r="I19" s="3">
        <v>1.65</v>
      </c>
      <c r="J19" s="3">
        <v>1.27</v>
      </c>
      <c r="K19" s="3">
        <v>0.31</v>
      </c>
    </row>
    <row r="20" spans="2:11" x14ac:dyDescent="0.25">
      <c r="B20" s="2" t="s">
        <v>579</v>
      </c>
      <c r="C20" s="2" t="s">
        <v>580</v>
      </c>
      <c r="D20" s="3">
        <v>15.2</v>
      </c>
      <c r="E20" s="3">
        <v>0</v>
      </c>
      <c r="F20" s="3">
        <v>0</v>
      </c>
      <c r="G20" s="3">
        <v>0</v>
      </c>
      <c r="H20" s="3">
        <v>42</v>
      </c>
      <c r="I20" s="3">
        <v>2.56</v>
      </c>
      <c r="J20" s="3">
        <v>2.06</v>
      </c>
      <c r="K20" s="3">
        <v>0.22</v>
      </c>
    </row>
    <row r="21" spans="2:11" x14ac:dyDescent="0.25">
      <c r="B21" s="2" t="s">
        <v>581</v>
      </c>
      <c r="C21" s="2" t="s">
        <v>582</v>
      </c>
      <c r="D21" s="3">
        <v>13.7</v>
      </c>
      <c r="E21" s="3">
        <v>0.1</v>
      </c>
      <c r="F21" s="3">
        <v>0</v>
      </c>
      <c r="G21" s="3">
        <v>0</v>
      </c>
      <c r="H21" s="3">
        <v>49</v>
      </c>
      <c r="I21" s="3">
        <v>2.0299999999999998</v>
      </c>
      <c r="J21" s="3">
        <v>3.56</v>
      </c>
      <c r="K21" s="3">
        <v>1.92</v>
      </c>
    </row>
    <row r="22" spans="2:11" x14ac:dyDescent="0.25">
      <c r="B22" s="2" t="s">
        <v>583</v>
      </c>
      <c r="C22" s="2" t="s">
        <v>584</v>
      </c>
      <c r="D22" s="3">
        <v>14</v>
      </c>
      <c r="E22" s="3">
        <v>0</v>
      </c>
      <c r="F22" s="3">
        <v>0</v>
      </c>
      <c r="G22" s="3">
        <v>0</v>
      </c>
      <c r="H22" s="3">
        <v>49</v>
      </c>
      <c r="I22" s="3">
        <v>2.4700000000000002</v>
      </c>
      <c r="J22" s="3">
        <v>4.33</v>
      </c>
      <c r="K22" s="3">
        <v>2.33</v>
      </c>
    </row>
    <row r="23" spans="2:11" x14ac:dyDescent="0.25">
      <c r="B23" s="2" t="s">
        <v>585</v>
      </c>
      <c r="C23" s="2" t="s">
        <v>586</v>
      </c>
      <c r="D23" s="3">
        <v>14.6</v>
      </c>
      <c r="E23" s="3">
        <v>1.5</v>
      </c>
      <c r="F23" s="3">
        <v>0.2</v>
      </c>
      <c r="G23" s="3">
        <v>1.4</v>
      </c>
      <c r="H23" s="3">
        <v>267</v>
      </c>
      <c r="I23" s="3">
        <v>4.0940000000000003</v>
      </c>
      <c r="J23" s="3">
        <v>6.2670000000000003</v>
      </c>
      <c r="K23" s="3">
        <v>2.9860000000000002</v>
      </c>
    </row>
    <row r="24" spans="2:11" x14ac:dyDescent="0.25">
      <c r="B24" s="2" t="s">
        <v>587</v>
      </c>
      <c r="C24" s="2" t="s">
        <v>588</v>
      </c>
      <c r="D24" s="3">
        <v>11.5</v>
      </c>
      <c r="E24" s="3">
        <v>1.4</v>
      </c>
      <c r="F24" s="3">
        <v>0</v>
      </c>
      <c r="G24" s="3">
        <v>0</v>
      </c>
      <c r="H24" s="3">
        <v>49</v>
      </c>
      <c r="I24" s="3">
        <v>1.641</v>
      </c>
      <c r="J24" s="3">
        <v>2.3839999999999999</v>
      </c>
      <c r="K24" s="3">
        <v>1.7410000000000001</v>
      </c>
    </row>
    <row r="25" spans="2:11" x14ac:dyDescent="0.25">
      <c r="B25" s="2" t="s">
        <v>589</v>
      </c>
      <c r="C25" s="2" t="s">
        <v>590</v>
      </c>
      <c r="D25" s="3">
        <v>11.5</v>
      </c>
      <c r="E25" s="3">
        <v>1.4</v>
      </c>
      <c r="F25" s="3">
        <v>0</v>
      </c>
      <c r="G25" s="3">
        <v>0</v>
      </c>
      <c r="H25" s="3">
        <v>49</v>
      </c>
      <c r="I25" s="3">
        <v>1.641</v>
      </c>
      <c r="J25" s="3">
        <v>2.3839999999999999</v>
      </c>
      <c r="K25" s="3">
        <v>1.7410000000000001</v>
      </c>
    </row>
    <row r="26" spans="2:11" x14ac:dyDescent="0.25">
      <c r="B26" s="2" t="s">
        <v>591</v>
      </c>
      <c r="C26" s="2" t="s">
        <v>592</v>
      </c>
      <c r="D26" s="3">
        <v>13.7</v>
      </c>
      <c r="E26" s="3">
        <v>1.4</v>
      </c>
      <c r="F26" s="3">
        <v>0.2</v>
      </c>
      <c r="G26" s="3">
        <v>1.4</v>
      </c>
      <c r="H26" s="3">
        <v>295</v>
      </c>
      <c r="I26" s="3">
        <v>4.1429999999999998</v>
      </c>
      <c r="J26" s="3">
        <v>4.6710000000000003</v>
      </c>
      <c r="K26" s="3">
        <v>3.6150000000000002</v>
      </c>
    </row>
    <row r="27" spans="2:11" x14ac:dyDescent="0.25">
      <c r="B27" s="2" t="s">
        <v>593</v>
      </c>
      <c r="C27" s="2" t="s">
        <v>594</v>
      </c>
      <c r="D27" s="3">
        <v>0.82</v>
      </c>
      <c r="E27" s="3">
        <v>76.61</v>
      </c>
      <c r="F27" s="3">
        <v>2</v>
      </c>
      <c r="G27" s="3">
        <v>68.650000000000006</v>
      </c>
      <c r="H27" s="3">
        <v>14</v>
      </c>
      <c r="I27" s="3">
        <v>0.36399999999999999</v>
      </c>
      <c r="J27" s="3">
        <v>9.1999999999999998E-2</v>
      </c>
      <c r="K27" s="3">
        <v>0.66400000000000003</v>
      </c>
    </row>
    <row r="28" spans="2:11" x14ac:dyDescent="0.25">
      <c r="B28" s="2" t="s">
        <v>595</v>
      </c>
      <c r="C28" s="2" t="s">
        <v>596</v>
      </c>
      <c r="D28" s="3">
        <v>13.4</v>
      </c>
      <c r="E28" s="3">
        <v>1.1000000000000001</v>
      </c>
      <c r="F28" s="3">
        <v>0.2</v>
      </c>
      <c r="G28" s="3">
        <v>0.8</v>
      </c>
      <c r="H28" s="3">
        <v>267</v>
      </c>
      <c r="I28" s="3">
        <v>5.82</v>
      </c>
      <c r="J28" s="3">
        <v>6.48</v>
      </c>
      <c r="K28" s="3">
        <v>1.59</v>
      </c>
    </row>
    <row r="29" spans="2:11" x14ac:dyDescent="0.25">
      <c r="B29" s="2" t="s">
        <v>597</v>
      </c>
      <c r="C29" s="2" t="s">
        <v>598</v>
      </c>
      <c r="D29" s="3">
        <v>1.1000000000000001</v>
      </c>
      <c r="E29" s="3">
        <v>14.82</v>
      </c>
      <c r="F29" s="3">
        <v>1.2</v>
      </c>
      <c r="G29" s="3">
        <v>9.09</v>
      </c>
      <c r="H29" s="3">
        <v>20</v>
      </c>
      <c r="I29" s="3">
        <v>0</v>
      </c>
      <c r="J29" s="3">
        <v>0</v>
      </c>
      <c r="K29" s="3">
        <v>0</v>
      </c>
    </row>
    <row r="30" spans="2:11" x14ac:dyDescent="0.25">
      <c r="B30" s="2" t="s">
        <v>599</v>
      </c>
      <c r="C30" s="2" t="s">
        <v>600</v>
      </c>
      <c r="D30" s="3">
        <v>6.19</v>
      </c>
      <c r="E30" s="3">
        <v>85.79</v>
      </c>
      <c r="F30" s="3">
        <v>3.8</v>
      </c>
      <c r="G30" s="3">
        <v>17.84</v>
      </c>
      <c r="H30" s="3">
        <v>13</v>
      </c>
      <c r="I30" s="3">
        <v>0.14299999999999999</v>
      </c>
      <c r="J30" s="3">
        <v>0.30599999999999999</v>
      </c>
      <c r="K30" s="3">
        <v>0.52700000000000002</v>
      </c>
    </row>
    <row r="31" spans="2:11" x14ac:dyDescent="0.25">
      <c r="B31" s="2" t="s">
        <v>601</v>
      </c>
      <c r="C31" s="2" t="s">
        <v>602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</row>
    <row r="32" spans="2:11" x14ac:dyDescent="0.25">
      <c r="B32" s="2" t="s">
        <v>603</v>
      </c>
      <c r="C32" s="2" t="s">
        <v>604</v>
      </c>
      <c r="D32" s="3">
        <v>0.47</v>
      </c>
      <c r="E32" s="3">
        <v>12.88</v>
      </c>
      <c r="F32" s="3">
        <v>2</v>
      </c>
      <c r="G32" s="3">
        <v>10.18</v>
      </c>
      <c r="H32" s="3">
        <v>2</v>
      </c>
      <c r="I32" s="3">
        <v>0</v>
      </c>
      <c r="J32" s="3">
        <v>0</v>
      </c>
      <c r="K32" s="3">
        <v>0</v>
      </c>
    </row>
    <row r="33" spans="2:11" x14ac:dyDescent="0.25">
      <c r="B33" s="2" t="s">
        <v>605</v>
      </c>
      <c r="C33" s="2" t="s">
        <v>606</v>
      </c>
      <c r="D33" s="3">
        <v>0.31</v>
      </c>
      <c r="E33" s="3">
        <v>12.22</v>
      </c>
      <c r="F33" s="3">
        <v>1.3</v>
      </c>
      <c r="G33" s="3">
        <v>9.7799999999999994</v>
      </c>
      <c r="H33" s="3">
        <v>0</v>
      </c>
      <c r="I33" s="3">
        <v>0</v>
      </c>
      <c r="J33" s="3">
        <v>0</v>
      </c>
      <c r="K33" s="3">
        <v>0</v>
      </c>
    </row>
    <row r="34" spans="2:11" x14ac:dyDescent="0.25">
      <c r="B34" s="2" t="s">
        <v>607</v>
      </c>
      <c r="C34" s="2" t="s">
        <v>608</v>
      </c>
      <c r="D34" s="3">
        <v>2</v>
      </c>
      <c r="E34" s="3">
        <v>7.7</v>
      </c>
      <c r="G34" s="3">
        <v>0</v>
      </c>
      <c r="H34" s="3">
        <v>49</v>
      </c>
    </row>
    <row r="35" spans="2:11" x14ac:dyDescent="0.25">
      <c r="B35" s="2" t="s">
        <v>609</v>
      </c>
      <c r="C35" s="2" t="s">
        <v>610</v>
      </c>
      <c r="D35" s="3">
        <v>2.1</v>
      </c>
      <c r="E35" s="3">
        <v>8</v>
      </c>
      <c r="G35" s="3">
        <v>0</v>
      </c>
      <c r="H35" s="3">
        <v>52</v>
      </c>
    </row>
    <row r="36" spans="2:11" x14ac:dyDescent="0.25">
      <c r="B36" s="2" t="s">
        <v>611</v>
      </c>
      <c r="C36" s="2" t="s">
        <v>612</v>
      </c>
      <c r="D36" s="3">
        <v>4.2</v>
      </c>
      <c r="E36" s="3">
        <v>10</v>
      </c>
      <c r="G36" s="3">
        <v>0</v>
      </c>
      <c r="H36" s="3">
        <v>41</v>
      </c>
    </row>
    <row r="37" spans="2:11" x14ac:dyDescent="0.25">
      <c r="B37" s="2" t="s">
        <v>613</v>
      </c>
      <c r="C37" s="2" t="s">
        <v>614</v>
      </c>
      <c r="D37" s="3">
        <v>2.36</v>
      </c>
      <c r="E37" s="3">
        <v>9.4499999999999993</v>
      </c>
      <c r="F37" s="3">
        <v>1.2</v>
      </c>
      <c r="G37" s="3">
        <v>2.09</v>
      </c>
      <c r="H37" s="3">
        <v>38</v>
      </c>
      <c r="I37" s="3">
        <v>0.48599999999999999</v>
      </c>
      <c r="J37" s="3">
        <v>0.59399999999999997</v>
      </c>
      <c r="K37" s="3">
        <v>0.193</v>
      </c>
    </row>
    <row r="38" spans="2:11" x14ac:dyDescent="0.25">
      <c r="B38" s="2" t="s">
        <v>615</v>
      </c>
      <c r="C38" s="2" t="s">
        <v>616</v>
      </c>
      <c r="D38" s="3">
        <v>2.5</v>
      </c>
      <c r="E38" s="3">
        <v>9.4</v>
      </c>
      <c r="F38" s="3">
        <v>1.1000000000000001</v>
      </c>
      <c r="G38" s="3">
        <v>2.4300000000000002</v>
      </c>
      <c r="H38" s="3">
        <v>35</v>
      </c>
      <c r="I38" s="3">
        <v>0.41099999999999998</v>
      </c>
      <c r="J38" s="3">
        <v>0.44700000000000001</v>
      </c>
      <c r="K38" s="3">
        <v>7.9000000000000001E-2</v>
      </c>
    </row>
    <row r="39" spans="2:11" x14ac:dyDescent="0.25">
      <c r="B39" s="2" t="s">
        <v>617</v>
      </c>
      <c r="C39" s="2" t="s">
        <v>618</v>
      </c>
      <c r="D39" s="3">
        <v>3.6</v>
      </c>
      <c r="E39" s="3">
        <v>16.3</v>
      </c>
      <c r="F39" s="3">
        <v>0.1</v>
      </c>
      <c r="G39" s="3">
        <v>0.59</v>
      </c>
      <c r="H39" s="3">
        <v>282</v>
      </c>
      <c r="I39" s="3">
        <v>0.96</v>
      </c>
      <c r="J39" s="3">
        <v>0.56999999999999995</v>
      </c>
      <c r="K39" s="3">
        <v>0.48</v>
      </c>
    </row>
    <row r="40" spans="2:11" x14ac:dyDescent="0.25">
      <c r="B40" s="2" t="s">
        <v>619</v>
      </c>
      <c r="C40" s="2" t="s">
        <v>620</v>
      </c>
      <c r="D40" s="3">
        <v>2.44</v>
      </c>
      <c r="E40" s="3">
        <v>8.18</v>
      </c>
      <c r="F40" s="3">
        <v>1.3</v>
      </c>
      <c r="G40" s="3">
        <v>1.42</v>
      </c>
      <c r="H40" s="3">
        <v>15</v>
      </c>
      <c r="I40" s="3">
        <v>0.93700000000000006</v>
      </c>
      <c r="J40" s="3">
        <v>0.94099999999999995</v>
      </c>
      <c r="K40" s="3">
        <v>0.14099999999999999</v>
      </c>
    </row>
    <row r="41" spans="2:11" x14ac:dyDescent="0.25">
      <c r="B41" s="2" t="s">
        <v>621</v>
      </c>
      <c r="C41" s="2" t="s">
        <v>622</v>
      </c>
      <c r="D41" s="3">
        <v>3.5</v>
      </c>
      <c r="E41" s="3">
        <v>11.2</v>
      </c>
      <c r="F41" s="3">
        <v>0.5</v>
      </c>
      <c r="G41" s="3">
        <v>0.79</v>
      </c>
      <c r="H41" s="3">
        <v>112</v>
      </c>
      <c r="I41" s="3">
        <v>1.53</v>
      </c>
      <c r="J41" s="3">
        <v>0.7</v>
      </c>
      <c r="K41" s="3">
        <v>0.17</v>
      </c>
    </row>
    <row r="42" spans="2:11" x14ac:dyDescent="0.25">
      <c r="B42" s="2" t="s">
        <v>623</v>
      </c>
      <c r="C42" s="2" t="s">
        <v>624</v>
      </c>
      <c r="D42" s="3">
        <v>5</v>
      </c>
      <c r="E42" s="3">
        <v>8.8000000000000007</v>
      </c>
      <c r="G42" s="3">
        <v>0</v>
      </c>
      <c r="H42" s="3">
        <v>32</v>
      </c>
    </row>
    <row r="43" spans="2:11" x14ac:dyDescent="0.25">
      <c r="B43" s="2" t="s">
        <v>625</v>
      </c>
      <c r="C43" s="2" t="s">
        <v>626</v>
      </c>
      <c r="D43" s="3">
        <v>2.57</v>
      </c>
      <c r="E43" s="3">
        <v>11.42</v>
      </c>
      <c r="F43" s="3">
        <v>1.1000000000000001</v>
      </c>
      <c r="G43" s="3">
        <v>2.72</v>
      </c>
      <c r="H43" s="3">
        <v>30</v>
      </c>
      <c r="I43" s="3">
        <v>0.54300000000000004</v>
      </c>
      <c r="J43" s="3">
        <v>0.497</v>
      </c>
      <c r="K43" s="3">
        <v>0.185</v>
      </c>
    </row>
    <row r="44" spans="2:11" x14ac:dyDescent="0.25">
      <c r="B44" s="2" t="s">
        <v>627</v>
      </c>
      <c r="C44" s="2" t="s">
        <v>628</v>
      </c>
      <c r="D44" s="3">
        <v>5.3</v>
      </c>
      <c r="E44" s="3">
        <v>10.8</v>
      </c>
      <c r="H44" s="3">
        <v>239</v>
      </c>
    </row>
    <row r="45" spans="2:11" x14ac:dyDescent="0.25">
      <c r="B45" s="2" t="s">
        <v>629</v>
      </c>
      <c r="C45" s="2" t="s">
        <v>630</v>
      </c>
      <c r="D45" s="3">
        <v>5.0999999999999996</v>
      </c>
      <c r="E45" s="3">
        <v>5.5</v>
      </c>
      <c r="F45" s="3">
        <v>1.1000000000000001</v>
      </c>
      <c r="G45" s="3">
        <v>1.39</v>
      </c>
      <c r="H45" s="3">
        <v>106</v>
      </c>
      <c r="I45" s="3">
        <v>0.57999999999999996</v>
      </c>
      <c r="J45" s="3">
        <v>0.44</v>
      </c>
      <c r="K45" s="3">
        <v>0.1</v>
      </c>
    </row>
    <row r="46" spans="2:11" x14ac:dyDescent="0.25">
      <c r="B46" s="2" t="s">
        <v>631</v>
      </c>
      <c r="C46" s="2" t="s">
        <v>632</v>
      </c>
      <c r="D46" s="3">
        <v>2.21</v>
      </c>
      <c r="E46" s="3">
        <v>8.84</v>
      </c>
      <c r="F46" s="3">
        <v>1.3</v>
      </c>
      <c r="G46" s="3">
        <v>2.34</v>
      </c>
      <c r="H46" s="3">
        <v>31</v>
      </c>
      <c r="I46" s="3">
        <v>0.87</v>
      </c>
      <c r="J46" s="3">
        <v>0.82</v>
      </c>
      <c r="K46" s="3">
        <v>0.19</v>
      </c>
    </row>
    <row r="47" spans="2:11" x14ac:dyDescent="0.25">
      <c r="B47" s="2" t="s">
        <v>633</v>
      </c>
      <c r="C47" s="2" t="s">
        <v>634</v>
      </c>
      <c r="D47" s="3">
        <v>2.21</v>
      </c>
      <c r="E47" s="3">
        <v>8.84</v>
      </c>
      <c r="F47" s="3">
        <v>1.3</v>
      </c>
      <c r="G47" s="3">
        <v>2.34</v>
      </c>
      <c r="H47" s="3">
        <v>31</v>
      </c>
      <c r="I47" s="3">
        <v>1.367</v>
      </c>
      <c r="J47" s="3">
        <v>1.2889999999999999</v>
      </c>
      <c r="K47" s="3">
        <v>0.29799999999999999</v>
      </c>
    </row>
    <row r="48" spans="2:11" x14ac:dyDescent="0.25">
      <c r="B48" s="2" t="s">
        <v>635</v>
      </c>
      <c r="C48" s="2" t="s">
        <v>636</v>
      </c>
      <c r="D48" s="3">
        <v>2.0299999999999998</v>
      </c>
      <c r="E48" s="3">
        <v>6.36</v>
      </c>
      <c r="F48" s="3">
        <v>1.8</v>
      </c>
      <c r="G48" s="3">
        <v>2.16</v>
      </c>
      <c r="H48" s="3">
        <v>38</v>
      </c>
      <c r="I48" s="3">
        <v>2.84</v>
      </c>
      <c r="J48" s="3">
        <v>3.12</v>
      </c>
      <c r="K48" s="3">
        <v>0.9</v>
      </c>
    </row>
    <row r="49" spans="2:11" x14ac:dyDescent="0.25">
      <c r="B49" s="2" t="s">
        <v>637</v>
      </c>
      <c r="C49" s="2" t="s">
        <v>638</v>
      </c>
      <c r="D49" s="3">
        <v>1.92</v>
      </c>
      <c r="E49" s="3">
        <v>8.81</v>
      </c>
      <c r="F49" s="3">
        <v>1.7</v>
      </c>
      <c r="G49" s="3">
        <v>1.77</v>
      </c>
      <c r="H49" s="3">
        <v>49</v>
      </c>
      <c r="I49" s="3">
        <v>1.0629999999999999</v>
      </c>
      <c r="J49" s="3">
        <v>1.347</v>
      </c>
      <c r="K49" s="3">
        <v>0.377</v>
      </c>
    </row>
    <row r="50" spans="2:11" x14ac:dyDescent="0.25">
      <c r="B50" s="2" t="s">
        <v>639</v>
      </c>
      <c r="C50" s="2" t="s">
        <v>640</v>
      </c>
      <c r="D50" s="3">
        <v>2.19</v>
      </c>
      <c r="E50" s="3">
        <v>7.8</v>
      </c>
      <c r="F50" s="3">
        <v>1.6</v>
      </c>
      <c r="G50" s="3">
        <v>1.37</v>
      </c>
      <c r="H50" s="3">
        <v>16</v>
      </c>
      <c r="I50" s="3">
        <v>0.76400000000000001</v>
      </c>
      <c r="J50" s="3">
        <v>0.96299999999999997</v>
      </c>
      <c r="K50" s="3">
        <v>0.23400000000000001</v>
      </c>
    </row>
    <row r="51" spans="2:11" x14ac:dyDescent="0.25">
      <c r="B51" s="2" t="s">
        <v>641</v>
      </c>
      <c r="C51" s="2" t="s">
        <v>642</v>
      </c>
      <c r="D51" s="3">
        <v>2.02</v>
      </c>
      <c r="E51" s="3">
        <v>8.64</v>
      </c>
      <c r="F51" s="3">
        <v>1</v>
      </c>
      <c r="G51" s="3">
        <v>0.99</v>
      </c>
      <c r="H51" s="3">
        <v>45</v>
      </c>
      <c r="I51" s="3">
        <v>0.48299999999999998</v>
      </c>
      <c r="J51" s="3">
        <v>0.81100000000000005</v>
      </c>
      <c r="K51" s="3">
        <v>0.44800000000000001</v>
      </c>
    </row>
    <row r="52" spans="2:11" x14ac:dyDescent="0.25">
      <c r="B52" s="2" t="s">
        <v>643</v>
      </c>
      <c r="C52" s="2" t="s">
        <v>644</v>
      </c>
      <c r="D52" s="3">
        <v>2</v>
      </c>
      <c r="E52" s="3">
        <v>6.9</v>
      </c>
      <c r="F52" s="3">
        <v>1.1000000000000001</v>
      </c>
      <c r="G52" s="3">
        <v>0.94</v>
      </c>
      <c r="H52" s="3">
        <v>20</v>
      </c>
      <c r="I52" s="3">
        <v>0.82799999999999996</v>
      </c>
      <c r="J52" s="3">
        <v>0.82199999999999995</v>
      </c>
      <c r="K52" s="3">
        <v>0.16700000000000001</v>
      </c>
    </row>
    <row r="53" spans="2:11" x14ac:dyDescent="0.25">
      <c r="B53" s="2" t="s">
        <v>645</v>
      </c>
      <c r="C53" s="2" t="s">
        <v>646</v>
      </c>
      <c r="D53" s="3">
        <v>2.1</v>
      </c>
      <c r="E53" s="3">
        <v>7.1</v>
      </c>
      <c r="F53" s="3">
        <v>1.1000000000000001</v>
      </c>
      <c r="G53" s="3">
        <v>0.94</v>
      </c>
      <c r="H53" s="3">
        <v>13</v>
      </c>
      <c r="I53" s="3">
        <v>0.69599999999999995</v>
      </c>
      <c r="J53" s="3">
        <v>0.69</v>
      </c>
      <c r="K53" s="3">
        <v>0.154</v>
      </c>
    </row>
    <row r="54" spans="2:11" x14ac:dyDescent="0.25">
      <c r="B54" s="2" t="s">
        <v>647</v>
      </c>
      <c r="C54" s="2" t="s">
        <v>648</v>
      </c>
      <c r="D54" s="3">
        <v>2.69</v>
      </c>
      <c r="E54" s="3">
        <v>9.08</v>
      </c>
      <c r="F54" s="3">
        <v>2.1</v>
      </c>
      <c r="G54" s="3">
        <v>2.5</v>
      </c>
      <c r="H54" s="3">
        <v>38</v>
      </c>
      <c r="I54" s="3">
        <v>0.59499999999999997</v>
      </c>
      <c r="J54" s="3">
        <v>0.85399999999999998</v>
      </c>
      <c r="K54" s="3">
        <v>0.46100000000000002</v>
      </c>
    </row>
    <row r="55" spans="2:11" x14ac:dyDescent="0.25">
      <c r="B55" s="2" t="s">
        <v>649</v>
      </c>
      <c r="C55" s="2" t="s">
        <v>650</v>
      </c>
      <c r="D55" s="3">
        <v>2.37</v>
      </c>
      <c r="E55" s="3">
        <v>8.7899999999999991</v>
      </c>
      <c r="F55" s="3">
        <v>0.9</v>
      </c>
      <c r="G55" s="3">
        <v>1.07</v>
      </c>
      <c r="H55" s="3">
        <v>35</v>
      </c>
      <c r="I55" s="3">
        <v>0.33800000000000002</v>
      </c>
      <c r="J55" s="3">
        <v>0.46700000000000003</v>
      </c>
      <c r="K55" s="3">
        <v>0.27200000000000002</v>
      </c>
    </row>
    <row r="56" spans="2:11" x14ac:dyDescent="0.25">
      <c r="B56" s="2" t="s">
        <v>651</v>
      </c>
      <c r="C56" s="2" t="s">
        <v>652</v>
      </c>
      <c r="D56" s="3">
        <v>1.6</v>
      </c>
      <c r="E56" s="3">
        <v>7.2</v>
      </c>
      <c r="F56" s="3">
        <v>1.1000000000000001</v>
      </c>
      <c r="G56" s="3">
        <v>1.72</v>
      </c>
      <c r="H56" s="3">
        <v>16</v>
      </c>
      <c r="I56" s="3">
        <v>0.27800000000000002</v>
      </c>
      <c r="J56" s="3">
        <v>0.42499999999999999</v>
      </c>
      <c r="K56" s="3">
        <v>0.9</v>
      </c>
    </row>
    <row r="57" spans="2:11" x14ac:dyDescent="0.25">
      <c r="B57" s="2" t="s">
        <v>653</v>
      </c>
      <c r="C57" s="2" t="s">
        <v>654</v>
      </c>
      <c r="D57" s="3">
        <v>5.2</v>
      </c>
      <c r="E57" s="3">
        <v>6.4</v>
      </c>
      <c r="F57" s="3">
        <v>0.6</v>
      </c>
      <c r="G57" s="3">
        <v>1.68</v>
      </c>
      <c r="H57" s="3">
        <v>25</v>
      </c>
      <c r="I57" s="3">
        <v>1.1000000000000001</v>
      </c>
      <c r="J57" s="3">
        <v>1.7</v>
      </c>
      <c r="K57" s="3">
        <v>0.77</v>
      </c>
    </row>
    <row r="58" spans="2:11" x14ac:dyDescent="0.25">
      <c r="B58" s="2" t="s">
        <v>655</v>
      </c>
      <c r="C58" s="2" t="s">
        <v>656</v>
      </c>
      <c r="D58" s="3">
        <v>2.4700000000000002</v>
      </c>
      <c r="E58" s="3">
        <v>8.42</v>
      </c>
      <c r="F58" s="3">
        <v>2.1</v>
      </c>
      <c r="G58" s="3">
        <v>1.58</v>
      </c>
      <c r="H58" s="3">
        <v>24</v>
      </c>
      <c r="I58" s="3">
        <v>0.496</v>
      </c>
      <c r="J58" s="3">
        <v>0.71199999999999997</v>
      </c>
      <c r="K58" s="3">
        <v>0.374</v>
      </c>
    </row>
    <row r="59" spans="2:11" x14ac:dyDescent="0.25">
      <c r="B59" s="2" t="s">
        <v>657</v>
      </c>
      <c r="C59" s="2" t="s">
        <v>658</v>
      </c>
      <c r="D59" s="3">
        <v>2</v>
      </c>
      <c r="E59" s="3">
        <v>7.9</v>
      </c>
      <c r="F59" s="3">
        <v>1.1000000000000001</v>
      </c>
      <c r="H59" s="3">
        <v>20</v>
      </c>
    </row>
    <row r="60" spans="2:11" x14ac:dyDescent="0.25">
      <c r="B60" s="2" t="s">
        <v>659</v>
      </c>
      <c r="C60" s="2" t="s">
        <v>660</v>
      </c>
      <c r="D60" s="3">
        <v>1.7</v>
      </c>
      <c r="E60" s="3">
        <v>9.1</v>
      </c>
      <c r="F60" s="3">
        <v>1.1000000000000001</v>
      </c>
      <c r="H60" s="3">
        <v>26</v>
      </c>
    </row>
    <row r="61" spans="2:11" x14ac:dyDescent="0.25">
      <c r="B61" s="2" t="s">
        <v>661</v>
      </c>
      <c r="C61" s="2" t="s">
        <v>662</v>
      </c>
      <c r="D61" s="3">
        <v>1.7</v>
      </c>
      <c r="E61" s="3">
        <v>8.4</v>
      </c>
      <c r="F61" s="3">
        <v>1.5</v>
      </c>
      <c r="G61" s="3">
        <v>1.2</v>
      </c>
      <c r="H61" s="3">
        <v>11</v>
      </c>
      <c r="I61" s="3">
        <v>1.23</v>
      </c>
      <c r="J61" s="3">
        <v>0.57999999999999996</v>
      </c>
      <c r="K61" s="3">
        <v>0.14399999999999999</v>
      </c>
    </row>
    <row r="62" spans="2:11" x14ac:dyDescent="0.25">
      <c r="B62" s="2" t="s">
        <v>663</v>
      </c>
      <c r="C62" s="2" t="s">
        <v>664</v>
      </c>
      <c r="D62" s="3">
        <v>1.2</v>
      </c>
      <c r="E62" s="3">
        <v>6.8</v>
      </c>
      <c r="F62" s="3">
        <v>1.1000000000000001</v>
      </c>
      <c r="H62" s="3">
        <v>21</v>
      </c>
    </row>
    <row r="63" spans="2:11" x14ac:dyDescent="0.25">
      <c r="B63" s="2" t="s">
        <v>665</v>
      </c>
      <c r="C63" s="2" t="s">
        <v>666</v>
      </c>
      <c r="D63" s="3">
        <v>1.8</v>
      </c>
      <c r="E63" s="3">
        <v>7.6</v>
      </c>
      <c r="F63" s="3">
        <v>1.1000000000000001</v>
      </c>
      <c r="H63" s="3">
        <v>17</v>
      </c>
    </row>
    <row r="64" spans="2:11" x14ac:dyDescent="0.25">
      <c r="B64" s="2" t="s">
        <v>667</v>
      </c>
      <c r="C64" s="2" t="s">
        <v>668</v>
      </c>
      <c r="D64" s="3">
        <v>2.27</v>
      </c>
      <c r="E64" s="3">
        <v>7.94</v>
      </c>
      <c r="F64" s="3">
        <v>0.9</v>
      </c>
      <c r="G64" s="3">
        <v>1.66</v>
      </c>
      <c r="H64" s="3">
        <v>19</v>
      </c>
      <c r="I64" s="3">
        <v>0.33800000000000002</v>
      </c>
      <c r="J64" s="3">
        <v>0.44600000000000001</v>
      </c>
      <c r="K64" s="3">
        <v>0.308</v>
      </c>
    </row>
    <row r="65" spans="2:11" x14ac:dyDescent="0.25">
      <c r="B65" s="2" t="s">
        <v>669</v>
      </c>
      <c r="C65" s="2" t="s">
        <v>670</v>
      </c>
      <c r="D65" s="3">
        <v>2.37</v>
      </c>
      <c r="E65" s="3">
        <v>9.57</v>
      </c>
      <c r="F65" s="3">
        <v>1</v>
      </c>
      <c r="G65" s="3">
        <v>1.25</v>
      </c>
      <c r="H65" s="3">
        <v>23</v>
      </c>
      <c r="I65" s="3">
        <v>0.23899999999999999</v>
      </c>
      <c r="J65" s="3">
        <v>0.30399999999999999</v>
      </c>
      <c r="K65" s="3">
        <v>0.23300000000000001</v>
      </c>
    </row>
    <row r="66" spans="2:11" x14ac:dyDescent="0.25">
      <c r="B66" s="2" t="s">
        <v>671</v>
      </c>
      <c r="C66" s="2" t="s">
        <v>672</v>
      </c>
      <c r="D66" s="3">
        <v>2.3199999999999998</v>
      </c>
      <c r="E66" s="3">
        <v>7.62</v>
      </c>
      <c r="F66" s="3">
        <v>1.5</v>
      </c>
      <c r="G66" s="3">
        <v>1.54</v>
      </c>
      <c r="H66" s="3">
        <v>20</v>
      </c>
      <c r="I66" s="3">
        <v>0.23599999999999999</v>
      </c>
      <c r="J66" s="3">
        <v>0.29399999999999998</v>
      </c>
      <c r="K66" s="3">
        <v>0.24099999999999999</v>
      </c>
    </row>
    <row r="67" spans="2:11" x14ac:dyDescent="0.25">
      <c r="B67" s="2" t="s">
        <v>673</v>
      </c>
      <c r="C67" s="2" t="s">
        <v>674</v>
      </c>
      <c r="D67" s="3">
        <v>1.72</v>
      </c>
      <c r="E67" s="3">
        <v>7.55</v>
      </c>
      <c r="F67" s="3">
        <v>0.9</v>
      </c>
      <c r="G67" s="3">
        <v>1.36</v>
      </c>
      <c r="H67" s="3">
        <v>45</v>
      </c>
      <c r="I67" s="3">
        <v>0.48499999999999999</v>
      </c>
      <c r="J67" s="3">
        <v>0.68700000000000006</v>
      </c>
      <c r="K67" s="3">
        <v>0.39100000000000001</v>
      </c>
    </row>
    <row r="68" spans="2:11" x14ac:dyDescent="0.25">
      <c r="B68" s="2" t="s">
        <v>675</v>
      </c>
      <c r="C68" s="2" t="s">
        <v>676</v>
      </c>
      <c r="D68" s="3">
        <v>3.14</v>
      </c>
      <c r="E68" s="3">
        <v>8.9499999999999993</v>
      </c>
      <c r="F68" s="3">
        <v>0.7</v>
      </c>
      <c r="G68" s="3">
        <v>1.27</v>
      </c>
      <c r="H68" s="3">
        <v>119</v>
      </c>
      <c r="I68" s="3">
        <v>1.2909999999999999</v>
      </c>
      <c r="J68" s="3">
        <v>0.58099999999999996</v>
      </c>
      <c r="K68" s="3">
        <v>0.10299999999999999</v>
      </c>
    </row>
    <row r="69" spans="2:11" x14ac:dyDescent="0.25">
      <c r="B69" s="2" t="s">
        <v>677</v>
      </c>
      <c r="C69" s="2" t="s">
        <v>678</v>
      </c>
      <c r="D69" s="3">
        <v>2.6</v>
      </c>
      <c r="E69" s="3">
        <v>8.1999999999999993</v>
      </c>
      <c r="F69" s="3">
        <v>0.3</v>
      </c>
      <c r="G69" s="3">
        <v>1.32</v>
      </c>
      <c r="H69" s="3">
        <v>266</v>
      </c>
      <c r="I69" s="3">
        <v>1.175</v>
      </c>
      <c r="J69" s="3">
        <v>0.53400000000000003</v>
      </c>
      <c r="K69" s="3">
        <v>0.13200000000000001</v>
      </c>
    </row>
    <row r="70" spans="2:11" x14ac:dyDescent="0.25">
      <c r="B70" s="2" t="s">
        <v>679</v>
      </c>
      <c r="C70" s="2" t="s">
        <v>680</v>
      </c>
      <c r="D70" s="3">
        <v>1.2</v>
      </c>
      <c r="E70" s="3">
        <v>6.29</v>
      </c>
      <c r="F70" s="3">
        <v>2.2000000000000002</v>
      </c>
      <c r="G70" s="3">
        <v>1.88</v>
      </c>
      <c r="H70" s="3">
        <v>7</v>
      </c>
      <c r="I70" s="3">
        <v>3.9E-2</v>
      </c>
      <c r="J70" s="3">
        <v>0</v>
      </c>
      <c r="K70" s="3">
        <v>0.11600000000000001</v>
      </c>
    </row>
    <row r="71" spans="2:11" x14ac:dyDescent="0.25">
      <c r="B71" s="2" t="s">
        <v>681</v>
      </c>
      <c r="C71" s="2" t="s">
        <v>682</v>
      </c>
      <c r="D71" s="3">
        <v>1.2</v>
      </c>
      <c r="E71" s="3">
        <v>5.8</v>
      </c>
      <c r="F71" s="3">
        <v>1.9</v>
      </c>
      <c r="G71" s="3">
        <v>1.08</v>
      </c>
      <c r="H71" s="3">
        <v>5</v>
      </c>
      <c r="I71" s="3">
        <v>2.3E-2</v>
      </c>
      <c r="J71" s="3">
        <v>4.0000000000000001E-3</v>
      </c>
      <c r="K71" s="3">
        <v>5.1999999999999998E-2</v>
      </c>
    </row>
    <row r="72" spans="2:11" x14ac:dyDescent="0.25">
      <c r="B72" s="2" t="s">
        <v>683</v>
      </c>
      <c r="C72" s="2" t="s">
        <v>684</v>
      </c>
      <c r="D72" s="3">
        <v>1.2</v>
      </c>
      <c r="E72" s="3">
        <v>5.7</v>
      </c>
      <c r="F72" s="3">
        <v>1.3</v>
      </c>
      <c r="G72" s="3">
        <v>1.06</v>
      </c>
      <c r="H72" s="3">
        <v>37</v>
      </c>
      <c r="I72" s="3">
        <v>4.3999999999999997E-2</v>
      </c>
      <c r="J72" s="3">
        <v>8.0000000000000002E-3</v>
      </c>
      <c r="K72" s="3">
        <v>0.10199999999999999</v>
      </c>
    </row>
    <row r="73" spans="2:11" x14ac:dyDescent="0.25">
      <c r="B73" s="2" t="s">
        <v>685</v>
      </c>
      <c r="C73" s="2" t="s">
        <v>686</v>
      </c>
      <c r="D73" s="3">
        <v>2.2000000000000002</v>
      </c>
      <c r="E73" s="3">
        <v>9</v>
      </c>
      <c r="F73" s="3">
        <v>1.4</v>
      </c>
      <c r="G73" s="3">
        <v>2.35</v>
      </c>
      <c r="H73" s="3">
        <v>18</v>
      </c>
      <c r="I73" s="3">
        <v>1.117</v>
      </c>
      <c r="J73" s="3">
        <v>0.53900000000000003</v>
      </c>
      <c r="K73" s="3">
        <v>0.13200000000000001</v>
      </c>
    </row>
    <row r="74" spans="2:11" x14ac:dyDescent="0.25">
      <c r="B74" s="2" t="s">
        <v>687</v>
      </c>
      <c r="C74" s="2" t="s">
        <v>688</v>
      </c>
      <c r="D74" s="3">
        <v>1.3</v>
      </c>
      <c r="E74" s="3">
        <v>7.7</v>
      </c>
      <c r="F74" s="3">
        <v>1.9</v>
      </c>
      <c r="G74" s="3">
        <v>6.09</v>
      </c>
      <c r="H74" s="3">
        <v>83</v>
      </c>
      <c r="I74" s="3">
        <v>1.6E-2</v>
      </c>
      <c r="J74" s="3">
        <v>1.9E-2</v>
      </c>
      <c r="K74" s="3">
        <v>3.5999999999999997E-2</v>
      </c>
    </row>
    <row r="75" spans="2:11" x14ac:dyDescent="0.25">
      <c r="B75" s="2" t="s">
        <v>689</v>
      </c>
      <c r="C75" s="2" t="s">
        <v>690</v>
      </c>
      <c r="D75" s="3">
        <v>0.8</v>
      </c>
      <c r="E75" s="3">
        <v>6</v>
      </c>
      <c r="F75" s="3">
        <v>1.7</v>
      </c>
      <c r="G75" s="3">
        <v>3.64</v>
      </c>
      <c r="H75" s="3">
        <v>69</v>
      </c>
      <c r="I75" s="3">
        <v>1.7999999999999999E-2</v>
      </c>
      <c r="J75" s="3">
        <v>4.0000000000000001E-3</v>
      </c>
      <c r="K75" s="3">
        <v>4.7E-2</v>
      </c>
    </row>
    <row r="76" spans="2:11" x14ac:dyDescent="0.25">
      <c r="B76" s="2" t="s">
        <v>691</v>
      </c>
      <c r="C76" s="2" t="s">
        <v>692</v>
      </c>
      <c r="D76" s="3">
        <v>0.8</v>
      </c>
      <c r="E76" s="3">
        <v>7.2</v>
      </c>
      <c r="F76" s="3">
        <v>1.7</v>
      </c>
      <c r="G76" s="3">
        <v>3.16</v>
      </c>
      <c r="H76" s="3">
        <v>49</v>
      </c>
      <c r="I76" s="3">
        <v>3.5999999999999997E-2</v>
      </c>
      <c r="J76" s="3">
        <v>8.9999999999999993E-3</v>
      </c>
      <c r="K76" s="3">
        <v>9.2999999999999999E-2</v>
      </c>
    </row>
    <row r="77" spans="2:11" x14ac:dyDescent="0.25">
      <c r="B77" s="2" t="s">
        <v>693</v>
      </c>
      <c r="C77" s="2" t="s">
        <v>694</v>
      </c>
      <c r="D77" s="3">
        <v>0.81</v>
      </c>
      <c r="E77" s="3">
        <v>5.73</v>
      </c>
      <c r="F77" s="3">
        <v>0.9</v>
      </c>
      <c r="G77" s="3">
        <v>3.37</v>
      </c>
      <c r="H77" s="3">
        <v>5</v>
      </c>
      <c r="I77" s="3">
        <v>0.02</v>
      </c>
      <c r="J77" s="3">
        <v>0.02</v>
      </c>
      <c r="K77" s="3">
        <v>0.04</v>
      </c>
    </row>
    <row r="78" spans="2:11" x14ac:dyDescent="0.25">
      <c r="B78" s="2" t="s">
        <v>695</v>
      </c>
      <c r="C78" s="2" t="s">
        <v>696</v>
      </c>
      <c r="D78" s="3">
        <v>0.81</v>
      </c>
      <c r="E78" s="3">
        <v>5.73</v>
      </c>
      <c r="F78" s="3">
        <v>0.9</v>
      </c>
      <c r="G78" s="3">
        <v>3.24</v>
      </c>
      <c r="H78" s="3">
        <v>5</v>
      </c>
      <c r="I78" s="3">
        <v>0.02</v>
      </c>
      <c r="J78" s="3">
        <v>0.02</v>
      </c>
      <c r="K78" s="3">
        <v>0.04</v>
      </c>
    </row>
    <row r="79" spans="2:11" x14ac:dyDescent="0.25">
      <c r="B79" s="2" t="s">
        <v>697</v>
      </c>
      <c r="C79" s="2" t="s">
        <v>698</v>
      </c>
      <c r="D79" s="3">
        <v>1.1000000000000001</v>
      </c>
      <c r="E79" s="3">
        <v>13.2</v>
      </c>
      <c r="F79" s="3">
        <v>1.5</v>
      </c>
      <c r="G79" s="3">
        <v>4.05</v>
      </c>
      <c r="H79" s="3">
        <v>22</v>
      </c>
      <c r="I79" s="3">
        <v>2.1000000000000001E-2</v>
      </c>
      <c r="J79" s="3">
        <v>4.0000000000000001E-3</v>
      </c>
      <c r="K79" s="3">
        <v>4.3999999999999997E-2</v>
      </c>
    </row>
    <row r="80" spans="2:11" x14ac:dyDescent="0.25">
      <c r="B80" s="2" t="s">
        <v>699</v>
      </c>
      <c r="C80" s="2" t="s">
        <v>700</v>
      </c>
      <c r="D80" s="3">
        <v>1.1000000000000001</v>
      </c>
      <c r="E80" s="3">
        <v>14</v>
      </c>
      <c r="F80" s="3">
        <v>1.5</v>
      </c>
      <c r="G80" s="3">
        <v>4.24</v>
      </c>
      <c r="H80" s="3">
        <v>18</v>
      </c>
      <c r="I80" s="3">
        <v>2.1000000000000001E-2</v>
      </c>
      <c r="J80" s="3">
        <v>4.0000000000000001E-3</v>
      </c>
      <c r="K80" s="3">
        <v>4.3999999999999997E-2</v>
      </c>
    </row>
    <row r="81" spans="2:11" x14ac:dyDescent="0.25">
      <c r="B81" s="2" t="s">
        <v>701</v>
      </c>
      <c r="C81" s="2" t="s">
        <v>702</v>
      </c>
      <c r="D81" s="3">
        <v>1</v>
      </c>
      <c r="E81" s="3">
        <v>11.73</v>
      </c>
      <c r="F81" s="3">
        <v>0.9</v>
      </c>
      <c r="G81" s="3">
        <v>0.91</v>
      </c>
      <c r="H81" s="3">
        <v>57</v>
      </c>
      <c r="I81" s="3">
        <v>1.4999999999999999E-2</v>
      </c>
      <c r="J81" s="3">
        <v>2E-3</v>
      </c>
      <c r="K81" s="3">
        <v>2.5000000000000001E-2</v>
      </c>
    </row>
    <row r="82" spans="2:11" x14ac:dyDescent="0.25">
      <c r="B82" s="2" t="s">
        <v>703</v>
      </c>
      <c r="C82" s="2" t="s">
        <v>704</v>
      </c>
      <c r="D82" s="3">
        <v>2</v>
      </c>
      <c r="E82" s="3">
        <v>9.26</v>
      </c>
      <c r="F82" s="3">
        <v>2</v>
      </c>
      <c r="G82" s="3">
        <v>2.93</v>
      </c>
      <c r="H82" s="3">
        <v>5</v>
      </c>
      <c r="I82" s="3">
        <v>9.5000000000000001E-2</v>
      </c>
      <c r="J82" s="3">
        <v>0.16600000000000001</v>
      </c>
      <c r="K82" s="3">
        <v>0.28000000000000003</v>
      </c>
    </row>
    <row r="83" spans="2:11" x14ac:dyDescent="0.25">
      <c r="B83" s="2" t="s">
        <v>705</v>
      </c>
      <c r="C83" s="2" t="s">
        <v>706</v>
      </c>
      <c r="D83" s="3">
        <v>0.2</v>
      </c>
      <c r="E83" s="3">
        <v>12.1</v>
      </c>
      <c r="F83" s="3">
        <v>0.9</v>
      </c>
      <c r="G83" s="3">
        <v>10.83</v>
      </c>
      <c r="H83" s="3">
        <v>6</v>
      </c>
      <c r="I83" s="3">
        <v>0.02</v>
      </c>
      <c r="J83" s="3">
        <v>4.0000000000000001E-3</v>
      </c>
      <c r="K83" s="3">
        <v>0.03</v>
      </c>
    </row>
    <row r="84" spans="2:11" x14ac:dyDescent="0.25">
      <c r="B84" s="2" t="s">
        <v>707</v>
      </c>
      <c r="C84" s="2" t="s">
        <v>708</v>
      </c>
      <c r="D84" s="3">
        <v>0.2</v>
      </c>
      <c r="E84" s="3">
        <v>10.8</v>
      </c>
      <c r="F84" s="3">
        <v>1.7</v>
      </c>
      <c r="G84" s="3">
        <v>9.8699999999999992</v>
      </c>
      <c r="H84" s="3">
        <v>0</v>
      </c>
      <c r="I84" s="3">
        <v>3.2000000000000001E-2</v>
      </c>
      <c r="J84" s="3">
        <v>8.0000000000000002E-3</v>
      </c>
      <c r="K84" s="3">
        <v>5.6000000000000001E-2</v>
      </c>
    </row>
    <row r="85" spans="2:11" x14ac:dyDescent="0.25">
      <c r="B85" s="2" t="s">
        <v>709</v>
      </c>
      <c r="C85" s="2" t="s">
        <v>710</v>
      </c>
      <c r="D85" s="3">
        <v>0</v>
      </c>
      <c r="E85" s="3">
        <v>10.3</v>
      </c>
      <c r="F85" s="3">
        <v>1.7</v>
      </c>
      <c r="G85" s="3">
        <v>8.48</v>
      </c>
      <c r="H85" s="3">
        <v>1</v>
      </c>
      <c r="I85" s="3">
        <v>0</v>
      </c>
      <c r="J85" s="3">
        <v>0</v>
      </c>
      <c r="K85" s="3">
        <v>0</v>
      </c>
    </row>
    <row r="86" spans="2:11" x14ac:dyDescent="0.25">
      <c r="B86" s="2" t="s">
        <v>711</v>
      </c>
      <c r="C86" s="2" t="s">
        <v>712</v>
      </c>
      <c r="D86" s="3">
        <v>0.3</v>
      </c>
      <c r="E86" s="3">
        <v>16.3</v>
      </c>
      <c r="F86" s="3">
        <v>1.5</v>
      </c>
      <c r="G86" s="3">
        <v>1.41</v>
      </c>
      <c r="H86" s="3">
        <v>0</v>
      </c>
      <c r="I86" s="3">
        <v>0</v>
      </c>
      <c r="J86" s="3">
        <v>0</v>
      </c>
      <c r="K86" s="3">
        <v>0</v>
      </c>
    </row>
    <row r="87" spans="2:11" x14ac:dyDescent="0.25">
      <c r="B87" s="2" t="s">
        <v>713</v>
      </c>
      <c r="C87" s="2" t="s">
        <v>714</v>
      </c>
      <c r="D87" s="3">
        <v>1.4</v>
      </c>
      <c r="E87" s="3">
        <v>14.1</v>
      </c>
      <c r="F87" s="3">
        <v>2.1</v>
      </c>
      <c r="G87" s="3">
        <v>1.23</v>
      </c>
      <c r="H87" s="3">
        <v>43</v>
      </c>
      <c r="I87" s="3">
        <v>7.5999999999999998E-2</v>
      </c>
      <c r="J87" s="3">
        <v>0.11600000000000001</v>
      </c>
      <c r="K87" s="3">
        <v>0.17599999999999999</v>
      </c>
    </row>
    <row r="88" spans="2:11" x14ac:dyDescent="0.25">
      <c r="B88" s="2" t="s">
        <v>715</v>
      </c>
      <c r="C88" s="2" t="s">
        <v>716</v>
      </c>
      <c r="D88" s="3">
        <v>1.4</v>
      </c>
      <c r="E88" s="3">
        <v>16.25</v>
      </c>
      <c r="F88" s="3">
        <v>2.1</v>
      </c>
      <c r="G88" s="3">
        <v>1.48</v>
      </c>
      <c r="H88" s="3">
        <v>52</v>
      </c>
      <c r="I88" s="3">
        <v>7.3999999999999996E-2</v>
      </c>
      <c r="J88" s="3">
        <v>0.11600000000000001</v>
      </c>
      <c r="K88" s="3">
        <v>0.17799999999999999</v>
      </c>
    </row>
    <row r="89" spans="2:11" x14ac:dyDescent="0.25">
      <c r="B89" s="2" t="s">
        <v>717</v>
      </c>
      <c r="C89" s="2" t="s">
        <v>718</v>
      </c>
      <c r="D89" s="3">
        <v>3.27</v>
      </c>
      <c r="E89" s="3">
        <v>8.36</v>
      </c>
      <c r="F89" s="3">
        <v>2</v>
      </c>
      <c r="G89" s="3">
        <v>2.0099999999999998</v>
      </c>
      <c r="H89" s="3">
        <v>5</v>
      </c>
      <c r="I89" s="3">
        <v>7.0000000000000007E-2</v>
      </c>
      <c r="J89" s="3">
        <v>0.05</v>
      </c>
      <c r="K89" s="3">
        <v>0.2</v>
      </c>
    </row>
    <row r="90" spans="2:11" x14ac:dyDescent="0.25">
      <c r="B90" s="2" t="s">
        <v>719</v>
      </c>
      <c r="C90" s="2" t="s">
        <v>720</v>
      </c>
      <c r="D90" s="3">
        <v>3.9</v>
      </c>
      <c r="E90" s="3">
        <v>10.3</v>
      </c>
      <c r="F90" s="3">
        <v>3.9</v>
      </c>
      <c r="G90" s="3">
        <v>4.13</v>
      </c>
      <c r="H90" s="3">
        <v>48</v>
      </c>
      <c r="I90" s="3">
        <v>0.14000000000000001</v>
      </c>
      <c r="J90" s="3">
        <v>7.0000000000000007E-2</v>
      </c>
      <c r="K90" s="3">
        <v>0.37</v>
      </c>
    </row>
    <row r="91" spans="2:11" x14ac:dyDescent="0.25">
      <c r="B91" s="2" t="s">
        <v>721</v>
      </c>
      <c r="C91" s="2" t="s">
        <v>722</v>
      </c>
      <c r="D91" s="3">
        <v>2.5</v>
      </c>
      <c r="E91" s="3">
        <v>5.7</v>
      </c>
      <c r="F91" s="3">
        <v>1.8</v>
      </c>
      <c r="G91" s="3">
        <v>2.33</v>
      </c>
      <c r="H91" s="3">
        <v>49</v>
      </c>
      <c r="I91" s="3">
        <v>0.70199999999999996</v>
      </c>
      <c r="J91" s="3">
        <v>0.33200000000000002</v>
      </c>
      <c r="K91" s="3">
        <v>0.13300000000000001</v>
      </c>
    </row>
    <row r="92" spans="2:11" x14ac:dyDescent="0.25">
      <c r="B92" s="2" t="s">
        <v>723</v>
      </c>
      <c r="C92" s="2" t="s">
        <v>724</v>
      </c>
      <c r="D92" s="3">
        <v>0.3</v>
      </c>
      <c r="E92" s="3">
        <v>17.3</v>
      </c>
      <c r="F92" s="3">
        <v>1.5</v>
      </c>
      <c r="G92" s="3">
        <v>1.4</v>
      </c>
      <c r="H92" s="3">
        <v>0</v>
      </c>
      <c r="I92" s="3">
        <v>0</v>
      </c>
      <c r="J92" s="3">
        <v>0</v>
      </c>
      <c r="K92" s="3">
        <v>0</v>
      </c>
    </row>
    <row r="93" spans="2:11" x14ac:dyDescent="0.25">
      <c r="B93" s="2" t="s">
        <v>725</v>
      </c>
      <c r="C93" s="2" t="s">
        <v>726</v>
      </c>
      <c r="D93" s="3">
        <v>0.4</v>
      </c>
      <c r="E93" s="3">
        <v>15.3</v>
      </c>
      <c r="F93" s="3">
        <v>1.6</v>
      </c>
      <c r="G93" s="3">
        <v>0.38</v>
      </c>
      <c r="H93" s="3">
        <v>0</v>
      </c>
      <c r="I93" s="3">
        <v>3.5000000000000003E-2</v>
      </c>
      <c r="J93" s="3">
        <v>0.01</v>
      </c>
      <c r="K93" s="3">
        <v>1.9E-2</v>
      </c>
    </row>
    <row r="94" spans="2:11" x14ac:dyDescent="0.25">
      <c r="B94" s="2" t="s">
        <v>727</v>
      </c>
      <c r="C94" s="2" t="s">
        <v>728</v>
      </c>
      <c r="D94" s="3">
        <v>0.94</v>
      </c>
      <c r="E94" s="3">
        <v>14.48</v>
      </c>
      <c r="F94" s="3">
        <v>1.3</v>
      </c>
      <c r="G94" s="3">
        <v>11.5</v>
      </c>
      <c r="H94" s="3">
        <v>4</v>
      </c>
      <c r="I94" s="3">
        <v>0.02</v>
      </c>
      <c r="J94" s="3">
        <v>0.01</v>
      </c>
      <c r="K94" s="3">
        <v>0.04</v>
      </c>
    </row>
    <row r="95" spans="2:11" x14ac:dyDescent="0.25">
      <c r="B95" s="2" t="s">
        <v>729</v>
      </c>
      <c r="C95" s="2" t="s">
        <v>730</v>
      </c>
      <c r="D95" s="3">
        <v>0.94</v>
      </c>
      <c r="E95" s="3">
        <v>14.48</v>
      </c>
      <c r="F95" s="3">
        <v>1.3</v>
      </c>
      <c r="G95" s="3">
        <v>11.5</v>
      </c>
      <c r="H95" s="3">
        <v>4</v>
      </c>
      <c r="I95" s="3">
        <v>0.02</v>
      </c>
      <c r="J95" s="3">
        <v>0.01</v>
      </c>
      <c r="K95" s="3">
        <v>0.04</v>
      </c>
    </row>
    <row r="96" spans="2:11" x14ac:dyDescent="0.25">
      <c r="B96" s="2" t="s">
        <v>731</v>
      </c>
      <c r="C96" s="2" t="s">
        <v>732</v>
      </c>
      <c r="D96" s="3">
        <v>0.3</v>
      </c>
      <c r="E96" s="3">
        <v>10.8</v>
      </c>
      <c r="F96" s="3">
        <v>2.8</v>
      </c>
      <c r="G96" s="3">
        <v>6.98</v>
      </c>
      <c r="H96" s="3">
        <v>1</v>
      </c>
      <c r="I96" s="3">
        <v>1.2E-2</v>
      </c>
      <c r="J96" s="3">
        <v>4.2000000000000003E-2</v>
      </c>
      <c r="K96" s="3">
        <v>4.5999999999999999E-2</v>
      </c>
    </row>
    <row r="97" spans="2:11" x14ac:dyDescent="0.25">
      <c r="B97" s="2" t="s">
        <v>733</v>
      </c>
      <c r="C97" s="2" t="s">
        <v>734</v>
      </c>
      <c r="D97" s="3">
        <v>0.3</v>
      </c>
      <c r="E97" s="3">
        <v>11.6</v>
      </c>
      <c r="F97" s="3">
        <v>2.8</v>
      </c>
      <c r="G97" s="3">
        <v>7.34</v>
      </c>
      <c r="H97" s="3">
        <v>1</v>
      </c>
      <c r="I97" s="3">
        <v>6.0000000000000001E-3</v>
      </c>
      <c r="J97" s="3">
        <v>2.1000000000000001E-2</v>
      </c>
      <c r="K97" s="3">
        <v>2.3E-2</v>
      </c>
    </row>
    <row r="98" spans="2:11" x14ac:dyDescent="0.25">
      <c r="B98" s="2" t="s">
        <v>735</v>
      </c>
      <c r="C98" s="2" t="s">
        <v>736</v>
      </c>
      <c r="D98" s="3">
        <v>0.1</v>
      </c>
      <c r="E98" s="3">
        <v>19.7</v>
      </c>
      <c r="F98" s="3">
        <v>1.2</v>
      </c>
      <c r="G98" s="3">
        <v>13.34</v>
      </c>
      <c r="H98" s="3">
        <v>0</v>
      </c>
      <c r="I98" s="3">
        <v>0</v>
      </c>
      <c r="J98" s="3">
        <v>0</v>
      </c>
      <c r="K98" s="3">
        <v>0</v>
      </c>
    </row>
    <row r="99" spans="2:11" x14ac:dyDescent="0.25">
      <c r="B99" s="2" t="s">
        <v>737</v>
      </c>
      <c r="C99" s="2" t="s">
        <v>738</v>
      </c>
      <c r="D99" s="3">
        <v>0.1</v>
      </c>
      <c r="E99" s="3">
        <v>20.5</v>
      </c>
      <c r="F99" s="3">
        <v>1.2</v>
      </c>
      <c r="G99" s="3">
        <v>13.64</v>
      </c>
      <c r="H99" s="3">
        <v>0</v>
      </c>
      <c r="I99" s="3">
        <v>0</v>
      </c>
      <c r="J99" s="3">
        <v>0</v>
      </c>
      <c r="K99" s="3">
        <v>0</v>
      </c>
    </row>
    <row r="100" spans="2:11" x14ac:dyDescent="0.25">
      <c r="B100" s="2" t="s">
        <v>739</v>
      </c>
      <c r="C100" s="2" t="s">
        <v>740</v>
      </c>
      <c r="D100" s="3">
        <v>0.6</v>
      </c>
      <c r="E100" s="3">
        <v>18.5</v>
      </c>
      <c r="F100" s="3">
        <v>2.7</v>
      </c>
      <c r="G100" s="3">
        <v>10.97</v>
      </c>
      <c r="H100" s="3">
        <v>5</v>
      </c>
      <c r="I100" s="3">
        <v>8.0000000000000002E-3</v>
      </c>
      <c r="J100" s="3">
        <v>6.6000000000000003E-2</v>
      </c>
      <c r="K100" s="3">
        <v>2.1999999999999999E-2</v>
      </c>
    </row>
    <row r="101" spans="2:11" x14ac:dyDescent="0.25">
      <c r="B101" s="2" t="s">
        <v>741</v>
      </c>
      <c r="C101" s="2" t="s">
        <v>742</v>
      </c>
      <c r="D101" s="3">
        <v>0.6</v>
      </c>
      <c r="E101" s="3">
        <v>18.7</v>
      </c>
      <c r="F101" s="3">
        <v>2.7</v>
      </c>
      <c r="G101" s="3">
        <v>10.97</v>
      </c>
      <c r="H101" s="3">
        <v>2</v>
      </c>
      <c r="I101" s="3">
        <v>8.0000000000000002E-3</v>
      </c>
      <c r="J101" s="3">
        <v>6.6000000000000003E-2</v>
      </c>
      <c r="K101" s="3">
        <v>2.1999999999999999E-2</v>
      </c>
    </row>
    <row r="102" spans="2:11" x14ac:dyDescent="0.25">
      <c r="B102" s="2" t="s">
        <v>743</v>
      </c>
      <c r="C102" s="2" t="s">
        <v>744</v>
      </c>
      <c r="D102" s="3">
        <v>1</v>
      </c>
      <c r="E102" s="3">
        <v>23.52</v>
      </c>
      <c r="F102" s="3">
        <v>2.7</v>
      </c>
      <c r="G102" s="3">
        <v>14.28</v>
      </c>
      <c r="H102" s="3">
        <v>1</v>
      </c>
      <c r="I102" s="3">
        <v>0.02</v>
      </c>
      <c r="J102" s="3">
        <v>0.13</v>
      </c>
      <c r="K102" s="3">
        <v>0.04</v>
      </c>
    </row>
    <row r="103" spans="2:11" x14ac:dyDescent="0.25">
      <c r="B103" s="2" t="s">
        <v>745</v>
      </c>
      <c r="C103" s="2" t="s">
        <v>746</v>
      </c>
      <c r="D103" s="3">
        <v>0.3</v>
      </c>
      <c r="E103" s="3">
        <v>19</v>
      </c>
      <c r="F103" s="3">
        <v>1.1000000000000001</v>
      </c>
      <c r="G103" s="3">
        <v>13</v>
      </c>
      <c r="H103" s="3">
        <v>4</v>
      </c>
      <c r="I103" s="3">
        <v>3.9E-2</v>
      </c>
      <c r="J103" s="3">
        <v>0.06</v>
      </c>
      <c r="K103" s="3">
        <v>0.03</v>
      </c>
    </row>
    <row r="104" spans="2:11" x14ac:dyDescent="0.25">
      <c r="B104" s="2" t="s">
        <v>747</v>
      </c>
      <c r="C104" s="2" t="s">
        <v>748</v>
      </c>
      <c r="D104" s="3">
        <v>0.3</v>
      </c>
      <c r="E104" s="3">
        <v>13.6</v>
      </c>
      <c r="F104" s="3">
        <v>1.2</v>
      </c>
      <c r="G104" s="3">
        <v>8.66</v>
      </c>
      <c r="H104" s="3">
        <v>6</v>
      </c>
      <c r="I104" s="3">
        <v>0.01</v>
      </c>
      <c r="J104" s="3">
        <v>4.2999999999999997E-2</v>
      </c>
      <c r="K104" s="3">
        <v>4.5999999999999999E-2</v>
      </c>
    </row>
    <row r="105" spans="2:11" x14ac:dyDescent="0.25">
      <c r="B105" s="2" t="s">
        <v>749</v>
      </c>
      <c r="C105" s="2" t="s">
        <v>750</v>
      </c>
      <c r="D105" s="3">
        <v>0.2</v>
      </c>
      <c r="E105" s="3">
        <v>11.64</v>
      </c>
      <c r="F105" s="3">
        <v>1.8</v>
      </c>
      <c r="G105" s="3">
        <v>9.25</v>
      </c>
      <c r="H105" s="3">
        <v>0</v>
      </c>
      <c r="I105" s="3">
        <v>2.4E-2</v>
      </c>
      <c r="J105" s="3">
        <v>3.6999999999999998E-2</v>
      </c>
      <c r="K105" s="3">
        <v>4.4999999999999998E-2</v>
      </c>
    </row>
    <row r="106" spans="2:11" x14ac:dyDescent="0.25">
      <c r="B106" s="2" t="s">
        <v>751</v>
      </c>
      <c r="C106" s="2" t="s">
        <v>752</v>
      </c>
      <c r="D106" s="3">
        <v>0.2</v>
      </c>
      <c r="E106" s="3">
        <v>12.4</v>
      </c>
      <c r="F106" s="3">
        <v>1.8</v>
      </c>
      <c r="G106" s="3">
        <v>8.7200000000000006</v>
      </c>
      <c r="H106" s="3">
        <v>0</v>
      </c>
      <c r="I106" s="3">
        <v>2.8000000000000001E-2</v>
      </c>
      <c r="J106" s="3">
        <v>0.03</v>
      </c>
      <c r="K106" s="3">
        <v>5.0999999999999997E-2</v>
      </c>
    </row>
    <row r="107" spans="2:11" x14ac:dyDescent="0.25">
      <c r="B107" s="2" t="s">
        <v>753</v>
      </c>
      <c r="C107" s="2" t="s">
        <v>754</v>
      </c>
      <c r="D107" s="3">
        <v>0</v>
      </c>
      <c r="E107" s="3">
        <v>14.1</v>
      </c>
      <c r="F107" s="3">
        <v>1.1000000000000001</v>
      </c>
      <c r="G107" s="3">
        <v>10.81</v>
      </c>
      <c r="H107" s="3">
        <v>1</v>
      </c>
      <c r="I107" s="3">
        <v>0</v>
      </c>
      <c r="J107" s="3">
        <v>0</v>
      </c>
      <c r="K107" s="3">
        <v>0</v>
      </c>
    </row>
    <row r="108" spans="2:11" x14ac:dyDescent="0.25">
      <c r="B108" s="2" t="s">
        <v>755</v>
      </c>
      <c r="C108" s="2" t="s">
        <v>756</v>
      </c>
      <c r="D108" s="3">
        <v>0</v>
      </c>
      <c r="E108" s="3">
        <v>14.1</v>
      </c>
      <c r="F108" s="3">
        <v>1.1000000000000001</v>
      </c>
      <c r="G108" s="3">
        <v>10.61</v>
      </c>
      <c r="H108" s="3">
        <v>1</v>
      </c>
      <c r="I108" s="3">
        <v>0</v>
      </c>
      <c r="J108" s="3">
        <v>0</v>
      </c>
      <c r="K108" s="3">
        <v>0</v>
      </c>
    </row>
    <row r="109" spans="2:11" x14ac:dyDescent="0.25">
      <c r="B109" s="2" t="s">
        <v>757</v>
      </c>
      <c r="C109" s="2" t="s">
        <v>758</v>
      </c>
      <c r="D109" s="3">
        <v>0.37</v>
      </c>
      <c r="E109" s="3">
        <v>16.16</v>
      </c>
      <c r="F109" s="3">
        <v>1.6</v>
      </c>
      <c r="G109" s="3">
        <v>4.3499999999999996</v>
      </c>
      <c r="H109" s="3">
        <v>3</v>
      </c>
      <c r="I109" s="3">
        <v>0.04</v>
      </c>
      <c r="J109" s="3">
        <v>0.01</v>
      </c>
      <c r="K109" s="3">
        <v>0.05</v>
      </c>
    </row>
    <row r="110" spans="2:11" x14ac:dyDescent="0.25">
      <c r="B110" s="2" t="s">
        <v>759</v>
      </c>
      <c r="C110" s="2" t="s">
        <v>760</v>
      </c>
      <c r="D110" s="3">
        <v>0.1</v>
      </c>
      <c r="E110" s="3">
        <v>10.1</v>
      </c>
      <c r="F110" s="3">
        <v>1.5</v>
      </c>
      <c r="H110" s="3">
        <v>2</v>
      </c>
      <c r="I110" s="3">
        <v>0.01</v>
      </c>
      <c r="J110" s="3">
        <v>8.9999999999999993E-3</v>
      </c>
      <c r="K110" s="3">
        <v>3.2000000000000001E-2</v>
      </c>
    </row>
    <row r="111" spans="2:11" x14ac:dyDescent="0.25">
      <c r="B111" s="2" t="s">
        <v>761</v>
      </c>
      <c r="C111" s="2" t="s">
        <v>762</v>
      </c>
      <c r="D111" s="3">
        <v>0.1</v>
      </c>
      <c r="E111" s="3">
        <v>10.5</v>
      </c>
      <c r="F111" s="3">
        <v>1.5</v>
      </c>
      <c r="H111" s="3">
        <v>2</v>
      </c>
      <c r="I111" s="3">
        <v>1.0999999999999999E-2</v>
      </c>
      <c r="J111" s="3">
        <v>8.9999999999999993E-3</v>
      </c>
      <c r="K111" s="3">
        <v>3.2000000000000001E-2</v>
      </c>
    </row>
    <row r="112" spans="2:11" x14ac:dyDescent="0.25">
      <c r="B112" s="2" t="s">
        <v>763</v>
      </c>
      <c r="C112" s="2" t="s">
        <v>764</v>
      </c>
      <c r="D112" s="3">
        <v>0.2</v>
      </c>
      <c r="E112" s="3">
        <v>15.6</v>
      </c>
      <c r="F112" s="3">
        <v>2.1</v>
      </c>
      <c r="G112" s="3">
        <v>12.96</v>
      </c>
      <c r="H112" s="3">
        <v>0</v>
      </c>
      <c r="I112" s="3">
        <v>3.3000000000000002E-2</v>
      </c>
      <c r="J112" s="3">
        <v>8.0000000000000002E-3</v>
      </c>
      <c r="K112" s="3">
        <v>6.2E-2</v>
      </c>
    </row>
    <row r="113" spans="2:11" x14ac:dyDescent="0.25">
      <c r="B113" s="2" t="s">
        <v>765</v>
      </c>
      <c r="C113" s="2" t="s">
        <v>766</v>
      </c>
      <c r="D113" s="3">
        <v>0.2</v>
      </c>
      <c r="E113" s="3">
        <v>15.4</v>
      </c>
      <c r="F113" s="3">
        <v>2.1</v>
      </c>
      <c r="G113" s="3">
        <v>12.96</v>
      </c>
      <c r="H113" s="3">
        <v>0</v>
      </c>
      <c r="I113" s="3">
        <v>3.2000000000000001E-2</v>
      </c>
      <c r="J113" s="3">
        <v>8.0000000000000002E-3</v>
      </c>
      <c r="K113" s="3">
        <v>6.3E-2</v>
      </c>
    </row>
    <row r="114" spans="2:11" x14ac:dyDescent="0.25">
      <c r="B114" s="2" t="s">
        <v>767</v>
      </c>
      <c r="C114" s="2" t="s">
        <v>768</v>
      </c>
      <c r="D114" s="3">
        <v>0.3</v>
      </c>
      <c r="E114" s="3">
        <v>15.3</v>
      </c>
      <c r="F114" s="3">
        <v>1.4</v>
      </c>
      <c r="G114" s="3">
        <v>11.6</v>
      </c>
      <c r="H114" s="3">
        <v>3</v>
      </c>
      <c r="I114" s="3">
        <v>4.1000000000000002E-2</v>
      </c>
      <c r="J114" s="3">
        <v>8.0000000000000002E-3</v>
      </c>
      <c r="K114" s="3">
        <v>7.9000000000000001E-2</v>
      </c>
    </row>
    <row r="115" spans="2:11" x14ac:dyDescent="0.25">
      <c r="B115" s="2" t="s">
        <v>769</v>
      </c>
      <c r="C115" s="2" t="s">
        <v>770</v>
      </c>
      <c r="D115" s="3">
        <v>0.2</v>
      </c>
      <c r="E115" s="3">
        <v>18.399999999999999</v>
      </c>
      <c r="F115" s="3">
        <v>1.6</v>
      </c>
      <c r="G115" s="3">
        <v>8.41</v>
      </c>
      <c r="H115" s="3">
        <v>0</v>
      </c>
      <c r="I115" s="3">
        <v>3.5999999999999997E-2</v>
      </c>
      <c r="J115" s="3">
        <v>8.9999999999999993E-3</v>
      </c>
      <c r="K115" s="3">
        <v>0.02</v>
      </c>
    </row>
    <row r="116" spans="2:11" x14ac:dyDescent="0.25">
      <c r="B116" s="2" t="s">
        <v>771</v>
      </c>
      <c r="C116" s="2" t="s">
        <v>772</v>
      </c>
      <c r="D116" s="3">
        <v>0.2</v>
      </c>
      <c r="E116" s="3">
        <v>17.8</v>
      </c>
      <c r="F116" s="3">
        <v>1.6</v>
      </c>
      <c r="G116" s="3">
        <v>10.73</v>
      </c>
      <c r="H116" s="3">
        <v>0</v>
      </c>
      <c r="I116" s="3">
        <v>0</v>
      </c>
      <c r="J116" s="3">
        <v>0</v>
      </c>
      <c r="K116" s="3">
        <v>0</v>
      </c>
    </row>
    <row r="117" spans="2:11" x14ac:dyDescent="0.25">
      <c r="B117" s="2" t="s">
        <v>773</v>
      </c>
      <c r="C117" s="2" t="s">
        <v>774</v>
      </c>
      <c r="D117" s="3">
        <v>0.3</v>
      </c>
      <c r="E117" s="3">
        <v>10.9</v>
      </c>
      <c r="F117" s="3">
        <v>2.6</v>
      </c>
      <c r="G117" s="3">
        <v>7.79</v>
      </c>
      <c r="H117" s="3">
        <v>0</v>
      </c>
      <c r="I117" s="3">
        <v>7.0000000000000001E-3</v>
      </c>
      <c r="J117" s="3">
        <v>1.6E-2</v>
      </c>
      <c r="K117" s="3">
        <v>2.9000000000000001E-2</v>
      </c>
    </row>
    <row r="118" spans="2:11" x14ac:dyDescent="0.25">
      <c r="B118" s="2" t="s">
        <v>775</v>
      </c>
      <c r="C118" s="2" t="s">
        <v>776</v>
      </c>
      <c r="D118" s="3">
        <v>0.3</v>
      </c>
      <c r="E118" s="3">
        <v>11.4</v>
      </c>
      <c r="F118" s="3">
        <v>2.6</v>
      </c>
      <c r="G118" s="3">
        <v>7.36</v>
      </c>
      <c r="H118" s="3">
        <v>0</v>
      </c>
      <c r="I118" s="3">
        <v>1.2999999999999999E-2</v>
      </c>
      <c r="J118" s="3">
        <v>3.1E-2</v>
      </c>
      <c r="K118" s="3">
        <v>5.8000000000000003E-2</v>
      </c>
    </row>
    <row r="119" spans="2:11" x14ac:dyDescent="0.25">
      <c r="B119" s="2" t="s">
        <v>777</v>
      </c>
      <c r="C119" s="2" t="s">
        <v>778</v>
      </c>
      <c r="D119" s="3">
        <v>0.2</v>
      </c>
      <c r="E119" s="3">
        <v>17</v>
      </c>
      <c r="H119" s="3">
        <v>4</v>
      </c>
    </row>
    <row r="120" spans="2:11" x14ac:dyDescent="0.25">
      <c r="B120" s="2" t="s">
        <v>779</v>
      </c>
      <c r="C120" s="2" t="s">
        <v>780</v>
      </c>
      <c r="D120" s="3">
        <v>0.5</v>
      </c>
      <c r="E120" s="3">
        <v>11.8</v>
      </c>
      <c r="F120" s="3">
        <v>0.8</v>
      </c>
      <c r="G120" s="3">
        <v>9.49</v>
      </c>
      <c r="H120" s="3">
        <v>9</v>
      </c>
      <c r="I120" s="3">
        <v>1.6E-2</v>
      </c>
      <c r="J120" s="3">
        <v>4.5999999999999999E-2</v>
      </c>
      <c r="K120" s="3">
        <v>7.8E-2</v>
      </c>
    </row>
    <row r="121" spans="2:11" x14ac:dyDescent="0.25">
      <c r="B121" s="2" t="s">
        <v>781</v>
      </c>
      <c r="C121" s="2" t="s">
        <v>782</v>
      </c>
      <c r="D121" s="3">
        <v>0.2</v>
      </c>
      <c r="E121" s="3">
        <v>18.899999999999999</v>
      </c>
      <c r="F121" s="3">
        <v>1.4</v>
      </c>
      <c r="H121" s="3">
        <v>5</v>
      </c>
    </row>
    <row r="122" spans="2:11" x14ac:dyDescent="0.25">
      <c r="B122" s="2" t="s">
        <v>783</v>
      </c>
      <c r="C122" s="2" t="s">
        <v>784</v>
      </c>
      <c r="D122" s="3">
        <v>0.9</v>
      </c>
      <c r="E122" s="3">
        <v>19.309999999999999</v>
      </c>
      <c r="F122" s="3">
        <v>1.4</v>
      </c>
      <c r="G122" s="3">
        <v>12.76</v>
      </c>
      <c r="H122" s="3">
        <v>2</v>
      </c>
      <c r="I122" s="3">
        <v>0.106</v>
      </c>
      <c r="J122" s="3">
        <v>2.8000000000000001E-2</v>
      </c>
      <c r="K122" s="3">
        <v>8.5000000000000006E-2</v>
      </c>
    </row>
    <row r="123" spans="2:11" x14ac:dyDescent="0.25">
      <c r="B123" s="2" t="s">
        <v>785</v>
      </c>
      <c r="C123" s="2" t="s">
        <v>786</v>
      </c>
      <c r="D123" s="3">
        <v>0.2</v>
      </c>
      <c r="E123" s="3">
        <v>16.3</v>
      </c>
      <c r="F123" s="3">
        <v>1.8</v>
      </c>
      <c r="G123" s="3">
        <v>13.93</v>
      </c>
      <c r="H123" s="3">
        <v>1</v>
      </c>
      <c r="I123" s="3">
        <v>2.4E-2</v>
      </c>
      <c r="J123" s="3">
        <v>1.9E-2</v>
      </c>
      <c r="K123" s="3">
        <v>7.2999999999999995E-2</v>
      </c>
    </row>
    <row r="124" spans="2:11" x14ac:dyDescent="0.25">
      <c r="B124" s="2" t="s">
        <v>787</v>
      </c>
      <c r="C124" s="2" t="s">
        <v>788</v>
      </c>
      <c r="D124" s="3">
        <v>0.2</v>
      </c>
      <c r="E124" s="3">
        <v>16.600000000000001</v>
      </c>
      <c r="F124" s="3">
        <v>1.8</v>
      </c>
      <c r="G124" s="3">
        <v>8.83</v>
      </c>
      <c r="H124" s="3">
        <v>1</v>
      </c>
      <c r="I124" s="3">
        <v>2.4E-2</v>
      </c>
      <c r="J124" s="3">
        <v>1.9E-2</v>
      </c>
      <c r="K124" s="3">
        <v>7.2999999999999995E-2</v>
      </c>
    </row>
    <row r="125" spans="2:11" x14ac:dyDescent="0.25">
      <c r="B125" s="2" t="s">
        <v>789</v>
      </c>
      <c r="C125" s="2" t="s">
        <v>790</v>
      </c>
      <c r="D125" s="3">
        <v>0</v>
      </c>
      <c r="E125" s="3">
        <v>11.7</v>
      </c>
      <c r="F125" s="3">
        <v>0.1</v>
      </c>
      <c r="G125" s="3">
        <v>10.7</v>
      </c>
      <c r="H125" s="3">
        <v>8</v>
      </c>
      <c r="I125" s="3">
        <v>1.7999999999999999E-2</v>
      </c>
      <c r="J125" s="3">
        <v>2E-3</v>
      </c>
      <c r="K125" s="3">
        <v>3.1E-2</v>
      </c>
    </row>
    <row r="126" spans="2:11" x14ac:dyDescent="0.25">
      <c r="B126" s="2" t="s">
        <v>791</v>
      </c>
      <c r="C126" s="2" t="s">
        <v>792</v>
      </c>
      <c r="D126" s="3">
        <v>0.2</v>
      </c>
      <c r="E126" s="3">
        <v>12.3</v>
      </c>
      <c r="F126" s="3">
        <v>0.2</v>
      </c>
      <c r="G126" s="3">
        <v>11</v>
      </c>
      <c r="H126" s="3">
        <v>4</v>
      </c>
      <c r="I126" s="3">
        <v>1.7999999999999999E-2</v>
      </c>
      <c r="J126" s="3">
        <v>4.0000000000000001E-3</v>
      </c>
      <c r="K126" s="3">
        <v>3.4000000000000002E-2</v>
      </c>
    </row>
    <row r="127" spans="2:11" x14ac:dyDescent="0.25">
      <c r="B127" s="2" t="s">
        <v>793</v>
      </c>
      <c r="C127" s="2" t="s">
        <v>794</v>
      </c>
      <c r="D127" s="3">
        <v>0.2</v>
      </c>
      <c r="E127" s="3">
        <v>10.5</v>
      </c>
      <c r="F127" s="3">
        <v>0.1</v>
      </c>
      <c r="G127" s="3">
        <v>9.59</v>
      </c>
      <c r="H127" s="3">
        <v>0</v>
      </c>
      <c r="I127" s="3">
        <v>1.7999999999999999E-2</v>
      </c>
      <c r="J127" s="3">
        <v>2E-3</v>
      </c>
      <c r="K127" s="3">
        <v>3.1E-2</v>
      </c>
    </row>
    <row r="128" spans="2:11" x14ac:dyDescent="0.25">
      <c r="B128" s="2" t="s">
        <v>795</v>
      </c>
      <c r="C128" s="2" t="s">
        <v>796</v>
      </c>
      <c r="D128" s="3">
        <v>0</v>
      </c>
      <c r="E128" s="3">
        <v>11.49</v>
      </c>
      <c r="F128" s="3">
        <v>0</v>
      </c>
      <c r="G128" s="3">
        <v>6.88</v>
      </c>
      <c r="H128" s="3">
        <v>5</v>
      </c>
      <c r="I128" s="3">
        <v>7.0000000000000001E-3</v>
      </c>
      <c r="J128" s="3">
        <v>1E-3</v>
      </c>
      <c r="K128" s="3">
        <v>1.2E-2</v>
      </c>
    </row>
    <row r="129" spans="2:11" x14ac:dyDescent="0.25">
      <c r="B129" s="2" t="s">
        <v>797</v>
      </c>
      <c r="C129" s="2" t="s">
        <v>798</v>
      </c>
      <c r="D129" s="3">
        <v>0.1</v>
      </c>
      <c r="E129" s="3">
        <v>12.3</v>
      </c>
      <c r="F129" s="3">
        <v>0.1</v>
      </c>
      <c r="G129" s="3">
        <v>11.54</v>
      </c>
      <c r="H129" s="3">
        <v>0</v>
      </c>
      <c r="I129" s="3">
        <v>0</v>
      </c>
      <c r="J129" s="3">
        <v>0</v>
      </c>
      <c r="K129" s="3">
        <v>0</v>
      </c>
    </row>
    <row r="130" spans="2:11" x14ac:dyDescent="0.25">
      <c r="B130" s="2" t="s">
        <v>799</v>
      </c>
      <c r="C130" s="2" t="s">
        <v>800</v>
      </c>
      <c r="D130" s="3">
        <v>0.2</v>
      </c>
      <c r="E130" s="3">
        <v>18.100000000000001</v>
      </c>
      <c r="F130" s="3">
        <v>0.1</v>
      </c>
      <c r="G130" s="3">
        <v>10.58</v>
      </c>
      <c r="H130" s="3">
        <v>8</v>
      </c>
      <c r="I130" s="3">
        <v>1.7999999999999999E-2</v>
      </c>
      <c r="J130" s="3">
        <v>6.0000000000000001E-3</v>
      </c>
      <c r="K130" s="3">
        <v>3.1E-2</v>
      </c>
    </row>
    <row r="131" spans="2:11" x14ac:dyDescent="0.25">
      <c r="B131" s="2" t="s">
        <v>801</v>
      </c>
      <c r="C131" s="2" t="s">
        <v>802</v>
      </c>
      <c r="D131" s="3">
        <v>0.6</v>
      </c>
      <c r="E131" s="3">
        <v>10.199999999999999</v>
      </c>
      <c r="F131" s="3">
        <v>0.1</v>
      </c>
      <c r="G131" s="3">
        <v>8.26</v>
      </c>
      <c r="H131" s="3">
        <v>0</v>
      </c>
      <c r="I131" s="3">
        <v>3.5000000000000003E-2</v>
      </c>
      <c r="J131" s="3">
        <v>0.05</v>
      </c>
      <c r="K131" s="3">
        <v>0.06</v>
      </c>
    </row>
    <row r="132" spans="2:11" x14ac:dyDescent="0.25">
      <c r="B132" s="2" t="s">
        <v>803</v>
      </c>
      <c r="C132" s="2" t="s">
        <v>804</v>
      </c>
      <c r="D132" s="3">
        <v>0.4</v>
      </c>
      <c r="E132" s="3">
        <v>10.1</v>
      </c>
      <c r="H132" s="3">
        <v>3</v>
      </c>
    </row>
    <row r="133" spans="2:11" x14ac:dyDescent="0.25">
      <c r="B133" s="2" t="s">
        <v>805</v>
      </c>
      <c r="C133" s="2" t="s">
        <v>806</v>
      </c>
      <c r="D133" s="3">
        <v>0.4</v>
      </c>
      <c r="E133" s="3">
        <v>11.5</v>
      </c>
      <c r="F133" s="3">
        <v>0.1</v>
      </c>
      <c r="G133" s="3">
        <v>10.029999999999999</v>
      </c>
      <c r="H133" s="3">
        <v>0</v>
      </c>
      <c r="I133" s="3">
        <v>1.6E-2</v>
      </c>
      <c r="J133" s="3">
        <v>7.0000000000000001E-3</v>
      </c>
      <c r="K133" s="3">
        <v>2.7E-2</v>
      </c>
    </row>
    <row r="134" spans="2:11" x14ac:dyDescent="0.25">
      <c r="B134" s="2" t="s">
        <v>807</v>
      </c>
      <c r="C134" s="2" t="s">
        <v>808</v>
      </c>
      <c r="D134" s="3">
        <v>0.8</v>
      </c>
      <c r="E134" s="3">
        <v>10.9</v>
      </c>
      <c r="F134" s="3">
        <v>0.1</v>
      </c>
      <c r="H134" s="3">
        <v>6</v>
      </c>
      <c r="I134" s="3">
        <v>1.0999999999999999E-2</v>
      </c>
      <c r="J134" s="3">
        <v>2.1999999999999999E-2</v>
      </c>
      <c r="K134" s="3">
        <v>0.02</v>
      </c>
    </row>
    <row r="135" spans="2:11" x14ac:dyDescent="0.25">
      <c r="B135" s="2" t="s">
        <v>809</v>
      </c>
      <c r="C135" s="2" t="s">
        <v>810</v>
      </c>
      <c r="D135" s="3">
        <v>0.7</v>
      </c>
      <c r="E135" s="3">
        <v>11.9</v>
      </c>
      <c r="H135" s="3">
        <v>3</v>
      </c>
    </row>
    <row r="136" spans="2:11" x14ac:dyDescent="0.25">
      <c r="B136" s="2" t="s">
        <v>811</v>
      </c>
      <c r="C136" s="2" t="s">
        <v>812</v>
      </c>
      <c r="D136" s="3">
        <v>0.5</v>
      </c>
      <c r="E136" s="3">
        <v>11.7</v>
      </c>
      <c r="F136" s="3">
        <v>0.1</v>
      </c>
      <c r="H136" s="3">
        <v>2</v>
      </c>
      <c r="I136" s="3">
        <v>0.01</v>
      </c>
      <c r="J136" s="3">
        <v>1.4E-2</v>
      </c>
      <c r="K136" s="3">
        <v>2.4E-2</v>
      </c>
    </row>
    <row r="137" spans="2:11" x14ac:dyDescent="0.25">
      <c r="B137" s="2" t="s">
        <v>813</v>
      </c>
      <c r="C137" s="2" t="s">
        <v>814</v>
      </c>
      <c r="D137" s="3">
        <v>0.6</v>
      </c>
      <c r="E137" s="3">
        <v>16.8</v>
      </c>
      <c r="H137" s="3">
        <v>2</v>
      </c>
    </row>
    <row r="138" spans="2:11" x14ac:dyDescent="0.25">
      <c r="B138" s="2" t="s">
        <v>815</v>
      </c>
      <c r="C138" s="2" t="s">
        <v>816</v>
      </c>
      <c r="D138" s="3">
        <v>0.1</v>
      </c>
      <c r="E138" s="3">
        <v>11.7</v>
      </c>
      <c r="F138" s="3">
        <v>0.1</v>
      </c>
      <c r="G138" s="3">
        <v>8.4600000000000009</v>
      </c>
      <c r="H138" s="3">
        <v>8</v>
      </c>
      <c r="I138" s="3">
        <v>1.4999999999999999E-2</v>
      </c>
      <c r="J138" s="3">
        <v>6.0000000000000001E-3</v>
      </c>
      <c r="K138" s="3">
        <v>3.9E-2</v>
      </c>
    </row>
    <row r="139" spans="2:11" x14ac:dyDescent="0.25">
      <c r="B139" s="2" t="s">
        <v>817</v>
      </c>
      <c r="C139" s="2" t="s">
        <v>818</v>
      </c>
      <c r="D139" s="3">
        <v>13.2</v>
      </c>
      <c r="E139" s="3">
        <v>69.400000000000006</v>
      </c>
      <c r="F139" s="3">
        <v>6.6</v>
      </c>
      <c r="G139" s="3">
        <v>13.2</v>
      </c>
      <c r="H139" s="3">
        <v>33</v>
      </c>
      <c r="I139" s="3">
        <v>0.89400000000000002</v>
      </c>
      <c r="J139" s="3">
        <v>1.45</v>
      </c>
      <c r="K139" s="3">
        <v>3.859</v>
      </c>
    </row>
    <row r="140" spans="2:11" x14ac:dyDescent="0.25">
      <c r="B140" s="2" t="s">
        <v>819</v>
      </c>
      <c r="C140" s="2" t="s">
        <v>820</v>
      </c>
      <c r="D140" s="3">
        <v>6.6</v>
      </c>
      <c r="E140" s="3">
        <v>83.2</v>
      </c>
      <c r="F140" s="3">
        <v>6.7</v>
      </c>
      <c r="G140" s="3">
        <v>26.66</v>
      </c>
      <c r="H140" s="3">
        <v>66</v>
      </c>
      <c r="I140" s="3">
        <v>0.63900000000000001</v>
      </c>
      <c r="J140" s="3">
        <v>1.2769999999999999</v>
      </c>
      <c r="K140" s="3">
        <v>1.8660000000000001</v>
      </c>
    </row>
    <row r="141" spans="2:11" x14ac:dyDescent="0.25">
      <c r="B141" s="2" t="s">
        <v>821</v>
      </c>
      <c r="C141" s="2" t="s">
        <v>822</v>
      </c>
      <c r="D141" s="3">
        <v>6.66</v>
      </c>
      <c r="E141" s="3">
        <v>78.209999999999994</v>
      </c>
      <c r="F141" s="3">
        <v>6.7</v>
      </c>
      <c r="G141" s="3">
        <v>26.66</v>
      </c>
      <c r="H141" s="3">
        <v>33</v>
      </c>
      <c r="I141" s="3">
        <v>0.76900000000000002</v>
      </c>
      <c r="J141" s="3">
        <v>1.206</v>
      </c>
      <c r="K141" s="3">
        <v>1.6970000000000001</v>
      </c>
    </row>
    <row r="142" spans="2:11" x14ac:dyDescent="0.25">
      <c r="B142" s="2" t="s">
        <v>823</v>
      </c>
      <c r="C142" s="2" t="s">
        <v>824</v>
      </c>
      <c r="D142" s="3">
        <v>10.7</v>
      </c>
      <c r="E142" s="3">
        <v>77.099999999999994</v>
      </c>
      <c r="F142" s="3">
        <v>7.8</v>
      </c>
      <c r="G142" s="3">
        <v>6.68</v>
      </c>
      <c r="H142" s="3">
        <v>0</v>
      </c>
      <c r="I142" s="3">
        <v>0.84599999999999997</v>
      </c>
      <c r="J142" s="3">
        <v>1.2230000000000001</v>
      </c>
      <c r="K142" s="3">
        <v>1.734</v>
      </c>
    </row>
    <row r="143" spans="2:11" x14ac:dyDescent="0.25">
      <c r="B143" s="2" t="s">
        <v>825</v>
      </c>
      <c r="C143" s="2" t="s">
        <v>826</v>
      </c>
      <c r="D143" s="3">
        <v>0.71</v>
      </c>
      <c r="E143" s="3">
        <v>18.38</v>
      </c>
      <c r="F143" s="3">
        <v>1</v>
      </c>
      <c r="G143" s="3">
        <v>11.1</v>
      </c>
      <c r="H143" s="3">
        <v>5</v>
      </c>
      <c r="I143" s="3">
        <v>0.09</v>
      </c>
      <c r="J143" s="3">
        <v>0.13500000000000001</v>
      </c>
      <c r="K143" s="3">
        <v>0.191</v>
      </c>
    </row>
    <row r="144" spans="2:11" x14ac:dyDescent="0.25">
      <c r="B144" s="2" t="s">
        <v>827</v>
      </c>
      <c r="C144" s="2" t="s">
        <v>828</v>
      </c>
      <c r="D144" s="3">
        <v>0.71</v>
      </c>
      <c r="E144" s="3">
        <v>18.79</v>
      </c>
      <c r="F144" s="3">
        <v>1</v>
      </c>
      <c r="G144" s="3">
        <v>11.1</v>
      </c>
      <c r="H144" s="3">
        <v>5</v>
      </c>
      <c r="I144" s="3">
        <v>7.1999999999999995E-2</v>
      </c>
      <c r="J144" s="3">
        <v>0.108</v>
      </c>
      <c r="K144" s="3">
        <v>0.152</v>
      </c>
    </row>
    <row r="145" spans="2:11" x14ac:dyDescent="0.25">
      <c r="B145" s="2" t="s">
        <v>829</v>
      </c>
      <c r="C145" s="2" t="s">
        <v>830</v>
      </c>
      <c r="D145" s="3">
        <v>10.99</v>
      </c>
      <c r="E145" s="3">
        <v>73.48</v>
      </c>
      <c r="F145" s="3">
        <v>7.3</v>
      </c>
      <c r="G145" s="3">
        <v>11.67</v>
      </c>
      <c r="H145" s="3">
        <v>21</v>
      </c>
      <c r="I145" s="3">
        <v>0.84099999999999997</v>
      </c>
      <c r="J145" s="3">
        <v>1.5640000000000001</v>
      </c>
      <c r="K145" s="3">
        <v>1.748</v>
      </c>
    </row>
    <row r="146" spans="2:11" x14ac:dyDescent="0.25">
      <c r="B146" s="2" t="s">
        <v>831</v>
      </c>
      <c r="C146" s="2" t="s">
        <v>832</v>
      </c>
      <c r="D146" s="3">
        <v>6.67</v>
      </c>
      <c r="E146" s="3">
        <v>78.069999999999993</v>
      </c>
      <c r="F146" s="3">
        <v>5.2</v>
      </c>
      <c r="G146" s="3">
        <v>26.66</v>
      </c>
      <c r="H146" s="3">
        <v>33</v>
      </c>
      <c r="I146" s="3">
        <v>1.2669999999999999</v>
      </c>
      <c r="J146" s="3">
        <v>1.429</v>
      </c>
      <c r="K146" s="3">
        <v>2.1859999999999999</v>
      </c>
    </row>
    <row r="147" spans="2:11" x14ac:dyDescent="0.25">
      <c r="B147" s="2" t="s">
        <v>833</v>
      </c>
      <c r="C147" s="2" t="s">
        <v>834</v>
      </c>
      <c r="D147" s="3">
        <v>0.89</v>
      </c>
      <c r="E147" s="3">
        <v>15.62</v>
      </c>
      <c r="F147" s="3">
        <v>0.9</v>
      </c>
      <c r="G147" s="3">
        <v>8.85</v>
      </c>
      <c r="H147" s="3">
        <v>4</v>
      </c>
      <c r="I147" s="3">
        <v>0.125</v>
      </c>
      <c r="J147" s="3">
        <v>0.216</v>
      </c>
      <c r="K147" s="3">
        <v>0.253</v>
      </c>
    </row>
    <row r="148" spans="2:11" x14ac:dyDescent="0.25">
      <c r="B148" s="2" t="s">
        <v>835</v>
      </c>
      <c r="C148" s="2" t="s">
        <v>836</v>
      </c>
      <c r="D148" s="3">
        <v>0.89</v>
      </c>
      <c r="E148" s="3">
        <v>16.03</v>
      </c>
      <c r="F148" s="3">
        <v>0.9</v>
      </c>
      <c r="G148" s="3">
        <v>8.85</v>
      </c>
      <c r="H148" s="3">
        <v>4</v>
      </c>
      <c r="I148" s="3">
        <v>0.126</v>
      </c>
      <c r="J148" s="3">
        <v>0.216</v>
      </c>
      <c r="K148" s="3">
        <v>0.253</v>
      </c>
    </row>
    <row r="149" spans="2:11" x14ac:dyDescent="0.25">
      <c r="B149" s="2" t="s">
        <v>837</v>
      </c>
      <c r="C149" s="2" t="s">
        <v>838</v>
      </c>
      <c r="D149" s="3">
        <v>13.5</v>
      </c>
      <c r="E149" s="3">
        <v>69.3</v>
      </c>
      <c r="H149" s="3">
        <v>47</v>
      </c>
    </row>
    <row r="150" spans="2:11" x14ac:dyDescent="0.25">
      <c r="B150" s="2" t="s">
        <v>839</v>
      </c>
      <c r="C150" s="2" t="s">
        <v>840</v>
      </c>
      <c r="D150" s="3">
        <v>6.65</v>
      </c>
      <c r="E150" s="3">
        <v>83.14</v>
      </c>
      <c r="F150" s="3">
        <v>1.3</v>
      </c>
      <c r="G150" s="3">
        <v>4.8499999999999996</v>
      </c>
      <c r="H150" s="3">
        <v>32</v>
      </c>
      <c r="I150" s="3">
        <v>0.23400000000000001</v>
      </c>
      <c r="J150" s="3">
        <v>0.42</v>
      </c>
      <c r="K150" s="3">
        <v>0.78400000000000003</v>
      </c>
    </row>
    <row r="151" spans="2:11" x14ac:dyDescent="0.25">
      <c r="B151" s="2" t="s">
        <v>841</v>
      </c>
      <c r="C151" s="2" t="s">
        <v>842</v>
      </c>
      <c r="D151" s="3">
        <v>1.2</v>
      </c>
      <c r="E151" s="3">
        <v>17.100000000000001</v>
      </c>
      <c r="F151" s="3">
        <v>1</v>
      </c>
      <c r="G151" s="3">
        <v>2.2400000000000002</v>
      </c>
      <c r="H151" s="3">
        <v>4</v>
      </c>
      <c r="I151" s="3">
        <v>0.114</v>
      </c>
      <c r="J151" s="3">
        <v>0.104</v>
      </c>
      <c r="K151" s="3">
        <v>0.10199999999999999</v>
      </c>
    </row>
    <row r="152" spans="2:11" x14ac:dyDescent="0.25">
      <c r="B152" s="2" t="s">
        <v>843</v>
      </c>
      <c r="C152" s="2" t="s">
        <v>844</v>
      </c>
      <c r="D152" s="3">
        <v>1.9</v>
      </c>
      <c r="E152" s="3">
        <v>7</v>
      </c>
      <c r="F152" s="3">
        <v>0.9</v>
      </c>
      <c r="H152" s="3">
        <v>33</v>
      </c>
      <c r="I152" s="3">
        <v>0.61</v>
      </c>
      <c r="J152" s="3">
        <v>0.79</v>
      </c>
      <c r="K152" s="3">
        <v>0.3</v>
      </c>
    </row>
    <row r="153" spans="2:11" x14ac:dyDescent="0.25">
      <c r="B153" s="2" t="s">
        <v>845</v>
      </c>
      <c r="C153" s="2" t="s">
        <v>846</v>
      </c>
      <c r="D153" s="3">
        <v>1.9</v>
      </c>
      <c r="E153" s="3">
        <v>7.1</v>
      </c>
      <c r="F153" s="3">
        <v>0.9</v>
      </c>
      <c r="H153" s="3">
        <v>33</v>
      </c>
      <c r="I153" s="3">
        <v>0.61</v>
      </c>
      <c r="J153" s="3">
        <v>0.79</v>
      </c>
      <c r="K153" s="3">
        <v>0.3</v>
      </c>
    </row>
    <row r="154" spans="2:11" x14ac:dyDescent="0.25">
      <c r="B154" s="2" t="s">
        <v>847</v>
      </c>
      <c r="C154" s="2" t="s">
        <v>848</v>
      </c>
      <c r="D154" s="3">
        <v>2.2000000000000002</v>
      </c>
      <c r="E154" s="3">
        <v>8</v>
      </c>
      <c r="H154" s="3">
        <v>38</v>
      </c>
      <c r="I154" s="3">
        <v>0.49</v>
      </c>
      <c r="J154" s="3">
        <v>0.61</v>
      </c>
      <c r="K154" s="3">
        <v>0.33</v>
      </c>
    </row>
    <row r="155" spans="2:11" x14ac:dyDescent="0.25">
      <c r="B155" s="2" t="s">
        <v>849</v>
      </c>
      <c r="C155" s="2" t="s">
        <v>850</v>
      </c>
      <c r="D155" s="3">
        <v>2.5</v>
      </c>
      <c r="E155" s="3">
        <v>6.2</v>
      </c>
      <c r="F155" s="3">
        <v>0.9</v>
      </c>
      <c r="H155" s="3">
        <v>48</v>
      </c>
      <c r="I155" s="3">
        <v>1.64</v>
      </c>
      <c r="J155" s="3">
        <v>2.2069999999999999</v>
      </c>
      <c r="K155" s="3">
        <v>0.64100000000000001</v>
      </c>
    </row>
    <row r="156" spans="2:11" x14ac:dyDescent="0.25">
      <c r="B156" s="2" t="s">
        <v>851</v>
      </c>
      <c r="C156" s="2" t="s">
        <v>852</v>
      </c>
      <c r="D156" s="3">
        <v>10.5</v>
      </c>
      <c r="E156" s="3">
        <v>74.099999999999994</v>
      </c>
      <c r="F156" s="3">
        <v>7.8</v>
      </c>
      <c r="G156" s="3">
        <v>11.09</v>
      </c>
      <c r="H156" s="3">
        <v>0</v>
      </c>
      <c r="I156" s="3">
        <v>1.5720000000000001</v>
      </c>
      <c r="J156" s="3">
        <v>3.008</v>
      </c>
      <c r="K156" s="3">
        <v>2.29</v>
      </c>
    </row>
    <row r="157" spans="2:11" x14ac:dyDescent="0.25">
      <c r="B157" s="2" t="s">
        <v>853</v>
      </c>
      <c r="C157" s="2" t="s">
        <v>854</v>
      </c>
      <c r="D157" s="3">
        <v>6.8</v>
      </c>
      <c r="E157" s="3">
        <v>73.7</v>
      </c>
      <c r="F157" s="3">
        <v>3.4</v>
      </c>
      <c r="G157" s="3">
        <v>24.2</v>
      </c>
      <c r="H157" s="3">
        <v>9</v>
      </c>
      <c r="I157" s="3">
        <v>2.7</v>
      </c>
      <c r="J157" s="3">
        <v>4.8650000000000002</v>
      </c>
      <c r="K157" s="3">
        <v>4.3339999999999996</v>
      </c>
    </row>
    <row r="158" spans="2:11" x14ac:dyDescent="0.25">
      <c r="B158" s="2" t="s">
        <v>855</v>
      </c>
      <c r="C158" s="2" t="s">
        <v>856</v>
      </c>
      <c r="D158" s="3">
        <v>8.4</v>
      </c>
      <c r="E158" s="3">
        <v>66.849999999999994</v>
      </c>
      <c r="F158" s="3">
        <v>4</v>
      </c>
      <c r="G158" s="3">
        <v>13</v>
      </c>
      <c r="H158" s="3">
        <v>571</v>
      </c>
      <c r="I158" s="3">
        <v>1.966</v>
      </c>
      <c r="J158" s="3">
        <v>15.779</v>
      </c>
      <c r="K158" s="3">
        <v>1.022</v>
      </c>
    </row>
    <row r="159" spans="2:11" x14ac:dyDescent="0.25">
      <c r="B159" s="2" t="s">
        <v>857</v>
      </c>
      <c r="C159" s="2" t="s">
        <v>858</v>
      </c>
      <c r="D159" s="3">
        <v>25.4</v>
      </c>
      <c r="E159" s="3">
        <v>57.6</v>
      </c>
      <c r="F159" s="3">
        <v>7.1</v>
      </c>
      <c r="H159" s="3">
        <v>104</v>
      </c>
      <c r="I159" s="3">
        <v>0.96</v>
      </c>
      <c r="J159" s="3">
        <v>1.2310000000000001</v>
      </c>
      <c r="K159" s="3">
        <v>3.4289999999999998</v>
      </c>
    </row>
    <row r="160" spans="2:11" x14ac:dyDescent="0.25">
      <c r="B160" s="2" t="s">
        <v>859</v>
      </c>
      <c r="C160" s="2" t="s">
        <v>860</v>
      </c>
      <c r="D160" s="3">
        <v>8.6999999999999993</v>
      </c>
      <c r="E160" s="3">
        <v>79.900000000000006</v>
      </c>
      <c r="F160" s="3">
        <v>1</v>
      </c>
      <c r="G160" s="3">
        <v>16.7</v>
      </c>
      <c r="H160" s="3">
        <v>0</v>
      </c>
      <c r="I160" s="3">
        <v>0.97799999999999998</v>
      </c>
      <c r="J160" s="3">
        <v>0.98599999999999999</v>
      </c>
      <c r="K160" s="3">
        <v>1.5029999999999999</v>
      </c>
    </row>
    <row r="161" spans="2:11" x14ac:dyDescent="0.25">
      <c r="B161" s="2" t="s">
        <v>861</v>
      </c>
      <c r="C161" s="2" t="s">
        <v>862</v>
      </c>
      <c r="D161" s="3">
        <v>11.8</v>
      </c>
      <c r="E161" s="3">
        <v>67.099999999999994</v>
      </c>
      <c r="F161" s="3">
        <v>0.2</v>
      </c>
      <c r="G161" s="3">
        <v>24.2</v>
      </c>
      <c r="H161" s="3">
        <v>300</v>
      </c>
      <c r="I161" s="3">
        <v>2.3519999999999999</v>
      </c>
      <c r="J161" s="3">
        <v>5.99</v>
      </c>
      <c r="K161" s="3">
        <v>2.8780000000000001</v>
      </c>
    </row>
    <row r="162" spans="2:11" x14ac:dyDescent="0.25">
      <c r="B162" s="2" t="s">
        <v>863</v>
      </c>
      <c r="C162" s="2" t="s">
        <v>864</v>
      </c>
      <c r="D162" s="3">
        <v>7.6</v>
      </c>
      <c r="E162" s="3">
        <v>75.400000000000006</v>
      </c>
      <c r="F162" s="3">
        <v>0.2</v>
      </c>
      <c r="H162" s="3">
        <v>319</v>
      </c>
      <c r="I162" s="3">
        <v>1.048</v>
      </c>
      <c r="J162" s="3">
        <v>7.9219999999999997</v>
      </c>
      <c r="K162" s="3">
        <v>0.59099999999999997</v>
      </c>
    </row>
    <row r="163" spans="2:11" x14ac:dyDescent="0.25">
      <c r="B163" s="2" t="s">
        <v>865</v>
      </c>
      <c r="C163" s="2" t="s">
        <v>866</v>
      </c>
      <c r="D163" s="3">
        <v>10.8</v>
      </c>
      <c r="E163" s="3">
        <v>82.2</v>
      </c>
      <c r="F163" s="3">
        <v>2.2999999999999998</v>
      </c>
      <c r="G163" s="3">
        <v>3.08</v>
      </c>
      <c r="H163" s="3">
        <v>269</v>
      </c>
      <c r="I163" s="3">
        <v>0.4</v>
      </c>
      <c r="J163" s="3">
        <v>0.23799999999999999</v>
      </c>
      <c r="K163" s="3">
        <v>1.054</v>
      </c>
    </row>
    <row r="164" spans="2:11" x14ac:dyDescent="0.25">
      <c r="B164" s="2" t="s">
        <v>867</v>
      </c>
      <c r="C164" s="2" t="s">
        <v>868</v>
      </c>
      <c r="D164" s="3">
        <v>10.7</v>
      </c>
      <c r="E164" s="3">
        <v>76.400000000000006</v>
      </c>
      <c r="F164" s="3">
        <v>1.4</v>
      </c>
      <c r="G164" s="3">
        <v>12.65</v>
      </c>
      <c r="H164" s="3">
        <v>285</v>
      </c>
      <c r="I164" s="3">
        <v>1.206</v>
      </c>
      <c r="J164" s="3">
        <v>1.702</v>
      </c>
      <c r="K164" s="3">
        <v>0.998</v>
      </c>
    </row>
    <row r="165" spans="2:11" x14ac:dyDescent="0.25">
      <c r="B165" s="2" t="s">
        <v>869</v>
      </c>
      <c r="C165" s="2" t="s">
        <v>870</v>
      </c>
      <c r="D165" s="3">
        <v>10.1</v>
      </c>
      <c r="E165" s="3">
        <v>74.2</v>
      </c>
      <c r="F165" s="3">
        <v>2.5</v>
      </c>
      <c r="G165" s="3">
        <v>12.5</v>
      </c>
      <c r="H165" s="3">
        <v>227</v>
      </c>
      <c r="I165" s="3">
        <v>2.5249999999999999</v>
      </c>
      <c r="J165" s="3">
        <v>4.2439999999999998</v>
      </c>
      <c r="K165" s="3">
        <v>2.073</v>
      </c>
    </row>
    <row r="166" spans="2:11" x14ac:dyDescent="0.25">
      <c r="B166" s="2" t="s">
        <v>871</v>
      </c>
      <c r="C166" s="2" t="s">
        <v>872</v>
      </c>
      <c r="D166" s="3">
        <v>0.2</v>
      </c>
      <c r="E166" s="3">
        <v>19.739999999999998</v>
      </c>
      <c r="F166" s="3">
        <v>1.4</v>
      </c>
      <c r="G166" s="3">
        <v>17.89</v>
      </c>
      <c r="H166" s="3">
        <v>0</v>
      </c>
      <c r="I166" s="3">
        <v>0.19</v>
      </c>
      <c r="J166" s="3">
        <v>0.08</v>
      </c>
      <c r="K166" s="3">
        <v>0.01</v>
      </c>
    </row>
    <row r="167" spans="2:11" x14ac:dyDescent="0.25">
      <c r="B167" s="2" t="s">
        <v>873</v>
      </c>
      <c r="C167" s="2" t="s">
        <v>874</v>
      </c>
      <c r="D167" s="3">
        <v>0.2</v>
      </c>
      <c r="E167" s="3">
        <v>19.18</v>
      </c>
      <c r="F167" s="3">
        <v>1.4</v>
      </c>
      <c r="G167" s="3">
        <v>17.89</v>
      </c>
      <c r="H167" s="3">
        <v>3</v>
      </c>
      <c r="I167" s="3">
        <v>2.5000000000000001E-2</v>
      </c>
      <c r="J167" s="3">
        <v>6.0000000000000001E-3</v>
      </c>
      <c r="K167" s="3">
        <v>4.4999999999999998E-2</v>
      </c>
    </row>
    <row r="168" spans="2:11" x14ac:dyDescent="0.25">
      <c r="B168" s="2" t="s">
        <v>875</v>
      </c>
      <c r="C168" s="2" t="s">
        <v>876</v>
      </c>
      <c r="D168" s="3">
        <v>0.3</v>
      </c>
      <c r="E168" s="3">
        <v>19.2</v>
      </c>
      <c r="F168" s="3">
        <v>0.2</v>
      </c>
      <c r="G168" s="3">
        <v>10.39</v>
      </c>
      <c r="H168" s="3">
        <v>0</v>
      </c>
      <c r="I168" s="3">
        <v>0.02</v>
      </c>
      <c r="J168" s="3">
        <v>0.02</v>
      </c>
      <c r="K168" s="3">
        <v>0.03</v>
      </c>
    </row>
    <row r="169" spans="2:11" x14ac:dyDescent="0.25">
      <c r="B169" s="2" t="s">
        <v>877</v>
      </c>
      <c r="C169" s="2" t="s">
        <v>878</v>
      </c>
      <c r="D169" s="3">
        <v>0.2</v>
      </c>
      <c r="E169" s="3">
        <v>17.8</v>
      </c>
      <c r="F169" s="3">
        <v>0.3</v>
      </c>
      <c r="G169" s="3">
        <v>9.15</v>
      </c>
      <c r="H169" s="3">
        <v>0</v>
      </c>
      <c r="I169" s="3">
        <v>8.6999999999999994E-2</v>
      </c>
      <c r="J169" s="3">
        <v>0.105</v>
      </c>
      <c r="K169" s="3">
        <v>5.2999999999999999E-2</v>
      </c>
    </row>
    <row r="170" spans="2:11" x14ac:dyDescent="0.25">
      <c r="B170" s="2" t="s">
        <v>879</v>
      </c>
      <c r="C170" s="2" t="s">
        <v>880</v>
      </c>
      <c r="D170" s="3">
        <v>0.2</v>
      </c>
      <c r="E170" s="3">
        <v>18.399999999999999</v>
      </c>
      <c r="F170" s="3">
        <v>0.3</v>
      </c>
      <c r="G170" s="3">
        <v>16.98</v>
      </c>
      <c r="H170" s="3">
        <v>0</v>
      </c>
      <c r="I170" s="3">
        <v>5.8000000000000003E-2</v>
      </c>
      <c r="J170" s="3">
        <v>7.0000000000000007E-2</v>
      </c>
      <c r="K170" s="3">
        <v>3.5999999999999997E-2</v>
      </c>
    </row>
    <row r="171" spans="2:11" x14ac:dyDescent="0.25">
      <c r="B171" s="2" t="s">
        <v>881</v>
      </c>
      <c r="C171" s="2" t="s">
        <v>882</v>
      </c>
      <c r="D171" s="3">
        <v>1.1000000000000001</v>
      </c>
      <c r="E171" s="3">
        <v>17.7</v>
      </c>
      <c r="F171" s="3">
        <v>0.6</v>
      </c>
      <c r="H171" s="3">
        <v>20</v>
      </c>
      <c r="I171" s="3">
        <v>0.54500000000000004</v>
      </c>
      <c r="J171" s="3">
        <v>0.25700000000000001</v>
      </c>
      <c r="K171" s="3">
        <v>3.7999999999999999E-2</v>
      </c>
    </row>
    <row r="172" spans="2:11" x14ac:dyDescent="0.25">
      <c r="B172" s="2" t="s">
        <v>883</v>
      </c>
      <c r="C172" s="2" t="s">
        <v>884</v>
      </c>
      <c r="D172" s="3">
        <v>0.3</v>
      </c>
      <c r="E172" s="3">
        <v>17.8</v>
      </c>
      <c r="F172" s="3">
        <v>0.7</v>
      </c>
      <c r="G172" s="3">
        <v>10.62</v>
      </c>
      <c r="H172" s="3">
        <v>7</v>
      </c>
      <c r="I172" s="3">
        <v>0</v>
      </c>
      <c r="J172" s="3">
        <v>0</v>
      </c>
      <c r="K172" s="3">
        <v>0</v>
      </c>
    </row>
    <row r="173" spans="2:11" x14ac:dyDescent="0.25">
      <c r="B173" s="2" t="s">
        <v>885</v>
      </c>
      <c r="C173" s="2" t="s">
        <v>886</v>
      </c>
      <c r="D173" s="3">
        <v>0.3</v>
      </c>
      <c r="E173" s="3">
        <v>18.3</v>
      </c>
      <c r="F173" s="3">
        <v>0.7</v>
      </c>
      <c r="G173" s="3">
        <v>11.89</v>
      </c>
      <c r="H173" s="3">
        <v>0</v>
      </c>
      <c r="I173" s="3">
        <v>0</v>
      </c>
      <c r="J173" s="3">
        <v>0</v>
      </c>
      <c r="K173" s="3">
        <v>0</v>
      </c>
    </row>
    <row r="174" spans="2:11" x14ac:dyDescent="0.25">
      <c r="B174" s="2" t="s">
        <v>887</v>
      </c>
      <c r="C174" s="2" t="s">
        <v>888</v>
      </c>
      <c r="D174" s="3">
        <v>0.2</v>
      </c>
      <c r="E174" s="3">
        <v>16.5</v>
      </c>
      <c r="H174" s="3">
        <v>9</v>
      </c>
    </row>
    <row r="175" spans="2:11" x14ac:dyDescent="0.25">
      <c r="B175" s="2" t="s">
        <v>889</v>
      </c>
      <c r="C175" s="2" t="s">
        <v>890</v>
      </c>
      <c r="D175" s="3">
        <v>0.3</v>
      </c>
      <c r="E175" s="3">
        <v>16.399999999999999</v>
      </c>
      <c r="H175" s="3">
        <v>9</v>
      </c>
    </row>
    <row r="176" spans="2:11" x14ac:dyDescent="0.25">
      <c r="B176" s="2" t="s">
        <v>891</v>
      </c>
      <c r="C176" s="2" t="s">
        <v>892</v>
      </c>
      <c r="D176" s="3">
        <v>1.3</v>
      </c>
      <c r="E176" s="3">
        <v>20.3</v>
      </c>
      <c r="F176" s="3">
        <v>0.7</v>
      </c>
      <c r="G176" s="3">
        <v>10.28</v>
      </c>
      <c r="H176" s="3">
        <v>0</v>
      </c>
      <c r="I176" s="3">
        <v>9.9000000000000005E-2</v>
      </c>
      <c r="J176" s="3">
        <v>0.109</v>
      </c>
      <c r="K176" s="3">
        <v>4.1000000000000002E-2</v>
      </c>
    </row>
    <row r="177" spans="2:11" x14ac:dyDescent="0.25">
      <c r="B177" s="2" t="s">
        <v>893</v>
      </c>
      <c r="C177" s="2" t="s">
        <v>894</v>
      </c>
      <c r="D177" s="3">
        <v>0.3</v>
      </c>
      <c r="E177" s="3">
        <v>16</v>
      </c>
      <c r="F177" s="3">
        <v>0.6</v>
      </c>
      <c r="G177" s="3">
        <v>12.6</v>
      </c>
      <c r="H177" s="3">
        <v>0</v>
      </c>
      <c r="I177" s="3">
        <v>0</v>
      </c>
      <c r="J177" s="3">
        <v>0</v>
      </c>
      <c r="K177" s="3">
        <v>0</v>
      </c>
    </row>
    <row r="178" spans="2:11" x14ac:dyDescent="0.25">
      <c r="B178" s="2" t="s">
        <v>895</v>
      </c>
      <c r="C178" s="2" t="s">
        <v>896</v>
      </c>
      <c r="D178" s="3">
        <v>0.3</v>
      </c>
      <c r="E178" s="3">
        <v>17.2</v>
      </c>
      <c r="F178" s="3">
        <v>0.6</v>
      </c>
      <c r="G178" s="3">
        <v>12</v>
      </c>
      <c r="H178" s="3">
        <v>0</v>
      </c>
      <c r="I178" s="3">
        <v>0</v>
      </c>
      <c r="J178" s="3">
        <v>0</v>
      </c>
      <c r="K178" s="3">
        <v>0</v>
      </c>
    </row>
    <row r="179" spans="2:11" x14ac:dyDescent="0.25">
      <c r="B179" s="2" t="s">
        <v>897</v>
      </c>
      <c r="C179" s="2" t="s">
        <v>898</v>
      </c>
      <c r="D179" s="3">
        <v>0.2</v>
      </c>
      <c r="E179" s="3">
        <v>16.399999999999999</v>
      </c>
      <c r="H179" s="3">
        <v>7</v>
      </c>
    </row>
    <row r="180" spans="2:11" x14ac:dyDescent="0.25">
      <c r="B180" s="2" t="s">
        <v>899</v>
      </c>
      <c r="C180" s="2" t="s">
        <v>900</v>
      </c>
      <c r="D180" s="3">
        <v>1.6</v>
      </c>
      <c r="E180" s="3">
        <v>16</v>
      </c>
      <c r="F180" s="3">
        <v>0</v>
      </c>
      <c r="G180" s="3">
        <v>11.5</v>
      </c>
      <c r="H180" s="3">
        <v>0</v>
      </c>
      <c r="I180" s="3">
        <v>1.01</v>
      </c>
      <c r="J180" s="3">
        <v>0.68</v>
      </c>
      <c r="K180" s="3">
        <v>0.16</v>
      </c>
    </row>
    <row r="181" spans="2:11" x14ac:dyDescent="0.25">
      <c r="B181" s="2" t="s">
        <v>901</v>
      </c>
      <c r="C181" s="2" t="s">
        <v>902</v>
      </c>
      <c r="D181" s="3">
        <v>1.76</v>
      </c>
      <c r="E181" s="3">
        <v>17.579999999999998</v>
      </c>
      <c r="F181" s="3">
        <v>0.2</v>
      </c>
      <c r="G181" s="3">
        <v>12.2</v>
      </c>
      <c r="H181" s="3">
        <v>26</v>
      </c>
      <c r="I181" s="3">
        <v>0.32500000000000001</v>
      </c>
      <c r="J181" s="3">
        <v>0.36399999999999999</v>
      </c>
      <c r="K181" s="3">
        <v>0.128</v>
      </c>
    </row>
    <row r="182" spans="2:11" x14ac:dyDescent="0.25">
      <c r="B182" s="2" t="s">
        <v>903</v>
      </c>
      <c r="C182" s="2" t="s">
        <v>904</v>
      </c>
      <c r="D182" s="3">
        <v>0.1</v>
      </c>
      <c r="E182" s="3">
        <v>11.34</v>
      </c>
      <c r="F182" s="3">
        <v>0.1</v>
      </c>
      <c r="G182" s="3">
        <v>10.9</v>
      </c>
      <c r="H182" s="3">
        <v>0</v>
      </c>
      <c r="I182" s="3">
        <v>0.04</v>
      </c>
      <c r="J182" s="3">
        <v>8.9999999999999993E-3</v>
      </c>
      <c r="K182" s="3">
        <v>5.8999999999999997E-2</v>
      </c>
    </row>
    <row r="183" spans="2:11" x14ac:dyDescent="0.25">
      <c r="B183" s="2" t="s">
        <v>905</v>
      </c>
      <c r="C183" s="2" t="s">
        <v>906</v>
      </c>
      <c r="D183" s="3">
        <v>0.2</v>
      </c>
      <c r="E183" s="3">
        <v>12.7</v>
      </c>
      <c r="F183" s="3">
        <v>0.4</v>
      </c>
      <c r="G183" s="3">
        <v>10.6</v>
      </c>
      <c r="H183" s="3">
        <v>4</v>
      </c>
      <c r="I183" s="3">
        <v>0.02</v>
      </c>
      <c r="J183" s="3">
        <v>4.0000000000000001E-3</v>
      </c>
      <c r="K183" s="3">
        <v>2.9000000000000001E-2</v>
      </c>
    </row>
    <row r="184" spans="2:11" x14ac:dyDescent="0.25">
      <c r="B184" s="2" t="s">
        <v>907</v>
      </c>
      <c r="C184" s="2" t="s">
        <v>908</v>
      </c>
      <c r="D184" s="3">
        <v>0.1</v>
      </c>
      <c r="E184" s="3">
        <v>9.9</v>
      </c>
      <c r="F184" s="3">
        <v>0.1</v>
      </c>
      <c r="G184" s="3">
        <v>8.98</v>
      </c>
      <c r="H184" s="3">
        <v>0</v>
      </c>
      <c r="I184" s="3">
        <v>3.5000000000000003E-2</v>
      </c>
      <c r="J184" s="3">
        <v>1.0999999999999999E-2</v>
      </c>
      <c r="K184" s="3">
        <v>0.06</v>
      </c>
    </row>
    <row r="185" spans="2:11" x14ac:dyDescent="0.25">
      <c r="B185" s="2" t="s">
        <v>909</v>
      </c>
      <c r="C185" s="2" t="s">
        <v>910</v>
      </c>
      <c r="D185" s="3">
        <v>0.06</v>
      </c>
      <c r="E185" s="3">
        <v>11.1</v>
      </c>
      <c r="F185" s="3">
        <v>0.4</v>
      </c>
      <c r="G185" s="3">
        <v>9</v>
      </c>
      <c r="H185" s="3">
        <v>3</v>
      </c>
      <c r="I185" s="3">
        <v>1.7999999999999999E-2</v>
      </c>
      <c r="J185" s="3">
        <v>5.0000000000000001E-3</v>
      </c>
      <c r="K185" s="3">
        <v>3.2000000000000001E-2</v>
      </c>
    </row>
    <row r="186" spans="2:11" x14ac:dyDescent="0.25">
      <c r="B186" s="2" t="s">
        <v>911</v>
      </c>
      <c r="C186" s="2" t="s">
        <v>912</v>
      </c>
      <c r="D186" s="3">
        <v>2.04</v>
      </c>
      <c r="E186" s="3">
        <v>8.66</v>
      </c>
      <c r="F186" s="3">
        <v>1.1000000000000001</v>
      </c>
      <c r="G186" s="3">
        <v>1.46</v>
      </c>
      <c r="H186" s="3">
        <v>34</v>
      </c>
      <c r="I186" s="3">
        <v>0.30199999999999999</v>
      </c>
      <c r="J186" s="3">
        <v>0.40200000000000002</v>
      </c>
      <c r="K186" s="3">
        <v>0.26900000000000002</v>
      </c>
    </row>
    <row r="187" spans="2:11" x14ac:dyDescent="0.25">
      <c r="B187" s="2" t="s">
        <v>913</v>
      </c>
      <c r="C187" s="2" t="s">
        <v>914</v>
      </c>
      <c r="D187" s="3">
        <v>1.2</v>
      </c>
      <c r="E187" s="3">
        <v>9.5</v>
      </c>
      <c r="H187" s="3">
        <v>38</v>
      </c>
    </row>
    <row r="188" spans="2:11" x14ac:dyDescent="0.25">
      <c r="B188" s="2" t="s">
        <v>915</v>
      </c>
      <c r="C188" s="2" t="s">
        <v>916</v>
      </c>
      <c r="D188" s="3">
        <v>1.01</v>
      </c>
      <c r="E188" s="3">
        <v>7.88</v>
      </c>
      <c r="F188" s="3">
        <v>1</v>
      </c>
      <c r="G188" s="3">
        <v>3.08</v>
      </c>
      <c r="H188" s="3">
        <v>40</v>
      </c>
      <c r="I188" s="3">
        <v>0</v>
      </c>
      <c r="J188" s="3">
        <v>0</v>
      </c>
      <c r="K188" s="3">
        <v>0</v>
      </c>
    </row>
    <row r="189" spans="2:11" x14ac:dyDescent="0.25">
      <c r="B189" s="2" t="s">
        <v>917</v>
      </c>
      <c r="C189" s="2" t="s">
        <v>918</v>
      </c>
      <c r="D189" s="3">
        <v>0.4</v>
      </c>
      <c r="E189" s="3">
        <v>17.8</v>
      </c>
      <c r="F189" s="3">
        <v>1.6</v>
      </c>
      <c r="G189" s="3">
        <v>7.1</v>
      </c>
      <c r="H189" s="3">
        <v>0</v>
      </c>
      <c r="I189" s="3">
        <v>7.5999999999999998E-2</v>
      </c>
      <c r="J189" s="3">
        <v>1.7999999999999999E-2</v>
      </c>
      <c r="K189" s="3">
        <v>3.6999999999999998E-2</v>
      </c>
    </row>
    <row r="190" spans="2:11" x14ac:dyDescent="0.25">
      <c r="B190" s="2" t="s">
        <v>919</v>
      </c>
      <c r="C190" s="2" t="s">
        <v>920</v>
      </c>
      <c r="D190" s="3">
        <v>1.4</v>
      </c>
      <c r="E190" s="3">
        <v>8.1999999999999993</v>
      </c>
      <c r="F190" s="3">
        <v>1.5</v>
      </c>
      <c r="G190" s="3">
        <v>1.78</v>
      </c>
      <c r="H190" s="3">
        <v>36</v>
      </c>
      <c r="I190" s="3">
        <v>7.9000000000000001E-2</v>
      </c>
      <c r="J190" s="3">
        <v>2.5000000000000001E-2</v>
      </c>
      <c r="K190" s="3">
        <v>0.186</v>
      </c>
    </row>
    <row r="191" spans="2:11" x14ac:dyDescent="0.25">
      <c r="B191" s="2" t="s">
        <v>921</v>
      </c>
      <c r="C191" s="2" t="s">
        <v>922</v>
      </c>
      <c r="D191" s="3">
        <v>2.2999999999999998</v>
      </c>
      <c r="E191" s="3">
        <v>6.8</v>
      </c>
      <c r="F191" s="3">
        <v>1.5</v>
      </c>
      <c r="G191" s="3">
        <v>2.57</v>
      </c>
      <c r="H191" s="3">
        <v>31</v>
      </c>
      <c r="I191" s="3">
        <v>3.5000000000000003E-2</v>
      </c>
      <c r="J191" s="3">
        <v>1.0999999999999999E-2</v>
      </c>
      <c r="K191" s="3">
        <v>0.09</v>
      </c>
    </row>
    <row r="192" spans="2:11" x14ac:dyDescent="0.25">
      <c r="B192" s="2" t="s">
        <v>923</v>
      </c>
      <c r="C192" s="2" t="s">
        <v>924</v>
      </c>
      <c r="D192" s="3">
        <v>1</v>
      </c>
      <c r="E192" s="3">
        <v>8.25</v>
      </c>
      <c r="F192" s="3">
        <v>1.5</v>
      </c>
      <c r="G192" s="3">
        <v>1.57</v>
      </c>
      <c r="H192" s="3">
        <v>0</v>
      </c>
      <c r="I192" s="3">
        <v>8.8999999999999996E-2</v>
      </c>
      <c r="J192" s="3">
        <v>0.11799999999999999</v>
      </c>
      <c r="K192" s="3">
        <v>0.19400000000000001</v>
      </c>
    </row>
    <row r="193" spans="2:11" x14ac:dyDescent="0.25">
      <c r="B193" s="2" t="s">
        <v>925</v>
      </c>
      <c r="C193" s="2" t="s">
        <v>926</v>
      </c>
      <c r="D193" s="3">
        <v>2.5</v>
      </c>
      <c r="E193" s="3">
        <v>7.3</v>
      </c>
      <c r="F193" s="3">
        <v>1.1000000000000001</v>
      </c>
      <c r="G193" s="3">
        <v>1.45</v>
      </c>
      <c r="H193" s="3">
        <v>26</v>
      </c>
      <c r="I193" s="3">
        <v>0.76600000000000001</v>
      </c>
      <c r="J193" s="3">
        <v>0.83799999999999997</v>
      </c>
      <c r="K193" s="3">
        <v>9.4E-2</v>
      </c>
    </row>
    <row r="194" spans="2:11" x14ac:dyDescent="0.25">
      <c r="B194" s="2" t="s">
        <v>927</v>
      </c>
      <c r="C194" s="2" t="s">
        <v>928</v>
      </c>
      <c r="D194" s="3">
        <v>2.6</v>
      </c>
      <c r="E194" s="3">
        <v>10.9</v>
      </c>
      <c r="F194" s="3">
        <v>1.8</v>
      </c>
      <c r="G194" s="3">
        <v>7.98</v>
      </c>
      <c r="H194" s="3">
        <v>9</v>
      </c>
      <c r="I194" s="3">
        <v>0.25</v>
      </c>
      <c r="J194" s="3">
        <v>0.36</v>
      </c>
      <c r="K194" s="3">
        <v>0.111</v>
      </c>
    </row>
    <row r="195" spans="2:11" x14ac:dyDescent="0.25">
      <c r="B195" s="2" t="s">
        <v>929</v>
      </c>
      <c r="C195" s="2" t="s">
        <v>930</v>
      </c>
      <c r="D195" s="3">
        <v>3.4</v>
      </c>
      <c r="E195" s="3">
        <v>5.7</v>
      </c>
      <c r="F195" s="3">
        <v>2.6</v>
      </c>
      <c r="G195" s="3">
        <v>2.04</v>
      </c>
      <c r="H195" s="3">
        <v>69</v>
      </c>
      <c r="I195" s="3">
        <v>0.96</v>
      </c>
      <c r="J195" s="3">
        <v>1.06</v>
      </c>
      <c r="K195" s="3">
        <v>0.13</v>
      </c>
    </row>
    <row r="196" spans="2:11" x14ac:dyDescent="0.25">
      <c r="B196" s="2" t="s">
        <v>931</v>
      </c>
      <c r="C196" s="2" t="s">
        <v>932</v>
      </c>
      <c r="D196" s="3">
        <v>1.1000000000000001</v>
      </c>
      <c r="E196" s="3">
        <v>12.7</v>
      </c>
      <c r="F196" s="3">
        <v>1.3</v>
      </c>
      <c r="G196" s="3">
        <v>9.3000000000000007</v>
      </c>
      <c r="H196" s="3">
        <v>0</v>
      </c>
      <c r="I196" s="3">
        <v>0.06</v>
      </c>
      <c r="J196" s="3">
        <v>0.12</v>
      </c>
      <c r="K196" s="3">
        <v>7.0000000000000007E-2</v>
      </c>
    </row>
    <row r="197" spans="2:11" x14ac:dyDescent="0.25">
      <c r="B197" s="2" t="s">
        <v>933</v>
      </c>
      <c r="C197" s="2" t="s">
        <v>934</v>
      </c>
      <c r="D197" s="3">
        <v>3.8</v>
      </c>
      <c r="E197" s="3">
        <v>7.5</v>
      </c>
      <c r="F197" s="3">
        <v>0.8</v>
      </c>
      <c r="G197" s="3">
        <v>1.1200000000000001</v>
      </c>
      <c r="H197" s="3">
        <v>183</v>
      </c>
      <c r="I197" s="3">
        <v>0.5</v>
      </c>
      <c r="J197" s="3">
        <v>0.55500000000000005</v>
      </c>
      <c r="K197" s="3">
        <v>0.309</v>
      </c>
    </row>
    <row r="198" spans="2:11" x14ac:dyDescent="0.25">
      <c r="B198" s="2" t="s">
        <v>935</v>
      </c>
      <c r="C198" s="2" t="s">
        <v>936</v>
      </c>
      <c r="D198" s="3">
        <v>2.16</v>
      </c>
      <c r="E198" s="3">
        <v>10.88</v>
      </c>
      <c r="F198" s="3">
        <v>1.8</v>
      </c>
      <c r="G198" s="3">
        <v>6.06</v>
      </c>
      <c r="H198" s="3">
        <v>12</v>
      </c>
      <c r="I198" s="3">
        <v>0.34699999999999998</v>
      </c>
      <c r="J198" s="3">
        <v>0.41099999999999998</v>
      </c>
      <c r="K198" s="3">
        <v>0.35</v>
      </c>
    </row>
    <row r="199" spans="2:11" x14ac:dyDescent="0.25">
      <c r="B199" s="2" t="s">
        <v>937</v>
      </c>
      <c r="C199" s="2" t="s">
        <v>938</v>
      </c>
      <c r="D199" s="3">
        <v>3.59</v>
      </c>
      <c r="E199" s="3">
        <v>6.34</v>
      </c>
      <c r="F199" s="3">
        <v>1.4</v>
      </c>
      <c r="G199" s="3">
        <v>1.43</v>
      </c>
      <c r="H199" s="3">
        <v>17</v>
      </c>
      <c r="I199" s="3">
        <v>0.51</v>
      </c>
      <c r="J199" s="3">
        <v>0.77</v>
      </c>
      <c r="K199" s="3">
        <v>0.43</v>
      </c>
    </row>
    <row r="200" spans="2:11" x14ac:dyDescent="0.25">
      <c r="B200" s="2" t="s">
        <v>939</v>
      </c>
      <c r="C200" s="2" t="s">
        <v>940</v>
      </c>
      <c r="D200" s="3">
        <v>0</v>
      </c>
      <c r="E200" s="3">
        <v>7.4</v>
      </c>
      <c r="F200" s="3">
        <v>0</v>
      </c>
      <c r="G200" s="3">
        <v>6.12</v>
      </c>
      <c r="H200" s="3">
        <v>11</v>
      </c>
      <c r="I200" s="3">
        <v>0</v>
      </c>
      <c r="J200" s="3">
        <v>2E-3</v>
      </c>
      <c r="K200" s="3">
        <v>1.4999999999999999E-2</v>
      </c>
    </row>
    <row r="201" spans="2:11" x14ac:dyDescent="0.25">
      <c r="B201" s="2" t="s">
        <v>941</v>
      </c>
      <c r="C201" s="2" t="s">
        <v>942</v>
      </c>
      <c r="D201" s="3">
        <v>14.29</v>
      </c>
      <c r="E201" s="3">
        <v>71.819999999999993</v>
      </c>
      <c r="F201" s="3">
        <v>2.2999999999999998</v>
      </c>
      <c r="G201" s="3">
        <v>57.14</v>
      </c>
      <c r="H201" s="3">
        <v>286</v>
      </c>
      <c r="I201" s="3">
        <v>2.2360000000000002</v>
      </c>
      <c r="J201" s="3">
        <v>0.96799999999999997</v>
      </c>
      <c r="K201" s="3">
        <v>0.19400000000000001</v>
      </c>
    </row>
    <row r="202" spans="2:11" x14ac:dyDescent="0.25">
      <c r="B202" s="2" t="s">
        <v>943</v>
      </c>
      <c r="C202" s="2" t="s">
        <v>944</v>
      </c>
      <c r="D202" s="3">
        <v>2.5099999999999998</v>
      </c>
      <c r="E202" s="3">
        <v>11.04</v>
      </c>
      <c r="F202" s="3">
        <v>1.3</v>
      </c>
      <c r="G202" s="3">
        <v>2.65</v>
      </c>
      <c r="H202" s="3">
        <v>22</v>
      </c>
      <c r="I202" s="3">
        <v>0.57199999999999995</v>
      </c>
      <c r="J202" s="3">
        <v>0.98</v>
      </c>
      <c r="K202" s="3">
        <v>0.48</v>
      </c>
    </row>
    <row r="203" spans="2:11" x14ac:dyDescent="0.25">
      <c r="B203" s="2" t="s">
        <v>945</v>
      </c>
      <c r="C203" s="2" t="s">
        <v>946</v>
      </c>
      <c r="D203" s="3">
        <v>3.5</v>
      </c>
      <c r="E203" s="3">
        <v>11.97</v>
      </c>
      <c r="F203" s="3">
        <v>1.2</v>
      </c>
      <c r="G203" s="3">
        <v>0.8</v>
      </c>
      <c r="H203" s="3">
        <v>205</v>
      </c>
      <c r="I203" s="3">
        <v>1.1000000000000001</v>
      </c>
      <c r="J203" s="3">
        <v>0.73299999999999998</v>
      </c>
      <c r="K203" s="3">
        <v>0.16300000000000001</v>
      </c>
    </row>
    <row r="204" spans="2:11" x14ac:dyDescent="0.25">
      <c r="B204" s="2" t="s">
        <v>947</v>
      </c>
      <c r="C204" s="2" t="s">
        <v>948</v>
      </c>
      <c r="D204" s="3">
        <v>3.73</v>
      </c>
      <c r="E204" s="3">
        <v>9.94</v>
      </c>
      <c r="F204" s="3">
        <v>0.6</v>
      </c>
      <c r="G204" s="3">
        <v>5.0999999999999996</v>
      </c>
      <c r="H204" s="3">
        <v>43</v>
      </c>
      <c r="I204" s="3">
        <v>1.76</v>
      </c>
      <c r="J204" s="3">
        <v>0.80200000000000005</v>
      </c>
      <c r="K204" s="3">
        <v>0.309</v>
      </c>
    </row>
    <row r="205" spans="2:11" x14ac:dyDescent="0.25">
      <c r="B205" s="2" t="s">
        <v>949</v>
      </c>
      <c r="C205" s="2" t="s">
        <v>950</v>
      </c>
      <c r="D205" s="3">
        <v>8.6999999999999993</v>
      </c>
      <c r="E205" s="3">
        <v>11.6</v>
      </c>
      <c r="H205" s="3">
        <v>49</v>
      </c>
    </row>
    <row r="206" spans="2:11" x14ac:dyDescent="0.25">
      <c r="B206" s="2" t="s">
        <v>951</v>
      </c>
      <c r="C206" s="2" t="s">
        <v>952</v>
      </c>
      <c r="D206" s="3">
        <v>4.1399999999999997</v>
      </c>
      <c r="E206" s="3">
        <v>12.3</v>
      </c>
      <c r="F206" s="3">
        <v>0.8</v>
      </c>
      <c r="G206" s="3">
        <v>4.78</v>
      </c>
      <c r="H206" s="3">
        <v>42</v>
      </c>
      <c r="I206" s="3">
        <v>1.7450000000000001</v>
      </c>
      <c r="J206" s="3">
        <v>0.85499999999999998</v>
      </c>
      <c r="K206" s="3">
        <v>0.35899999999999999</v>
      </c>
    </row>
    <row r="207" spans="2:11" x14ac:dyDescent="0.25">
      <c r="B207" s="2" t="s">
        <v>953</v>
      </c>
      <c r="C207" s="2" t="s">
        <v>954</v>
      </c>
      <c r="D207" s="3">
        <v>3.82</v>
      </c>
      <c r="E207" s="3">
        <v>10</v>
      </c>
      <c r="F207" s="3">
        <v>0.4</v>
      </c>
      <c r="G207" s="3">
        <v>5.9</v>
      </c>
      <c r="H207" s="3">
        <v>48</v>
      </c>
      <c r="I207" s="3">
        <v>1.8080000000000001</v>
      </c>
      <c r="J207" s="3">
        <v>0.85899999999999999</v>
      </c>
      <c r="K207" s="3">
        <v>0.34200000000000003</v>
      </c>
    </row>
    <row r="208" spans="2:11" x14ac:dyDescent="0.25">
      <c r="B208" s="2" t="s">
        <v>955</v>
      </c>
      <c r="C208" s="2" t="s">
        <v>956</v>
      </c>
      <c r="D208" s="3">
        <v>5</v>
      </c>
      <c r="E208" s="3">
        <v>15.3</v>
      </c>
      <c r="F208" s="3">
        <v>1.1000000000000001</v>
      </c>
      <c r="H208" s="3">
        <v>46</v>
      </c>
      <c r="I208" s="3">
        <v>2.258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6B15-05FD-A045-8895-6A26B1A7732A}">
  <sheetPr codeName="Sheet6"/>
  <dimension ref="A1:K199"/>
  <sheetViews>
    <sheetView workbookViewId="0">
      <selection activeCell="B198" sqref="B198"/>
    </sheetView>
  </sheetViews>
  <sheetFormatPr defaultColWidth="11" defaultRowHeight="15.75" x14ac:dyDescent="0.25"/>
  <cols>
    <col min="3" max="3" width="56.1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04001</v>
      </c>
      <c r="C3" s="10" t="str" cm="1">
        <f t="array" ref="C3">INDEX($B$11:$K$208, $A$3, C1)</f>
        <v>FAT,BEEF TALLOW</v>
      </c>
      <c r="D3" s="10" cm="1">
        <f t="array" ref="D3">INDEX($B$11:$K$74, $A$3, D1)</f>
        <v>0</v>
      </c>
      <c r="E3" s="10" cm="1">
        <f t="array" ref="E3">INDEX($B$11:$K$74, $A$3, E1)</f>
        <v>0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0</v>
      </c>
      <c r="I3" s="10" cm="1">
        <f t="array" ref="I3">INDEX($B$11:$K$74, $A$3, I1)</f>
        <v>49.8</v>
      </c>
      <c r="J3" s="10" cm="1">
        <f t="array" ref="J3">INDEX($B$11:$K$74, $A$3, J1)</f>
        <v>41.8</v>
      </c>
      <c r="K3" s="10" cm="1">
        <f t="array" ref="K3">INDEX($B$11:$K$74, $A$3, K1)</f>
        <v>4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0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83.6</v>
      </c>
      <c r="K6" s="10">
        <f>A7*K3</f>
        <v>8</v>
      </c>
    </row>
    <row r="7" spans="1:11" x14ac:dyDescent="0.25">
      <c r="A7" s="10">
        <v>2</v>
      </c>
      <c r="B7" s="13" t="s">
        <v>415</v>
      </c>
      <c r="C7" s="11" t="s">
        <v>416</v>
      </c>
      <c r="D7" s="10" t="e">
        <f>D4/D3</f>
        <v>#DIV/0!</v>
      </c>
      <c r="E7" s="10" t="e">
        <f>E4/E3</f>
        <v>#DIV/0!</v>
      </c>
      <c r="F7" s="10" t="e">
        <f t="shared" ref="F7:J7" si="1">F4/F3</f>
        <v>#DIV/0!</v>
      </c>
      <c r="G7" s="10" t="e">
        <f>G4/G3</f>
        <v>#DIV/0!</v>
      </c>
      <c r="H7" s="10" t="e">
        <f t="shared" si="1"/>
        <v>#DIV/0!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957</v>
      </c>
      <c r="C11" s="2" t="s">
        <v>958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49.8</v>
      </c>
      <c r="J11" s="3">
        <v>41.8</v>
      </c>
      <c r="K11" s="3">
        <v>4</v>
      </c>
    </row>
    <row r="12" spans="1:11" x14ac:dyDescent="0.25">
      <c r="B12" s="2" t="s">
        <v>959</v>
      </c>
      <c r="C12" s="2" t="s">
        <v>960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39.200000000000003</v>
      </c>
      <c r="J12" s="3">
        <v>45.1</v>
      </c>
      <c r="K12" s="3">
        <v>11.2</v>
      </c>
    </row>
    <row r="13" spans="1:11" x14ac:dyDescent="0.25">
      <c r="B13" s="2" t="s">
        <v>961</v>
      </c>
      <c r="C13" s="2" t="s">
        <v>962</v>
      </c>
      <c r="D13" s="3">
        <v>0.6</v>
      </c>
      <c r="E13" s="3">
        <v>8.5</v>
      </c>
      <c r="F13" s="3">
        <v>0.1</v>
      </c>
      <c r="G13" s="3">
        <v>4.2</v>
      </c>
      <c r="H13" s="3">
        <v>633</v>
      </c>
      <c r="I13" s="3">
        <v>5</v>
      </c>
    </row>
    <row r="14" spans="1:11" x14ac:dyDescent="0.25">
      <c r="B14" s="2" t="s">
        <v>963</v>
      </c>
      <c r="C14" s="2" t="s">
        <v>964</v>
      </c>
      <c r="D14" s="3">
        <v>0.2</v>
      </c>
      <c r="E14" s="3">
        <v>15.8</v>
      </c>
      <c r="F14" s="3">
        <v>2</v>
      </c>
      <c r="G14" s="3">
        <v>6.8</v>
      </c>
      <c r="H14" s="3">
        <v>750</v>
      </c>
      <c r="I14" s="3">
        <v>0</v>
      </c>
      <c r="J14" s="3">
        <v>0</v>
      </c>
      <c r="K14" s="3">
        <v>0</v>
      </c>
    </row>
    <row r="15" spans="1:11" x14ac:dyDescent="0.25">
      <c r="B15" s="2" t="s">
        <v>965</v>
      </c>
      <c r="C15" s="2" t="s">
        <v>966</v>
      </c>
      <c r="D15" s="3">
        <v>0.2</v>
      </c>
      <c r="E15" s="3">
        <v>15.5</v>
      </c>
      <c r="F15" s="3">
        <v>1.9</v>
      </c>
      <c r="G15" s="3">
        <v>10.3</v>
      </c>
      <c r="H15" s="3">
        <v>788</v>
      </c>
      <c r="I15" s="3">
        <v>0.6</v>
      </c>
    </row>
    <row r="16" spans="1:11" x14ac:dyDescent="0.25">
      <c r="B16" s="2" t="s">
        <v>967</v>
      </c>
      <c r="C16" s="2" t="s">
        <v>968</v>
      </c>
      <c r="D16" s="3">
        <v>0.69</v>
      </c>
      <c r="E16" s="3">
        <v>31.9</v>
      </c>
      <c r="F16" s="3">
        <v>0.7</v>
      </c>
      <c r="G16" s="3">
        <v>17.68</v>
      </c>
      <c r="H16" s="3">
        <v>1133</v>
      </c>
      <c r="I16" s="3">
        <v>2.39</v>
      </c>
      <c r="J16" s="3">
        <v>5.9279999999999999</v>
      </c>
      <c r="K16" s="3">
        <v>14.83</v>
      </c>
    </row>
    <row r="17" spans="2:11" x14ac:dyDescent="0.25">
      <c r="B17" s="2" t="s">
        <v>969</v>
      </c>
      <c r="C17" s="2" t="s">
        <v>970</v>
      </c>
      <c r="D17" s="3">
        <v>3.1</v>
      </c>
      <c r="E17" s="3">
        <v>8.6</v>
      </c>
      <c r="F17" s="3">
        <v>1</v>
      </c>
      <c r="G17" s="3">
        <v>8.32</v>
      </c>
      <c r="H17" s="3">
        <v>1000</v>
      </c>
      <c r="I17" s="3">
        <v>6.2</v>
      </c>
      <c r="J17" s="3">
        <v>11.9</v>
      </c>
      <c r="K17" s="3">
        <v>25.1</v>
      </c>
    </row>
    <row r="18" spans="2:11" x14ac:dyDescent="0.25">
      <c r="B18" s="2" t="s">
        <v>971</v>
      </c>
      <c r="C18" s="2" t="s">
        <v>972</v>
      </c>
      <c r="D18" s="3">
        <v>1.0900000000000001</v>
      </c>
      <c r="E18" s="3">
        <v>14.64</v>
      </c>
      <c r="F18" s="3">
        <v>0.8</v>
      </c>
      <c r="G18" s="3">
        <v>15.18</v>
      </c>
      <c r="H18" s="3">
        <v>962</v>
      </c>
      <c r="I18" s="3">
        <v>5.0919999999999996</v>
      </c>
      <c r="J18" s="3">
        <v>7.8810000000000002</v>
      </c>
      <c r="K18" s="3">
        <v>18.22</v>
      </c>
    </row>
    <row r="19" spans="2:11" x14ac:dyDescent="0.25">
      <c r="B19" s="2" t="s">
        <v>973</v>
      </c>
      <c r="C19" s="2" t="s">
        <v>974</v>
      </c>
      <c r="D19" s="3">
        <v>0.65</v>
      </c>
      <c r="E19" s="3">
        <v>14.78</v>
      </c>
      <c r="F19" s="3">
        <v>0</v>
      </c>
      <c r="G19" s="3">
        <v>10.02</v>
      </c>
      <c r="H19" s="3">
        <v>653</v>
      </c>
      <c r="I19" s="3">
        <v>3.3959999999999999</v>
      </c>
      <c r="J19" s="3">
        <v>5.0529999999999999</v>
      </c>
      <c r="K19" s="3">
        <v>12.186999999999999</v>
      </c>
    </row>
    <row r="20" spans="2:11" x14ac:dyDescent="0.25">
      <c r="B20" s="2" t="s">
        <v>975</v>
      </c>
      <c r="C20" s="2" t="s">
        <v>976</v>
      </c>
      <c r="D20" s="3">
        <v>0.57999999999999996</v>
      </c>
      <c r="E20" s="3">
        <v>31.22</v>
      </c>
      <c r="F20" s="3">
        <v>1.5</v>
      </c>
      <c r="G20" s="3">
        <v>16.86</v>
      </c>
      <c r="H20" s="3">
        <v>838</v>
      </c>
      <c r="I20" s="3">
        <v>0.84199999999999997</v>
      </c>
      <c r="J20" s="3">
        <v>4.5179999999999998</v>
      </c>
      <c r="K20" s="3">
        <v>3.8519999999999999</v>
      </c>
    </row>
    <row r="21" spans="2:11" x14ac:dyDescent="0.25">
      <c r="B21" s="2" t="s">
        <v>977</v>
      </c>
      <c r="C21" s="2" t="s">
        <v>978</v>
      </c>
      <c r="D21" s="3">
        <v>0.39</v>
      </c>
      <c r="E21" s="3">
        <v>9.99</v>
      </c>
      <c r="F21" s="3">
        <v>0</v>
      </c>
      <c r="G21" s="3">
        <v>9.16</v>
      </c>
      <c r="H21" s="3">
        <v>891</v>
      </c>
      <c r="I21" s="3">
        <v>0.83299999999999996</v>
      </c>
      <c r="J21" s="3">
        <v>1.7250000000000001</v>
      </c>
      <c r="K21" s="3">
        <v>3.2360000000000002</v>
      </c>
    </row>
    <row r="22" spans="2:11" x14ac:dyDescent="0.25">
      <c r="B22" s="2" t="s">
        <v>979</v>
      </c>
      <c r="C22" s="2" t="s">
        <v>980</v>
      </c>
      <c r="D22" s="3">
        <v>0.5</v>
      </c>
      <c r="E22" s="3">
        <v>27.6</v>
      </c>
      <c r="F22" s="3">
        <v>0.3</v>
      </c>
      <c r="G22" s="3">
        <v>21.87</v>
      </c>
      <c r="H22" s="3">
        <v>868</v>
      </c>
      <c r="I22" s="3">
        <v>0.6</v>
      </c>
      <c r="J22" s="3">
        <v>0.9</v>
      </c>
      <c r="K22" s="3">
        <v>2.2999999999999998</v>
      </c>
    </row>
    <row r="23" spans="2:11" x14ac:dyDescent="0.25">
      <c r="B23" s="2" t="s">
        <v>981</v>
      </c>
      <c r="C23" s="2" t="s">
        <v>982</v>
      </c>
      <c r="D23" s="3">
        <v>0.83</v>
      </c>
      <c r="E23" s="3">
        <v>24.06</v>
      </c>
      <c r="F23" s="3">
        <v>1.2</v>
      </c>
      <c r="G23" s="3">
        <v>17.309999999999999</v>
      </c>
      <c r="H23" s="3">
        <v>955</v>
      </c>
      <c r="I23" s="3">
        <v>0.746</v>
      </c>
      <c r="J23" s="3">
        <v>6.468</v>
      </c>
      <c r="K23" s="3">
        <v>2.6920000000000002</v>
      </c>
    </row>
    <row r="24" spans="2:11" x14ac:dyDescent="0.25">
      <c r="B24" s="2" t="s">
        <v>983</v>
      </c>
      <c r="C24" s="2" t="s">
        <v>984</v>
      </c>
      <c r="D24" s="3">
        <v>0.96</v>
      </c>
      <c r="E24" s="3">
        <v>0.56999999999999995</v>
      </c>
      <c r="F24" s="3">
        <v>0</v>
      </c>
      <c r="G24" s="3">
        <v>0.56999999999999995</v>
      </c>
      <c r="H24" s="3">
        <v>635</v>
      </c>
      <c r="I24" s="3">
        <v>11.702999999999999</v>
      </c>
      <c r="J24" s="3">
        <v>16.843</v>
      </c>
      <c r="K24" s="3">
        <v>44.69</v>
      </c>
    </row>
    <row r="25" spans="2:11" x14ac:dyDescent="0.25">
      <c r="B25" s="2" t="s">
        <v>985</v>
      </c>
      <c r="C25" s="2" t="s">
        <v>986</v>
      </c>
      <c r="D25" s="3">
        <v>1.1000000000000001</v>
      </c>
      <c r="E25" s="3">
        <v>2.7</v>
      </c>
      <c r="F25" s="3">
        <v>0</v>
      </c>
      <c r="G25" s="3">
        <v>0.48</v>
      </c>
      <c r="H25" s="3">
        <v>568</v>
      </c>
      <c r="I25" s="3">
        <v>8.6</v>
      </c>
      <c r="J25" s="3">
        <v>13</v>
      </c>
      <c r="K25" s="3">
        <v>55</v>
      </c>
    </row>
    <row r="26" spans="2:11" x14ac:dyDescent="0.25">
      <c r="B26" s="2" t="s">
        <v>987</v>
      </c>
      <c r="C26" s="2" t="s">
        <v>988</v>
      </c>
      <c r="D26" s="3">
        <v>0.3</v>
      </c>
      <c r="E26" s="3">
        <v>16</v>
      </c>
      <c r="F26" s="3">
        <v>0</v>
      </c>
      <c r="G26" s="3">
        <v>6</v>
      </c>
      <c r="H26" s="3">
        <v>497</v>
      </c>
      <c r="I26" s="3">
        <v>3.3</v>
      </c>
      <c r="J26" s="3">
        <v>4.5</v>
      </c>
      <c r="K26" s="3">
        <v>10.6</v>
      </c>
    </row>
    <row r="27" spans="2:11" x14ac:dyDescent="0.25">
      <c r="B27" s="2" t="s">
        <v>989</v>
      </c>
      <c r="C27" s="2" t="s">
        <v>990</v>
      </c>
      <c r="D27" s="3">
        <v>2.1</v>
      </c>
      <c r="E27" s="3">
        <v>11.1</v>
      </c>
      <c r="F27" s="3">
        <v>0</v>
      </c>
      <c r="H27" s="3">
        <v>504</v>
      </c>
      <c r="I27" s="3">
        <v>2.8</v>
      </c>
      <c r="J27" s="3">
        <v>1.7</v>
      </c>
      <c r="K27" s="3">
        <v>0.3</v>
      </c>
    </row>
    <row r="28" spans="2:11" x14ac:dyDescent="0.25">
      <c r="B28" s="2" t="s">
        <v>991</v>
      </c>
      <c r="C28" s="2" t="s">
        <v>992</v>
      </c>
      <c r="D28" s="3">
        <v>0.1</v>
      </c>
      <c r="E28" s="3">
        <v>15.8</v>
      </c>
      <c r="F28" s="3">
        <v>0</v>
      </c>
      <c r="G28" s="3">
        <v>6</v>
      </c>
      <c r="H28" s="3">
        <v>353</v>
      </c>
      <c r="I28" s="3">
        <v>7.5</v>
      </c>
      <c r="J28" s="3">
        <v>10.5</v>
      </c>
      <c r="K28" s="3">
        <v>27.6</v>
      </c>
    </row>
    <row r="29" spans="2:11" x14ac:dyDescent="0.25">
      <c r="B29" s="2" t="s">
        <v>993</v>
      </c>
      <c r="C29" s="2" t="s">
        <v>994</v>
      </c>
      <c r="D29" s="3">
        <v>0.9</v>
      </c>
      <c r="E29" s="3">
        <v>22.4</v>
      </c>
      <c r="F29" s="3">
        <v>0.4</v>
      </c>
      <c r="G29" s="3">
        <v>15.18</v>
      </c>
      <c r="H29" s="3">
        <v>1000</v>
      </c>
      <c r="I29" s="3">
        <v>5.0999999999999996</v>
      </c>
      <c r="J29" s="3">
        <v>7.4</v>
      </c>
      <c r="K29" s="3">
        <v>20</v>
      </c>
    </row>
    <row r="30" spans="2:11" x14ac:dyDescent="0.25">
      <c r="B30" s="2" t="s">
        <v>995</v>
      </c>
      <c r="C30" s="2" t="s">
        <v>996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25</v>
      </c>
      <c r="J30" s="3">
        <v>44.5</v>
      </c>
      <c r="K30" s="3">
        <v>26.1</v>
      </c>
    </row>
    <row r="31" spans="2:11" x14ac:dyDescent="0.25">
      <c r="B31" s="2" t="s">
        <v>997</v>
      </c>
      <c r="C31" s="2" t="s">
        <v>998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14.9</v>
      </c>
      <c r="J31" s="3">
        <v>43</v>
      </c>
      <c r="K31" s="3">
        <v>37.6</v>
      </c>
    </row>
    <row r="32" spans="2:11" x14ac:dyDescent="0.25">
      <c r="B32" s="2" t="s">
        <v>999</v>
      </c>
      <c r="C32" s="2" t="s">
        <v>1000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19.7</v>
      </c>
      <c r="J32" s="3">
        <v>39.299999999999997</v>
      </c>
      <c r="K32" s="3">
        <v>35</v>
      </c>
    </row>
    <row r="33" spans="2:11" x14ac:dyDescent="0.25">
      <c r="B33" s="2" t="s">
        <v>1001</v>
      </c>
      <c r="C33" s="2" t="s">
        <v>1002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18.8</v>
      </c>
      <c r="J33" s="3">
        <v>15.1</v>
      </c>
      <c r="K33" s="3">
        <v>61.7</v>
      </c>
    </row>
    <row r="34" spans="2:11" x14ac:dyDescent="0.25">
      <c r="B34" s="2" t="s">
        <v>1003</v>
      </c>
      <c r="C34" s="2" t="s">
        <v>1004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16.899999999999999</v>
      </c>
      <c r="J34" s="3">
        <v>46.2</v>
      </c>
      <c r="K34" s="3">
        <v>32</v>
      </c>
    </row>
    <row r="35" spans="2:11" x14ac:dyDescent="0.25">
      <c r="B35" s="2" t="s">
        <v>1005</v>
      </c>
      <c r="C35" s="2" t="s">
        <v>1006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15.65</v>
      </c>
      <c r="J35" s="3">
        <v>22.783000000000001</v>
      </c>
      <c r="K35" s="3">
        <v>57.74</v>
      </c>
    </row>
    <row r="36" spans="2:11" x14ac:dyDescent="0.25">
      <c r="B36" s="2" t="s">
        <v>1007</v>
      </c>
      <c r="C36" s="2" t="s">
        <v>1008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82.474999999999994</v>
      </c>
      <c r="J36" s="3">
        <v>6.3319999999999999</v>
      </c>
      <c r="K36" s="3">
        <v>1.702</v>
      </c>
    </row>
    <row r="37" spans="2:11" x14ac:dyDescent="0.25">
      <c r="B37" s="2" t="s">
        <v>1009</v>
      </c>
      <c r="C37" s="2" t="s">
        <v>1010</v>
      </c>
      <c r="D37" s="3">
        <v>0</v>
      </c>
      <c r="E37" s="3">
        <v>0</v>
      </c>
      <c r="F37" s="3">
        <v>0</v>
      </c>
      <c r="G37" s="3">
        <v>0</v>
      </c>
      <c r="H37" s="3">
        <v>2</v>
      </c>
      <c r="I37" s="3">
        <v>13.808</v>
      </c>
      <c r="J37" s="3">
        <v>72.960999999999999</v>
      </c>
      <c r="K37" s="3">
        <v>10.523</v>
      </c>
    </row>
    <row r="38" spans="2:11" x14ac:dyDescent="0.25">
      <c r="B38" s="2" t="s">
        <v>1011</v>
      </c>
      <c r="C38" s="2" t="s">
        <v>1012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49.3</v>
      </c>
      <c r="J38" s="3">
        <v>37</v>
      </c>
      <c r="K38" s="3">
        <v>9.3000000000000007</v>
      </c>
    </row>
    <row r="39" spans="2:11" x14ac:dyDescent="0.25">
      <c r="B39" s="2" t="s">
        <v>1013</v>
      </c>
      <c r="C39" s="2" t="s">
        <v>1014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14.2</v>
      </c>
      <c r="J39" s="3">
        <v>39.700000000000003</v>
      </c>
      <c r="K39" s="3">
        <v>41.7</v>
      </c>
    </row>
    <row r="40" spans="2:11" x14ac:dyDescent="0.25">
      <c r="B40" s="2" t="s">
        <v>1015</v>
      </c>
      <c r="C40" s="2" t="s">
        <v>1016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10.1</v>
      </c>
      <c r="J40" s="3">
        <v>45.4</v>
      </c>
      <c r="K40" s="3">
        <v>40.1</v>
      </c>
    </row>
    <row r="41" spans="2:11" x14ac:dyDescent="0.25">
      <c r="B41" s="2" t="s">
        <v>1017</v>
      </c>
      <c r="C41" s="2" t="s">
        <v>1018</v>
      </c>
      <c r="D41" s="3">
        <v>0.9</v>
      </c>
      <c r="E41" s="3">
        <v>0.9</v>
      </c>
      <c r="F41" s="3">
        <v>0</v>
      </c>
      <c r="G41" s="3">
        <v>0</v>
      </c>
      <c r="H41" s="3">
        <v>943</v>
      </c>
      <c r="I41" s="3">
        <v>16.7</v>
      </c>
      <c r="J41" s="3">
        <v>39.299999999999997</v>
      </c>
      <c r="K41" s="3">
        <v>20.9</v>
      </c>
    </row>
    <row r="42" spans="2:11" x14ac:dyDescent="0.25">
      <c r="B42" s="2" t="s">
        <v>1019</v>
      </c>
      <c r="C42" s="2" t="s">
        <v>1020</v>
      </c>
      <c r="D42" s="3">
        <v>0.41</v>
      </c>
      <c r="E42" s="3">
        <v>12.12</v>
      </c>
      <c r="F42" s="3">
        <v>0</v>
      </c>
      <c r="G42" s="3">
        <v>10.77</v>
      </c>
      <c r="H42" s="3">
        <v>993</v>
      </c>
      <c r="I42" s="3">
        <v>2.948</v>
      </c>
      <c r="J42" s="3">
        <v>5.6379999999999999</v>
      </c>
      <c r="K42" s="3">
        <v>10.747999999999999</v>
      </c>
    </row>
    <row r="43" spans="2:11" x14ac:dyDescent="0.25">
      <c r="B43" s="2" t="s">
        <v>1021</v>
      </c>
      <c r="C43" s="2" t="s">
        <v>1022</v>
      </c>
      <c r="D43" s="3">
        <v>0.77</v>
      </c>
      <c r="E43" s="3">
        <v>15.58</v>
      </c>
      <c r="F43" s="3">
        <v>0</v>
      </c>
      <c r="G43" s="3">
        <v>15.95</v>
      </c>
      <c r="H43" s="3">
        <v>836</v>
      </c>
      <c r="I43" s="3">
        <v>5.6479999999999997</v>
      </c>
      <c r="J43" s="3">
        <v>8.4329999999999998</v>
      </c>
      <c r="K43" s="3">
        <v>21.029</v>
      </c>
    </row>
    <row r="44" spans="2:11" x14ac:dyDescent="0.25">
      <c r="B44" s="2" t="s">
        <v>1023</v>
      </c>
      <c r="C44" s="2" t="s">
        <v>1024</v>
      </c>
      <c r="D44" s="3">
        <v>0.51</v>
      </c>
      <c r="E44" s="3">
        <v>0.66</v>
      </c>
      <c r="F44" s="3">
        <v>0</v>
      </c>
      <c r="G44" s="3">
        <v>0</v>
      </c>
      <c r="H44" s="3">
        <v>589</v>
      </c>
      <c r="I44" s="3">
        <v>8.6370000000000005</v>
      </c>
      <c r="J44" s="3">
        <v>13.958</v>
      </c>
      <c r="K44" s="3">
        <v>12.407</v>
      </c>
    </row>
    <row r="45" spans="2:11" x14ac:dyDescent="0.25">
      <c r="B45" s="2" t="s">
        <v>1025</v>
      </c>
      <c r="C45" s="2" t="s">
        <v>1026</v>
      </c>
      <c r="D45" s="3">
        <v>0.1</v>
      </c>
      <c r="E45" s="3">
        <v>3.4</v>
      </c>
      <c r="F45" s="3">
        <v>0</v>
      </c>
      <c r="H45" s="3">
        <v>658</v>
      </c>
      <c r="I45" s="3">
        <v>12.6</v>
      </c>
      <c r="J45" s="3">
        <v>20.7</v>
      </c>
      <c r="K45" s="3">
        <v>33.700000000000003</v>
      </c>
    </row>
    <row r="46" spans="2:11" x14ac:dyDescent="0.25">
      <c r="B46" s="2" t="s">
        <v>1027</v>
      </c>
      <c r="C46" s="2" t="s">
        <v>1028</v>
      </c>
      <c r="D46" s="3">
        <v>0</v>
      </c>
      <c r="E46" s="3">
        <v>2.5</v>
      </c>
      <c r="F46" s="3">
        <v>0</v>
      </c>
      <c r="G46" s="3">
        <v>2.5</v>
      </c>
      <c r="H46" s="3">
        <v>1</v>
      </c>
      <c r="I46" s="3">
        <v>9.1</v>
      </c>
      <c r="J46" s="3">
        <v>14.8</v>
      </c>
      <c r="K46" s="3">
        <v>24.1</v>
      </c>
    </row>
    <row r="47" spans="2:11" x14ac:dyDescent="0.25">
      <c r="B47" s="2" t="s">
        <v>1029</v>
      </c>
      <c r="C47" s="2" t="s">
        <v>1030</v>
      </c>
      <c r="D47" s="3">
        <v>0.77</v>
      </c>
      <c r="E47" s="3">
        <v>15.58</v>
      </c>
      <c r="F47" s="3">
        <v>0</v>
      </c>
      <c r="G47" s="3">
        <v>15.95</v>
      </c>
      <c r="H47" s="3">
        <v>0</v>
      </c>
      <c r="I47" s="3">
        <v>5.6479999999999997</v>
      </c>
      <c r="J47" s="3">
        <v>8.4329999999999998</v>
      </c>
      <c r="K47" s="3">
        <v>21.029</v>
      </c>
    </row>
    <row r="48" spans="2:11" x14ac:dyDescent="0.25">
      <c r="B48" s="2" t="s">
        <v>1031</v>
      </c>
      <c r="C48" s="2" t="s">
        <v>1032</v>
      </c>
      <c r="D48" s="3">
        <v>0.57999999999999996</v>
      </c>
      <c r="E48" s="3">
        <v>29.28</v>
      </c>
      <c r="F48" s="3">
        <v>1.1000000000000001</v>
      </c>
      <c r="G48" s="3">
        <v>28.45</v>
      </c>
      <c r="H48" s="3">
        <v>30</v>
      </c>
      <c r="I48" s="3">
        <v>1.099</v>
      </c>
      <c r="J48" s="3">
        <v>5.8979999999999997</v>
      </c>
      <c r="K48" s="3">
        <v>5.0289999999999999</v>
      </c>
    </row>
    <row r="49" spans="2:11" x14ac:dyDescent="0.25">
      <c r="B49" s="2" t="s">
        <v>1033</v>
      </c>
      <c r="C49" s="2" t="s">
        <v>1034</v>
      </c>
      <c r="D49" s="3">
        <v>0.38</v>
      </c>
      <c r="E49" s="3">
        <v>10.43</v>
      </c>
      <c r="F49" s="3">
        <v>0</v>
      </c>
      <c r="G49" s="3">
        <v>8.32</v>
      </c>
      <c r="H49" s="3">
        <v>30</v>
      </c>
      <c r="I49" s="3">
        <v>4.4740000000000002</v>
      </c>
      <c r="J49" s="3">
        <v>6.3150000000000004</v>
      </c>
      <c r="K49" s="3">
        <v>12.941000000000001</v>
      </c>
    </row>
    <row r="50" spans="2:11" x14ac:dyDescent="0.25">
      <c r="B50" s="2" t="s">
        <v>1035</v>
      </c>
      <c r="C50" s="2" t="s">
        <v>1036</v>
      </c>
      <c r="D50" s="3">
        <v>0.47</v>
      </c>
      <c r="E50" s="3">
        <v>4.57</v>
      </c>
      <c r="F50" s="3">
        <v>0</v>
      </c>
      <c r="G50" s="3">
        <v>4.55</v>
      </c>
      <c r="H50" s="3">
        <v>30</v>
      </c>
      <c r="I50" s="3">
        <v>0.45100000000000001</v>
      </c>
      <c r="J50" s="3">
        <v>2.19</v>
      </c>
      <c r="K50" s="3">
        <v>1.704</v>
      </c>
    </row>
    <row r="51" spans="2:11" x14ac:dyDescent="0.25">
      <c r="B51" s="2" t="s">
        <v>1037</v>
      </c>
      <c r="C51" s="2" t="s">
        <v>1038</v>
      </c>
      <c r="D51" s="3">
        <v>1.1000000000000001</v>
      </c>
      <c r="E51" s="3">
        <v>2.7</v>
      </c>
      <c r="F51" s="3">
        <v>0</v>
      </c>
      <c r="H51" s="3">
        <v>30</v>
      </c>
      <c r="I51" s="3">
        <v>11.8</v>
      </c>
      <c r="J51" s="3">
        <v>22.7</v>
      </c>
      <c r="K51" s="3">
        <v>37.1</v>
      </c>
    </row>
    <row r="52" spans="2:11" x14ac:dyDescent="0.25">
      <c r="B52" s="2" t="s">
        <v>1039</v>
      </c>
      <c r="C52" s="2" t="s">
        <v>1040</v>
      </c>
      <c r="D52" s="3">
        <v>0.1</v>
      </c>
      <c r="E52" s="3">
        <v>3.4</v>
      </c>
      <c r="F52" s="3">
        <v>0</v>
      </c>
      <c r="H52" s="3">
        <v>658</v>
      </c>
      <c r="I52" s="3">
        <v>18.2</v>
      </c>
    </row>
    <row r="53" spans="2:11" x14ac:dyDescent="0.25">
      <c r="B53" s="2" t="s">
        <v>1041</v>
      </c>
      <c r="C53" s="2" t="s">
        <v>1042</v>
      </c>
      <c r="D53" s="3">
        <v>0.2</v>
      </c>
      <c r="E53" s="3">
        <v>32.14</v>
      </c>
      <c r="F53" s="3">
        <v>2.2000000000000002</v>
      </c>
      <c r="G53" s="3">
        <v>16.45</v>
      </c>
      <c r="H53" s="3">
        <v>853</v>
      </c>
      <c r="I53" s="3">
        <v>3.6999999999999998E-2</v>
      </c>
      <c r="J53" s="3">
        <v>0.14099999999999999</v>
      </c>
      <c r="K53" s="3">
        <v>6.2E-2</v>
      </c>
    </row>
    <row r="54" spans="2:11" x14ac:dyDescent="0.25">
      <c r="B54" s="2" t="s">
        <v>1043</v>
      </c>
      <c r="C54" s="2" t="s">
        <v>1044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59.7</v>
      </c>
      <c r="J54" s="3">
        <v>32.9</v>
      </c>
      <c r="K54" s="3">
        <v>3</v>
      </c>
    </row>
    <row r="55" spans="2:11" x14ac:dyDescent="0.25">
      <c r="B55" s="2" t="s">
        <v>1045</v>
      </c>
      <c r="C55" s="2" t="s">
        <v>1046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25.9</v>
      </c>
      <c r="J55" s="3">
        <v>17.8</v>
      </c>
      <c r="K55" s="3">
        <v>51.9</v>
      </c>
    </row>
    <row r="56" spans="2:11" x14ac:dyDescent="0.25">
      <c r="B56" s="2" t="s">
        <v>1047</v>
      </c>
      <c r="C56" s="2" t="s">
        <v>1048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10.3</v>
      </c>
      <c r="J56" s="3">
        <v>19.5</v>
      </c>
      <c r="K56" s="3">
        <v>65.7</v>
      </c>
    </row>
    <row r="57" spans="2:11" x14ac:dyDescent="0.25">
      <c r="B57" s="2" t="s">
        <v>1049</v>
      </c>
      <c r="C57" s="2" t="s">
        <v>1050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6.2030000000000003</v>
      </c>
      <c r="J57" s="3">
        <v>14.355</v>
      </c>
      <c r="K57" s="3">
        <v>74.623000000000005</v>
      </c>
    </row>
    <row r="58" spans="2:11" x14ac:dyDescent="0.25">
      <c r="B58" s="2" t="s">
        <v>1051</v>
      </c>
      <c r="C58" s="2" t="s">
        <v>1052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7.5410000000000004</v>
      </c>
      <c r="J58" s="3">
        <v>75.221000000000004</v>
      </c>
      <c r="K58" s="3">
        <v>12.82</v>
      </c>
    </row>
    <row r="59" spans="2:11" x14ac:dyDescent="0.25">
      <c r="B59" s="2" t="s">
        <v>1053</v>
      </c>
      <c r="C59" s="2" t="s">
        <v>1054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81.5</v>
      </c>
      <c r="J59" s="3">
        <v>11.4</v>
      </c>
      <c r="K59" s="3">
        <v>1.6</v>
      </c>
    </row>
    <row r="60" spans="2:11" x14ac:dyDescent="0.25">
      <c r="B60" s="2" t="s">
        <v>1055</v>
      </c>
      <c r="C60" s="2" t="s">
        <v>1056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13.5</v>
      </c>
      <c r="J60" s="3">
        <v>19.7</v>
      </c>
      <c r="K60" s="3">
        <v>62.4</v>
      </c>
    </row>
    <row r="61" spans="2:11" x14ac:dyDescent="0.25">
      <c r="B61" s="2" t="s">
        <v>1057</v>
      </c>
      <c r="C61" s="2" t="s">
        <v>1058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19.7</v>
      </c>
      <c r="J61" s="3">
        <v>22.8</v>
      </c>
      <c r="K61" s="3">
        <v>53.1</v>
      </c>
    </row>
    <row r="62" spans="2:11" x14ac:dyDescent="0.25">
      <c r="B62" s="2" t="s">
        <v>1059</v>
      </c>
      <c r="C62" s="2" t="s">
        <v>1060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21.1</v>
      </c>
      <c r="J62" s="3">
        <v>51.5</v>
      </c>
      <c r="K62" s="3">
        <v>23</v>
      </c>
    </row>
    <row r="63" spans="2:11" x14ac:dyDescent="0.25">
      <c r="B63" s="2" t="s">
        <v>1061</v>
      </c>
      <c r="C63" s="2" t="s">
        <v>1062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9.6</v>
      </c>
      <c r="J63" s="3">
        <v>16.100000000000001</v>
      </c>
      <c r="K63" s="3">
        <v>69.900000000000006</v>
      </c>
    </row>
    <row r="64" spans="2:11" x14ac:dyDescent="0.25">
      <c r="B64" s="2" t="s">
        <v>1063</v>
      </c>
      <c r="C64" s="2" t="s">
        <v>1064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12.948</v>
      </c>
      <c r="J64" s="3">
        <v>27.576000000000001</v>
      </c>
      <c r="K64" s="3">
        <v>54.677</v>
      </c>
    </row>
    <row r="65" spans="2:11" x14ac:dyDescent="0.25">
      <c r="B65" s="2" t="s">
        <v>1065</v>
      </c>
      <c r="C65" s="2" t="s">
        <v>1066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47.3</v>
      </c>
      <c r="J65" s="3">
        <v>40.6</v>
      </c>
      <c r="K65" s="3">
        <v>7.8</v>
      </c>
    </row>
    <row r="66" spans="2:11" x14ac:dyDescent="0.25">
      <c r="B66" s="2" t="s">
        <v>1067</v>
      </c>
      <c r="C66" s="2" t="s">
        <v>1068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9.1</v>
      </c>
      <c r="J66" s="3">
        <v>22.8</v>
      </c>
      <c r="K66" s="3">
        <v>63.3</v>
      </c>
    </row>
    <row r="67" spans="2:11" x14ac:dyDescent="0.25">
      <c r="B67" s="2" t="s">
        <v>1069</v>
      </c>
      <c r="C67" s="2" t="s">
        <v>1070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8.1999999999999993</v>
      </c>
      <c r="J67" s="3">
        <v>69.900000000000006</v>
      </c>
      <c r="K67" s="3">
        <v>17.399999999999999</v>
      </c>
    </row>
    <row r="68" spans="2:11" x14ac:dyDescent="0.25">
      <c r="B68" s="2" t="s">
        <v>1071</v>
      </c>
      <c r="C68" s="2" t="s">
        <v>1072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6.3</v>
      </c>
      <c r="J68" s="3">
        <v>60</v>
      </c>
      <c r="K68" s="3">
        <v>29.3</v>
      </c>
    </row>
    <row r="69" spans="2:11" x14ac:dyDescent="0.25">
      <c r="B69" s="2" t="s">
        <v>1073</v>
      </c>
      <c r="C69" s="2" t="s">
        <v>1074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15.005000000000001</v>
      </c>
      <c r="J69" s="3">
        <v>10.977</v>
      </c>
      <c r="K69" s="3">
        <v>45.317999999999998</v>
      </c>
    </row>
    <row r="70" spans="2:11" x14ac:dyDescent="0.25">
      <c r="B70" s="2" t="s">
        <v>1075</v>
      </c>
      <c r="C70" s="2" t="s">
        <v>1076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7.4</v>
      </c>
      <c r="J70" s="3">
        <v>78</v>
      </c>
      <c r="K70" s="3">
        <v>10.199999999999999</v>
      </c>
    </row>
    <row r="71" spans="2:11" x14ac:dyDescent="0.25">
      <c r="B71" s="2" t="s">
        <v>1077</v>
      </c>
      <c r="C71" s="2" t="s">
        <v>1078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81.2</v>
      </c>
      <c r="J71" s="3">
        <v>11.4</v>
      </c>
      <c r="K71" s="3">
        <v>1.6</v>
      </c>
    </row>
    <row r="72" spans="2:11" x14ac:dyDescent="0.25">
      <c r="B72" s="2" t="s">
        <v>1079</v>
      </c>
      <c r="C72" s="2" t="s">
        <v>1080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46.6</v>
      </c>
      <c r="J72" s="3">
        <v>44</v>
      </c>
      <c r="K72" s="3">
        <v>5.2</v>
      </c>
    </row>
    <row r="73" spans="2:11" x14ac:dyDescent="0.25">
      <c r="B73" s="2" t="s">
        <v>1081</v>
      </c>
      <c r="C73" s="2" t="s">
        <v>1082</v>
      </c>
      <c r="D73" s="3">
        <v>1.37</v>
      </c>
      <c r="E73" s="3">
        <v>4.7699999999999996</v>
      </c>
      <c r="F73" s="3">
        <v>0.4</v>
      </c>
      <c r="G73" s="3">
        <v>3.48</v>
      </c>
      <c r="H73" s="3">
        <v>642</v>
      </c>
      <c r="I73" s="3">
        <v>8.2750000000000004</v>
      </c>
      <c r="J73" s="3">
        <v>13.279</v>
      </c>
      <c r="K73" s="3">
        <v>27.545000000000002</v>
      </c>
    </row>
    <row r="74" spans="2:11" x14ac:dyDescent="0.25">
      <c r="B74" s="2" t="s">
        <v>1083</v>
      </c>
      <c r="C74" s="2" t="s">
        <v>1084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53.2</v>
      </c>
      <c r="J74" s="3">
        <v>38.700000000000003</v>
      </c>
      <c r="K74" s="3">
        <v>3.8</v>
      </c>
    </row>
    <row r="75" spans="2:11" x14ac:dyDescent="0.25">
      <c r="B75" s="2" t="s">
        <v>1085</v>
      </c>
      <c r="C75" s="2" t="s">
        <v>1086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29.8</v>
      </c>
      <c r="J75" s="3">
        <v>44.7</v>
      </c>
      <c r="K75" s="3">
        <v>20.9</v>
      </c>
    </row>
    <row r="76" spans="2:11" x14ac:dyDescent="0.25">
      <c r="B76" s="2" t="s">
        <v>1087</v>
      </c>
      <c r="C76" s="2" t="s">
        <v>1088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18</v>
      </c>
      <c r="J76" s="3">
        <v>29.5</v>
      </c>
      <c r="K76" s="3">
        <v>48.1</v>
      </c>
    </row>
    <row r="77" spans="2:11" x14ac:dyDescent="0.25">
      <c r="B77" s="2" t="s">
        <v>1089</v>
      </c>
      <c r="C77" s="2" t="s">
        <v>1090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40.299999999999997</v>
      </c>
      <c r="J77" s="3">
        <v>44.4</v>
      </c>
      <c r="K77" s="3">
        <v>10.9</v>
      </c>
    </row>
    <row r="78" spans="2:11" x14ac:dyDescent="0.25">
      <c r="B78" s="2" t="s">
        <v>1091</v>
      </c>
      <c r="C78" s="2" t="s">
        <v>1092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13</v>
      </c>
      <c r="J78" s="3">
        <v>46.2</v>
      </c>
      <c r="K78" s="3">
        <v>36.4</v>
      </c>
    </row>
    <row r="79" spans="2:11" x14ac:dyDescent="0.25">
      <c r="B79" s="2" t="s">
        <v>1093</v>
      </c>
      <c r="C79" s="2" t="s">
        <v>1094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22</v>
      </c>
      <c r="J79" s="3">
        <v>33</v>
      </c>
      <c r="K79" s="3">
        <v>40.6</v>
      </c>
    </row>
    <row r="80" spans="2:11" x14ac:dyDescent="0.25">
      <c r="B80" s="2" t="s">
        <v>1095</v>
      </c>
      <c r="C80" s="2" t="s">
        <v>1096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27.2</v>
      </c>
      <c r="J80" s="3">
        <v>54.2</v>
      </c>
      <c r="K80" s="3">
        <v>14.1</v>
      </c>
    </row>
    <row r="81" spans="2:11" x14ac:dyDescent="0.25">
      <c r="B81" s="2" t="s">
        <v>1097</v>
      </c>
      <c r="C81" s="2" t="s">
        <v>1098</v>
      </c>
      <c r="D81" s="3">
        <v>0</v>
      </c>
      <c r="E81" s="3">
        <v>0</v>
      </c>
      <c r="F81" s="3">
        <v>0</v>
      </c>
      <c r="H81" s="3">
        <v>0</v>
      </c>
      <c r="I81" s="3">
        <v>35.700000000000003</v>
      </c>
      <c r="J81" s="3">
        <v>40.700000000000003</v>
      </c>
      <c r="K81" s="3">
        <v>19.2</v>
      </c>
    </row>
    <row r="82" spans="2:11" x14ac:dyDescent="0.25">
      <c r="B82" s="2" t="s">
        <v>1099</v>
      </c>
      <c r="C82" s="2" t="s">
        <v>1100</v>
      </c>
      <c r="D82" s="3">
        <v>0</v>
      </c>
      <c r="E82" s="3">
        <v>0</v>
      </c>
      <c r="F82" s="3">
        <v>0</v>
      </c>
      <c r="H82" s="3">
        <v>0</v>
      </c>
      <c r="I82" s="3">
        <v>44.9</v>
      </c>
      <c r="J82" s="3">
        <v>38.5</v>
      </c>
      <c r="K82" s="3">
        <v>8.8000000000000007</v>
      </c>
    </row>
    <row r="83" spans="2:11" x14ac:dyDescent="0.25">
      <c r="B83" s="2" t="s">
        <v>1101</v>
      </c>
      <c r="C83" s="2" t="s">
        <v>1102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91.3</v>
      </c>
      <c r="J83" s="3">
        <v>2.2000000000000002</v>
      </c>
      <c r="K83" s="3">
        <v>1</v>
      </c>
    </row>
    <row r="84" spans="2:11" x14ac:dyDescent="0.25">
      <c r="B84" s="2" t="s">
        <v>1103</v>
      </c>
      <c r="C84" s="2" t="s">
        <v>1104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25.6</v>
      </c>
      <c r="J84" s="3">
        <v>58</v>
      </c>
      <c r="K84" s="3">
        <v>12</v>
      </c>
    </row>
    <row r="85" spans="2:11" x14ac:dyDescent="0.25">
      <c r="B85" s="2" t="s">
        <v>1105</v>
      </c>
      <c r="C85" s="2" t="s">
        <v>1106</v>
      </c>
      <c r="D85" s="3">
        <v>0</v>
      </c>
      <c r="E85" s="3">
        <v>0</v>
      </c>
      <c r="F85" s="3">
        <v>0</v>
      </c>
      <c r="H85" s="3">
        <v>0</v>
      </c>
      <c r="I85" s="3">
        <v>47.5</v>
      </c>
      <c r="J85" s="3">
        <v>40.6</v>
      </c>
      <c r="K85" s="3">
        <v>7.5</v>
      </c>
    </row>
    <row r="86" spans="2:11" x14ac:dyDescent="0.25">
      <c r="B86" s="2" t="s">
        <v>1107</v>
      </c>
      <c r="C86" s="2" t="s">
        <v>1108</v>
      </c>
      <c r="D86" s="3">
        <v>0</v>
      </c>
      <c r="E86" s="3">
        <v>0</v>
      </c>
      <c r="F86" s="3">
        <v>0</v>
      </c>
      <c r="H86" s="3">
        <v>0</v>
      </c>
      <c r="I86" s="3">
        <v>25.02</v>
      </c>
      <c r="J86" s="3">
        <v>42.51</v>
      </c>
      <c r="K86" s="3">
        <v>26.64</v>
      </c>
    </row>
    <row r="87" spans="2:11" x14ac:dyDescent="0.25">
      <c r="B87" s="2" t="s">
        <v>1109</v>
      </c>
      <c r="C87" s="2" t="s">
        <v>1110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21.1</v>
      </c>
      <c r="J87" s="3">
        <v>73.7</v>
      </c>
      <c r="K87" s="3">
        <v>0.4</v>
      </c>
    </row>
    <row r="88" spans="2:11" x14ac:dyDescent="0.25">
      <c r="B88" s="2" t="s">
        <v>1111</v>
      </c>
      <c r="C88" s="2" t="s">
        <v>1112</v>
      </c>
      <c r="D88" s="3">
        <v>0</v>
      </c>
      <c r="E88" s="3">
        <v>0</v>
      </c>
      <c r="F88" s="3">
        <v>0</v>
      </c>
      <c r="H88" s="3">
        <v>0</v>
      </c>
      <c r="I88" s="3">
        <v>65.5</v>
      </c>
      <c r="J88" s="3">
        <v>29.6</v>
      </c>
      <c r="K88" s="3">
        <v>0.5</v>
      </c>
    </row>
    <row r="89" spans="2:11" x14ac:dyDescent="0.25">
      <c r="B89" s="2" t="s">
        <v>1113</v>
      </c>
      <c r="C89" s="2" t="s">
        <v>1114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90</v>
      </c>
      <c r="J89" s="3">
        <v>4.8</v>
      </c>
      <c r="K89" s="3">
        <v>0</v>
      </c>
    </row>
    <row r="90" spans="2:11" x14ac:dyDescent="0.25">
      <c r="B90" s="2" t="s">
        <v>1115</v>
      </c>
      <c r="C90" s="2" t="s">
        <v>1116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85.2</v>
      </c>
      <c r="J90" s="3">
        <v>6.7</v>
      </c>
      <c r="K90" s="3">
        <v>2.9</v>
      </c>
    </row>
    <row r="91" spans="2:11" x14ac:dyDescent="0.25">
      <c r="B91" s="2" t="s">
        <v>1117</v>
      </c>
      <c r="C91" s="2" t="s">
        <v>1118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33.200000000000003</v>
      </c>
      <c r="J91" s="3">
        <v>49.3</v>
      </c>
      <c r="K91" s="3">
        <v>12.9</v>
      </c>
    </row>
    <row r="92" spans="2:11" x14ac:dyDescent="0.25">
      <c r="B92" s="2" t="s">
        <v>1119</v>
      </c>
      <c r="C92" s="2" t="s">
        <v>1120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29.4</v>
      </c>
      <c r="J92" s="3">
        <v>42.9</v>
      </c>
      <c r="K92" s="3">
        <v>23.1</v>
      </c>
    </row>
    <row r="93" spans="2:11" x14ac:dyDescent="0.25">
      <c r="B93" s="2" t="s">
        <v>1121</v>
      </c>
      <c r="C93" s="2" t="s">
        <v>1122</v>
      </c>
      <c r="D93" s="3">
        <v>0</v>
      </c>
      <c r="E93" s="3">
        <v>0</v>
      </c>
      <c r="F93" s="3">
        <v>0</v>
      </c>
      <c r="H93" s="3">
        <v>0</v>
      </c>
      <c r="I93" s="3">
        <v>27.7</v>
      </c>
      <c r="J93" s="3">
        <v>56.7</v>
      </c>
      <c r="K93" s="3">
        <v>11</v>
      </c>
    </row>
    <row r="94" spans="2:11" x14ac:dyDescent="0.25">
      <c r="B94" s="2" t="s">
        <v>1123</v>
      </c>
      <c r="C94" s="2" t="s">
        <v>1124</v>
      </c>
      <c r="D94" s="3">
        <v>0</v>
      </c>
      <c r="E94" s="3">
        <v>0</v>
      </c>
      <c r="F94" s="3">
        <v>0</v>
      </c>
      <c r="H94" s="3">
        <v>0</v>
      </c>
      <c r="I94" s="3">
        <v>11.56</v>
      </c>
      <c r="J94" s="3">
        <v>70.554000000000002</v>
      </c>
      <c r="K94" s="3">
        <v>13.486000000000001</v>
      </c>
    </row>
    <row r="95" spans="2:11" x14ac:dyDescent="0.25">
      <c r="B95" s="2" t="s">
        <v>1125</v>
      </c>
      <c r="C95" s="2" t="s">
        <v>1126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7.3650000000000002</v>
      </c>
      <c r="J95" s="3">
        <v>63.276000000000003</v>
      </c>
      <c r="K95" s="3">
        <v>28.141999999999999</v>
      </c>
    </row>
    <row r="96" spans="2:11" x14ac:dyDescent="0.25">
      <c r="B96" s="2" t="s">
        <v>1127</v>
      </c>
      <c r="C96" s="2" t="s">
        <v>1128</v>
      </c>
      <c r="D96" s="3">
        <v>0</v>
      </c>
      <c r="E96" s="3">
        <v>0</v>
      </c>
      <c r="F96" s="3">
        <v>0</v>
      </c>
      <c r="H96" s="3">
        <v>0</v>
      </c>
      <c r="I96" s="3">
        <v>11.582000000000001</v>
      </c>
      <c r="J96" s="3">
        <v>59.186999999999998</v>
      </c>
      <c r="K96" s="3">
        <v>21.23</v>
      </c>
    </row>
    <row r="97" spans="2:11" x14ac:dyDescent="0.25">
      <c r="B97" s="2" t="s">
        <v>1129</v>
      </c>
      <c r="C97" s="2" t="s">
        <v>1130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9.859</v>
      </c>
      <c r="J97" s="3">
        <v>83.688999999999993</v>
      </c>
      <c r="K97" s="3">
        <v>3.798</v>
      </c>
    </row>
    <row r="98" spans="2:11" x14ac:dyDescent="0.25">
      <c r="B98" s="2" t="s">
        <v>1131</v>
      </c>
      <c r="C98" s="2" t="s">
        <v>1132</v>
      </c>
      <c r="D98" s="3">
        <v>0.31</v>
      </c>
      <c r="E98" s="3">
        <v>0.77</v>
      </c>
      <c r="F98" s="3">
        <v>0</v>
      </c>
      <c r="G98" s="3">
        <v>0</v>
      </c>
      <c r="H98" s="3">
        <v>719</v>
      </c>
      <c r="I98" s="3">
        <v>14.198</v>
      </c>
      <c r="J98" s="3">
        <v>30.292000000000002</v>
      </c>
      <c r="K98" s="3">
        <v>24.17</v>
      </c>
    </row>
    <row r="99" spans="2:11" x14ac:dyDescent="0.25">
      <c r="B99" s="2" t="s">
        <v>1133</v>
      </c>
      <c r="C99" s="2" t="s">
        <v>1134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20.001000000000001</v>
      </c>
      <c r="J99" s="3">
        <v>36.555</v>
      </c>
      <c r="K99" s="3">
        <v>37.991</v>
      </c>
    </row>
    <row r="100" spans="2:11" x14ac:dyDescent="0.25">
      <c r="B100" s="2" t="s">
        <v>1135</v>
      </c>
      <c r="C100" s="2" t="s">
        <v>1136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28.843</v>
      </c>
      <c r="J100" s="3">
        <v>29.582999999999998</v>
      </c>
      <c r="K100" s="3">
        <v>37.173999999999999</v>
      </c>
    </row>
    <row r="101" spans="2:11" x14ac:dyDescent="0.25">
      <c r="B101" s="2" t="s">
        <v>1137</v>
      </c>
      <c r="C101" s="2" t="s">
        <v>1138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19.62</v>
      </c>
      <c r="J101" s="3">
        <v>35.11</v>
      </c>
      <c r="K101" s="3">
        <v>40.869999999999997</v>
      </c>
    </row>
    <row r="102" spans="2:11" x14ac:dyDescent="0.25">
      <c r="B102" s="2" t="s">
        <v>1139</v>
      </c>
      <c r="C102" s="2" t="s">
        <v>1140</v>
      </c>
      <c r="D102" s="3">
        <v>0</v>
      </c>
      <c r="E102" s="3">
        <v>0</v>
      </c>
      <c r="F102" s="3">
        <v>0</v>
      </c>
      <c r="H102" s="3">
        <v>0</v>
      </c>
      <c r="I102" s="3">
        <v>22.608000000000001</v>
      </c>
      <c r="J102" s="3">
        <v>46.710999999999999</v>
      </c>
      <c r="K102" s="3">
        <v>22.541</v>
      </c>
    </row>
    <row r="103" spans="2:11" x14ac:dyDescent="0.25">
      <c r="B103" s="2" t="s">
        <v>1141</v>
      </c>
      <c r="C103" s="2" t="s">
        <v>1142</v>
      </c>
      <c r="D103" s="3">
        <v>0</v>
      </c>
      <c r="E103" s="3">
        <v>0</v>
      </c>
      <c r="F103" s="3">
        <v>0</v>
      </c>
      <c r="H103" s="3">
        <v>0</v>
      </c>
      <c r="I103" s="3">
        <v>21.29</v>
      </c>
      <c r="J103" s="3">
        <v>56.564</v>
      </c>
      <c r="K103" s="3">
        <v>15.603999999999999</v>
      </c>
    </row>
    <row r="104" spans="2:11" x14ac:dyDescent="0.25">
      <c r="B104" s="2" t="s">
        <v>1143</v>
      </c>
      <c r="C104" s="2" t="s">
        <v>1144</v>
      </c>
      <c r="D104" s="3">
        <v>0</v>
      </c>
      <c r="E104" s="3">
        <v>0</v>
      </c>
      <c r="F104" s="3">
        <v>0</v>
      </c>
      <c r="H104" s="3">
        <v>0</v>
      </c>
      <c r="I104" s="3">
        <v>30.427</v>
      </c>
      <c r="J104" s="3">
        <v>26.693999999999999</v>
      </c>
      <c r="K104" s="3">
        <v>34.197000000000003</v>
      </c>
    </row>
    <row r="105" spans="2:11" x14ac:dyDescent="0.25">
      <c r="B105" s="2" t="s">
        <v>1145</v>
      </c>
      <c r="C105" s="2" t="s">
        <v>1146</v>
      </c>
      <c r="D105" s="3">
        <v>0</v>
      </c>
      <c r="E105" s="3">
        <v>0</v>
      </c>
      <c r="F105" s="3">
        <v>0</v>
      </c>
      <c r="H105" s="3">
        <v>0</v>
      </c>
      <c r="I105" s="3">
        <v>95.6</v>
      </c>
      <c r="J105" s="3">
        <v>0</v>
      </c>
      <c r="K105" s="3">
        <v>0</v>
      </c>
    </row>
    <row r="106" spans="2:11" x14ac:dyDescent="0.25">
      <c r="B106" s="2" t="s">
        <v>1147</v>
      </c>
      <c r="C106" s="2" t="s">
        <v>1148</v>
      </c>
      <c r="D106" s="3">
        <v>0</v>
      </c>
      <c r="E106" s="3">
        <v>0</v>
      </c>
      <c r="F106" s="3">
        <v>0</v>
      </c>
      <c r="H106" s="3">
        <v>0</v>
      </c>
      <c r="I106" s="3">
        <v>19.872</v>
      </c>
      <c r="J106" s="3">
        <v>29.036999999999999</v>
      </c>
      <c r="K106" s="3">
        <v>40.323999999999998</v>
      </c>
    </row>
    <row r="107" spans="2:11" x14ac:dyDescent="0.25">
      <c r="B107" s="2" t="s">
        <v>1149</v>
      </c>
      <c r="C107" s="2" t="s">
        <v>1150</v>
      </c>
      <c r="D107" s="3">
        <v>0</v>
      </c>
      <c r="E107" s="3">
        <v>0</v>
      </c>
      <c r="F107" s="3">
        <v>0</v>
      </c>
      <c r="H107" s="3">
        <v>0</v>
      </c>
      <c r="I107" s="3">
        <v>29.891999999999999</v>
      </c>
      <c r="J107" s="3">
        <v>33.841000000000001</v>
      </c>
      <c r="K107" s="3">
        <v>31.867000000000001</v>
      </c>
    </row>
    <row r="108" spans="2:11" x14ac:dyDescent="0.25">
      <c r="B108" s="2" t="s">
        <v>1151</v>
      </c>
      <c r="C108" s="2" t="s">
        <v>1152</v>
      </c>
      <c r="D108" s="3">
        <v>0</v>
      </c>
      <c r="E108" s="3">
        <v>0</v>
      </c>
      <c r="F108" s="3">
        <v>0</v>
      </c>
      <c r="H108" s="3">
        <v>0</v>
      </c>
      <c r="I108" s="3">
        <v>30.422999999999998</v>
      </c>
      <c r="J108" s="3">
        <v>50.972999999999999</v>
      </c>
      <c r="K108" s="3">
        <v>14.204000000000001</v>
      </c>
    </row>
    <row r="109" spans="2:11" x14ac:dyDescent="0.25">
      <c r="B109" s="2" t="s">
        <v>1153</v>
      </c>
      <c r="C109" s="2" t="s">
        <v>1154</v>
      </c>
      <c r="D109" s="3">
        <v>1</v>
      </c>
      <c r="E109" s="3">
        <v>1</v>
      </c>
      <c r="F109" s="3">
        <v>0</v>
      </c>
      <c r="G109" s="3">
        <v>0</v>
      </c>
      <c r="H109" s="3">
        <v>786</v>
      </c>
      <c r="I109" s="3">
        <v>7.2380000000000004</v>
      </c>
      <c r="J109" s="3">
        <v>18.437999999999999</v>
      </c>
      <c r="K109" s="3">
        <v>12.573</v>
      </c>
    </row>
    <row r="110" spans="2:11" x14ac:dyDescent="0.25">
      <c r="B110" s="2" t="s">
        <v>1155</v>
      </c>
      <c r="C110" s="2" t="s">
        <v>1156</v>
      </c>
      <c r="D110" s="3">
        <v>3.3</v>
      </c>
      <c r="E110" s="3">
        <v>0</v>
      </c>
      <c r="F110" s="3">
        <v>0</v>
      </c>
      <c r="G110" s="3">
        <v>0</v>
      </c>
      <c r="H110" s="3">
        <v>450</v>
      </c>
      <c r="I110" s="3">
        <v>34.320999999999998</v>
      </c>
      <c r="J110" s="3">
        <v>15.927</v>
      </c>
      <c r="K110" s="3">
        <v>2.0459999999999998</v>
      </c>
    </row>
    <row r="111" spans="2:11" x14ac:dyDescent="0.25">
      <c r="B111" s="2" t="s">
        <v>1157</v>
      </c>
      <c r="C111" s="2" t="s">
        <v>1158</v>
      </c>
      <c r="D111" s="3">
        <v>3.3</v>
      </c>
      <c r="E111" s="3">
        <v>0</v>
      </c>
      <c r="F111" s="3">
        <v>0</v>
      </c>
      <c r="G111" s="3">
        <v>0</v>
      </c>
      <c r="H111" s="3">
        <v>36</v>
      </c>
      <c r="I111" s="3">
        <v>34.320999999999998</v>
      </c>
      <c r="J111" s="3">
        <v>15.927</v>
      </c>
      <c r="K111" s="3">
        <v>2.0459999999999998</v>
      </c>
    </row>
    <row r="112" spans="2:11" x14ac:dyDescent="0.25">
      <c r="B112" s="2" t="s">
        <v>1159</v>
      </c>
      <c r="C112" s="2" t="s">
        <v>1160</v>
      </c>
      <c r="D112" s="3">
        <v>0</v>
      </c>
      <c r="E112" s="3">
        <v>0</v>
      </c>
      <c r="F112" s="3">
        <v>0</v>
      </c>
      <c r="G112" s="3">
        <v>0</v>
      </c>
      <c r="H112" s="3">
        <v>545</v>
      </c>
      <c r="I112" s="3">
        <v>44.79</v>
      </c>
      <c r="J112" s="3">
        <v>41.77</v>
      </c>
      <c r="K112" s="3">
        <v>7.56</v>
      </c>
    </row>
    <row r="113" spans="2:11" x14ac:dyDescent="0.25">
      <c r="B113" s="2" t="s">
        <v>1161</v>
      </c>
      <c r="C113" s="2" t="s">
        <v>1162</v>
      </c>
      <c r="D113" s="3">
        <v>0</v>
      </c>
      <c r="E113" s="3">
        <v>0</v>
      </c>
      <c r="F113" s="3">
        <v>0</v>
      </c>
      <c r="G113" s="3">
        <v>0</v>
      </c>
      <c r="H113" s="3">
        <v>150</v>
      </c>
      <c r="I113" s="3">
        <v>39.003999999999998</v>
      </c>
      <c r="J113" s="3">
        <v>44.874000000000002</v>
      </c>
      <c r="K113" s="3">
        <v>11.144</v>
      </c>
    </row>
    <row r="114" spans="2:11" x14ac:dyDescent="0.25">
      <c r="B114" s="2" t="s">
        <v>1163</v>
      </c>
      <c r="C114" s="2" t="s">
        <v>1164</v>
      </c>
      <c r="D114" s="3">
        <v>0.16</v>
      </c>
      <c r="E114" s="3">
        <v>0.7</v>
      </c>
      <c r="F114" s="3">
        <v>0</v>
      </c>
      <c r="G114" s="3">
        <v>0</v>
      </c>
      <c r="H114" s="3">
        <v>751</v>
      </c>
      <c r="I114" s="3">
        <v>15.189</v>
      </c>
      <c r="J114" s="3">
        <v>38.877000000000002</v>
      </c>
      <c r="K114" s="3">
        <v>24.302</v>
      </c>
    </row>
    <row r="115" spans="2:11" x14ac:dyDescent="0.25">
      <c r="B115" s="2" t="s">
        <v>1165</v>
      </c>
      <c r="C115" s="2" t="s">
        <v>1166</v>
      </c>
      <c r="D115" s="3">
        <v>0.22</v>
      </c>
      <c r="E115" s="3">
        <v>0.75</v>
      </c>
      <c r="F115" s="3">
        <v>0</v>
      </c>
      <c r="G115" s="3">
        <v>0</v>
      </c>
      <c r="H115" s="3">
        <v>657</v>
      </c>
      <c r="I115" s="3">
        <v>14.224</v>
      </c>
      <c r="J115" s="3">
        <v>36.435000000000002</v>
      </c>
      <c r="K115" s="3">
        <v>26.741</v>
      </c>
    </row>
    <row r="116" spans="2:11" x14ac:dyDescent="0.25">
      <c r="B116" s="2" t="s">
        <v>1167</v>
      </c>
      <c r="C116" s="2" t="s">
        <v>1168</v>
      </c>
      <c r="D116" s="3">
        <v>0.12</v>
      </c>
      <c r="E116" s="3">
        <v>0.69</v>
      </c>
      <c r="F116" s="3">
        <v>0</v>
      </c>
      <c r="G116" s="3">
        <v>0</v>
      </c>
      <c r="H116" s="3">
        <v>785</v>
      </c>
      <c r="I116" s="3">
        <v>10.884</v>
      </c>
      <c r="J116" s="3">
        <v>29.664000000000001</v>
      </c>
      <c r="K116" s="3">
        <v>16.718</v>
      </c>
    </row>
    <row r="117" spans="2:11" x14ac:dyDescent="0.25">
      <c r="B117" s="2" t="s">
        <v>1169</v>
      </c>
      <c r="C117" s="2" t="s">
        <v>1170</v>
      </c>
      <c r="D117" s="3">
        <v>0.17</v>
      </c>
      <c r="E117" s="3">
        <v>0.86</v>
      </c>
      <c r="F117" s="3">
        <v>0</v>
      </c>
      <c r="G117" s="3">
        <v>0</v>
      </c>
      <c r="H117" s="3">
        <v>615</v>
      </c>
      <c r="I117" s="3">
        <v>12.086</v>
      </c>
      <c r="J117" s="3">
        <v>19.347999999999999</v>
      </c>
      <c r="K117" s="3">
        <v>26.477</v>
      </c>
    </row>
    <row r="118" spans="2:11" x14ac:dyDescent="0.25">
      <c r="B118" s="2" t="s">
        <v>1171</v>
      </c>
      <c r="C118" s="2" t="s">
        <v>1172</v>
      </c>
      <c r="D118" s="3">
        <v>0.6</v>
      </c>
      <c r="E118" s="3">
        <v>0</v>
      </c>
      <c r="F118" s="3">
        <v>0</v>
      </c>
      <c r="G118" s="3">
        <v>0</v>
      </c>
      <c r="H118" s="3">
        <v>700</v>
      </c>
      <c r="I118" s="3">
        <v>10.042</v>
      </c>
      <c r="J118" s="3">
        <v>20.315999999999999</v>
      </c>
      <c r="K118" s="3">
        <v>24.686</v>
      </c>
    </row>
    <row r="119" spans="2:11" x14ac:dyDescent="0.25">
      <c r="B119" s="2" t="s">
        <v>1173</v>
      </c>
      <c r="C119" s="2" t="s">
        <v>1174</v>
      </c>
      <c r="D119" s="3">
        <v>0</v>
      </c>
      <c r="E119" s="3">
        <v>0</v>
      </c>
      <c r="F119" s="3">
        <v>0</v>
      </c>
      <c r="G119" s="3">
        <v>0</v>
      </c>
      <c r="H119" s="3">
        <v>4</v>
      </c>
      <c r="I119" s="3">
        <v>24.98</v>
      </c>
      <c r="J119" s="3">
        <v>41.186</v>
      </c>
      <c r="K119" s="3">
        <v>28.097000000000001</v>
      </c>
    </row>
    <row r="120" spans="2:11" x14ac:dyDescent="0.25">
      <c r="B120" s="2" t="s">
        <v>1175</v>
      </c>
      <c r="C120" s="2" t="s">
        <v>1176</v>
      </c>
      <c r="D120" s="3">
        <v>0.16</v>
      </c>
      <c r="E120" s="3">
        <v>0.7</v>
      </c>
      <c r="F120" s="3">
        <v>0</v>
      </c>
      <c r="G120" s="3">
        <v>0</v>
      </c>
      <c r="H120" s="3">
        <v>2</v>
      </c>
      <c r="I120" s="3">
        <v>15.189</v>
      </c>
      <c r="J120" s="3">
        <v>38.877000000000002</v>
      </c>
      <c r="K120" s="3">
        <v>24.302</v>
      </c>
    </row>
    <row r="121" spans="2:11" x14ac:dyDescent="0.25">
      <c r="B121" s="2" t="s">
        <v>1177</v>
      </c>
      <c r="C121" s="2" t="s">
        <v>1178</v>
      </c>
      <c r="D121" s="3">
        <v>0.22</v>
      </c>
      <c r="E121" s="3">
        <v>0.75</v>
      </c>
      <c r="F121" s="3">
        <v>0</v>
      </c>
      <c r="G121" s="3">
        <v>0</v>
      </c>
      <c r="H121" s="3">
        <v>28</v>
      </c>
      <c r="I121" s="3">
        <v>14.224</v>
      </c>
      <c r="J121" s="3">
        <v>36.435000000000002</v>
      </c>
      <c r="K121" s="3">
        <v>26.741</v>
      </c>
    </row>
    <row r="122" spans="2:11" x14ac:dyDescent="0.25">
      <c r="B122" s="2" t="s">
        <v>1179</v>
      </c>
      <c r="C122" s="2" t="s">
        <v>1180</v>
      </c>
      <c r="D122" s="3">
        <v>0.17</v>
      </c>
      <c r="E122" s="3">
        <v>0.86</v>
      </c>
      <c r="F122" s="3">
        <v>0</v>
      </c>
      <c r="G122" s="3">
        <v>0</v>
      </c>
      <c r="H122" s="3">
        <v>2</v>
      </c>
      <c r="I122" s="3">
        <v>12.086</v>
      </c>
      <c r="J122" s="3">
        <v>19.347999999999999</v>
      </c>
      <c r="K122" s="3">
        <v>26.477</v>
      </c>
    </row>
    <row r="123" spans="2:11" x14ac:dyDescent="0.25">
      <c r="B123" s="2" t="s">
        <v>1181</v>
      </c>
      <c r="C123" s="2" t="s">
        <v>1182</v>
      </c>
      <c r="D123" s="3">
        <v>1.5</v>
      </c>
      <c r="E123" s="3">
        <v>2.5</v>
      </c>
      <c r="F123" s="3">
        <v>0</v>
      </c>
      <c r="G123" s="3">
        <v>0</v>
      </c>
      <c r="H123" s="3">
        <v>833</v>
      </c>
      <c r="I123" s="3">
        <v>0.41599999999999998</v>
      </c>
      <c r="J123" s="3">
        <v>0.74</v>
      </c>
      <c r="K123" s="3">
        <v>1.764</v>
      </c>
    </row>
    <row r="124" spans="2:11" x14ac:dyDescent="0.25">
      <c r="B124" s="2" t="s">
        <v>1183</v>
      </c>
      <c r="C124" s="2" t="s">
        <v>1184</v>
      </c>
      <c r="D124" s="3">
        <v>0.3</v>
      </c>
      <c r="E124" s="3">
        <v>0.5</v>
      </c>
      <c r="F124" s="3">
        <v>0</v>
      </c>
      <c r="G124" s="3">
        <v>0</v>
      </c>
      <c r="H124" s="3">
        <v>590</v>
      </c>
      <c r="I124" s="3">
        <v>13.3</v>
      </c>
      <c r="J124" s="3">
        <v>39.9</v>
      </c>
      <c r="K124" s="3">
        <v>14</v>
      </c>
    </row>
    <row r="125" spans="2:11" x14ac:dyDescent="0.25">
      <c r="B125" s="2" t="s">
        <v>1185</v>
      </c>
      <c r="C125" s="2" t="s">
        <v>1186</v>
      </c>
      <c r="D125" s="3">
        <v>2</v>
      </c>
      <c r="E125" s="3">
        <v>2</v>
      </c>
      <c r="F125" s="3">
        <v>0</v>
      </c>
      <c r="G125" s="3">
        <v>0</v>
      </c>
      <c r="H125" s="3">
        <v>630</v>
      </c>
      <c r="I125" s="3">
        <v>7</v>
      </c>
      <c r="J125" s="3">
        <v>9.8000000000000007</v>
      </c>
      <c r="K125" s="3">
        <v>16.8</v>
      </c>
    </row>
    <row r="126" spans="2:11" x14ac:dyDescent="0.25">
      <c r="B126" s="2" t="s">
        <v>1187</v>
      </c>
      <c r="C126" s="2" t="s">
        <v>1188</v>
      </c>
      <c r="D126" s="3">
        <v>0.16</v>
      </c>
      <c r="E126" s="3">
        <v>0.7</v>
      </c>
      <c r="F126" s="3">
        <v>0</v>
      </c>
      <c r="H126" s="3">
        <v>654</v>
      </c>
      <c r="I126" s="3">
        <v>15.189</v>
      </c>
      <c r="J126" s="3">
        <v>38.877000000000002</v>
      </c>
      <c r="K126" s="3">
        <v>24.302</v>
      </c>
    </row>
    <row r="127" spans="2:11" x14ac:dyDescent="0.25">
      <c r="B127" s="2" t="s">
        <v>1189</v>
      </c>
      <c r="C127" s="2" t="s">
        <v>1190</v>
      </c>
      <c r="D127" s="3">
        <v>0.26</v>
      </c>
      <c r="E127" s="3">
        <v>1.53</v>
      </c>
      <c r="H127" s="3">
        <v>700</v>
      </c>
      <c r="I127" s="3">
        <v>13.631</v>
      </c>
      <c r="J127" s="3">
        <v>33.468000000000004</v>
      </c>
      <c r="K127" s="3">
        <v>20.248000000000001</v>
      </c>
    </row>
    <row r="128" spans="2:11" x14ac:dyDescent="0.25">
      <c r="B128" s="2" t="s">
        <v>1191</v>
      </c>
      <c r="C128" s="2" t="s">
        <v>1192</v>
      </c>
      <c r="D128" s="3">
        <v>0.2</v>
      </c>
      <c r="E128" s="3">
        <v>0.86</v>
      </c>
      <c r="F128" s="3">
        <v>0</v>
      </c>
      <c r="H128" s="3">
        <v>646</v>
      </c>
      <c r="I128" s="3">
        <v>8.7919999999999998</v>
      </c>
      <c r="J128" s="3">
        <v>16.416</v>
      </c>
      <c r="K128" s="3">
        <v>20.234999999999999</v>
      </c>
    </row>
    <row r="129" spans="2:11" x14ac:dyDescent="0.25">
      <c r="B129" s="2" t="s">
        <v>1193</v>
      </c>
      <c r="C129" s="2" t="s">
        <v>1194</v>
      </c>
      <c r="D129" s="3">
        <v>0.1</v>
      </c>
      <c r="E129" s="3">
        <v>4.34</v>
      </c>
      <c r="F129" s="3">
        <v>0</v>
      </c>
      <c r="G129" s="3">
        <v>0</v>
      </c>
      <c r="H129" s="3">
        <v>580</v>
      </c>
      <c r="I129" s="3">
        <v>2.1280000000000001</v>
      </c>
      <c r="J129" s="3">
        <v>0.35599999999999998</v>
      </c>
      <c r="K129" s="3">
        <v>0.42199999999999999</v>
      </c>
    </row>
    <row r="130" spans="2:11" x14ac:dyDescent="0.25">
      <c r="B130" s="2" t="s">
        <v>1195</v>
      </c>
      <c r="C130" s="2" t="s">
        <v>1196</v>
      </c>
      <c r="D130" s="3">
        <v>0</v>
      </c>
      <c r="E130" s="3">
        <v>0.4</v>
      </c>
      <c r="F130" s="3">
        <v>0</v>
      </c>
      <c r="G130" s="3">
        <v>0</v>
      </c>
      <c r="H130" s="3">
        <v>733</v>
      </c>
      <c r="I130" s="3">
        <v>2.87</v>
      </c>
      <c r="J130" s="3">
        <v>7.48</v>
      </c>
      <c r="K130" s="3">
        <v>8.0399999999999991</v>
      </c>
    </row>
    <row r="131" spans="2:11" x14ac:dyDescent="0.25">
      <c r="B131" s="2" t="s">
        <v>1197</v>
      </c>
      <c r="C131" s="2" t="s">
        <v>1198</v>
      </c>
      <c r="D131" s="3">
        <v>0</v>
      </c>
      <c r="E131" s="3">
        <v>0.4</v>
      </c>
      <c r="F131" s="3">
        <v>0</v>
      </c>
      <c r="G131" s="3">
        <v>0</v>
      </c>
      <c r="H131" s="3">
        <v>0</v>
      </c>
      <c r="I131" s="3">
        <v>2.87</v>
      </c>
      <c r="J131" s="3">
        <v>7.48</v>
      </c>
      <c r="K131" s="3">
        <v>8.0399999999999991</v>
      </c>
    </row>
    <row r="132" spans="2:11" x14ac:dyDescent="0.25">
      <c r="B132" s="2" t="s">
        <v>1199</v>
      </c>
      <c r="C132" s="2" t="s">
        <v>1200</v>
      </c>
      <c r="D132" s="3">
        <v>0.55000000000000004</v>
      </c>
      <c r="E132" s="3">
        <v>29.27</v>
      </c>
      <c r="F132" s="3">
        <v>3.3</v>
      </c>
      <c r="G132" s="3">
        <v>16.829999999999998</v>
      </c>
      <c r="H132" s="3">
        <v>788</v>
      </c>
      <c r="I132" s="3">
        <v>0.19800000000000001</v>
      </c>
      <c r="J132" s="3">
        <v>0.34200000000000003</v>
      </c>
      <c r="K132" s="3">
        <v>0.63</v>
      </c>
    </row>
    <row r="133" spans="2:11" x14ac:dyDescent="0.25">
      <c r="B133" s="2" t="s">
        <v>1201</v>
      </c>
      <c r="C133" s="2" t="s">
        <v>1202</v>
      </c>
      <c r="D133" s="3">
        <v>0.97</v>
      </c>
      <c r="E133" s="3">
        <v>8.75</v>
      </c>
      <c r="F133" s="3">
        <v>0.6</v>
      </c>
      <c r="G133" s="3">
        <v>8.85</v>
      </c>
      <c r="H133" s="3">
        <v>1129</v>
      </c>
      <c r="I133" s="3">
        <v>0.29499999999999998</v>
      </c>
      <c r="J133" s="3">
        <v>0.23499999999999999</v>
      </c>
      <c r="K133" s="3">
        <v>0.192</v>
      </c>
    </row>
    <row r="134" spans="2:11" x14ac:dyDescent="0.25">
      <c r="B134" s="2" t="s">
        <v>1203</v>
      </c>
      <c r="C134" s="2" t="s">
        <v>1204</v>
      </c>
      <c r="D134" s="3">
        <v>0.25</v>
      </c>
      <c r="E134" s="3">
        <v>26.51</v>
      </c>
      <c r="F134" s="3">
        <v>0.1</v>
      </c>
      <c r="G134" s="3">
        <v>5.35</v>
      </c>
      <c r="H134" s="3">
        <v>897</v>
      </c>
      <c r="I134" s="3">
        <v>0.44700000000000001</v>
      </c>
      <c r="J134" s="3">
        <v>0.38800000000000001</v>
      </c>
      <c r="K134" s="3">
        <v>0.69799999999999995</v>
      </c>
    </row>
    <row r="135" spans="2:11" x14ac:dyDescent="0.25">
      <c r="B135" s="2" t="s">
        <v>1205</v>
      </c>
      <c r="C135" s="2" t="s">
        <v>1206</v>
      </c>
      <c r="D135" s="3">
        <v>1.32</v>
      </c>
      <c r="E135" s="3">
        <v>5.9</v>
      </c>
      <c r="F135" s="3">
        <v>0</v>
      </c>
      <c r="G135" s="3">
        <v>4.6900000000000004</v>
      </c>
      <c r="H135" s="3">
        <v>901</v>
      </c>
      <c r="I135" s="3">
        <v>6.9640000000000004</v>
      </c>
      <c r="J135" s="3">
        <v>9.202</v>
      </c>
      <c r="K135" s="3">
        <v>25.795999999999999</v>
      </c>
    </row>
    <row r="136" spans="2:11" x14ac:dyDescent="0.25">
      <c r="B136" s="2" t="s">
        <v>1207</v>
      </c>
      <c r="C136" s="2" t="s">
        <v>1208</v>
      </c>
      <c r="D136" s="3">
        <v>1.25</v>
      </c>
      <c r="E136" s="3">
        <v>21.33</v>
      </c>
      <c r="F136" s="3">
        <v>1.1000000000000001</v>
      </c>
      <c r="G136" s="3">
        <v>3.77</v>
      </c>
      <c r="H136" s="3">
        <v>1120</v>
      </c>
      <c r="I136" s="3">
        <v>1.25</v>
      </c>
      <c r="J136" s="3">
        <v>2.794</v>
      </c>
      <c r="K136" s="3">
        <v>4.2130000000000001</v>
      </c>
    </row>
    <row r="137" spans="2:11" x14ac:dyDescent="0.25">
      <c r="B137" s="2" t="s">
        <v>1209</v>
      </c>
      <c r="C137" s="2" t="s">
        <v>1210</v>
      </c>
      <c r="D137" s="3">
        <v>0.37</v>
      </c>
      <c r="E137" s="3">
        <v>9.23</v>
      </c>
      <c r="F137" s="3">
        <v>0</v>
      </c>
      <c r="G137" s="3">
        <v>3.56</v>
      </c>
      <c r="H137" s="3">
        <v>827</v>
      </c>
      <c r="I137" s="3">
        <v>3.4460000000000002</v>
      </c>
      <c r="J137" s="3">
        <v>5.01</v>
      </c>
      <c r="K137" s="3">
        <v>12.993</v>
      </c>
    </row>
    <row r="138" spans="2:11" x14ac:dyDescent="0.25">
      <c r="B138" s="2" t="s">
        <v>1211</v>
      </c>
      <c r="C138" s="2" t="s">
        <v>1212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9.0090000000000003</v>
      </c>
      <c r="J138" s="3">
        <v>57.334000000000003</v>
      </c>
      <c r="K138" s="3">
        <v>28.962</v>
      </c>
    </row>
    <row r="139" spans="2:11" x14ac:dyDescent="0.25">
      <c r="B139" s="2" t="s">
        <v>1213</v>
      </c>
      <c r="C139" s="2" t="s">
        <v>1214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7.6150000000000002</v>
      </c>
      <c r="J139" s="3">
        <v>62.093000000000004</v>
      </c>
      <c r="K139" s="3">
        <v>25.588000000000001</v>
      </c>
    </row>
    <row r="140" spans="2:11" x14ac:dyDescent="0.25">
      <c r="B140" s="2" t="s">
        <v>1215</v>
      </c>
      <c r="C140" s="2" t="s">
        <v>1216</v>
      </c>
      <c r="D140" s="3">
        <v>0</v>
      </c>
      <c r="E140" s="3">
        <v>0</v>
      </c>
      <c r="F140" s="3">
        <v>0</v>
      </c>
      <c r="G140" s="3">
        <v>0</v>
      </c>
      <c r="H140" s="3">
        <v>0</v>
      </c>
      <c r="I140" s="3">
        <v>7.758</v>
      </c>
      <c r="J140" s="3">
        <v>61.15</v>
      </c>
      <c r="K140" s="3">
        <v>26.396999999999998</v>
      </c>
    </row>
    <row r="141" spans="2:11" x14ac:dyDescent="0.25">
      <c r="B141" s="2" t="s">
        <v>1217</v>
      </c>
      <c r="C141" s="2" t="s">
        <v>1218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10.117000000000001</v>
      </c>
      <c r="J141" s="3">
        <v>71.075000000000003</v>
      </c>
      <c r="K141" s="3">
        <v>14.038</v>
      </c>
    </row>
    <row r="142" spans="2:11" x14ac:dyDescent="0.25">
      <c r="B142" s="2" t="s">
        <v>1219</v>
      </c>
      <c r="C142" s="2" t="s">
        <v>1220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86.001999999999995</v>
      </c>
      <c r="J142" s="3">
        <v>5.9349999999999996</v>
      </c>
      <c r="K142" s="3">
        <v>1.657</v>
      </c>
    </row>
    <row r="143" spans="2:11" x14ac:dyDescent="0.25">
      <c r="B143" s="2" t="s">
        <v>1221</v>
      </c>
      <c r="C143" s="2" t="s">
        <v>1222</v>
      </c>
      <c r="D143" s="3">
        <v>0</v>
      </c>
      <c r="E143" s="3">
        <v>0</v>
      </c>
      <c r="F143" s="3">
        <v>0</v>
      </c>
      <c r="G143" s="3">
        <v>0</v>
      </c>
      <c r="H143" s="3">
        <v>0</v>
      </c>
      <c r="I143" s="3">
        <v>17.683</v>
      </c>
      <c r="J143" s="3">
        <v>41.929000000000002</v>
      </c>
      <c r="K143" s="3">
        <v>35.637999999999998</v>
      </c>
    </row>
    <row r="144" spans="2:11" x14ac:dyDescent="0.25">
      <c r="B144" s="2" t="s">
        <v>1223</v>
      </c>
      <c r="C144" s="2" t="s">
        <v>1224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18.358000000000001</v>
      </c>
      <c r="J144" s="3">
        <v>38.869999999999997</v>
      </c>
      <c r="K144" s="3">
        <v>38.009</v>
      </c>
    </row>
    <row r="145" spans="2:11" x14ac:dyDescent="0.25">
      <c r="B145" s="2" t="s">
        <v>1225</v>
      </c>
      <c r="C145" s="2" t="s">
        <v>1226</v>
      </c>
      <c r="D145" s="3">
        <v>0</v>
      </c>
      <c r="E145" s="3">
        <v>0</v>
      </c>
      <c r="F145" s="3">
        <v>0</v>
      </c>
      <c r="G145" s="3">
        <v>0</v>
      </c>
      <c r="H145" s="3">
        <v>0</v>
      </c>
      <c r="I145" s="3">
        <v>15.34</v>
      </c>
      <c r="J145" s="3">
        <v>21.701000000000001</v>
      </c>
      <c r="K145" s="3">
        <v>58.207999999999998</v>
      </c>
    </row>
    <row r="146" spans="2:11" x14ac:dyDescent="0.25">
      <c r="B146" s="2" t="s">
        <v>1227</v>
      </c>
      <c r="C146" s="2" t="s">
        <v>1228</v>
      </c>
      <c r="D146" s="3">
        <v>0</v>
      </c>
      <c r="E146" s="3">
        <v>0</v>
      </c>
      <c r="F146" s="3">
        <v>0</v>
      </c>
      <c r="G146" s="3">
        <v>0</v>
      </c>
      <c r="H146" s="3">
        <v>0</v>
      </c>
      <c r="I146" s="3">
        <v>18.100999999999999</v>
      </c>
      <c r="J146" s="3">
        <v>40.262</v>
      </c>
      <c r="K146" s="3">
        <v>36.847000000000001</v>
      </c>
    </row>
    <row r="147" spans="2:11" x14ac:dyDescent="0.25">
      <c r="B147" s="2" t="s">
        <v>1229</v>
      </c>
      <c r="C147" s="2" t="s">
        <v>1230</v>
      </c>
      <c r="D147" s="3">
        <v>0</v>
      </c>
      <c r="E147" s="3">
        <v>0</v>
      </c>
      <c r="F147" s="3">
        <v>0</v>
      </c>
      <c r="G147" s="3">
        <v>0</v>
      </c>
      <c r="H147" s="3">
        <v>0</v>
      </c>
      <c r="I147" s="3">
        <v>24.75</v>
      </c>
      <c r="J147" s="3">
        <v>61.247999999999998</v>
      </c>
      <c r="K147" s="3">
        <v>9.2949999999999999</v>
      </c>
    </row>
    <row r="148" spans="2:11" x14ac:dyDescent="0.25">
      <c r="B148" s="2" t="s">
        <v>1231</v>
      </c>
      <c r="C148" s="2" t="s">
        <v>1232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15.340999999999999</v>
      </c>
      <c r="J148" s="3">
        <v>34.630000000000003</v>
      </c>
      <c r="K148" s="3">
        <v>45.228000000000002</v>
      </c>
    </row>
    <row r="149" spans="2:11" x14ac:dyDescent="0.25">
      <c r="B149" s="2" t="s">
        <v>1233</v>
      </c>
      <c r="C149" s="2" t="s">
        <v>1234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>
        <v>25.882999999999999</v>
      </c>
      <c r="J149" s="3">
        <v>59.133000000000003</v>
      </c>
      <c r="K149" s="3">
        <v>10.305</v>
      </c>
    </row>
    <row r="150" spans="2:11" x14ac:dyDescent="0.25">
      <c r="B150" s="2" t="s">
        <v>1235</v>
      </c>
      <c r="C150" s="2" t="s">
        <v>1236</v>
      </c>
      <c r="D150" s="3">
        <v>0</v>
      </c>
      <c r="E150" s="3">
        <v>0</v>
      </c>
      <c r="F150" s="3">
        <v>0</v>
      </c>
      <c r="G150" s="3">
        <v>0</v>
      </c>
      <c r="H150" s="3">
        <v>864</v>
      </c>
      <c r="I150" s="3">
        <v>22.869</v>
      </c>
      <c r="J150" s="3">
        <v>37.243000000000002</v>
      </c>
      <c r="K150" s="3">
        <v>7.5119999999999996</v>
      </c>
    </row>
    <row r="151" spans="2:11" x14ac:dyDescent="0.25">
      <c r="B151" s="2" t="s">
        <v>1237</v>
      </c>
      <c r="C151" s="2" t="s">
        <v>1238</v>
      </c>
      <c r="D151" s="3">
        <v>0</v>
      </c>
      <c r="E151" s="3">
        <v>0</v>
      </c>
      <c r="F151" s="3">
        <v>0</v>
      </c>
      <c r="G151" s="3">
        <v>0</v>
      </c>
      <c r="H151" s="3">
        <v>6</v>
      </c>
      <c r="I151" s="3">
        <v>87.558000000000007</v>
      </c>
      <c r="J151" s="3">
        <v>5.4059999999999997</v>
      </c>
      <c r="K151" s="3">
        <v>0.83399999999999996</v>
      </c>
    </row>
    <row r="152" spans="2:11" x14ac:dyDescent="0.25">
      <c r="B152" s="2" t="s">
        <v>1239</v>
      </c>
      <c r="C152" s="2" t="s">
        <v>1240</v>
      </c>
      <c r="D152" s="3">
        <v>0</v>
      </c>
      <c r="E152" s="3">
        <v>0</v>
      </c>
      <c r="F152" s="3">
        <v>0</v>
      </c>
      <c r="G152" s="3">
        <v>0</v>
      </c>
      <c r="H152" s="3">
        <v>6</v>
      </c>
      <c r="I152" s="3">
        <v>93.700999999999993</v>
      </c>
      <c r="J152" s="3">
        <v>0.25700000000000001</v>
      </c>
      <c r="K152" s="3">
        <v>0</v>
      </c>
    </row>
    <row r="153" spans="2:11" x14ac:dyDescent="0.25">
      <c r="B153" s="2" t="s">
        <v>1241</v>
      </c>
      <c r="C153" s="2" t="s">
        <v>1240</v>
      </c>
      <c r="D153" s="3">
        <v>0</v>
      </c>
      <c r="E153" s="3">
        <v>0</v>
      </c>
      <c r="F153" s="3">
        <v>0</v>
      </c>
      <c r="G153" s="3">
        <v>0</v>
      </c>
      <c r="H153" s="3">
        <v>6</v>
      </c>
      <c r="I153" s="3">
        <v>92.614000000000004</v>
      </c>
      <c r="J153" s="3">
        <v>1.2709999999999999</v>
      </c>
      <c r="K153" s="3">
        <v>3.6999999999999998E-2</v>
      </c>
    </row>
    <row r="154" spans="2:11" x14ac:dyDescent="0.25">
      <c r="B154" s="2" t="s">
        <v>1242</v>
      </c>
      <c r="C154" s="2" t="s">
        <v>1243</v>
      </c>
      <c r="D154" s="3">
        <v>0</v>
      </c>
      <c r="E154" s="3">
        <v>0</v>
      </c>
      <c r="F154" s="3">
        <v>0</v>
      </c>
      <c r="G154" s="3">
        <v>0</v>
      </c>
      <c r="H154" s="3">
        <v>5</v>
      </c>
      <c r="I154" s="3">
        <v>86.503</v>
      </c>
      <c r="J154" s="3">
        <v>5.681</v>
      </c>
      <c r="K154" s="3">
        <v>1.45</v>
      </c>
    </row>
    <row r="155" spans="2:11" x14ac:dyDescent="0.25">
      <c r="B155" s="2" t="s">
        <v>1244</v>
      </c>
      <c r="C155" s="2" t="s">
        <v>1245</v>
      </c>
      <c r="D155" s="3">
        <v>0</v>
      </c>
      <c r="E155" s="3">
        <v>0</v>
      </c>
      <c r="F155" s="3">
        <v>0</v>
      </c>
      <c r="G155" s="3">
        <v>0</v>
      </c>
      <c r="H155" s="3">
        <v>6</v>
      </c>
      <c r="I155" s="3">
        <v>88.965000000000003</v>
      </c>
      <c r="J155" s="3">
        <v>4.9340000000000002</v>
      </c>
      <c r="K155" s="3">
        <v>0</v>
      </c>
    </row>
    <row r="156" spans="2:11" x14ac:dyDescent="0.25">
      <c r="B156" s="2" t="s">
        <v>1246</v>
      </c>
      <c r="C156" s="2" t="s">
        <v>1247</v>
      </c>
      <c r="D156" s="3">
        <v>0</v>
      </c>
      <c r="E156" s="3">
        <v>0</v>
      </c>
      <c r="F156" s="3">
        <v>0</v>
      </c>
      <c r="G156" s="3">
        <v>0</v>
      </c>
      <c r="H156" s="3">
        <v>7</v>
      </c>
      <c r="I156" s="3">
        <v>93.536000000000001</v>
      </c>
      <c r="J156" s="3">
        <v>0.26700000000000002</v>
      </c>
      <c r="K156" s="3">
        <v>0</v>
      </c>
    </row>
    <row r="157" spans="2:11" x14ac:dyDescent="0.25">
      <c r="B157" s="2" t="s">
        <v>1248</v>
      </c>
      <c r="C157" s="2" t="s">
        <v>1249</v>
      </c>
      <c r="D157" s="3">
        <v>0</v>
      </c>
      <c r="E157" s="3">
        <v>0</v>
      </c>
      <c r="F157" s="3">
        <v>0</v>
      </c>
      <c r="G157" s="3">
        <v>0</v>
      </c>
      <c r="H157" s="3">
        <v>6</v>
      </c>
      <c r="I157" s="3">
        <v>71.444000000000003</v>
      </c>
      <c r="J157" s="3">
        <v>19.702000000000002</v>
      </c>
      <c r="K157" s="3">
        <v>3.2469999999999999</v>
      </c>
    </row>
    <row r="158" spans="2:11" x14ac:dyDescent="0.25">
      <c r="B158" s="2" t="s">
        <v>1250</v>
      </c>
      <c r="C158" s="2" t="s">
        <v>1251</v>
      </c>
      <c r="D158" s="3">
        <v>0</v>
      </c>
      <c r="E158" s="3">
        <v>0</v>
      </c>
      <c r="F158" s="3">
        <v>0</v>
      </c>
      <c r="G158" s="3">
        <v>0</v>
      </c>
      <c r="H158" s="3">
        <v>6</v>
      </c>
      <c r="I158" s="3">
        <v>88.209000000000003</v>
      </c>
      <c r="J158" s="3">
        <v>5.7050000000000001</v>
      </c>
      <c r="K158" s="3">
        <v>0</v>
      </c>
    </row>
    <row r="159" spans="2:11" x14ac:dyDescent="0.25">
      <c r="B159" s="2" t="s">
        <v>1252</v>
      </c>
      <c r="C159" s="2" t="s">
        <v>1253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28.420999999999999</v>
      </c>
      <c r="J159" s="3">
        <v>59.715000000000003</v>
      </c>
      <c r="K159" s="3">
        <v>7.0949999999999998</v>
      </c>
    </row>
    <row r="160" spans="2:11" x14ac:dyDescent="0.25">
      <c r="B160" s="2" t="s">
        <v>1254</v>
      </c>
      <c r="C160" s="2" t="s">
        <v>1255</v>
      </c>
      <c r="D160" s="3">
        <v>1.9</v>
      </c>
      <c r="E160" s="3">
        <v>0</v>
      </c>
      <c r="F160" s="3">
        <v>0</v>
      </c>
      <c r="G160" s="3">
        <v>0</v>
      </c>
      <c r="H160" s="3">
        <v>879</v>
      </c>
      <c r="I160" s="3">
        <v>20.442</v>
      </c>
      <c r="J160" s="3">
        <v>46.692</v>
      </c>
      <c r="K160" s="3">
        <v>9.2650000000000006</v>
      </c>
    </row>
    <row r="161" spans="2:11" x14ac:dyDescent="0.25">
      <c r="B161" s="2" t="s">
        <v>1256</v>
      </c>
      <c r="C161" s="2" t="s">
        <v>1257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17.416</v>
      </c>
      <c r="J161" s="3">
        <v>40.823999999999998</v>
      </c>
      <c r="K161" s="3">
        <v>36.037999999999997</v>
      </c>
    </row>
    <row r="162" spans="2:11" x14ac:dyDescent="0.25">
      <c r="B162" s="2" t="s">
        <v>1258</v>
      </c>
      <c r="C162" s="2" t="s">
        <v>1259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18.788</v>
      </c>
      <c r="J162" s="3">
        <v>71.022999999999996</v>
      </c>
      <c r="K162" s="3">
        <v>5.4</v>
      </c>
    </row>
    <row r="163" spans="2:11" x14ac:dyDescent="0.25">
      <c r="B163" s="2" t="s">
        <v>1260</v>
      </c>
      <c r="C163" s="2" t="s">
        <v>1261</v>
      </c>
      <c r="D163" s="3">
        <v>0.18</v>
      </c>
      <c r="E163" s="3">
        <v>0.71</v>
      </c>
      <c r="F163" s="3">
        <v>0</v>
      </c>
      <c r="G163" s="3">
        <v>0</v>
      </c>
      <c r="H163" s="3">
        <v>886</v>
      </c>
      <c r="I163" s="3">
        <v>16.321000000000002</v>
      </c>
      <c r="J163" s="3">
        <v>37.46</v>
      </c>
      <c r="K163" s="3">
        <v>22.422000000000001</v>
      </c>
    </row>
    <row r="164" spans="2:11" x14ac:dyDescent="0.25">
      <c r="B164" s="2" t="s">
        <v>1262</v>
      </c>
      <c r="C164" s="2" t="s">
        <v>1263</v>
      </c>
      <c r="D164" s="3">
        <v>0</v>
      </c>
      <c r="E164" s="3">
        <v>0</v>
      </c>
      <c r="F164" s="3">
        <v>0</v>
      </c>
      <c r="G164" s="3">
        <v>0</v>
      </c>
      <c r="H164" s="3">
        <v>0</v>
      </c>
      <c r="I164" s="3">
        <v>15.250999999999999</v>
      </c>
      <c r="J164" s="3">
        <v>22.727</v>
      </c>
      <c r="K164" s="3">
        <v>57.332999999999998</v>
      </c>
    </row>
    <row r="165" spans="2:11" x14ac:dyDescent="0.25">
      <c r="B165" s="2" t="s">
        <v>1264</v>
      </c>
      <c r="C165" s="2" t="s">
        <v>1265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>
        <v>7.4290000000000003</v>
      </c>
      <c r="J165" s="3">
        <v>22.73</v>
      </c>
      <c r="K165" s="3">
        <v>65.138000000000005</v>
      </c>
    </row>
    <row r="166" spans="2:11" x14ac:dyDescent="0.25">
      <c r="B166" s="2" t="s">
        <v>1266</v>
      </c>
      <c r="C166" s="2" t="s">
        <v>1267</v>
      </c>
      <c r="D166" s="3">
        <v>0.14000000000000001</v>
      </c>
      <c r="E166" s="3">
        <v>0.14000000000000001</v>
      </c>
      <c r="F166" s="3">
        <v>0</v>
      </c>
      <c r="G166" s="3">
        <v>0</v>
      </c>
      <c r="H166" s="3">
        <v>646</v>
      </c>
      <c r="I166" s="3">
        <v>16.690000000000001</v>
      </c>
      <c r="J166" s="3">
        <v>26.207000000000001</v>
      </c>
      <c r="K166" s="3">
        <v>17.821999999999999</v>
      </c>
    </row>
    <row r="167" spans="2:11" x14ac:dyDescent="0.25">
      <c r="B167" s="2" t="s">
        <v>1268</v>
      </c>
      <c r="C167" s="2" t="s">
        <v>1269</v>
      </c>
      <c r="D167" s="3">
        <v>0.02</v>
      </c>
      <c r="E167" s="3">
        <v>1.98</v>
      </c>
      <c r="H167" s="3">
        <v>580</v>
      </c>
      <c r="I167" s="3">
        <v>10.087</v>
      </c>
      <c r="J167" s="3">
        <v>13.699</v>
      </c>
      <c r="K167" s="3">
        <v>9.6509999999999998</v>
      </c>
    </row>
    <row r="168" spans="2:11" x14ac:dyDescent="0.25">
      <c r="B168" s="2" t="s">
        <v>1270</v>
      </c>
      <c r="C168" s="2" t="s">
        <v>1271</v>
      </c>
      <c r="D168" s="3">
        <v>0</v>
      </c>
      <c r="E168" s="3">
        <v>0</v>
      </c>
      <c r="F168" s="3">
        <v>0</v>
      </c>
      <c r="G168" s="3">
        <v>0</v>
      </c>
      <c r="H168" s="3">
        <v>755</v>
      </c>
      <c r="I168" s="3">
        <v>2.2200000000000002</v>
      </c>
      <c r="J168" s="3">
        <v>7.6</v>
      </c>
      <c r="K168" s="3">
        <v>3.98</v>
      </c>
    </row>
    <row r="169" spans="2:11" x14ac:dyDescent="0.25">
      <c r="B169" s="2" t="s">
        <v>1272</v>
      </c>
      <c r="C169" s="2" t="s">
        <v>1273</v>
      </c>
      <c r="D169" s="3">
        <v>0</v>
      </c>
      <c r="E169" s="3">
        <v>7.1</v>
      </c>
      <c r="F169" s="3">
        <v>0</v>
      </c>
      <c r="G169" s="3">
        <v>1</v>
      </c>
      <c r="H169" s="3">
        <v>829</v>
      </c>
      <c r="I169" s="3">
        <v>0.31</v>
      </c>
      <c r="J169" s="3">
        <v>0.47</v>
      </c>
      <c r="K169" s="3">
        <v>1.18</v>
      </c>
    </row>
    <row r="170" spans="2:11" x14ac:dyDescent="0.25">
      <c r="B170" s="2" t="s">
        <v>1274</v>
      </c>
      <c r="C170" s="2" t="s">
        <v>1275</v>
      </c>
      <c r="D170" s="3">
        <v>0.13</v>
      </c>
      <c r="E170" s="3">
        <v>0.16</v>
      </c>
      <c r="F170" s="3">
        <v>0</v>
      </c>
      <c r="G170" s="3">
        <v>0</v>
      </c>
      <c r="H170" s="3">
        <v>729</v>
      </c>
      <c r="I170" s="3">
        <v>19.829999999999998</v>
      </c>
      <c r="J170" s="3">
        <v>25.334</v>
      </c>
      <c r="K170" s="3">
        <v>18.484000000000002</v>
      </c>
    </row>
    <row r="171" spans="2:11" x14ac:dyDescent="0.25">
      <c r="B171" s="2" t="s">
        <v>1276</v>
      </c>
      <c r="C171" s="2" t="s">
        <v>1277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6.5110000000000001</v>
      </c>
      <c r="J171" s="3">
        <v>71.991</v>
      </c>
      <c r="K171" s="3">
        <v>17.097999999999999</v>
      </c>
    </row>
    <row r="172" spans="2:11" x14ac:dyDescent="0.25">
      <c r="B172" s="2" t="s">
        <v>1278</v>
      </c>
      <c r="C172" s="2" t="s">
        <v>1279</v>
      </c>
      <c r="D172" s="3">
        <v>0.26</v>
      </c>
      <c r="E172" s="3">
        <v>20.69</v>
      </c>
      <c r="F172" s="3">
        <v>0</v>
      </c>
      <c r="G172" s="3">
        <v>0</v>
      </c>
      <c r="H172" s="3">
        <v>59</v>
      </c>
      <c r="I172" s="3">
        <v>5.0250000000000004</v>
      </c>
      <c r="J172" s="3">
        <v>49.792000000000002</v>
      </c>
      <c r="K172" s="3">
        <v>22.145</v>
      </c>
    </row>
    <row r="173" spans="2:11" x14ac:dyDescent="0.25">
      <c r="B173" s="2" t="s">
        <v>1280</v>
      </c>
      <c r="C173" s="2" t="s">
        <v>1281</v>
      </c>
      <c r="D173" s="3">
        <v>7.0000000000000007E-2</v>
      </c>
      <c r="E173" s="3">
        <v>0.59</v>
      </c>
      <c r="H173" s="3">
        <v>536</v>
      </c>
      <c r="I173" s="3">
        <v>16.687999999999999</v>
      </c>
      <c r="J173" s="3">
        <v>24.748000000000001</v>
      </c>
      <c r="K173" s="3">
        <v>23.794</v>
      </c>
    </row>
    <row r="174" spans="2:11" x14ac:dyDescent="0.25">
      <c r="B174" s="2" t="s">
        <v>1282</v>
      </c>
      <c r="C174" s="2" t="s">
        <v>1283</v>
      </c>
      <c r="D174" s="3">
        <v>0.41</v>
      </c>
      <c r="E174" s="3">
        <v>1.39</v>
      </c>
      <c r="H174" s="3">
        <v>714</v>
      </c>
      <c r="I174" s="3">
        <v>11.648</v>
      </c>
      <c r="J174" s="3">
        <v>45.262</v>
      </c>
      <c r="K174" s="3">
        <v>21.344000000000001</v>
      </c>
    </row>
    <row r="175" spans="2:11" x14ac:dyDescent="0.25">
      <c r="B175" s="2" t="s">
        <v>1284</v>
      </c>
      <c r="C175" s="2" t="s">
        <v>1285</v>
      </c>
      <c r="D175" s="3">
        <v>0</v>
      </c>
      <c r="E175" s="3">
        <v>0</v>
      </c>
      <c r="H175" s="3">
        <v>0</v>
      </c>
      <c r="I175" s="3">
        <v>4.63</v>
      </c>
      <c r="J175" s="3">
        <v>37.015999999999998</v>
      </c>
      <c r="K175" s="3">
        <v>53.37</v>
      </c>
    </row>
    <row r="176" spans="2:11" x14ac:dyDescent="0.25">
      <c r="B176" s="2" t="s">
        <v>1286</v>
      </c>
      <c r="C176" s="2" t="s">
        <v>1287</v>
      </c>
      <c r="D176" s="3">
        <v>0.98</v>
      </c>
      <c r="E176" s="3">
        <v>28.26</v>
      </c>
      <c r="F176" s="3">
        <v>0.8</v>
      </c>
      <c r="G176" s="3">
        <v>18.329999999999998</v>
      </c>
      <c r="H176" s="3">
        <v>701</v>
      </c>
      <c r="I176" s="3">
        <v>0.83299999999999996</v>
      </c>
      <c r="J176" s="3">
        <v>5.5730000000000004</v>
      </c>
      <c r="K176" s="3">
        <v>3.1520000000000001</v>
      </c>
    </row>
    <row r="177" spans="2:11" x14ac:dyDescent="0.25">
      <c r="B177" s="2" t="s">
        <v>1288</v>
      </c>
      <c r="C177" s="2" t="s">
        <v>1289</v>
      </c>
      <c r="D177" s="3">
        <v>0</v>
      </c>
      <c r="E177" s="3">
        <v>5.71</v>
      </c>
      <c r="H177" s="3">
        <v>670</v>
      </c>
      <c r="I177" s="3">
        <v>4.7699999999999996</v>
      </c>
      <c r="J177" s="3">
        <v>18.931999999999999</v>
      </c>
      <c r="K177" s="3">
        <v>11.948</v>
      </c>
    </row>
    <row r="178" spans="2:11" x14ac:dyDescent="0.25">
      <c r="B178" s="2" t="s">
        <v>1290</v>
      </c>
      <c r="C178" s="2" t="s">
        <v>1291</v>
      </c>
      <c r="D178" s="3">
        <v>0.16</v>
      </c>
      <c r="E178" s="3">
        <v>16.600000000000001</v>
      </c>
      <c r="F178" s="3">
        <v>0.3</v>
      </c>
      <c r="G178" s="3">
        <v>14.29</v>
      </c>
      <c r="H178" s="3">
        <v>1102</v>
      </c>
      <c r="I178" s="3">
        <v>1.643</v>
      </c>
    </row>
    <row r="179" spans="2:11" x14ac:dyDescent="0.25">
      <c r="B179" s="2" t="s">
        <v>1292</v>
      </c>
      <c r="C179" s="2" t="s">
        <v>1293</v>
      </c>
      <c r="D179" s="3">
        <v>1.53</v>
      </c>
      <c r="E179" s="3">
        <v>9.39</v>
      </c>
      <c r="F179" s="3">
        <v>0.2</v>
      </c>
      <c r="G179" s="3">
        <v>5.38</v>
      </c>
      <c r="H179" s="3">
        <v>848</v>
      </c>
      <c r="I179" s="3">
        <v>3.2879999999999998</v>
      </c>
      <c r="J179" s="3">
        <v>16.661999999999999</v>
      </c>
      <c r="K179" s="3">
        <v>11.776</v>
      </c>
    </row>
    <row r="180" spans="2:11" x14ac:dyDescent="0.25">
      <c r="B180" s="2" t="s">
        <v>1294</v>
      </c>
      <c r="C180" s="2" t="s">
        <v>1295</v>
      </c>
      <c r="D180" s="3">
        <v>0.51</v>
      </c>
      <c r="E180" s="3">
        <v>0.66</v>
      </c>
      <c r="F180" s="3">
        <v>0</v>
      </c>
      <c r="G180" s="3">
        <v>0</v>
      </c>
      <c r="H180" s="3">
        <v>589</v>
      </c>
      <c r="I180" s="3">
        <v>8.6370000000000005</v>
      </c>
      <c r="J180" s="3">
        <v>13.958</v>
      </c>
      <c r="K180" s="3">
        <v>12.734999999999999</v>
      </c>
    </row>
    <row r="181" spans="2:11" x14ac:dyDescent="0.25">
      <c r="B181" s="2" t="s">
        <v>1296</v>
      </c>
      <c r="C181" s="2" t="s">
        <v>1297</v>
      </c>
      <c r="D181" s="3">
        <v>0.16</v>
      </c>
      <c r="E181" s="3">
        <v>0.7</v>
      </c>
      <c r="F181" s="3">
        <v>0</v>
      </c>
      <c r="G181" s="3">
        <v>0</v>
      </c>
      <c r="H181" s="3">
        <v>751</v>
      </c>
      <c r="I181" s="3">
        <v>15.189</v>
      </c>
      <c r="J181" s="3">
        <v>38.877000000000002</v>
      </c>
      <c r="K181" s="3">
        <v>24.302</v>
      </c>
    </row>
    <row r="182" spans="2:11" x14ac:dyDescent="0.25">
      <c r="B182" s="2" t="s">
        <v>1298</v>
      </c>
      <c r="C182" s="2" t="s">
        <v>1299</v>
      </c>
      <c r="D182" s="3">
        <v>0.22</v>
      </c>
      <c r="E182" s="3">
        <v>0.75</v>
      </c>
      <c r="F182" s="3">
        <v>0</v>
      </c>
      <c r="G182" s="3">
        <v>0</v>
      </c>
      <c r="H182" s="3">
        <v>657</v>
      </c>
      <c r="I182" s="3">
        <v>14.224</v>
      </c>
      <c r="J182" s="3">
        <v>36.435000000000002</v>
      </c>
      <c r="K182" s="3">
        <v>26.741</v>
      </c>
    </row>
    <row r="183" spans="2:11" x14ac:dyDescent="0.25">
      <c r="B183" s="2" t="s">
        <v>1300</v>
      </c>
      <c r="C183" s="2" t="s">
        <v>1301</v>
      </c>
      <c r="D183" s="3">
        <v>0.12</v>
      </c>
      <c r="E183" s="3">
        <v>0.69</v>
      </c>
      <c r="F183" s="3">
        <v>0</v>
      </c>
      <c r="G183" s="3">
        <v>0</v>
      </c>
      <c r="H183" s="3">
        <v>785</v>
      </c>
      <c r="I183" s="3">
        <v>10.884</v>
      </c>
      <c r="J183" s="3">
        <v>29.664000000000001</v>
      </c>
      <c r="K183" s="3">
        <v>16.718</v>
      </c>
    </row>
    <row r="184" spans="2:11" x14ac:dyDescent="0.25">
      <c r="B184" s="2" t="s">
        <v>1302</v>
      </c>
      <c r="C184" s="2" t="s">
        <v>1303</v>
      </c>
      <c r="D184" s="3">
        <v>0.17</v>
      </c>
      <c r="E184" s="3">
        <v>0.86</v>
      </c>
      <c r="F184" s="3">
        <v>0</v>
      </c>
      <c r="G184" s="3">
        <v>0</v>
      </c>
      <c r="H184" s="3">
        <v>785</v>
      </c>
      <c r="I184" s="3">
        <v>12.086</v>
      </c>
      <c r="J184" s="3">
        <v>19.347000000000001</v>
      </c>
      <c r="K184" s="3">
        <v>26.477</v>
      </c>
    </row>
    <row r="185" spans="2:11" x14ac:dyDescent="0.25">
      <c r="B185" s="2" t="s">
        <v>1304</v>
      </c>
      <c r="C185" s="2" t="s">
        <v>1305</v>
      </c>
      <c r="D185" s="3">
        <v>0.6</v>
      </c>
      <c r="E185" s="3">
        <v>0</v>
      </c>
      <c r="F185" s="3">
        <v>0</v>
      </c>
      <c r="G185" s="3">
        <v>0</v>
      </c>
      <c r="H185" s="3">
        <v>785</v>
      </c>
      <c r="I185" s="3">
        <v>10.042</v>
      </c>
      <c r="J185" s="3">
        <v>20.315999999999999</v>
      </c>
      <c r="K185" s="3">
        <v>24.686</v>
      </c>
    </row>
    <row r="186" spans="2:11" x14ac:dyDescent="0.25">
      <c r="B186" s="2" t="s">
        <v>1306</v>
      </c>
      <c r="C186" s="2" t="s">
        <v>1307</v>
      </c>
      <c r="D186" s="3">
        <v>0.16</v>
      </c>
      <c r="E186" s="3">
        <v>0.7</v>
      </c>
      <c r="F186" s="3">
        <v>0</v>
      </c>
      <c r="G186" s="3">
        <v>0</v>
      </c>
      <c r="H186" s="3">
        <v>2</v>
      </c>
      <c r="I186" s="3">
        <v>15.189</v>
      </c>
      <c r="J186" s="3">
        <v>38.877000000000002</v>
      </c>
      <c r="K186" s="3">
        <v>24.302</v>
      </c>
    </row>
    <row r="187" spans="2:11" x14ac:dyDescent="0.25">
      <c r="B187" s="2" t="s">
        <v>1308</v>
      </c>
      <c r="C187" s="2" t="s">
        <v>1309</v>
      </c>
      <c r="D187" s="3">
        <v>0.17</v>
      </c>
      <c r="E187" s="3">
        <v>0.86</v>
      </c>
      <c r="F187" s="3">
        <v>0</v>
      </c>
      <c r="G187" s="3">
        <v>0</v>
      </c>
      <c r="H187" s="3">
        <v>2</v>
      </c>
      <c r="I187" s="3">
        <v>12.086</v>
      </c>
      <c r="J187" s="3">
        <v>19.347999999999999</v>
      </c>
      <c r="K187" s="3">
        <v>26.477</v>
      </c>
    </row>
    <row r="188" spans="2:11" x14ac:dyDescent="0.25">
      <c r="B188" s="2" t="s">
        <v>1310</v>
      </c>
      <c r="C188" s="2" t="s">
        <v>1311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 s="3">
        <v>6.7869999999999999</v>
      </c>
      <c r="J188" s="3">
        <v>72.733999999999995</v>
      </c>
      <c r="K188" s="3">
        <v>15.785</v>
      </c>
    </row>
    <row r="189" spans="2:11" x14ac:dyDescent="0.25">
      <c r="B189" s="2" t="s">
        <v>1312</v>
      </c>
      <c r="C189" s="2" t="s">
        <v>1313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15.084</v>
      </c>
      <c r="J189" s="3">
        <v>21.437999999999999</v>
      </c>
      <c r="K189" s="3">
        <v>58.932000000000002</v>
      </c>
    </row>
    <row r="190" spans="2:11" x14ac:dyDescent="0.25">
      <c r="B190" s="2" t="s">
        <v>1314</v>
      </c>
      <c r="C190" s="2" t="s">
        <v>1315</v>
      </c>
      <c r="D190" s="3">
        <v>0</v>
      </c>
      <c r="E190" s="3">
        <v>0</v>
      </c>
      <c r="F190" s="3">
        <v>0</v>
      </c>
      <c r="G190" s="3">
        <v>0</v>
      </c>
      <c r="H190" s="3">
        <v>0</v>
      </c>
      <c r="I190" s="3">
        <v>14.853</v>
      </c>
      <c r="J190" s="3">
        <v>28.876000000000001</v>
      </c>
      <c r="K190" s="3">
        <v>52.149000000000001</v>
      </c>
    </row>
    <row r="191" spans="2:11" x14ac:dyDescent="0.25">
      <c r="B191" s="2" t="s">
        <v>1316</v>
      </c>
      <c r="C191" s="2" t="s">
        <v>1317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 s="3">
        <v>93.965999999999994</v>
      </c>
      <c r="J191" s="3">
        <v>1.341</v>
      </c>
      <c r="K191" s="3">
        <v>0.38300000000000001</v>
      </c>
    </row>
    <row r="192" spans="2:11" x14ac:dyDescent="0.25">
      <c r="B192" s="2" t="s">
        <v>1318</v>
      </c>
      <c r="C192" s="2" t="s">
        <v>1319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93.608000000000004</v>
      </c>
      <c r="J192" s="3">
        <v>1.5289999999999999</v>
      </c>
      <c r="K192" s="3">
        <v>0.58699999999999997</v>
      </c>
    </row>
    <row r="193" spans="2:11" x14ac:dyDescent="0.25">
      <c r="B193" s="2" t="s">
        <v>1320</v>
      </c>
      <c r="C193" s="2" t="s">
        <v>1321</v>
      </c>
      <c r="D193" s="3">
        <v>0.87</v>
      </c>
      <c r="E193" s="3">
        <v>23.33</v>
      </c>
      <c r="F193" s="3">
        <v>0.4</v>
      </c>
      <c r="G193" s="3">
        <v>15.84</v>
      </c>
      <c r="H193" s="3">
        <v>512</v>
      </c>
      <c r="I193" s="3">
        <v>5</v>
      </c>
      <c r="J193" s="3">
        <v>11.458</v>
      </c>
      <c r="K193" s="3">
        <v>22.838999999999999</v>
      </c>
    </row>
    <row r="194" spans="2:11" x14ac:dyDescent="0.25">
      <c r="B194" s="2" t="s">
        <v>1322</v>
      </c>
      <c r="C194" s="2" t="s">
        <v>1323</v>
      </c>
      <c r="D194" s="3">
        <v>0.92</v>
      </c>
      <c r="E194" s="3">
        <v>23.73</v>
      </c>
      <c r="F194" s="3">
        <v>0.3</v>
      </c>
      <c r="G194" s="3">
        <v>23.39</v>
      </c>
      <c r="H194" s="3">
        <v>933</v>
      </c>
      <c r="I194" s="3">
        <v>6.0609999999999999</v>
      </c>
      <c r="J194" s="3">
        <v>8.2070000000000007</v>
      </c>
      <c r="K194" s="3">
        <v>17.326000000000001</v>
      </c>
    </row>
    <row r="195" spans="2:11" x14ac:dyDescent="0.25">
      <c r="B195" s="2" t="s">
        <v>1324</v>
      </c>
      <c r="C195" s="2" t="s">
        <v>1325</v>
      </c>
      <c r="D195" s="3">
        <v>1.47</v>
      </c>
      <c r="E195" s="3">
        <v>30.73</v>
      </c>
      <c r="F195" s="3">
        <v>0.2</v>
      </c>
      <c r="G195" s="3">
        <v>8.82</v>
      </c>
      <c r="H195" s="3">
        <v>1265</v>
      </c>
      <c r="I195" s="3">
        <v>9.6000000000000002E-2</v>
      </c>
      <c r="J195" s="3">
        <v>4.4999999999999998E-2</v>
      </c>
      <c r="K195" s="3">
        <v>0.01</v>
      </c>
    </row>
    <row r="196" spans="2:11" x14ac:dyDescent="0.25">
      <c r="B196" s="2" t="s">
        <v>1326</v>
      </c>
      <c r="C196" s="2" t="s">
        <v>1327</v>
      </c>
      <c r="D196" s="3">
        <v>1.07</v>
      </c>
      <c r="E196" s="3">
        <v>38.43</v>
      </c>
      <c r="F196" s="3">
        <v>1.2</v>
      </c>
      <c r="G196" s="3">
        <v>17.75</v>
      </c>
      <c r="H196" s="3">
        <v>1004</v>
      </c>
      <c r="I196" s="3">
        <v>0.34899999999999998</v>
      </c>
      <c r="J196" s="3">
        <v>0.70799999999999996</v>
      </c>
      <c r="K196" s="3">
        <v>0.28699999999999998</v>
      </c>
    </row>
    <row r="197" spans="2:11" x14ac:dyDescent="0.25">
      <c r="B197" s="2" t="s">
        <v>1328</v>
      </c>
      <c r="C197" s="2" t="s">
        <v>1329</v>
      </c>
      <c r="D197" s="3">
        <v>0.37</v>
      </c>
      <c r="E197" s="3">
        <v>0.39</v>
      </c>
      <c r="H197" s="3">
        <v>6</v>
      </c>
      <c r="I197" s="3">
        <v>9.0470000000000006</v>
      </c>
      <c r="J197" s="3">
        <v>20.634</v>
      </c>
      <c r="K197" s="3">
        <v>64.876000000000005</v>
      </c>
    </row>
    <row r="198" spans="2:11" x14ac:dyDescent="0.25">
      <c r="B198" s="2" t="s">
        <v>1330</v>
      </c>
      <c r="C198" s="2" t="s">
        <v>1331</v>
      </c>
      <c r="D198" s="3">
        <v>0.37</v>
      </c>
      <c r="E198" s="3">
        <v>0</v>
      </c>
      <c r="F198" s="3">
        <v>0</v>
      </c>
      <c r="G198" s="3">
        <v>0</v>
      </c>
      <c r="H198" s="3">
        <v>800</v>
      </c>
      <c r="I198" s="3">
        <v>5.37</v>
      </c>
      <c r="J198" s="3">
        <v>29.542000000000002</v>
      </c>
      <c r="K198" s="3">
        <v>4.0060000000000002</v>
      </c>
    </row>
    <row r="199" spans="2:11" x14ac:dyDescent="0.25">
      <c r="B199" s="2" t="s">
        <v>1332</v>
      </c>
      <c r="C199" s="2" t="s">
        <v>1333</v>
      </c>
      <c r="D199" s="3">
        <v>0.65</v>
      </c>
      <c r="E199" s="3">
        <v>16.399999999999999</v>
      </c>
      <c r="F199" s="3">
        <v>0</v>
      </c>
      <c r="G199" s="3">
        <v>6.67</v>
      </c>
      <c r="H199" s="3">
        <v>833</v>
      </c>
      <c r="I199" s="3">
        <v>1.484</v>
      </c>
      <c r="J199" s="3">
        <v>2.335</v>
      </c>
      <c r="K199" s="3">
        <v>5.6379999999999999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CF704-9188-7448-991E-305AA9C0ECD2}">
  <sheetPr codeName="Sheet7"/>
  <dimension ref="A1:K208"/>
  <sheetViews>
    <sheetView topLeftCell="A189" workbookViewId="0">
      <selection activeCell="B210" sqref="B210"/>
    </sheetView>
  </sheetViews>
  <sheetFormatPr defaultColWidth="11" defaultRowHeight="15.75" x14ac:dyDescent="0.25"/>
  <cols>
    <col min="3" max="3" width="58.6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05000</v>
      </c>
      <c r="C3" s="10" t="str" cm="1">
        <f t="array" ref="C3">INDEX($B$11:$K$208, $A$3, C1)</f>
        <v>CHICKEN,BROILER,ROTISSERIE,BBQ,BREAST MEAT ONLY</v>
      </c>
      <c r="D3" s="10" cm="1">
        <f t="array" ref="D3">INDEX($B$11:$K$74, $A$3, D1)</f>
        <v>28.04</v>
      </c>
      <c r="E3" s="10" cm="1">
        <f t="array" ref="E3">INDEX($B$11:$K$74, $A$3, E1)</f>
        <v>0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328</v>
      </c>
      <c r="I3" s="10" cm="1">
        <f t="array" ref="I3">INDEX($B$11:$K$74, $A$3, I1)</f>
        <v>0.86299999999999999</v>
      </c>
      <c r="J3" s="10" cm="1">
        <f t="array" ref="J3">INDEX($B$11:$K$74, $A$3, J1)</f>
        <v>1.444</v>
      </c>
      <c r="K3" s="10" cm="1">
        <f t="array" ref="K3">INDEX($B$11:$K$74, $A$3, K1)</f>
        <v>0.49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0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2.8879999999999999</v>
      </c>
      <c r="K6" s="10">
        <f>A7*K3</f>
        <v>0.98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 t="e">
        <f>E4/E3</f>
        <v>#DIV/0!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1334</v>
      </c>
      <c r="C11" s="2" t="s">
        <v>1335</v>
      </c>
      <c r="D11" s="3">
        <v>28.04</v>
      </c>
      <c r="E11" s="3">
        <v>0</v>
      </c>
      <c r="F11" s="3">
        <v>0</v>
      </c>
      <c r="G11" s="3">
        <v>0</v>
      </c>
      <c r="H11" s="3">
        <v>328</v>
      </c>
      <c r="I11" s="3">
        <v>0.86299999999999999</v>
      </c>
      <c r="J11" s="3">
        <v>1.444</v>
      </c>
      <c r="K11" s="3">
        <v>0.49</v>
      </c>
    </row>
    <row r="12" spans="1:11" x14ac:dyDescent="0.25">
      <c r="B12" s="2" t="s">
        <v>1336</v>
      </c>
      <c r="C12" s="2" t="s">
        <v>1337</v>
      </c>
      <c r="D12" s="3">
        <v>18.329999999999998</v>
      </c>
      <c r="E12" s="3">
        <v>0.13</v>
      </c>
      <c r="F12" s="3">
        <v>0</v>
      </c>
      <c r="H12" s="3">
        <v>70</v>
      </c>
      <c r="I12" s="3">
        <v>4.24</v>
      </c>
      <c r="J12" s="3">
        <v>6.08</v>
      </c>
      <c r="K12" s="3">
        <v>3.19</v>
      </c>
    </row>
    <row r="13" spans="1:11" x14ac:dyDescent="0.25">
      <c r="B13" s="2" t="s">
        <v>1338</v>
      </c>
      <c r="C13" s="2" t="s">
        <v>1339</v>
      </c>
      <c r="D13" s="3">
        <v>22.84</v>
      </c>
      <c r="E13" s="3">
        <v>9.0299999999999994</v>
      </c>
      <c r="H13" s="3">
        <v>284</v>
      </c>
      <c r="I13" s="3">
        <v>4.67</v>
      </c>
      <c r="J13" s="3">
        <v>7.13</v>
      </c>
      <c r="K13" s="3">
        <v>4.1500000000000004</v>
      </c>
    </row>
    <row r="14" spans="1:11" x14ac:dyDescent="0.25">
      <c r="B14" s="2" t="s">
        <v>1340</v>
      </c>
      <c r="C14" s="2" t="s">
        <v>1341</v>
      </c>
      <c r="D14" s="3">
        <v>28.57</v>
      </c>
      <c r="E14" s="3">
        <v>3.27</v>
      </c>
      <c r="H14" s="3">
        <v>86</v>
      </c>
      <c r="I14" s="3">
        <v>4.16</v>
      </c>
      <c r="J14" s="3">
        <v>5.99</v>
      </c>
      <c r="K14" s="3">
        <v>3.51</v>
      </c>
    </row>
    <row r="15" spans="1:11" x14ac:dyDescent="0.25">
      <c r="B15" s="2" t="s">
        <v>1342</v>
      </c>
      <c r="C15" s="2" t="s">
        <v>1343</v>
      </c>
      <c r="D15" s="3">
        <v>26.78</v>
      </c>
      <c r="E15" s="3">
        <v>0.06</v>
      </c>
      <c r="F15" s="3">
        <v>0</v>
      </c>
      <c r="G15" s="3">
        <v>0</v>
      </c>
      <c r="H15" s="3">
        <v>79</v>
      </c>
      <c r="I15" s="3">
        <v>3.7</v>
      </c>
      <c r="J15" s="3">
        <v>5.17</v>
      </c>
      <c r="K15" s="3">
        <v>2.9</v>
      </c>
    </row>
    <row r="16" spans="1:11" x14ac:dyDescent="0.25">
      <c r="B16" s="2" t="s">
        <v>1344</v>
      </c>
      <c r="C16" s="2" t="s">
        <v>1345</v>
      </c>
      <c r="D16" s="3">
        <v>24.49</v>
      </c>
      <c r="E16" s="3">
        <v>0.06</v>
      </c>
      <c r="F16" s="3">
        <v>0</v>
      </c>
      <c r="H16" s="3">
        <v>66</v>
      </c>
      <c r="I16" s="3">
        <v>3.45</v>
      </c>
      <c r="J16" s="3">
        <v>4.82</v>
      </c>
      <c r="K16" s="3">
        <v>2.7</v>
      </c>
    </row>
    <row r="17" spans="2:11" x14ac:dyDescent="0.25">
      <c r="B17" s="2" t="s">
        <v>1346</v>
      </c>
      <c r="C17" s="2" t="s">
        <v>1347</v>
      </c>
      <c r="D17" s="3">
        <v>18.600000000000001</v>
      </c>
      <c r="E17" s="3">
        <v>0</v>
      </c>
      <c r="F17" s="3">
        <v>0</v>
      </c>
      <c r="G17" s="3">
        <v>0</v>
      </c>
      <c r="H17" s="3">
        <v>70</v>
      </c>
      <c r="I17" s="3">
        <v>4.3099999999999996</v>
      </c>
      <c r="J17" s="3">
        <v>6.24</v>
      </c>
      <c r="K17" s="3">
        <v>3.23</v>
      </c>
    </row>
    <row r="18" spans="2:11" x14ac:dyDescent="0.25">
      <c r="B18" s="2" t="s">
        <v>1348</v>
      </c>
      <c r="C18" s="2" t="s">
        <v>1349</v>
      </c>
      <c r="D18" s="3">
        <v>22.54</v>
      </c>
      <c r="E18" s="3">
        <v>9.42</v>
      </c>
      <c r="F18" s="3">
        <v>0.3</v>
      </c>
      <c r="G18" s="3">
        <v>0</v>
      </c>
      <c r="H18" s="3">
        <v>292</v>
      </c>
      <c r="I18" s="3">
        <v>4.6100000000000003</v>
      </c>
      <c r="J18" s="3">
        <v>7.09</v>
      </c>
      <c r="K18" s="3">
        <v>4.0999999999999996</v>
      </c>
    </row>
    <row r="19" spans="2:11" x14ac:dyDescent="0.25">
      <c r="B19" s="2" t="s">
        <v>1350</v>
      </c>
      <c r="C19" s="2" t="s">
        <v>1351</v>
      </c>
      <c r="D19" s="3">
        <v>28.56</v>
      </c>
      <c r="E19" s="3">
        <v>3.15</v>
      </c>
      <c r="F19" s="3">
        <v>0.1</v>
      </c>
      <c r="G19" s="3">
        <v>0</v>
      </c>
      <c r="H19" s="3">
        <v>84</v>
      </c>
      <c r="I19" s="3">
        <v>4.0599999999999996</v>
      </c>
      <c r="J19" s="3">
        <v>5.89</v>
      </c>
      <c r="K19" s="3">
        <v>3.41</v>
      </c>
    </row>
    <row r="20" spans="2:11" x14ac:dyDescent="0.25">
      <c r="B20" s="2" t="s">
        <v>1352</v>
      </c>
      <c r="C20" s="2" t="s">
        <v>1353</v>
      </c>
      <c r="D20" s="3">
        <v>27.3</v>
      </c>
      <c r="E20" s="3">
        <v>0</v>
      </c>
      <c r="F20" s="3">
        <v>0</v>
      </c>
      <c r="G20" s="3">
        <v>0</v>
      </c>
      <c r="H20" s="3">
        <v>82</v>
      </c>
      <c r="I20" s="3">
        <v>3.79</v>
      </c>
      <c r="J20" s="3">
        <v>5.34</v>
      </c>
      <c r="K20" s="3">
        <v>2.97</v>
      </c>
    </row>
    <row r="21" spans="2:11" x14ac:dyDescent="0.25">
      <c r="B21" s="2" t="s">
        <v>1354</v>
      </c>
      <c r="C21" s="2" t="s">
        <v>1355</v>
      </c>
      <c r="D21" s="3">
        <v>24.68</v>
      </c>
      <c r="E21" s="3">
        <v>0</v>
      </c>
      <c r="F21" s="3">
        <v>0</v>
      </c>
      <c r="G21" s="3">
        <v>0</v>
      </c>
      <c r="H21" s="3">
        <v>67</v>
      </c>
      <c r="I21" s="3">
        <v>3.5</v>
      </c>
      <c r="J21" s="3">
        <v>4.93</v>
      </c>
      <c r="K21" s="3">
        <v>2.74</v>
      </c>
    </row>
    <row r="22" spans="2:11" x14ac:dyDescent="0.25">
      <c r="B22" s="2" t="s">
        <v>1356</v>
      </c>
      <c r="C22" s="2" t="s">
        <v>1357</v>
      </c>
      <c r="D22" s="3">
        <v>21.39</v>
      </c>
      <c r="E22" s="3">
        <v>0</v>
      </c>
      <c r="F22" s="3">
        <v>0</v>
      </c>
      <c r="G22" s="3">
        <v>0</v>
      </c>
      <c r="H22" s="3">
        <v>77</v>
      </c>
      <c r="I22" s="3">
        <v>0.79</v>
      </c>
      <c r="J22" s="3">
        <v>0.9</v>
      </c>
      <c r="K22" s="3">
        <v>0.75</v>
      </c>
    </row>
    <row r="23" spans="2:11" x14ac:dyDescent="0.25">
      <c r="B23" s="2" t="s">
        <v>1358</v>
      </c>
      <c r="C23" s="2" t="s">
        <v>1359</v>
      </c>
      <c r="D23" s="3">
        <v>30.57</v>
      </c>
      <c r="E23" s="3">
        <v>1.69</v>
      </c>
      <c r="F23" s="3">
        <v>0.1</v>
      </c>
      <c r="G23" s="3">
        <v>0</v>
      </c>
      <c r="H23" s="3">
        <v>91</v>
      </c>
      <c r="I23" s="3">
        <v>2.46</v>
      </c>
      <c r="J23" s="3">
        <v>3.35</v>
      </c>
      <c r="K23" s="3">
        <v>2.15</v>
      </c>
    </row>
    <row r="24" spans="2:11" x14ac:dyDescent="0.25">
      <c r="B24" s="2" t="s">
        <v>1360</v>
      </c>
      <c r="C24" s="2" t="s">
        <v>1361</v>
      </c>
      <c r="D24" s="3">
        <v>28.93</v>
      </c>
      <c r="E24" s="3">
        <v>0</v>
      </c>
      <c r="F24" s="3">
        <v>0</v>
      </c>
      <c r="G24" s="3">
        <v>0</v>
      </c>
      <c r="H24" s="3">
        <v>86</v>
      </c>
      <c r="I24" s="3">
        <v>2.04</v>
      </c>
      <c r="J24" s="3">
        <v>2.66</v>
      </c>
      <c r="K24" s="3">
        <v>1.69</v>
      </c>
    </row>
    <row r="25" spans="2:11" x14ac:dyDescent="0.25">
      <c r="B25" s="2" t="s">
        <v>1362</v>
      </c>
      <c r="C25" s="2" t="s">
        <v>1363</v>
      </c>
      <c r="D25" s="3">
        <v>27.29</v>
      </c>
      <c r="E25" s="3">
        <v>0</v>
      </c>
      <c r="F25" s="3">
        <v>0</v>
      </c>
      <c r="G25" s="3">
        <v>0</v>
      </c>
      <c r="H25" s="3">
        <v>70</v>
      </c>
      <c r="I25" s="3">
        <v>1.84</v>
      </c>
      <c r="J25" s="3">
        <v>2.39</v>
      </c>
      <c r="K25" s="3">
        <v>1.54</v>
      </c>
    </row>
    <row r="26" spans="2:11" x14ac:dyDescent="0.25">
      <c r="B26" s="2" t="s">
        <v>1364</v>
      </c>
      <c r="C26" s="2" t="s">
        <v>1365</v>
      </c>
      <c r="D26" s="3">
        <v>13.33</v>
      </c>
      <c r="E26" s="3">
        <v>0</v>
      </c>
      <c r="F26" s="3">
        <v>0</v>
      </c>
      <c r="G26" s="3">
        <v>0</v>
      </c>
      <c r="H26" s="3">
        <v>63</v>
      </c>
      <c r="I26" s="3">
        <v>9.08</v>
      </c>
      <c r="J26" s="3">
        <v>13.54</v>
      </c>
      <c r="K26" s="3">
        <v>6.81</v>
      </c>
    </row>
    <row r="27" spans="2:11" x14ac:dyDescent="0.25">
      <c r="B27" s="2" t="s">
        <v>1366</v>
      </c>
      <c r="C27" s="2" t="s">
        <v>1367</v>
      </c>
      <c r="D27" s="3">
        <v>10.32</v>
      </c>
      <c r="E27" s="3">
        <v>23.15</v>
      </c>
      <c r="H27" s="3">
        <v>581</v>
      </c>
      <c r="I27" s="3">
        <v>7.61</v>
      </c>
      <c r="J27" s="3">
        <v>12.35</v>
      </c>
      <c r="K27" s="3">
        <v>6.83</v>
      </c>
    </row>
    <row r="28" spans="2:11" x14ac:dyDescent="0.25">
      <c r="B28" s="2" t="s">
        <v>1368</v>
      </c>
      <c r="C28" s="2" t="s">
        <v>1369</v>
      </c>
      <c r="D28" s="3">
        <v>19.09</v>
      </c>
      <c r="E28" s="3">
        <v>9.34</v>
      </c>
      <c r="H28" s="3">
        <v>53</v>
      </c>
      <c r="I28" s="3">
        <v>11.67</v>
      </c>
      <c r="J28" s="3">
        <v>18.010000000000002</v>
      </c>
      <c r="K28" s="3">
        <v>9.44</v>
      </c>
    </row>
    <row r="29" spans="2:11" x14ac:dyDescent="0.25">
      <c r="B29" s="2" t="s">
        <v>1370</v>
      </c>
      <c r="C29" s="2" t="s">
        <v>1371</v>
      </c>
      <c r="D29" s="3">
        <v>20.36</v>
      </c>
      <c r="E29" s="3">
        <v>0</v>
      </c>
      <c r="F29" s="3">
        <v>0</v>
      </c>
      <c r="G29" s="3">
        <v>0</v>
      </c>
      <c r="H29" s="3">
        <v>65</v>
      </c>
      <c r="I29" s="3">
        <v>11.42</v>
      </c>
      <c r="J29" s="3">
        <v>17.03</v>
      </c>
      <c r="K29" s="3">
        <v>8.57</v>
      </c>
    </row>
    <row r="30" spans="2:11" x14ac:dyDescent="0.25">
      <c r="B30" s="2" t="s">
        <v>1372</v>
      </c>
      <c r="C30" s="2" t="s">
        <v>1373</v>
      </c>
      <c r="D30" s="3">
        <v>15.22</v>
      </c>
      <c r="E30" s="3">
        <v>0</v>
      </c>
      <c r="F30" s="3">
        <v>0</v>
      </c>
      <c r="H30" s="3">
        <v>56</v>
      </c>
      <c r="I30" s="3">
        <v>9.2799999999999994</v>
      </c>
      <c r="J30" s="3">
        <v>13.83</v>
      </c>
      <c r="K30" s="3">
        <v>6.96</v>
      </c>
    </row>
    <row r="31" spans="2:11" x14ac:dyDescent="0.25">
      <c r="B31" s="2" t="s">
        <v>1374</v>
      </c>
      <c r="C31" s="2" t="s">
        <v>1375</v>
      </c>
      <c r="D31" s="3">
        <v>17.88</v>
      </c>
      <c r="E31" s="3">
        <v>1.8</v>
      </c>
      <c r="F31" s="3">
        <v>0</v>
      </c>
      <c r="H31" s="3">
        <v>77</v>
      </c>
      <c r="I31" s="3">
        <v>1.36</v>
      </c>
      <c r="J31" s="3">
        <v>1.1200000000000001</v>
      </c>
      <c r="K31" s="3">
        <v>1.0900000000000001</v>
      </c>
    </row>
    <row r="32" spans="2:11" x14ac:dyDescent="0.25">
      <c r="B32" s="2" t="s">
        <v>1376</v>
      </c>
      <c r="C32" s="2" t="s">
        <v>1377</v>
      </c>
      <c r="D32" s="3">
        <v>32.54</v>
      </c>
      <c r="E32" s="3">
        <v>4.3499999999999996</v>
      </c>
      <c r="F32" s="3">
        <v>0</v>
      </c>
      <c r="H32" s="3">
        <v>113</v>
      </c>
      <c r="I32" s="3">
        <v>3.8</v>
      </c>
      <c r="J32" s="3">
        <v>4.42</v>
      </c>
      <c r="K32" s="3">
        <v>3.38</v>
      </c>
    </row>
    <row r="33" spans="2:11" x14ac:dyDescent="0.25">
      <c r="B33" s="2" t="s">
        <v>1378</v>
      </c>
      <c r="C33" s="2" t="s">
        <v>1379</v>
      </c>
      <c r="D33" s="3">
        <v>27.15</v>
      </c>
      <c r="E33" s="3">
        <v>0</v>
      </c>
      <c r="F33" s="3">
        <v>0</v>
      </c>
      <c r="G33" s="3">
        <v>0</v>
      </c>
      <c r="H33" s="3">
        <v>67</v>
      </c>
      <c r="I33" s="3">
        <v>1.3220000000000001</v>
      </c>
      <c r="J33" s="3">
        <v>0.96199999999999997</v>
      </c>
      <c r="K33" s="3">
        <v>0.81200000000000006</v>
      </c>
    </row>
    <row r="34" spans="2:11" x14ac:dyDescent="0.25">
      <c r="B34" s="2" t="s">
        <v>1380</v>
      </c>
      <c r="C34" s="2" t="s">
        <v>1381</v>
      </c>
      <c r="D34" s="3">
        <v>17.66</v>
      </c>
      <c r="E34" s="3">
        <v>0</v>
      </c>
      <c r="F34" s="3">
        <v>0</v>
      </c>
      <c r="G34" s="3">
        <v>0</v>
      </c>
      <c r="H34" s="3">
        <v>69</v>
      </c>
      <c r="I34" s="3">
        <v>0.52900000000000003</v>
      </c>
      <c r="J34" s="3">
        <v>0.51200000000000001</v>
      </c>
      <c r="K34" s="3">
        <v>0.35699999999999998</v>
      </c>
    </row>
    <row r="35" spans="2:11" x14ac:dyDescent="0.25">
      <c r="B35" s="2" t="s">
        <v>1382</v>
      </c>
      <c r="C35" s="2" t="s">
        <v>1383</v>
      </c>
      <c r="D35" s="3">
        <v>30.39</v>
      </c>
      <c r="E35" s="3">
        <v>0</v>
      </c>
      <c r="F35" s="3">
        <v>0</v>
      </c>
      <c r="G35" s="3">
        <v>0</v>
      </c>
      <c r="H35" s="3">
        <v>56</v>
      </c>
      <c r="I35" s="3">
        <v>0.67</v>
      </c>
      <c r="J35" s="3">
        <v>0.52800000000000002</v>
      </c>
      <c r="K35" s="3">
        <v>0.35299999999999998</v>
      </c>
    </row>
    <row r="36" spans="2:11" x14ac:dyDescent="0.25">
      <c r="B36" s="2" t="s">
        <v>1384</v>
      </c>
      <c r="C36" s="2" t="s">
        <v>1385</v>
      </c>
      <c r="D36" s="3">
        <v>15.55</v>
      </c>
      <c r="E36" s="3">
        <v>0.71</v>
      </c>
      <c r="F36" s="3">
        <v>0</v>
      </c>
      <c r="H36" s="3">
        <v>74</v>
      </c>
      <c r="I36" s="3">
        <v>2.66</v>
      </c>
      <c r="J36" s="3">
        <v>2.37</v>
      </c>
      <c r="K36" s="3">
        <v>2.71</v>
      </c>
    </row>
    <row r="37" spans="2:11" x14ac:dyDescent="0.25">
      <c r="B37" s="2" t="s">
        <v>1386</v>
      </c>
      <c r="C37" s="2" t="s">
        <v>1387</v>
      </c>
      <c r="D37" s="3">
        <v>26.41</v>
      </c>
      <c r="E37" s="3">
        <v>0.1</v>
      </c>
      <c r="F37" s="3">
        <v>0</v>
      </c>
      <c r="H37" s="3">
        <v>48</v>
      </c>
      <c r="I37" s="3">
        <v>2.2599999999999998</v>
      </c>
      <c r="J37" s="3">
        <v>2.0099999999999998</v>
      </c>
      <c r="K37" s="3">
        <v>2.2999999999999998</v>
      </c>
    </row>
    <row r="38" spans="2:11" x14ac:dyDescent="0.25">
      <c r="B38" s="2" t="s">
        <v>1388</v>
      </c>
      <c r="C38" s="2" t="s">
        <v>1389</v>
      </c>
      <c r="D38" s="3">
        <v>16.920000000000002</v>
      </c>
      <c r="E38" s="3">
        <v>0.73</v>
      </c>
      <c r="F38" s="3">
        <v>0</v>
      </c>
      <c r="G38" s="3">
        <v>0</v>
      </c>
      <c r="H38" s="3">
        <v>71</v>
      </c>
      <c r="I38" s="3">
        <v>1.5629999999999999</v>
      </c>
      <c r="J38" s="3">
        <v>1.2490000000000001</v>
      </c>
      <c r="K38" s="3">
        <v>1.306</v>
      </c>
    </row>
    <row r="39" spans="2:11" x14ac:dyDescent="0.25">
      <c r="B39" s="2" t="s">
        <v>1390</v>
      </c>
      <c r="C39" s="2" t="s">
        <v>1391</v>
      </c>
      <c r="D39" s="3">
        <v>24.46</v>
      </c>
      <c r="E39" s="3">
        <v>0.87</v>
      </c>
      <c r="F39" s="3">
        <v>0</v>
      </c>
      <c r="G39" s="3">
        <v>0</v>
      </c>
      <c r="H39" s="3">
        <v>76</v>
      </c>
      <c r="I39" s="3">
        <v>2.06</v>
      </c>
      <c r="J39" s="3">
        <v>1.4159999999999999</v>
      </c>
      <c r="K39" s="3">
        <v>1.988</v>
      </c>
    </row>
    <row r="40" spans="2:11" x14ac:dyDescent="0.25">
      <c r="B40" s="2" t="s">
        <v>1392</v>
      </c>
      <c r="C40" s="2" t="s">
        <v>1393</v>
      </c>
      <c r="D40" s="3">
        <v>20.27</v>
      </c>
      <c r="E40" s="3">
        <v>0</v>
      </c>
      <c r="F40" s="3">
        <v>0</v>
      </c>
      <c r="G40" s="3">
        <v>0</v>
      </c>
      <c r="H40" s="3">
        <v>65</v>
      </c>
      <c r="I40" s="3">
        <v>3.16</v>
      </c>
      <c r="J40" s="3">
        <v>4.5199999999999996</v>
      </c>
      <c r="K40" s="3">
        <v>2.34</v>
      </c>
    </row>
    <row r="41" spans="2:11" x14ac:dyDescent="0.25">
      <c r="B41" s="2" t="s">
        <v>1394</v>
      </c>
      <c r="C41" s="2" t="s">
        <v>1395</v>
      </c>
      <c r="D41" s="3">
        <v>23.55</v>
      </c>
      <c r="E41" s="3">
        <v>9.5</v>
      </c>
      <c r="H41" s="3">
        <v>287</v>
      </c>
      <c r="I41" s="3">
        <v>4.12</v>
      </c>
      <c r="J41" s="3">
        <v>6.37</v>
      </c>
      <c r="K41" s="3">
        <v>3.6</v>
      </c>
    </row>
    <row r="42" spans="2:11" x14ac:dyDescent="0.25">
      <c r="B42" s="2" t="s">
        <v>1396</v>
      </c>
      <c r="C42" s="2" t="s">
        <v>1397</v>
      </c>
      <c r="D42" s="3">
        <v>30.45</v>
      </c>
      <c r="E42" s="3">
        <v>1.82</v>
      </c>
      <c r="F42" s="3">
        <v>0.1</v>
      </c>
      <c r="G42" s="3">
        <v>0</v>
      </c>
      <c r="H42" s="3">
        <v>77</v>
      </c>
      <c r="I42" s="3">
        <v>3.32</v>
      </c>
      <c r="J42" s="3">
        <v>4.8</v>
      </c>
      <c r="K42" s="3">
        <v>2.69</v>
      </c>
    </row>
    <row r="43" spans="2:11" x14ac:dyDescent="0.25">
      <c r="B43" s="2" t="s">
        <v>1398</v>
      </c>
      <c r="C43" s="2" t="s">
        <v>1399</v>
      </c>
      <c r="D43" s="3">
        <v>29.02</v>
      </c>
      <c r="E43" s="3">
        <v>0</v>
      </c>
      <c r="F43" s="3">
        <v>0</v>
      </c>
      <c r="H43" s="3">
        <v>75</v>
      </c>
      <c r="I43" s="3">
        <v>3.05</v>
      </c>
      <c r="J43" s="3">
        <v>4.26</v>
      </c>
      <c r="K43" s="3">
        <v>2.31</v>
      </c>
    </row>
    <row r="44" spans="2:11" x14ac:dyDescent="0.25">
      <c r="B44" s="2" t="s">
        <v>1400</v>
      </c>
      <c r="C44" s="2" t="s">
        <v>1401</v>
      </c>
      <c r="D44" s="3">
        <v>26.14</v>
      </c>
      <c r="E44" s="3">
        <v>0</v>
      </c>
      <c r="F44" s="3">
        <v>0</v>
      </c>
      <c r="H44" s="3">
        <v>63</v>
      </c>
      <c r="I44" s="3">
        <v>2.8</v>
      </c>
      <c r="J44" s="3">
        <v>3.92</v>
      </c>
      <c r="K44" s="3">
        <v>2.12</v>
      </c>
    </row>
    <row r="45" spans="2:11" x14ac:dyDescent="0.25">
      <c r="B45" s="2" t="s">
        <v>1402</v>
      </c>
      <c r="C45" s="2" t="s">
        <v>1403</v>
      </c>
      <c r="D45" s="3">
        <v>16.690000000000001</v>
      </c>
      <c r="E45" s="3">
        <v>0</v>
      </c>
      <c r="F45" s="3">
        <v>0</v>
      </c>
      <c r="G45" s="3">
        <v>0</v>
      </c>
      <c r="H45" s="3">
        <v>73</v>
      </c>
      <c r="I45" s="3">
        <v>5.26</v>
      </c>
      <c r="J45" s="3">
        <v>7.65</v>
      </c>
      <c r="K45" s="3">
        <v>3.96</v>
      </c>
    </row>
    <row r="46" spans="2:11" x14ac:dyDescent="0.25">
      <c r="B46" s="2" t="s">
        <v>1404</v>
      </c>
      <c r="C46" s="2" t="s">
        <v>1405</v>
      </c>
      <c r="D46" s="3">
        <v>21.85</v>
      </c>
      <c r="E46" s="3">
        <v>9.3800000000000008</v>
      </c>
      <c r="H46" s="3">
        <v>295</v>
      </c>
      <c r="I46" s="3">
        <v>4.95</v>
      </c>
      <c r="J46" s="3">
        <v>7.58</v>
      </c>
      <c r="K46" s="3">
        <v>4.43</v>
      </c>
    </row>
    <row r="47" spans="2:11" x14ac:dyDescent="0.25">
      <c r="B47" s="2" t="s">
        <v>1406</v>
      </c>
      <c r="C47" s="2" t="s">
        <v>1407</v>
      </c>
      <c r="D47" s="3">
        <v>27.22</v>
      </c>
      <c r="E47" s="3">
        <v>4.08</v>
      </c>
      <c r="F47" s="3">
        <v>0</v>
      </c>
      <c r="G47" s="3">
        <v>0</v>
      </c>
      <c r="H47" s="3">
        <v>89</v>
      </c>
      <c r="I47" s="3">
        <v>4.58</v>
      </c>
      <c r="J47" s="3">
        <v>6.66</v>
      </c>
      <c r="K47" s="3">
        <v>3.91</v>
      </c>
    </row>
    <row r="48" spans="2:11" x14ac:dyDescent="0.25">
      <c r="B48" s="2" t="s">
        <v>1408</v>
      </c>
      <c r="C48" s="2" t="s">
        <v>1409</v>
      </c>
      <c r="D48" s="3">
        <v>25.97</v>
      </c>
      <c r="E48" s="3">
        <v>0</v>
      </c>
      <c r="F48" s="3">
        <v>0</v>
      </c>
      <c r="H48" s="3">
        <v>87</v>
      </c>
      <c r="I48" s="3">
        <v>4.37</v>
      </c>
      <c r="J48" s="3">
        <v>6.19</v>
      </c>
      <c r="K48" s="3">
        <v>3.49</v>
      </c>
    </row>
    <row r="49" spans="2:11" x14ac:dyDescent="0.25">
      <c r="B49" s="2" t="s">
        <v>1410</v>
      </c>
      <c r="C49" s="2" t="s">
        <v>1411</v>
      </c>
      <c r="D49" s="3">
        <v>23.5</v>
      </c>
      <c r="E49" s="3">
        <v>0</v>
      </c>
      <c r="F49" s="3">
        <v>0</v>
      </c>
      <c r="H49" s="3">
        <v>70</v>
      </c>
      <c r="I49" s="3">
        <v>4.0599999999999996</v>
      </c>
      <c r="J49" s="3">
        <v>5.75</v>
      </c>
      <c r="K49" s="3">
        <v>3.24</v>
      </c>
    </row>
    <row r="50" spans="2:11" x14ac:dyDescent="0.25">
      <c r="B50" s="2" t="s">
        <v>1412</v>
      </c>
      <c r="C50" s="2" t="s">
        <v>1413</v>
      </c>
      <c r="D50" s="3">
        <v>23.2</v>
      </c>
      <c r="E50" s="3">
        <v>0</v>
      </c>
      <c r="F50" s="3">
        <v>0</v>
      </c>
      <c r="G50" s="3">
        <v>0</v>
      </c>
      <c r="H50" s="3">
        <v>68</v>
      </c>
      <c r="I50" s="3">
        <v>0.44</v>
      </c>
      <c r="J50" s="3">
        <v>0.39</v>
      </c>
      <c r="K50" s="3">
        <v>0.37</v>
      </c>
    </row>
    <row r="51" spans="2:11" x14ac:dyDescent="0.25">
      <c r="B51" s="2" t="s">
        <v>1414</v>
      </c>
      <c r="C51" s="2" t="s">
        <v>1415</v>
      </c>
      <c r="D51" s="3">
        <v>32.82</v>
      </c>
      <c r="E51" s="3">
        <v>0.42</v>
      </c>
      <c r="F51" s="3">
        <v>0</v>
      </c>
      <c r="H51" s="3">
        <v>81</v>
      </c>
      <c r="I51" s="3">
        <v>1.52</v>
      </c>
      <c r="J51" s="3">
        <v>1.97</v>
      </c>
      <c r="K51" s="3">
        <v>1.26</v>
      </c>
    </row>
    <row r="52" spans="2:11" x14ac:dyDescent="0.25">
      <c r="B52" s="2" t="s">
        <v>1416</v>
      </c>
      <c r="C52" s="2" t="s">
        <v>1417</v>
      </c>
      <c r="D52" s="3">
        <v>30.91</v>
      </c>
      <c r="E52" s="3">
        <v>0</v>
      </c>
      <c r="F52" s="3">
        <v>0</v>
      </c>
      <c r="G52" s="3">
        <v>0</v>
      </c>
      <c r="H52" s="3">
        <v>77</v>
      </c>
      <c r="I52" s="3">
        <v>1.27</v>
      </c>
      <c r="J52" s="3">
        <v>1.54</v>
      </c>
      <c r="K52" s="3">
        <v>0.98</v>
      </c>
    </row>
    <row r="53" spans="2:11" x14ac:dyDescent="0.25">
      <c r="B53" s="2" t="s">
        <v>1418</v>
      </c>
      <c r="C53" s="2" t="s">
        <v>1419</v>
      </c>
      <c r="D53" s="3">
        <v>28.88</v>
      </c>
      <c r="E53" s="3">
        <v>0</v>
      </c>
      <c r="F53" s="3">
        <v>0</v>
      </c>
      <c r="G53" s="3">
        <v>0</v>
      </c>
      <c r="H53" s="3">
        <v>65</v>
      </c>
      <c r="I53" s="3">
        <v>1.1200000000000001</v>
      </c>
      <c r="J53" s="3">
        <v>1.35</v>
      </c>
      <c r="K53" s="3">
        <v>0.87</v>
      </c>
    </row>
    <row r="54" spans="2:11" x14ac:dyDescent="0.25">
      <c r="B54" s="2" t="s">
        <v>1420</v>
      </c>
      <c r="C54" s="2" t="s">
        <v>1421</v>
      </c>
      <c r="D54" s="3">
        <v>20.079999999999998</v>
      </c>
      <c r="E54" s="3">
        <v>0</v>
      </c>
      <c r="F54" s="3">
        <v>0</v>
      </c>
      <c r="G54" s="3">
        <v>0</v>
      </c>
      <c r="H54" s="3">
        <v>85</v>
      </c>
      <c r="I54" s="3">
        <v>1.1000000000000001</v>
      </c>
      <c r="J54" s="3">
        <v>1.34</v>
      </c>
      <c r="K54" s="3">
        <v>1.07</v>
      </c>
    </row>
    <row r="55" spans="2:11" x14ac:dyDescent="0.25">
      <c r="B55" s="2" t="s">
        <v>1422</v>
      </c>
      <c r="C55" s="2" t="s">
        <v>1423</v>
      </c>
      <c r="D55" s="3">
        <v>28.99</v>
      </c>
      <c r="E55" s="3">
        <v>2.59</v>
      </c>
      <c r="F55" s="3">
        <v>0</v>
      </c>
      <c r="H55" s="3">
        <v>97</v>
      </c>
      <c r="I55" s="3">
        <v>3.12</v>
      </c>
      <c r="J55" s="3">
        <v>4.32</v>
      </c>
      <c r="K55" s="3">
        <v>2.77</v>
      </c>
    </row>
    <row r="56" spans="2:11" x14ac:dyDescent="0.25">
      <c r="B56" s="2" t="s">
        <v>1424</v>
      </c>
      <c r="C56" s="2" t="s">
        <v>1425</v>
      </c>
      <c r="D56" s="3">
        <v>27.37</v>
      </c>
      <c r="E56" s="3">
        <v>0</v>
      </c>
      <c r="F56" s="3">
        <v>0</v>
      </c>
      <c r="G56" s="3">
        <v>0</v>
      </c>
      <c r="H56" s="3">
        <v>93</v>
      </c>
      <c r="I56" s="3">
        <v>2.66</v>
      </c>
      <c r="J56" s="3">
        <v>3.56</v>
      </c>
      <c r="K56" s="3">
        <v>2.2599999999999998</v>
      </c>
    </row>
    <row r="57" spans="2:11" x14ac:dyDescent="0.25">
      <c r="B57" s="2" t="s">
        <v>1426</v>
      </c>
      <c r="C57" s="2" t="s">
        <v>1427</v>
      </c>
      <c r="D57" s="3">
        <v>25.97</v>
      </c>
      <c r="E57" s="3">
        <v>0</v>
      </c>
      <c r="F57" s="3">
        <v>0</v>
      </c>
      <c r="G57" s="3">
        <v>0</v>
      </c>
      <c r="H57" s="3">
        <v>74</v>
      </c>
      <c r="I57" s="3">
        <v>2.4500000000000002</v>
      </c>
      <c r="J57" s="3">
        <v>3.26</v>
      </c>
      <c r="K57" s="3">
        <v>2.09</v>
      </c>
    </row>
    <row r="58" spans="2:11" x14ac:dyDescent="0.25">
      <c r="B58" s="2" t="s">
        <v>1428</v>
      </c>
      <c r="C58" s="2" t="s">
        <v>1429</v>
      </c>
      <c r="D58" s="3">
        <v>3.73</v>
      </c>
      <c r="E58" s="3">
        <v>0</v>
      </c>
      <c r="F58" s="3">
        <v>0</v>
      </c>
      <c r="G58" s="3">
        <v>0</v>
      </c>
      <c r="H58" s="3">
        <v>32</v>
      </c>
      <c r="I58" s="3">
        <v>20.25</v>
      </c>
      <c r="J58" s="3">
        <v>30.3</v>
      </c>
      <c r="K58" s="3">
        <v>14.2</v>
      </c>
    </row>
    <row r="59" spans="2:11" x14ac:dyDescent="0.25">
      <c r="B59" s="2" t="s">
        <v>1430</v>
      </c>
      <c r="C59" s="2" t="s">
        <v>1431</v>
      </c>
      <c r="D59" s="3">
        <v>14.05</v>
      </c>
      <c r="E59" s="3">
        <v>0</v>
      </c>
      <c r="F59" s="3">
        <v>0</v>
      </c>
      <c r="G59" s="3">
        <v>0</v>
      </c>
      <c r="H59" s="3">
        <v>64</v>
      </c>
      <c r="I59" s="3">
        <v>8.34</v>
      </c>
      <c r="J59" s="3">
        <v>12.25</v>
      </c>
      <c r="K59" s="3">
        <v>6.14</v>
      </c>
    </row>
    <row r="60" spans="2:11" x14ac:dyDescent="0.25">
      <c r="B60" s="2" t="s">
        <v>1432</v>
      </c>
      <c r="C60" s="2" t="s">
        <v>1433</v>
      </c>
      <c r="D60" s="3">
        <v>21.97</v>
      </c>
      <c r="E60" s="3">
        <v>10.25</v>
      </c>
      <c r="H60" s="3">
        <v>317</v>
      </c>
      <c r="I60" s="3">
        <v>5.83</v>
      </c>
      <c r="J60" s="3">
        <v>8.91</v>
      </c>
      <c r="K60" s="3">
        <v>5.2</v>
      </c>
    </row>
    <row r="61" spans="2:11" x14ac:dyDescent="0.25">
      <c r="B61" s="2" t="s">
        <v>1434</v>
      </c>
      <c r="C61" s="2" t="s">
        <v>1435</v>
      </c>
      <c r="D61" s="3">
        <v>27.79</v>
      </c>
      <c r="E61" s="3">
        <v>6.5</v>
      </c>
      <c r="H61" s="3">
        <v>90</v>
      </c>
      <c r="I61" s="3">
        <v>5.61</v>
      </c>
      <c r="J61" s="3">
        <v>8.18</v>
      </c>
      <c r="K61" s="3">
        <v>4.8099999999999996</v>
      </c>
    </row>
    <row r="62" spans="2:11" x14ac:dyDescent="0.25">
      <c r="B62" s="2" t="s">
        <v>1436</v>
      </c>
      <c r="C62" s="2" t="s">
        <v>1437</v>
      </c>
      <c r="D62" s="3">
        <v>25.95</v>
      </c>
      <c r="E62" s="3">
        <v>0</v>
      </c>
      <c r="F62" s="3">
        <v>0</v>
      </c>
      <c r="G62" s="3">
        <v>0</v>
      </c>
      <c r="H62" s="3">
        <v>87</v>
      </c>
      <c r="I62" s="3">
        <v>5.82</v>
      </c>
      <c r="J62" s="3">
        <v>8.2899999999999991</v>
      </c>
      <c r="K62" s="3">
        <v>4.62</v>
      </c>
    </row>
    <row r="63" spans="2:11" x14ac:dyDescent="0.25">
      <c r="B63" s="2" t="s">
        <v>1438</v>
      </c>
      <c r="C63" s="2" t="s">
        <v>1439</v>
      </c>
      <c r="D63" s="3">
        <v>22.18</v>
      </c>
      <c r="E63" s="3">
        <v>0</v>
      </c>
      <c r="F63" s="3">
        <v>0</v>
      </c>
      <c r="G63" s="3">
        <v>0</v>
      </c>
      <c r="H63" s="3">
        <v>64</v>
      </c>
      <c r="I63" s="3">
        <v>5.0199999999999996</v>
      </c>
      <c r="J63" s="3">
        <v>7.13</v>
      </c>
      <c r="K63" s="3">
        <v>4</v>
      </c>
    </row>
    <row r="64" spans="2:11" x14ac:dyDescent="0.25">
      <c r="B64" s="2" t="s">
        <v>1440</v>
      </c>
      <c r="C64" s="2" t="s">
        <v>1441</v>
      </c>
      <c r="D64" s="3">
        <v>19.559999999999999</v>
      </c>
      <c r="E64" s="3">
        <v>0</v>
      </c>
      <c r="F64" s="3">
        <v>0</v>
      </c>
      <c r="G64" s="3">
        <v>0</v>
      </c>
      <c r="H64" s="3">
        <v>82</v>
      </c>
      <c r="I64" s="3">
        <v>1.52</v>
      </c>
      <c r="J64" s="3">
        <v>1.84</v>
      </c>
      <c r="K64" s="3">
        <v>1.47</v>
      </c>
    </row>
    <row r="65" spans="2:11" x14ac:dyDescent="0.25">
      <c r="B65" s="2" t="s">
        <v>1442</v>
      </c>
      <c r="C65" s="2" t="s">
        <v>1443</v>
      </c>
      <c r="D65" s="3">
        <v>29.99</v>
      </c>
      <c r="E65" s="3">
        <v>5.68</v>
      </c>
      <c r="F65" s="3">
        <v>0</v>
      </c>
      <c r="H65" s="3">
        <v>99</v>
      </c>
      <c r="I65" s="3">
        <v>4.12</v>
      </c>
      <c r="J65" s="3">
        <v>5.73</v>
      </c>
      <c r="K65" s="3">
        <v>3.64</v>
      </c>
    </row>
    <row r="66" spans="2:11" x14ac:dyDescent="0.25">
      <c r="B66" s="2" t="s">
        <v>1444</v>
      </c>
      <c r="C66" s="2" t="s">
        <v>1445</v>
      </c>
      <c r="D66" s="3">
        <v>28.19</v>
      </c>
      <c r="E66" s="3">
        <v>0</v>
      </c>
      <c r="F66" s="3">
        <v>0</v>
      </c>
      <c r="G66" s="3">
        <v>0</v>
      </c>
      <c r="H66" s="3">
        <v>96</v>
      </c>
      <c r="I66" s="3">
        <v>3.6</v>
      </c>
      <c r="J66" s="3">
        <v>4.83</v>
      </c>
      <c r="K66" s="3">
        <v>3.05</v>
      </c>
    </row>
    <row r="67" spans="2:11" x14ac:dyDescent="0.25">
      <c r="B67" s="2" t="s">
        <v>1446</v>
      </c>
      <c r="C67" s="2" t="s">
        <v>1447</v>
      </c>
      <c r="D67" s="3">
        <v>25.31</v>
      </c>
      <c r="E67" s="3">
        <v>0</v>
      </c>
      <c r="F67" s="3">
        <v>0</v>
      </c>
      <c r="G67" s="3">
        <v>0</v>
      </c>
      <c r="H67" s="3">
        <v>67</v>
      </c>
      <c r="I67" s="3">
        <v>3.04</v>
      </c>
      <c r="J67" s="3">
        <v>4.0199999999999996</v>
      </c>
      <c r="K67" s="3">
        <v>2.62</v>
      </c>
    </row>
    <row r="68" spans="2:11" x14ac:dyDescent="0.25">
      <c r="B68" s="2" t="s">
        <v>1448</v>
      </c>
      <c r="C68" s="2" t="s">
        <v>1449</v>
      </c>
      <c r="D68" s="3">
        <v>20.85</v>
      </c>
      <c r="E68" s="3">
        <v>0</v>
      </c>
      <c r="F68" s="3">
        <v>0</v>
      </c>
      <c r="G68" s="3">
        <v>0</v>
      </c>
      <c r="H68" s="3">
        <v>63</v>
      </c>
      <c r="I68" s="3">
        <v>2.66</v>
      </c>
      <c r="J68" s="3">
        <v>3.82</v>
      </c>
      <c r="K68" s="3">
        <v>1.96</v>
      </c>
    </row>
    <row r="69" spans="2:11" x14ac:dyDescent="0.25">
      <c r="B69" s="2" t="s">
        <v>1450</v>
      </c>
      <c r="C69" s="2" t="s">
        <v>1451</v>
      </c>
      <c r="D69" s="3">
        <v>24.84</v>
      </c>
      <c r="E69" s="3">
        <v>8.99</v>
      </c>
      <c r="F69" s="3">
        <v>0.3</v>
      </c>
      <c r="G69" s="3">
        <v>0</v>
      </c>
      <c r="H69" s="3">
        <v>275</v>
      </c>
      <c r="I69" s="3">
        <v>3.52</v>
      </c>
      <c r="J69" s="3">
        <v>5.46</v>
      </c>
      <c r="K69" s="3">
        <v>3.08</v>
      </c>
    </row>
    <row r="70" spans="2:11" x14ac:dyDescent="0.25">
      <c r="B70" s="2" t="s">
        <v>1452</v>
      </c>
      <c r="C70" s="2" t="s">
        <v>1453</v>
      </c>
      <c r="D70" s="3">
        <v>31.84</v>
      </c>
      <c r="E70" s="3">
        <v>1.64</v>
      </c>
      <c r="F70" s="3">
        <v>0.1</v>
      </c>
      <c r="H70" s="3">
        <v>76</v>
      </c>
      <c r="I70" s="3">
        <v>2.4500000000000002</v>
      </c>
      <c r="J70" s="3">
        <v>3.5</v>
      </c>
      <c r="K70" s="3">
        <v>1.96</v>
      </c>
    </row>
    <row r="71" spans="2:11" x14ac:dyDescent="0.25">
      <c r="B71" s="2" t="s">
        <v>1454</v>
      </c>
      <c r="C71" s="2" t="s">
        <v>1455</v>
      </c>
      <c r="D71" s="3">
        <v>29.8</v>
      </c>
      <c r="E71" s="3">
        <v>0</v>
      </c>
      <c r="F71" s="3">
        <v>0</v>
      </c>
      <c r="G71" s="3">
        <v>0</v>
      </c>
      <c r="H71" s="3">
        <v>71</v>
      </c>
      <c r="I71" s="3">
        <v>2.19</v>
      </c>
      <c r="J71" s="3">
        <v>3.03</v>
      </c>
      <c r="K71" s="3">
        <v>1.66</v>
      </c>
    </row>
    <row r="72" spans="2:11" x14ac:dyDescent="0.25">
      <c r="B72" s="2" t="s">
        <v>1456</v>
      </c>
      <c r="C72" s="2" t="s">
        <v>1457</v>
      </c>
      <c r="D72" s="3">
        <v>27.39</v>
      </c>
      <c r="E72" s="3">
        <v>0</v>
      </c>
      <c r="F72" s="3">
        <v>0</v>
      </c>
      <c r="G72" s="3">
        <v>0</v>
      </c>
      <c r="H72" s="3">
        <v>62</v>
      </c>
      <c r="I72" s="3">
        <v>2.08</v>
      </c>
      <c r="J72" s="3">
        <v>2.9</v>
      </c>
      <c r="K72" s="3">
        <v>1.58</v>
      </c>
    </row>
    <row r="73" spans="2:11" x14ac:dyDescent="0.25">
      <c r="B73" s="2" t="s">
        <v>1458</v>
      </c>
      <c r="C73" s="2" t="s">
        <v>1459</v>
      </c>
      <c r="D73" s="3">
        <v>22.5</v>
      </c>
      <c r="E73" s="3">
        <v>0</v>
      </c>
      <c r="F73" s="3">
        <v>0</v>
      </c>
      <c r="G73" s="3">
        <v>0</v>
      </c>
      <c r="H73" s="3">
        <v>45</v>
      </c>
      <c r="I73" s="3">
        <v>0.56299999999999994</v>
      </c>
      <c r="J73" s="3">
        <v>0.68899999999999995</v>
      </c>
      <c r="K73" s="3">
        <v>0.42399999999999999</v>
      </c>
    </row>
    <row r="74" spans="2:11" x14ac:dyDescent="0.25">
      <c r="B74" s="2" t="s">
        <v>1460</v>
      </c>
      <c r="C74" s="2" t="s">
        <v>1461</v>
      </c>
      <c r="D74" s="3">
        <v>33.44</v>
      </c>
      <c r="E74" s="3">
        <v>0.51</v>
      </c>
      <c r="F74" s="3">
        <v>0</v>
      </c>
      <c r="G74" s="3">
        <v>0</v>
      </c>
      <c r="H74" s="3">
        <v>79</v>
      </c>
      <c r="I74" s="3">
        <v>1.29</v>
      </c>
      <c r="J74" s="3">
        <v>1.72</v>
      </c>
      <c r="K74" s="3">
        <v>1.07</v>
      </c>
    </row>
    <row r="75" spans="2:11" x14ac:dyDescent="0.25">
      <c r="B75" s="2" t="s">
        <v>1462</v>
      </c>
      <c r="C75" s="2" t="s">
        <v>1463</v>
      </c>
      <c r="D75" s="3">
        <v>31.02</v>
      </c>
      <c r="E75" s="3">
        <v>0</v>
      </c>
      <c r="F75" s="3">
        <v>0</v>
      </c>
      <c r="G75" s="3">
        <v>0</v>
      </c>
      <c r="H75" s="3">
        <v>74</v>
      </c>
      <c r="I75" s="3">
        <v>1.01</v>
      </c>
      <c r="J75" s="3">
        <v>1.24</v>
      </c>
      <c r="K75" s="3">
        <v>0.77</v>
      </c>
    </row>
    <row r="76" spans="2:11" x14ac:dyDescent="0.25">
      <c r="B76" s="2" t="s">
        <v>1464</v>
      </c>
      <c r="C76" s="2" t="s">
        <v>1465</v>
      </c>
      <c r="D76" s="3">
        <v>28.98</v>
      </c>
      <c r="E76" s="3">
        <v>0</v>
      </c>
      <c r="F76" s="3">
        <v>0</v>
      </c>
      <c r="G76" s="3">
        <v>0</v>
      </c>
      <c r="H76" s="3">
        <v>63</v>
      </c>
      <c r="I76" s="3">
        <v>0.85</v>
      </c>
      <c r="J76" s="3">
        <v>1.03</v>
      </c>
      <c r="K76" s="3">
        <v>0.66</v>
      </c>
    </row>
    <row r="77" spans="2:11" x14ac:dyDescent="0.25">
      <c r="B77" s="2" t="s">
        <v>1466</v>
      </c>
      <c r="C77" s="2" t="s">
        <v>1467</v>
      </c>
      <c r="D77" s="3">
        <v>18.079999999999998</v>
      </c>
      <c r="E77" s="3">
        <v>0.11</v>
      </c>
      <c r="F77" s="3">
        <v>0</v>
      </c>
      <c r="G77" s="3">
        <v>0</v>
      </c>
      <c r="H77" s="3">
        <v>106</v>
      </c>
      <c r="I77" s="3">
        <v>2.4590000000000001</v>
      </c>
      <c r="J77" s="3">
        <v>3.7189999999999999</v>
      </c>
      <c r="K77" s="3">
        <v>1.9650000000000001</v>
      </c>
    </row>
    <row r="78" spans="2:11" x14ac:dyDescent="0.25">
      <c r="B78" s="2" t="s">
        <v>1468</v>
      </c>
      <c r="C78" s="2" t="s">
        <v>1469</v>
      </c>
      <c r="D78" s="3">
        <v>21.95</v>
      </c>
      <c r="E78" s="3">
        <v>8.2799999999999994</v>
      </c>
      <c r="F78" s="3">
        <v>0.3</v>
      </c>
      <c r="H78" s="3">
        <v>269</v>
      </c>
      <c r="I78" s="3">
        <v>4.1399999999999997</v>
      </c>
      <c r="J78" s="3">
        <v>6.43</v>
      </c>
      <c r="K78" s="3">
        <v>3.79</v>
      </c>
    </row>
    <row r="79" spans="2:11" x14ac:dyDescent="0.25">
      <c r="B79" s="2" t="s">
        <v>1470</v>
      </c>
      <c r="C79" s="2" t="s">
        <v>1471</v>
      </c>
      <c r="D79" s="3">
        <v>26.96</v>
      </c>
      <c r="E79" s="3">
        <v>1.63</v>
      </c>
      <c r="F79" s="3">
        <v>0.1</v>
      </c>
      <c r="H79" s="3">
        <v>89</v>
      </c>
      <c r="I79" s="3">
        <v>3.66</v>
      </c>
      <c r="J79" s="3">
        <v>5.42</v>
      </c>
      <c r="K79" s="3">
        <v>3.23</v>
      </c>
    </row>
    <row r="80" spans="2:11" x14ac:dyDescent="0.25">
      <c r="B80" s="2" t="s">
        <v>1472</v>
      </c>
      <c r="C80" s="2" t="s">
        <v>1473</v>
      </c>
      <c r="D80" s="3">
        <v>23.35</v>
      </c>
      <c r="E80" s="3">
        <v>0</v>
      </c>
      <c r="F80" s="3">
        <v>0</v>
      </c>
      <c r="G80" s="3">
        <v>0</v>
      </c>
      <c r="H80" s="3">
        <v>123</v>
      </c>
      <c r="I80" s="3">
        <v>2.74</v>
      </c>
      <c r="J80" s="3">
        <v>4.1550000000000002</v>
      </c>
      <c r="K80" s="3">
        <v>2.0830000000000002</v>
      </c>
    </row>
    <row r="81" spans="2:11" x14ac:dyDescent="0.25">
      <c r="B81" s="2" t="s">
        <v>1474</v>
      </c>
      <c r="C81" s="2" t="s">
        <v>1475</v>
      </c>
      <c r="D81" s="3">
        <v>25.32</v>
      </c>
      <c r="E81" s="3">
        <v>0</v>
      </c>
      <c r="F81" s="3">
        <v>0</v>
      </c>
      <c r="G81" s="3">
        <v>0</v>
      </c>
      <c r="H81" s="3">
        <v>76</v>
      </c>
      <c r="I81" s="3">
        <v>2.91</v>
      </c>
      <c r="J81" s="3">
        <v>4.07</v>
      </c>
      <c r="K81" s="3">
        <v>2.38</v>
      </c>
    </row>
    <row r="82" spans="2:11" x14ac:dyDescent="0.25">
      <c r="B82" s="2" t="s">
        <v>1476</v>
      </c>
      <c r="C82" s="2" t="s">
        <v>1477</v>
      </c>
      <c r="D82" s="3">
        <v>19.41</v>
      </c>
      <c r="E82" s="3">
        <v>0</v>
      </c>
      <c r="F82" s="3">
        <v>0</v>
      </c>
      <c r="G82" s="3">
        <v>0</v>
      </c>
      <c r="H82" s="3">
        <v>114</v>
      </c>
      <c r="I82" s="3">
        <v>0.94899999999999995</v>
      </c>
      <c r="J82" s="3">
        <v>1.33</v>
      </c>
      <c r="K82" s="3">
        <v>0.85399999999999998</v>
      </c>
    </row>
    <row r="83" spans="2:11" x14ac:dyDescent="0.25">
      <c r="B83" s="2" t="s">
        <v>1478</v>
      </c>
      <c r="C83" s="2" t="s">
        <v>1479</v>
      </c>
      <c r="D83" s="3">
        <v>28.62</v>
      </c>
      <c r="E83" s="3">
        <v>0</v>
      </c>
      <c r="F83" s="3">
        <v>0</v>
      </c>
      <c r="H83" s="3">
        <v>96</v>
      </c>
      <c r="I83" s="3">
        <v>2.13</v>
      </c>
      <c r="J83" s="3">
        <v>2.94</v>
      </c>
      <c r="K83" s="3">
        <v>1.97</v>
      </c>
    </row>
    <row r="84" spans="2:11" x14ac:dyDescent="0.25">
      <c r="B84" s="2" t="s">
        <v>1480</v>
      </c>
      <c r="C84" s="2" t="s">
        <v>1481</v>
      </c>
      <c r="D84" s="3">
        <v>24.24</v>
      </c>
      <c r="E84" s="3">
        <v>0</v>
      </c>
      <c r="F84" s="3">
        <v>0</v>
      </c>
      <c r="G84" s="3">
        <v>0</v>
      </c>
      <c r="H84" s="3">
        <v>128</v>
      </c>
      <c r="I84" s="3">
        <v>1.5049999999999999</v>
      </c>
      <c r="J84" s="3">
        <v>2.181</v>
      </c>
      <c r="K84" s="3">
        <v>1.202</v>
      </c>
    </row>
    <row r="85" spans="2:11" x14ac:dyDescent="0.25">
      <c r="B85" s="2" t="s">
        <v>1482</v>
      </c>
      <c r="C85" s="2" t="s">
        <v>1483</v>
      </c>
      <c r="D85" s="3">
        <v>27.5</v>
      </c>
      <c r="E85" s="3">
        <v>0</v>
      </c>
      <c r="F85" s="3">
        <v>0</v>
      </c>
      <c r="G85" s="3">
        <v>0</v>
      </c>
      <c r="H85" s="3">
        <v>80</v>
      </c>
      <c r="I85" s="3">
        <v>1.51</v>
      </c>
      <c r="J85" s="3">
        <v>1.93</v>
      </c>
      <c r="K85" s="3">
        <v>1.37</v>
      </c>
    </row>
    <row r="86" spans="2:11" x14ac:dyDescent="0.25">
      <c r="B86" s="2" t="s">
        <v>1484</v>
      </c>
      <c r="C86" s="2" t="s">
        <v>1485</v>
      </c>
      <c r="D86" s="3">
        <v>16.37</v>
      </c>
      <c r="E86" s="3">
        <v>0.17</v>
      </c>
      <c r="F86" s="3">
        <v>0</v>
      </c>
      <c r="G86" s="3">
        <v>0</v>
      </c>
      <c r="H86" s="3">
        <v>84</v>
      </c>
      <c r="I86" s="3">
        <v>4.3659999999999997</v>
      </c>
      <c r="J86" s="3">
        <v>6.6189999999999998</v>
      </c>
      <c r="K86" s="3">
        <v>3.3519999999999999</v>
      </c>
    </row>
    <row r="87" spans="2:11" x14ac:dyDescent="0.25">
      <c r="B87" s="2" t="s">
        <v>1486</v>
      </c>
      <c r="C87" s="2" t="s">
        <v>1487</v>
      </c>
      <c r="D87" s="3">
        <v>21.77</v>
      </c>
      <c r="E87" s="3">
        <v>8.7200000000000006</v>
      </c>
      <c r="F87" s="3">
        <v>0.3</v>
      </c>
      <c r="H87" s="3">
        <v>279</v>
      </c>
      <c r="I87" s="3">
        <v>4.28</v>
      </c>
      <c r="J87" s="3">
        <v>6.58</v>
      </c>
      <c r="K87" s="3">
        <v>3.85</v>
      </c>
    </row>
    <row r="88" spans="2:11" x14ac:dyDescent="0.25">
      <c r="B88" s="2" t="s">
        <v>1488</v>
      </c>
      <c r="C88" s="2" t="s">
        <v>1489</v>
      </c>
      <c r="D88" s="3">
        <v>26.84</v>
      </c>
      <c r="E88" s="3">
        <v>2.5</v>
      </c>
      <c r="F88" s="3">
        <v>0.1</v>
      </c>
      <c r="H88" s="3">
        <v>88</v>
      </c>
      <c r="I88" s="3">
        <v>3.9</v>
      </c>
      <c r="J88" s="3">
        <v>5.68</v>
      </c>
      <c r="K88" s="3">
        <v>3.33</v>
      </c>
    </row>
    <row r="89" spans="2:11" x14ac:dyDescent="0.25">
      <c r="B89" s="2" t="s">
        <v>1490</v>
      </c>
      <c r="C89" s="2" t="s">
        <v>1491</v>
      </c>
      <c r="D89" s="3">
        <v>24.03</v>
      </c>
      <c r="E89" s="3">
        <v>0</v>
      </c>
      <c r="F89" s="3">
        <v>0</v>
      </c>
      <c r="G89" s="3">
        <v>0</v>
      </c>
      <c r="H89" s="3">
        <v>98</v>
      </c>
      <c r="I89" s="3">
        <v>2.4460000000000002</v>
      </c>
      <c r="J89" s="3">
        <v>3.5640000000000001</v>
      </c>
      <c r="K89" s="3">
        <v>1.855</v>
      </c>
    </row>
    <row r="90" spans="2:11" x14ac:dyDescent="0.25">
      <c r="B90" s="2" t="s">
        <v>1492</v>
      </c>
      <c r="C90" s="2" t="s">
        <v>1493</v>
      </c>
      <c r="D90" s="3">
        <v>24.17</v>
      </c>
      <c r="E90" s="3">
        <v>0</v>
      </c>
      <c r="F90" s="3">
        <v>0</v>
      </c>
      <c r="G90" s="3">
        <v>0</v>
      </c>
      <c r="H90" s="3">
        <v>73</v>
      </c>
      <c r="I90" s="3">
        <v>3.57</v>
      </c>
      <c r="J90" s="3">
        <v>5.04</v>
      </c>
      <c r="K90" s="3">
        <v>2.87</v>
      </c>
    </row>
    <row r="91" spans="2:11" x14ac:dyDescent="0.25">
      <c r="B91" s="2" t="s">
        <v>1494</v>
      </c>
      <c r="C91" s="2" t="s">
        <v>1495</v>
      </c>
      <c r="D91" s="3">
        <v>19.16</v>
      </c>
      <c r="E91" s="3">
        <v>0</v>
      </c>
      <c r="F91" s="3">
        <v>0</v>
      </c>
      <c r="G91" s="3">
        <v>0</v>
      </c>
      <c r="H91" s="3">
        <v>96</v>
      </c>
      <c r="I91" s="3">
        <v>1.05</v>
      </c>
      <c r="J91" s="3">
        <v>1.44</v>
      </c>
      <c r="K91" s="3">
        <v>0.96199999999999997</v>
      </c>
    </row>
    <row r="92" spans="2:11" x14ac:dyDescent="0.25">
      <c r="B92" s="2" t="s">
        <v>1496</v>
      </c>
      <c r="C92" s="2" t="s">
        <v>1497</v>
      </c>
      <c r="D92" s="3">
        <v>28.38</v>
      </c>
      <c r="E92" s="3">
        <v>0.65</v>
      </c>
      <c r="F92" s="3">
        <v>0</v>
      </c>
      <c r="H92" s="3">
        <v>96</v>
      </c>
      <c r="I92" s="3">
        <v>2.4900000000000002</v>
      </c>
      <c r="J92" s="3">
        <v>3.43</v>
      </c>
      <c r="K92" s="3">
        <v>2.2200000000000002</v>
      </c>
    </row>
    <row r="93" spans="2:11" x14ac:dyDescent="0.25">
      <c r="B93" s="2" t="s">
        <v>1498</v>
      </c>
      <c r="C93" s="2" t="s">
        <v>1499</v>
      </c>
      <c r="D93" s="3">
        <v>24.22</v>
      </c>
      <c r="E93" s="3">
        <v>0</v>
      </c>
      <c r="F93" s="3">
        <v>0</v>
      </c>
      <c r="G93" s="3">
        <v>0</v>
      </c>
      <c r="H93" s="3">
        <v>99</v>
      </c>
      <c r="I93" s="3">
        <v>2.1080000000000001</v>
      </c>
      <c r="J93" s="3">
        <v>3.052</v>
      </c>
      <c r="K93" s="3">
        <v>1.605</v>
      </c>
    </row>
    <row r="94" spans="2:11" x14ac:dyDescent="0.25">
      <c r="B94" s="2" t="s">
        <v>1500</v>
      </c>
      <c r="C94" s="2" t="s">
        <v>1501</v>
      </c>
      <c r="D94" s="3">
        <v>26.26</v>
      </c>
      <c r="E94" s="3">
        <v>0</v>
      </c>
      <c r="F94" s="3">
        <v>0</v>
      </c>
      <c r="G94" s="3">
        <v>0</v>
      </c>
      <c r="H94" s="3">
        <v>78</v>
      </c>
      <c r="I94" s="3">
        <v>2.2000000000000002</v>
      </c>
      <c r="J94" s="3">
        <v>2.93</v>
      </c>
      <c r="K94" s="3">
        <v>1.88</v>
      </c>
    </row>
    <row r="95" spans="2:11" x14ac:dyDescent="0.25">
      <c r="B95" s="2" t="s">
        <v>1502</v>
      </c>
      <c r="C95" s="2" t="s">
        <v>1503</v>
      </c>
      <c r="D95" s="3">
        <v>14.07</v>
      </c>
      <c r="E95" s="3">
        <v>0</v>
      </c>
      <c r="F95" s="3">
        <v>0</v>
      </c>
      <c r="H95" s="3">
        <v>64</v>
      </c>
      <c r="I95" s="3">
        <v>7.27</v>
      </c>
      <c r="J95" s="3">
        <v>10.55</v>
      </c>
      <c r="K95" s="3">
        <v>5.68</v>
      </c>
    </row>
    <row r="96" spans="2:11" x14ac:dyDescent="0.25">
      <c r="B96" s="2" t="s">
        <v>1504</v>
      </c>
      <c r="C96" s="2" t="s">
        <v>1505</v>
      </c>
      <c r="D96" s="3">
        <v>19.82</v>
      </c>
      <c r="E96" s="3">
        <v>8.6999999999999993</v>
      </c>
      <c r="H96" s="3">
        <v>276</v>
      </c>
      <c r="I96" s="3">
        <v>6.22</v>
      </c>
      <c r="J96" s="3">
        <v>9.7899999999999991</v>
      </c>
      <c r="K96" s="3">
        <v>5.56</v>
      </c>
    </row>
    <row r="97" spans="2:11" x14ac:dyDescent="0.25">
      <c r="B97" s="2" t="s">
        <v>1506</v>
      </c>
      <c r="C97" s="2" t="s">
        <v>1507</v>
      </c>
      <c r="D97" s="3">
        <v>24.01</v>
      </c>
      <c r="E97" s="3">
        <v>4.24</v>
      </c>
      <c r="H97" s="3">
        <v>82</v>
      </c>
      <c r="I97" s="3">
        <v>6.32</v>
      </c>
      <c r="J97" s="3">
        <v>9.6999999999999993</v>
      </c>
      <c r="K97" s="3">
        <v>5.47</v>
      </c>
    </row>
    <row r="98" spans="2:11" x14ac:dyDescent="0.25">
      <c r="B98" s="2" t="s">
        <v>1508</v>
      </c>
      <c r="C98" s="2" t="s">
        <v>1509</v>
      </c>
      <c r="D98" s="3">
        <v>19.61</v>
      </c>
      <c r="E98" s="3">
        <v>0</v>
      </c>
      <c r="F98" s="3">
        <v>0</v>
      </c>
      <c r="G98" s="3">
        <v>0</v>
      </c>
      <c r="H98" s="3">
        <v>52</v>
      </c>
      <c r="I98" s="3">
        <v>5</v>
      </c>
      <c r="J98" s="3">
        <v>7.22</v>
      </c>
      <c r="K98" s="3">
        <v>3.94</v>
      </c>
    </row>
    <row r="99" spans="2:11" x14ac:dyDescent="0.25">
      <c r="B99" s="2" t="s">
        <v>1510</v>
      </c>
      <c r="C99" s="2" t="s">
        <v>1511</v>
      </c>
      <c r="D99" s="3">
        <v>17.55</v>
      </c>
      <c r="E99" s="3">
        <v>0</v>
      </c>
      <c r="F99" s="3">
        <v>0</v>
      </c>
      <c r="H99" s="3">
        <v>81</v>
      </c>
      <c r="I99" s="3">
        <v>2.25</v>
      </c>
      <c r="J99" s="3">
        <v>2.73</v>
      </c>
      <c r="K99" s="3">
        <v>2.1800000000000002</v>
      </c>
    </row>
    <row r="100" spans="2:11" x14ac:dyDescent="0.25">
      <c r="B100" s="2" t="s">
        <v>1512</v>
      </c>
      <c r="C100" s="2" t="s">
        <v>1513</v>
      </c>
      <c r="D100" s="3">
        <v>26.87</v>
      </c>
      <c r="E100" s="3">
        <v>1.77</v>
      </c>
      <c r="F100" s="3">
        <v>0</v>
      </c>
      <c r="H100" s="3">
        <v>99</v>
      </c>
      <c r="I100" s="3">
        <v>3</v>
      </c>
      <c r="J100" s="3">
        <v>4.57</v>
      </c>
      <c r="K100" s="3">
        <v>3.04</v>
      </c>
    </row>
    <row r="101" spans="2:11" x14ac:dyDescent="0.25">
      <c r="B101" s="2" t="s">
        <v>1514</v>
      </c>
      <c r="C101" s="2" t="s">
        <v>1515</v>
      </c>
      <c r="D101" s="3">
        <v>24.56</v>
      </c>
      <c r="E101" s="3">
        <v>0</v>
      </c>
      <c r="F101" s="3">
        <v>0</v>
      </c>
      <c r="H101" s="3">
        <v>64</v>
      </c>
      <c r="I101" s="3">
        <v>2.1</v>
      </c>
      <c r="J101" s="3">
        <v>2.54</v>
      </c>
      <c r="K101" s="3">
        <v>2.0299999999999998</v>
      </c>
    </row>
    <row r="102" spans="2:11" x14ac:dyDescent="0.25">
      <c r="B102" s="2" t="s">
        <v>1516</v>
      </c>
      <c r="C102" s="2" t="s">
        <v>1517</v>
      </c>
      <c r="D102" s="3">
        <v>16.52</v>
      </c>
      <c r="E102" s="3">
        <v>0.25</v>
      </c>
      <c r="F102" s="3">
        <v>0</v>
      </c>
      <c r="G102" s="3">
        <v>0</v>
      </c>
      <c r="H102" s="3">
        <v>81</v>
      </c>
      <c r="I102" s="3">
        <v>4.524</v>
      </c>
      <c r="J102" s="3">
        <v>6.94</v>
      </c>
      <c r="K102" s="3">
        <v>3.4670000000000001</v>
      </c>
    </row>
    <row r="103" spans="2:11" x14ac:dyDescent="0.25">
      <c r="B103" s="2" t="s">
        <v>1518</v>
      </c>
      <c r="C103" s="2" t="s">
        <v>1519</v>
      </c>
      <c r="D103" s="3">
        <v>21.61</v>
      </c>
      <c r="E103" s="3">
        <v>9.08</v>
      </c>
      <c r="F103" s="3">
        <v>0.3</v>
      </c>
      <c r="H103" s="3">
        <v>288</v>
      </c>
      <c r="I103" s="3">
        <v>4.41</v>
      </c>
      <c r="J103" s="3">
        <v>6.7</v>
      </c>
      <c r="K103" s="3">
        <v>3.9</v>
      </c>
    </row>
    <row r="104" spans="2:11" x14ac:dyDescent="0.25">
      <c r="B104" s="2" t="s">
        <v>1520</v>
      </c>
      <c r="C104" s="2" t="s">
        <v>1521</v>
      </c>
      <c r="D104" s="3">
        <v>26.75</v>
      </c>
      <c r="E104" s="3">
        <v>3.18</v>
      </c>
      <c r="F104" s="3">
        <v>0.1</v>
      </c>
      <c r="H104" s="3">
        <v>88</v>
      </c>
      <c r="I104" s="3">
        <v>4.09</v>
      </c>
      <c r="J104" s="3">
        <v>5.87</v>
      </c>
      <c r="K104" s="3">
        <v>3.41</v>
      </c>
    </row>
    <row r="105" spans="2:11" x14ac:dyDescent="0.25">
      <c r="B105" s="2" t="s">
        <v>1522</v>
      </c>
      <c r="C105" s="2" t="s">
        <v>1523</v>
      </c>
      <c r="D105" s="3">
        <v>23.26</v>
      </c>
      <c r="E105" s="3">
        <v>0</v>
      </c>
      <c r="F105" s="3">
        <v>0</v>
      </c>
      <c r="G105" s="3">
        <v>0</v>
      </c>
      <c r="H105" s="3">
        <v>102</v>
      </c>
      <c r="I105" s="3">
        <v>4.1109999999999998</v>
      </c>
      <c r="J105" s="3">
        <v>6.2569999999999997</v>
      </c>
      <c r="K105" s="3">
        <v>2.9929999999999999</v>
      </c>
    </row>
    <row r="106" spans="2:11" x14ac:dyDescent="0.25">
      <c r="B106" s="2" t="s">
        <v>1524</v>
      </c>
      <c r="C106" s="2" t="s">
        <v>1525</v>
      </c>
      <c r="D106" s="3">
        <v>23.26</v>
      </c>
      <c r="E106" s="3">
        <v>0</v>
      </c>
      <c r="F106" s="3">
        <v>0</v>
      </c>
      <c r="G106" s="3">
        <v>0</v>
      </c>
      <c r="H106" s="3">
        <v>71</v>
      </c>
      <c r="I106" s="3">
        <v>4.1100000000000003</v>
      </c>
      <c r="J106" s="3">
        <v>5.84</v>
      </c>
      <c r="K106" s="3">
        <v>3.25</v>
      </c>
    </row>
    <row r="107" spans="2:11" x14ac:dyDescent="0.25">
      <c r="B107" s="2" t="s">
        <v>1526</v>
      </c>
      <c r="C107" s="2" t="s">
        <v>1527</v>
      </c>
      <c r="D107" s="3">
        <v>19.66</v>
      </c>
      <c r="E107" s="3">
        <v>0</v>
      </c>
      <c r="F107" s="3">
        <v>0</v>
      </c>
      <c r="G107" s="3">
        <v>0</v>
      </c>
      <c r="H107" s="3">
        <v>95</v>
      </c>
      <c r="I107" s="3">
        <v>1.097</v>
      </c>
      <c r="J107" s="3">
        <v>1.4970000000000001</v>
      </c>
      <c r="K107" s="3">
        <v>0.94</v>
      </c>
    </row>
    <row r="108" spans="2:11" x14ac:dyDescent="0.25">
      <c r="B108" s="2" t="s">
        <v>1528</v>
      </c>
      <c r="C108" s="2" t="s">
        <v>1529</v>
      </c>
      <c r="D108" s="3">
        <v>28.18</v>
      </c>
      <c r="E108" s="3">
        <v>1.18</v>
      </c>
      <c r="F108" s="3">
        <v>0</v>
      </c>
      <c r="H108" s="3">
        <v>95</v>
      </c>
      <c r="I108" s="3">
        <v>2.78</v>
      </c>
      <c r="J108" s="3">
        <v>3.82</v>
      </c>
      <c r="K108" s="3">
        <v>2.4300000000000002</v>
      </c>
    </row>
    <row r="109" spans="2:11" x14ac:dyDescent="0.25">
      <c r="B109" s="2" t="s">
        <v>1530</v>
      </c>
      <c r="C109" s="2" t="s">
        <v>1531</v>
      </c>
      <c r="D109" s="3">
        <v>24.76</v>
      </c>
      <c r="E109" s="3">
        <v>0</v>
      </c>
      <c r="F109" s="3">
        <v>0</v>
      </c>
      <c r="G109" s="3">
        <v>0</v>
      </c>
      <c r="H109" s="3">
        <v>106</v>
      </c>
      <c r="I109" s="3">
        <v>2.3109999999999999</v>
      </c>
      <c r="J109" s="3">
        <v>3.3610000000000002</v>
      </c>
      <c r="K109" s="3">
        <v>1.6950000000000001</v>
      </c>
    </row>
    <row r="110" spans="2:11" x14ac:dyDescent="0.25">
      <c r="B110" s="2" t="s">
        <v>1532</v>
      </c>
      <c r="C110" s="2" t="s">
        <v>1533</v>
      </c>
      <c r="D110" s="3">
        <v>25</v>
      </c>
      <c r="E110" s="3">
        <v>0</v>
      </c>
      <c r="F110" s="3">
        <v>0</v>
      </c>
      <c r="G110" s="3">
        <v>0</v>
      </c>
      <c r="H110" s="3">
        <v>75</v>
      </c>
      <c r="I110" s="3">
        <v>2.71</v>
      </c>
      <c r="J110" s="3">
        <v>3.7</v>
      </c>
      <c r="K110" s="3">
        <v>2.2400000000000002</v>
      </c>
    </row>
    <row r="111" spans="2:11" x14ac:dyDescent="0.25">
      <c r="B111" s="2" t="s">
        <v>1534</v>
      </c>
      <c r="C111" s="2" t="s">
        <v>1535</v>
      </c>
      <c r="D111" s="3">
        <v>17.52</v>
      </c>
      <c r="E111" s="3">
        <v>0</v>
      </c>
      <c r="F111" s="3">
        <v>0</v>
      </c>
      <c r="G111" s="3">
        <v>0</v>
      </c>
      <c r="H111" s="3">
        <v>84</v>
      </c>
      <c r="I111" s="3">
        <v>3.5350000000000001</v>
      </c>
      <c r="J111" s="3">
        <v>5.4219999999999997</v>
      </c>
      <c r="K111" s="3">
        <v>2.4980000000000002</v>
      </c>
    </row>
    <row r="112" spans="2:11" x14ac:dyDescent="0.25">
      <c r="B112" s="2" t="s">
        <v>1536</v>
      </c>
      <c r="C112" s="2" t="s">
        <v>1537</v>
      </c>
      <c r="D112" s="3">
        <v>19.87</v>
      </c>
      <c r="E112" s="3">
        <v>10.94</v>
      </c>
      <c r="F112" s="3">
        <v>0.3</v>
      </c>
      <c r="H112" s="3">
        <v>320</v>
      </c>
      <c r="I112" s="3">
        <v>5.83</v>
      </c>
      <c r="J112" s="3">
        <v>8.9600000000000009</v>
      </c>
      <c r="K112" s="3">
        <v>5.07</v>
      </c>
    </row>
    <row r="113" spans="2:11" x14ac:dyDescent="0.25">
      <c r="B113" s="2" t="s">
        <v>1538</v>
      </c>
      <c r="C113" s="2" t="s">
        <v>1539</v>
      </c>
      <c r="D113" s="3">
        <v>26.11</v>
      </c>
      <c r="E113" s="3">
        <v>2.39</v>
      </c>
      <c r="F113" s="3">
        <v>0.1</v>
      </c>
      <c r="H113" s="3">
        <v>77</v>
      </c>
      <c r="I113" s="3">
        <v>6.06</v>
      </c>
      <c r="J113" s="3">
        <v>8.89</v>
      </c>
      <c r="K113" s="3">
        <v>4.95</v>
      </c>
    </row>
    <row r="114" spans="2:11" x14ac:dyDescent="0.25">
      <c r="B114" s="2" t="s">
        <v>1540</v>
      </c>
      <c r="C114" s="2" t="s">
        <v>1541</v>
      </c>
      <c r="D114" s="3">
        <v>23.79</v>
      </c>
      <c r="E114" s="3">
        <v>0</v>
      </c>
      <c r="F114" s="3">
        <v>0</v>
      </c>
      <c r="G114" s="3">
        <v>0</v>
      </c>
      <c r="H114" s="3">
        <v>98</v>
      </c>
      <c r="I114" s="3">
        <v>4.976</v>
      </c>
      <c r="J114" s="3">
        <v>7.7060000000000004</v>
      </c>
      <c r="K114" s="3">
        <v>3.59</v>
      </c>
    </row>
    <row r="115" spans="2:11" x14ac:dyDescent="0.25">
      <c r="B115" s="2" t="s">
        <v>1542</v>
      </c>
      <c r="C115" s="2" t="s">
        <v>1543</v>
      </c>
      <c r="D115" s="3">
        <v>22.78</v>
      </c>
      <c r="E115" s="3">
        <v>0</v>
      </c>
      <c r="F115" s="3">
        <v>0</v>
      </c>
      <c r="G115" s="3">
        <v>0</v>
      </c>
      <c r="H115" s="3">
        <v>67</v>
      </c>
      <c r="I115" s="3">
        <v>4.71</v>
      </c>
      <c r="J115" s="3">
        <v>6.6</v>
      </c>
      <c r="K115" s="3">
        <v>3.58</v>
      </c>
    </row>
    <row r="116" spans="2:11" x14ac:dyDescent="0.25">
      <c r="B116" s="2" t="s">
        <v>1544</v>
      </c>
      <c r="C116" s="2" t="s">
        <v>1545</v>
      </c>
      <c r="D116" s="3">
        <v>21.97</v>
      </c>
      <c r="E116" s="3">
        <v>0</v>
      </c>
      <c r="F116" s="3">
        <v>0</v>
      </c>
      <c r="G116" s="3">
        <v>0</v>
      </c>
      <c r="H116" s="3">
        <v>81</v>
      </c>
      <c r="I116" s="3">
        <v>0.94</v>
      </c>
      <c r="J116" s="3">
        <v>0.85</v>
      </c>
      <c r="K116" s="3">
        <v>0.8</v>
      </c>
    </row>
    <row r="117" spans="2:11" x14ac:dyDescent="0.25">
      <c r="B117" s="2" t="s">
        <v>1546</v>
      </c>
      <c r="C117" s="2" t="s">
        <v>1547</v>
      </c>
      <c r="D117" s="3">
        <v>30.15</v>
      </c>
      <c r="E117" s="3">
        <v>0</v>
      </c>
      <c r="F117" s="3">
        <v>0</v>
      </c>
      <c r="H117" s="3">
        <v>91</v>
      </c>
      <c r="I117" s="3">
        <v>2.5</v>
      </c>
      <c r="J117" s="3">
        <v>3.08</v>
      </c>
      <c r="K117" s="3">
        <v>2.0699999999999998</v>
      </c>
    </row>
    <row r="118" spans="2:11" x14ac:dyDescent="0.25">
      <c r="B118" s="2" t="s">
        <v>1548</v>
      </c>
      <c r="C118" s="2" t="s">
        <v>1549</v>
      </c>
      <c r="D118" s="3">
        <v>30.46</v>
      </c>
      <c r="E118" s="3">
        <v>0</v>
      </c>
      <c r="F118" s="3">
        <v>0</v>
      </c>
      <c r="G118" s="3">
        <v>0</v>
      </c>
      <c r="H118" s="3">
        <v>92</v>
      </c>
      <c r="I118" s="3">
        <v>2.2599999999999998</v>
      </c>
      <c r="J118" s="3">
        <v>2.61</v>
      </c>
      <c r="K118" s="3">
        <v>1.78</v>
      </c>
    </row>
    <row r="119" spans="2:11" x14ac:dyDescent="0.25">
      <c r="B119" s="2" t="s">
        <v>1550</v>
      </c>
      <c r="C119" s="2" t="s">
        <v>1551</v>
      </c>
      <c r="D119" s="3">
        <v>27.18</v>
      </c>
      <c r="E119" s="3">
        <v>0</v>
      </c>
      <c r="F119" s="3">
        <v>0</v>
      </c>
      <c r="G119" s="3">
        <v>0</v>
      </c>
      <c r="H119" s="3">
        <v>73</v>
      </c>
      <c r="I119" s="3">
        <v>2</v>
      </c>
      <c r="J119" s="3">
        <v>2.31</v>
      </c>
      <c r="K119" s="3">
        <v>1.57</v>
      </c>
    </row>
    <row r="120" spans="2:11" x14ac:dyDescent="0.25">
      <c r="B120" s="2" t="s">
        <v>1552</v>
      </c>
      <c r="C120" s="2" t="s">
        <v>1553</v>
      </c>
      <c r="D120" s="3">
        <v>17.09</v>
      </c>
      <c r="E120" s="3">
        <v>0.09</v>
      </c>
      <c r="F120" s="3">
        <v>0</v>
      </c>
      <c r="H120" s="3">
        <v>69</v>
      </c>
      <c r="I120" s="3">
        <v>4.41</v>
      </c>
      <c r="J120" s="3">
        <v>6.39</v>
      </c>
      <c r="K120" s="3">
        <v>3.33</v>
      </c>
    </row>
    <row r="121" spans="2:11" x14ac:dyDescent="0.25">
      <c r="B121" s="2" t="s">
        <v>1554</v>
      </c>
      <c r="C121" s="2" t="s">
        <v>1555</v>
      </c>
      <c r="D121" s="3">
        <v>23.96</v>
      </c>
      <c r="E121" s="3">
        <v>0.05</v>
      </c>
      <c r="F121" s="3">
        <v>0</v>
      </c>
      <c r="H121" s="3">
        <v>71</v>
      </c>
      <c r="I121" s="3">
        <v>3.66</v>
      </c>
      <c r="J121" s="3">
        <v>5.22</v>
      </c>
      <c r="K121" s="3">
        <v>2.85</v>
      </c>
    </row>
    <row r="122" spans="2:11" x14ac:dyDescent="0.25">
      <c r="B122" s="2" t="s">
        <v>1556</v>
      </c>
      <c r="C122" s="2" t="s">
        <v>1557</v>
      </c>
      <c r="D122" s="3">
        <v>24.31</v>
      </c>
      <c r="E122" s="3">
        <v>0</v>
      </c>
      <c r="F122" s="3">
        <v>0</v>
      </c>
      <c r="G122" s="3">
        <v>0</v>
      </c>
      <c r="H122" s="3">
        <v>50</v>
      </c>
      <c r="I122" s="3">
        <v>0.60899999999999999</v>
      </c>
      <c r="J122" s="3">
        <v>0.81699999999999995</v>
      </c>
      <c r="K122" s="3">
        <v>0.34699999999999998</v>
      </c>
    </row>
    <row r="123" spans="2:11" x14ac:dyDescent="0.25">
      <c r="B123" s="2" t="s">
        <v>1558</v>
      </c>
      <c r="C123" s="2" t="s">
        <v>1559</v>
      </c>
      <c r="D123" s="3">
        <v>23.97</v>
      </c>
      <c r="E123" s="3">
        <v>0</v>
      </c>
      <c r="F123" s="3">
        <v>0</v>
      </c>
      <c r="H123" s="3">
        <v>73</v>
      </c>
      <c r="I123" s="3">
        <v>3.74</v>
      </c>
      <c r="J123" s="3">
        <v>5.4</v>
      </c>
      <c r="K123" s="3">
        <v>2.92</v>
      </c>
    </row>
    <row r="124" spans="2:11" x14ac:dyDescent="0.25">
      <c r="B124" s="2" t="s">
        <v>1560</v>
      </c>
      <c r="C124" s="2" t="s">
        <v>1561</v>
      </c>
      <c r="D124" s="3">
        <v>20.329999999999998</v>
      </c>
      <c r="E124" s="3">
        <v>0</v>
      </c>
      <c r="F124" s="3">
        <v>0</v>
      </c>
      <c r="G124" s="3">
        <v>0</v>
      </c>
      <c r="H124" s="3">
        <v>75</v>
      </c>
      <c r="I124" s="3">
        <v>0.67</v>
      </c>
      <c r="J124" s="3">
        <v>0.83</v>
      </c>
      <c r="K124" s="3">
        <v>0.67</v>
      </c>
    </row>
    <row r="125" spans="2:11" x14ac:dyDescent="0.25">
      <c r="B125" s="2" t="s">
        <v>1562</v>
      </c>
      <c r="C125" s="2" t="s">
        <v>1563</v>
      </c>
      <c r="D125" s="3">
        <v>25.01</v>
      </c>
      <c r="E125" s="3">
        <v>0</v>
      </c>
      <c r="F125" s="3">
        <v>0</v>
      </c>
      <c r="H125" s="3">
        <v>75</v>
      </c>
      <c r="I125" s="3">
        <v>1.81</v>
      </c>
      <c r="J125" s="3">
        <v>2.5</v>
      </c>
      <c r="K125" s="3">
        <v>1.51</v>
      </c>
    </row>
    <row r="126" spans="2:11" x14ac:dyDescent="0.25">
      <c r="B126" s="2" t="s">
        <v>1564</v>
      </c>
      <c r="C126" s="2" t="s">
        <v>1565</v>
      </c>
      <c r="D126" s="3">
        <v>18.14</v>
      </c>
      <c r="E126" s="3">
        <v>1.1399999999999999</v>
      </c>
      <c r="F126" s="3">
        <v>0</v>
      </c>
      <c r="H126" s="3">
        <v>77</v>
      </c>
      <c r="I126" s="3">
        <v>1.54</v>
      </c>
      <c r="J126" s="3">
        <v>1.28</v>
      </c>
      <c r="K126" s="3">
        <v>1.26</v>
      </c>
    </row>
    <row r="127" spans="2:11" x14ac:dyDescent="0.25">
      <c r="B127" s="2" t="s">
        <v>1566</v>
      </c>
      <c r="C127" s="2" t="s">
        <v>1567</v>
      </c>
      <c r="D127" s="3">
        <v>26.77</v>
      </c>
      <c r="E127" s="3">
        <v>0.86</v>
      </c>
      <c r="F127" s="3">
        <v>0</v>
      </c>
      <c r="H127" s="3">
        <v>60</v>
      </c>
      <c r="I127" s="3">
        <v>1.64</v>
      </c>
      <c r="J127" s="3">
        <v>1.33</v>
      </c>
      <c r="K127" s="3">
        <v>1.22</v>
      </c>
    </row>
    <row r="128" spans="2:11" x14ac:dyDescent="0.25">
      <c r="B128" s="2" t="s">
        <v>1568</v>
      </c>
      <c r="C128" s="2" t="s">
        <v>1569</v>
      </c>
      <c r="D128" s="3">
        <v>22.2</v>
      </c>
      <c r="E128" s="3">
        <v>0</v>
      </c>
      <c r="F128" s="3">
        <v>0</v>
      </c>
      <c r="G128" s="3">
        <v>0</v>
      </c>
      <c r="H128" s="3">
        <v>51</v>
      </c>
      <c r="I128" s="3">
        <v>0.37</v>
      </c>
      <c r="J128" s="3">
        <v>0.48</v>
      </c>
      <c r="K128" s="3">
        <v>0.4</v>
      </c>
    </row>
    <row r="129" spans="2:11" x14ac:dyDescent="0.25">
      <c r="B129" s="2" t="s">
        <v>1570</v>
      </c>
      <c r="C129" s="2" t="s">
        <v>1571</v>
      </c>
      <c r="D129" s="3">
        <v>27.13</v>
      </c>
      <c r="E129" s="3">
        <v>0</v>
      </c>
      <c r="F129" s="3">
        <v>0</v>
      </c>
      <c r="G129" s="3">
        <v>0</v>
      </c>
      <c r="H129" s="3">
        <v>51</v>
      </c>
      <c r="I129" s="3">
        <v>1.08</v>
      </c>
      <c r="J129" s="3">
        <v>1.52</v>
      </c>
      <c r="K129" s="3">
        <v>0.93</v>
      </c>
    </row>
    <row r="130" spans="2:11" x14ac:dyDescent="0.25">
      <c r="B130" s="2" t="s">
        <v>1572</v>
      </c>
      <c r="C130" s="2" t="s">
        <v>1573</v>
      </c>
      <c r="D130" s="3">
        <v>18.739999999999998</v>
      </c>
      <c r="E130" s="3">
        <v>0</v>
      </c>
      <c r="F130" s="3">
        <v>0</v>
      </c>
      <c r="G130" s="3">
        <v>0</v>
      </c>
      <c r="H130" s="3">
        <v>95</v>
      </c>
      <c r="I130" s="3">
        <v>0.93</v>
      </c>
      <c r="J130" s="3">
        <v>1.1200000000000001</v>
      </c>
      <c r="K130" s="3">
        <v>0.9</v>
      </c>
    </row>
    <row r="131" spans="2:11" x14ac:dyDescent="0.25">
      <c r="B131" s="2" t="s">
        <v>1574</v>
      </c>
      <c r="C131" s="2" t="s">
        <v>1575</v>
      </c>
      <c r="D131" s="3">
        <v>23.25</v>
      </c>
      <c r="E131" s="3">
        <v>0</v>
      </c>
      <c r="F131" s="3">
        <v>0</v>
      </c>
      <c r="H131" s="3">
        <v>95</v>
      </c>
      <c r="I131" s="3">
        <v>2.4300000000000002</v>
      </c>
      <c r="J131" s="3">
        <v>3.31</v>
      </c>
      <c r="K131" s="3">
        <v>2</v>
      </c>
    </row>
    <row r="132" spans="2:11" x14ac:dyDescent="0.25">
      <c r="B132" s="2" t="s">
        <v>1576</v>
      </c>
      <c r="C132" s="2" t="s">
        <v>1577</v>
      </c>
      <c r="D132" s="3">
        <v>17.48</v>
      </c>
      <c r="E132" s="3">
        <v>0.19</v>
      </c>
      <c r="F132" s="3">
        <v>0</v>
      </c>
      <c r="H132" s="3">
        <v>71</v>
      </c>
      <c r="I132" s="3">
        <v>5.48</v>
      </c>
      <c r="J132" s="3">
        <v>7.82</v>
      </c>
      <c r="K132" s="3">
        <v>4.2699999999999996</v>
      </c>
    </row>
    <row r="133" spans="2:11" x14ac:dyDescent="0.25">
      <c r="B133" s="2" t="s">
        <v>1578</v>
      </c>
      <c r="C133" s="2" t="s">
        <v>1579</v>
      </c>
      <c r="D133" s="3">
        <v>24.88</v>
      </c>
      <c r="E133" s="3">
        <v>0</v>
      </c>
      <c r="F133" s="3">
        <v>0</v>
      </c>
      <c r="G133" s="3">
        <v>0</v>
      </c>
      <c r="H133" s="3">
        <v>67</v>
      </c>
      <c r="I133" s="3">
        <v>3.3239999999999998</v>
      </c>
      <c r="J133" s="3">
        <v>4.609</v>
      </c>
      <c r="K133" s="3">
        <v>2.5840000000000001</v>
      </c>
    </row>
    <row r="134" spans="2:11" x14ac:dyDescent="0.25">
      <c r="B134" s="2" t="s">
        <v>1580</v>
      </c>
      <c r="C134" s="2" t="s">
        <v>1581</v>
      </c>
      <c r="D134" s="3">
        <v>17.55</v>
      </c>
      <c r="E134" s="3">
        <v>0</v>
      </c>
      <c r="F134" s="3">
        <v>0</v>
      </c>
      <c r="G134" s="3">
        <v>0</v>
      </c>
      <c r="H134" s="3">
        <v>71</v>
      </c>
      <c r="I134" s="3">
        <v>5.71</v>
      </c>
      <c r="J134" s="3">
        <v>8.24</v>
      </c>
      <c r="K134" s="3">
        <v>4.4400000000000004</v>
      </c>
    </row>
    <row r="135" spans="2:11" x14ac:dyDescent="0.25">
      <c r="B135" s="2" t="s">
        <v>1582</v>
      </c>
      <c r="C135" s="2" t="s">
        <v>1583</v>
      </c>
      <c r="D135" s="3">
        <v>26.88</v>
      </c>
      <c r="E135" s="3">
        <v>0</v>
      </c>
      <c r="F135" s="3">
        <v>0</v>
      </c>
      <c r="H135" s="3">
        <v>73</v>
      </c>
      <c r="I135" s="3">
        <v>5.1100000000000003</v>
      </c>
      <c r="J135" s="3">
        <v>7.19</v>
      </c>
      <c r="K135" s="3">
        <v>4.2300000000000004</v>
      </c>
    </row>
    <row r="136" spans="2:11" x14ac:dyDescent="0.25">
      <c r="B136" s="2" t="s">
        <v>1584</v>
      </c>
      <c r="C136" s="2" t="s">
        <v>1585</v>
      </c>
      <c r="D136" s="3">
        <v>21.26</v>
      </c>
      <c r="E136" s="3">
        <v>0</v>
      </c>
      <c r="F136" s="3">
        <v>0</v>
      </c>
      <c r="G136" s="3">
        <v>0</v>
      </c>
      <c r="H136" s="3">
        <v>79</v>
      </c>
      <c r="I136" s="3">
        <v>1.57</v>
      </c>
      <c r="J136" s="3">
        <v>1.94</v>
      </c>
      <c r="K136" s="3">
        <v>1.57</v>
      </c>
    </row>
    <row r="137" spans="2:11" x14ac:dyDescent="0.25">
      <c r="B137" s="2" t="s">
        <v>1586</v>
      </c>
      <c r="C137" s="2" t="s">
        <v>1587</v>
      </c>
      <c r="D137" s="3">
        <v>30.42</v>
      </c>
      <c r="E137" s="3">
        <v>0</v>
      </c>
      <c r="F137" s="3">
        <v>0</v>
      </c>
      <c r="G137" s="3">
        <v>0</v>
      </c>
      <c r="H137" s="3">
        <v>78</v>
      </c>
      <c r="I137" s="3">
        <v>3.1</v>
      </c>
      <c r="J137" s="3">
        <v>4.05</v>
      </c>
      <c r="K137" s="3">
        <v>2.83</v>
      </c>
    </row>
    <row r="138" spans="2:11" x14ac:dyDescent="0.25">
      <c r="B138" s="2" t="s">
        <v>1588</v>
      </c>
      <c r="C138" s="2" t="s">
        <v>1589</v>
      </c>
      <c r="D138" s="3">
        <v>17.89</v>
      </c>
      <c r="E138" s="3">
        <v>2.13</v>
      </c>
      <c r="F138" s="3">
        <v>0</v>
      </c>
      <c r="H138" s="3">
        <v>77</v>
      </c>
      <c r="I138" s="3">
        <v>2.63</v>
      </c>
      <c r="J138" s="3">
        <v>2.75</v>
      </c>
      <c r="K138" s="3">
        <v>2.1</v>
      </c>
    </row>
    <row r="139" spans="2:11" x14ac:dyDescent="0.25">
      <c r="B139" s="2" t="s">
        <v>1590</v>
      </c>
      <c r="C139" s="2" t="s">
        <v>1591</v>
      </c>
      <c r="D139" s="3">
        <v>25.73</v>
      </c>
      <c r="E139" s="3">
        <v>0.11</v>
      </c>
      <c r="F139" s="3">
        <v>0</v>
      </c>
      <c r="H139" s="3">
        <v>56</v>
      </c>
      <c r="I139" s="3">
        <v>2.66</v>
      </c>
      <c r="J139" s="3">
        <v>2.94</v>
      </c>
      <c r="K139" s="3">
        <v>1.89</v>
      </c>
    </row>
    <row r="140" spans="2:11" x14ac:dyDescent="0.25">
      <c r="B140" s="2" t="s">
        <v>1592</v>
      </c>
      <c r="C140" s="2" t="s">
        <v>1593</v>
      </c>
      <c r="D140" s="3">
        <v>23.1</v>
      </c>
      <c r="E140" s="3">
        <v>0</v>
      </c>
      <c r="F140" s="3">
        <v>0</v>
      </c>
      <c r="G140" s="3">
        <v>0</v>
      </c>
      <c r="H140" s="3">
        <v>53</v>
      </c>
      <c r="I140" s="3">
        <v>0.97</v>
      </c>
      <c r="J140" s="3">
        <v>1.25</v>
      </c>
      <c r="K140" s="3">
        <v>1.04</v>
      </c>
    </row>
    <row r="141" spans="2:11" x14ac:dyDescent="0.25">
      <c r="B141" s="2" t="s">
        <v>1594</v>
      </c>
      <c r="C141" s="2" t="s">
        <v>1595</v>
      </c>
      <c r="D141" s="3">
        <v>33.04</v>
      </c>
      <c r="E141" s="3">
        <v>0</v>
      </c>
      <c r="F141" s="3">
        <v>0</v>
      </c>
      <c r="H141" s="3">
        <v>58</v>
      </c>
      <c r="I141" s="3">
        <v>1.98</v>
      </c>
      <c r="J141" s="3">
        <v>2.69</v>
      </c>
      <c r="K141" s="3">
        <v>1.89</v>
      </c>
    </row>
    <row r="142" spans="2:11" x14ac:dyDescent="0.25">
      <c r="B142" s="2" t="s">
        <v>1596</v>
      </c>
      <c r="C142" s="2" t="s">
        <v>1597</v>
      </c>
      <c r="D142" s="3">
        <v>19.7</v>
      </c>
      <c r="E142" s="3">
        <v>0</v>
      </c>
      <c r="F142" s="3">
        <v>0</v>
      </c>
      <c r="G142" s="3">
        <v>0</v>
      </c>
      <c r="H142" s="3">
        <v>101</v>
      </c>
      <c r="I142" s="3">
        <v>2.08</v>
      </c>
      <c r="J142" s="3">
        <v>2.52</v>
      </c>
      <c r="K142" s="3">
        <v>2.02</v>
      </c>
    </row>
    <row r="143" spans="2:11" x14ac:dyDescent="0.25">
      <c r="B143" s="2" t="s">
        <v>1598</v>
      </c>
      <c r="C143" s="2" t="s">
        <v>1599</v>
      </c>
      <c r="D143" s="3">
        <v>28.14</v>
      </c>
      <c r="E143" s="3">
        <v>0</v>
      </c>
      <c r="F143" s="3">
        <v>0</v>
      </c>
      <c r="H143" s="3">
        <v>95</v>
      </c>
      <c r="I143" s="3">
        <v>4.07</v>
      </c>
      <c r="J143" s="3">
        <v>5.24</v>
      </c>
      <c r="K143" s="3">
        <v>3.65</v>
      </c>
    </row>
    <row r="144" spans="2:11" x14ac:dyDescent="0.25">
      <c r="B144" s="2" t="s">
        <v>1600</v>
      </c>
      <c r="C144" s="2" t="s">
        <v>1601</v>
      </c>
      <c r="D144" s="3">
        <v>18.510000000000002</v>
      </c>
      <c r="E144" s="3">
        <v>0.08</v>
      </c>
      <c r="F144" s="3">
        <v>0</v>
      </c>
      <c r="H144" s="3">
        <v>47</v>
      </c>
      <c r="I144" s="3">
        <v>4.8899999999999997</v>
      </c>
      <c r="J144" s="3">
        <v>7.16</v>
      </c>
      <c r="K144" s="3">
        <v>3.6</v>
      </c>
    </row>
    <row r="145" spans="2:11" x14ac:dyDescent="0.25">
      <c r="B145" s="2" t="s">
        <v>1602</v>
      </c>
      <c r="C145" s="2" t="s">
        <v>1603</v>
      </c>
      <c r="D145" s="3">
        <v>28.35</v>
      </c>
      <c r="E145" s="3">
        <v>0.04</v>
      </c>
      <c r="F145" s="3">
        <v>0</v>
      </c>
      <c r="H145" s="3">
        <v>50</v>
      </c>
      <c r="I145" s="3">
        <v>3.28</v>
      </c>
      <c r="J145" s="3">
        <v>4.71</v>
      </c>
      <c r="K145" s="3">
        <v>2.52</v>
      </c>
    </row>
    <row r="146" spans="2:11" x14ac:dyDescent="0.25">
      <c r="B146" s="2" t="s">
        <v>1604</v>
      </c>
      <c r="C146" s="2" t="s">
        <v>1605</v>
      </c>
      <c r="D146" s="3">
        <v>18.77</v>
      </c>
      <c r="E146" s="3">
        <v>0</v>
      </c>
      <c r="F146" s="3">
        <v>0</v>
      </c>
      <c r="G146" s="3">
        <v>0</v>
      </c>
      <c r="H146" s="3">
        <v>45</v>
      </c>
      <c r="I146" s="3">
        <v>4.95</v>
      </c>
      <c r="J146" s="3">
        <v>7.31</v>
      </c>
      <c r="K146" s="3">
        <v>3.62</v>
      </c>
    </row>
    <row r="147" spans="2:11" x14ac:dyDescent="0.25">
      <c r="B147" s="2" t="s">
        <v>1606</v>
      </c>
      <c r="C147" s="2" t="s">
        <v>1607</v>
      </c>
      <c r="D147" s="3">
        <v>28.96</v>
      </c>
      <c r="E147" s="3">
        <v>0</v>
      </c>
      <c r="F147" s="3">
        <v>0</v>
      </c>
      <c r="H147" s="3">
        <v>49</v>
      </c>
      <c r="I147" s="3">
        <v>3.26</v>
      </c>
      <c r="J147" s="3">
        <v>4.75</v>
      </c>
      <c r="K147" s="3">
        <v>2.52</v>
      </c>
    </row>
    <row r="148" spans="2:11" x14ac:dyDescent="0.25">
      <c r="B148" s="2" t="s">
        <v>1608</v>
      </c>
      <c r="C148" s="2" t="s">
        <v>1609</v>
      </c>
      <c r="D148" s="3">
        <v>18.28</v>
      </c>
      <c r="E148" s="3">
        <v>1.42</v>
      </c>
      <c r="F148" s="3">
        <v>0</v>
      </c>
      <c r="H148" s="3">
        <v>77</v>
      </c>
      <c r="I148" s="3">
        <v>1.64</v>
      </c>
      <c r="J148" s="3">
        <v>1.32</v>
      </c>
      <c r="K148" s="3">
        <v>1.19</v>
      </c>
    </row>
    <row r="149" spans="2:11" x14ac:dyDescent="0.25">
      <c r="B149" s="2" t="s">
        <v>1610</v>
      </c>
      <c r="C149" s="2" t="s">
        <v>1611</v>
      </c>
      <c r="D149" s="3">
        <v>26.39</v>
      </c>
      <c r="E149" s="3">
        <v>0.76</v>
      </c>
      <c r="F149" s="3">
        <v>0</v>
      </c>
      <c r="H149" s="3">
        <v>55</v>
      </c>
      <c r="I149" s="3">
        <v>1.77</v>
      </c>
      <c r="J149" s="3">
        <v>1.37</v>
      </c>
      <c r="K149" s="3">
        <v>1.1299999999999999</v>
      </c>
    </row>
    <row r="150" spans="2:11" x14ac:dyDescent="0.25">
      <c r="B150" s="2" t="s">
        <v>1612</v>
      </c>
      <c r="C150" s="2" t="s">
        <v>1613</v>
      </c>
      <c r="D150" s="3">
        <v>11.49</v>
      </c>
      <c r="E150" s="3">
        <v>0</v>
      </c>
      <c r="F150" s="3">
        <v>0</v>
      </c>
      <c r="G150" s="3">
        <v>0</v>
      </c>
      <c r="H150" s="3">
        <v>63</v>
      </c>
      <c r="I150" s="3">
        <v>13.22</v>
      </c>
      <c r="J150" s="3">
        <v>18.690000000000001</v>
      </c>
      <c r="K150" s="3">
        <v>5.08</v>
      </c>
    </row>
    <row r="151" spans="2:11" x14ac:dyDescent="0.25">
      <c r="B151" s="2" t="s">
        <v>1614</v>
      </c>
      <c r="C151" s="2" t="s">
        <v>1615</v>
      </c>
      <c r="D151" s="3">
        <v>18.989999999999998</v>
      </c>
      <c r="E151" s="3">
        <v>0</v>
      </c>
      <c r="F151" s="3">
        <v>0</v>
      </c>
      <c r="G151" s="3">
        <v>0</v>
      </c>
      <c r="H151" s="3">
        <v>59</v>
      </c>
      <c r="I151" s="3">
        <v>9.67</v>
      </c>
      <c r="J151" s="3">
        <v>12.9</v>
      </c>
      <c r="K151" s="3">
        <v>3.65</v>
      </c>
    </row>
    <row r="152" spans="2:11" x14ac:dyDescent="0.25">
      <c r="B152" s="2" t="s">
        <v>1616</v>
      </c>
      <c r="C152" s="2" t="s">
        <v>1617</v>
      </c>
      <c r="D152" s="3">
        <v>18.28</v>
      </c>
      <c r="E152" s="3">
        <v>0.94</v>
      </c>
      <c r="F152" s="3">
        <v>0</v>
      </c>
      <c r="G152" s="3">
        <v>0</v>
      </c>
      <c r="H152" s="3">
        <v>74</v>
      </c>
      <c r="I152" s="3">
        <v>2.3199999999999998</v>
      </c>
      <c r="J152" s="3">
        <v>1.54</v>
      </c>
      <c r="K152" s="3">
        <v>0.75</v>
      </c>
    </row>
    <row r="153" spans="2:11" x14ac:dyDescent="0.25">
      <c r="B153" s="2" t="s">
        <v>1618</v>
      </c>
      <c r="C153" s="2" t="s">
        <v>1619</v>
      </c>
      <c r="D153" s="3">
        <v>23.48</v>
      </c>
      <c r="E153" s="3">
        <v>0</v>
      </c>
      <c r="F153" s="3">
        <v>0</v>
      </c>
      <c r="G153" s="3">
        <v>0</v>
      </c>
      <c r="H153" s="3">
        <v>65</v>
      </c>
      <c r="I153" s="3">
        <v>3.9510000000000001</v>
      </c>
      <c r="J153" s="3">
        <v>3.8580000000000001</v>
      </c>
      <c r="K153" s="3">
        <v>1.4870000000000001</v>
      </c>
    </row>
    <row r="154" spans="2:11" x14ac:dyDescent="0.25">
      <c r="B154" s="2" t="s">
        <v>1620</v>
      </c>
      <c r="C154" s="2" t="s">
        <v>1621</v>
      </c>
      <c r="D154" s="3">
        <v>18.739999999999998</v>
      </c>
      <c r="E154" s="3">
        <v>3.53</v>
      </c>
      <c r="F154" s="3">
        <v>0</v>
      </c>
      <c r="H154" s="3">
        <v>140</v>
      </c>
      <c r="I154" s="3">
        <v>1.44</v>
      </c>
      <c r="J154" s="3">
        <v>0.71</v>
      </c>
      <c r="K154" s="3">
        <v>0.63</v>
      </c>
    </row>
    <row r="155" spans="2:11" x14ac:dyDescent="0.25">
      <c r="B155" s="2" t="s">
        <v>1622</v>
      </c>
      <c r="C155" s="2" t="s">
        <v>1623</v>
      </c>
      <c r="D155" s="3">
        <v>17.420000000000002</v>
      </c>
      <c r="E155" s="3">
        <v>0</v>
      </c>
      <c r="F155" s="3">
        <v>0</v>
      </c>
      <c r="H155" s="3">
        <v>56</v>
      </c>
      <c r="I155" s="3">
        <v>5.04</v>
      </c>
      <c r="J155" s="3">
        <v>6.8</v>
      </c>
      <c r="K155" s="3">
        <v>2.02</v>
      </c>
    </row>
    <row r="156" spans="2:11" x14ac:dyDescent="0.25">
      <c r="B156" s="2" t="s">
        <v>1624</v>
      </c>
      <c r="C156" s="2" t="s">
        <v>1625</v>
      </c>
      <c r="D156" s="3">
        <v>19.850000000000001</v>
      </c>
      <c r="E156" s="3">
        <v>0</v>
      </c>
      <c r="F156" s="3">
        <v>0</v>
      </c>
      <c r="H156" s="3">
        <v>57</v>
      </c>
      <c r="I156" s="3">
        <v>1.32</v>
      </c>
      <c r="J156" s="3">
        <v>1.21</v>
      </c>
      <c r="K156" s="3">
        <v>0.57999999999999996</v>
      </c>
    </row>
    <row r="157" spans="2:11" x14ac:dyDescent="0.25">
      <c r="B157" s="2" t="s">
        <v>1626</v>
      </c>
      <c r="C157" s="2" t="s">
        <v>1627</v>
      </c>
      <c r="D157" s="3">
        <v>15.86</v>
      </c>
      <c r="E157" s="3">
        <v>0</v>
      </c>
      <c r="F157" s="3">
        <v>0</v>
      </c>
      <c r="H157" s="3">
        <v>73</v>
      </c>
      <c r="I157" s="3">
        <v>9.7799999999999994</v>
      </c>
      <c r="J157" s="3">
        <v>17.77</v>
      </c>
      <c r="K157" s="3">
        <v>3.76</v>
      </c>
    </row>
    <row r="158" spans="2:11" x14ac:dyDescent="0.25">
      <c r="B158" s="2" t="s">
        <v>1628</v>
      </c>
      <c r="C158" s="2" t="s">
        <v>1629</v>
      </c>
      <c r="D158" s="3">
        <v>25.16</v>
      </c>
      <c r="E158" s="3">
        <v>0</v>
      </c>
      <c r="F158" s="3">
        <v>0</v>
      </c>
      <c r="G158" s="3">
        <v>0</v>
      </c>
      <c r="H158" s="3">
        <v>70</v>
      </c>
      <c r="I158" s="3">
        <v>6.87</v>
      </c>
      <c r="J158" s="3">
        <v>10.25</v>
      </c>
      <c r="K158" s="3">
        <v>2.52</v>
      </c>
    </row>
    <row r="159" spans="2:11" x14ac:dyDescent="0.25">
      <c r="B159" s="2" t="s">
        <v>1630</v>
      </c>
      <c r="C159" s="2" t="s">
        <v>1631</v>
      </c>
      <c r="D159" s="3">
        <v>22.75</v>
      </c>
      <c r="E159" s="3">
        <v>0</v>
      </c>
      <c r="F159" s="3">
        <v>0</v>
      </c>
      <c r="H159" s="3">
        <v>87</v>
      </c>
      <c r="I159" s="3">
        <v>2.79</v>
      </c>
      <c r="J159" s="3">
        <v>1.85</v>
      </c>
      <c r="K159" s="3">
        <v>0.9</v>
      </c>
    </row>
    <row r="160" spans="2:11" x14ac:dyDescent="0.25">
      <c r="B160" s="2" t="s">
        <v>1632</v>
      </c>
      <c r="C160" s="2" t="s">
        <v>1633</v>
      </c>
      <c r="D160" s="3">
        <v>28.97</v>
      </c>
      <c r="E160" s="3">
        <v>0</v>
      </c>
      <c r="F160" s="3">
        <v>0</v>
      </c>
      <c r="H160" s="3">
        <v>76</v>
      </c>
      <c r="I160" s="3">
        <v>4.5599999999999996</v>
      </c>
      <c r="J160" s="3">
        <v>4.34</v>
      </c>
      <c r="K160" s="3">
        <v>1.54</v>
      </c>
    </row>
    <row r="161" spans="2:11" x14ac:dyDescent="0.25">
      <c r="B161" s="2" t="s">
        <v>1634</v>
      </c>
      <c r="C161" s="2" t="s">
        <v>1635</v>
      </c>
      <c r="D161" s="3">
        <v>16.37</v>
      </c>
      <c r="E161" s="3">
        <v>6.32</v>
      </c>
      <c r="F161" s="3">
        <v>0</v>
      </c>
      <c r="H161" s="3">
        <v>140</v>
      </c>
      <c r="I161" s="3">
        <v>1.59</v>
      </c>
      <c r="J161" s="3">
        <v>0.81</v>
      </c>
      <c r="K161" s="3">
        <v>0.26</v>
      </c>
    </row>
    <row r="162" spans="2:11" x14ac:dyDescent="0.25">
      <c r="B162" s="2" t="s">
        <v>1636</v>
      </c>
      <c r="C162" s="2" t="s">
        <v>1637</v>
      </c>
      <c r="D162" s="3">
        <v>23.4</v>
      </c>
      <c r="E162" s="3">
        <v>0</v>
      </c>
      <c r="F162" s="3">
        <v>0</v>
      </c>
      <c r="H162" s="3">
        <v>67</v>
      </c>
      <c r="I162" s="3">
        <v>1.77</v>
      </c>
      <c r="J162" s="3">
        <v>2.4300000000000002</v>
      </c>
      <c r="K162" s="3">
        <v>1.41</v>
      </c>
    </row>
    <row r="163" spans="2:11" x14ac:dyDescent="0.25">
      <c r="B163" s="2" t="s">
        <v>1638</v>
      </c>
      <c r="C163" s="2" t="s">
        <v>1639</v>
      </c>
      <c r="D163" s="3">
        <v>20.64</v>
      </c>
      <c r="E163" s="3">
        <v>0</v>
      </c>
      <c r="F163" s="3">
        <v>0</v>
      </c>
      <c r="H163" s="3">
        <v>69</v>
      </c>
      <c r="I163" s="3">
        <v>0.64</v>
      </c>
      <c r="J163" s="3">
        <v>0.68</v>
      </c>
      <c r="K163" s="3">
        <v>0.59</v>
      </c>
    </row>
    <row r="164" spans="2:11" x14ac:dyDescent="0.25">
      <c r="B164" s="2" t="s">
        <v>1640</v>
      </c>
      <c r="C164" s="2" t="s">
        <v>1641</v>
      </c>
      <c r="D164" s="3">
        <v>22.7</v>
      </c>
      <c r="E164" s="3">
        <v>0</v>
      </c>
      <c r="F164" s="3">
        <v>0</v>
      </c>
      <c r="H164" s="3">
        <v>40</v>
      </c>
      <c r="I164" s="3">
        <v>2.7</v>
      </c>
      <c r="J164" s="3">
        <v>4.32</v>
      </c>
      <c r="K164" s="3">
        <v>1.18</v>
      </c>
    </row>
    <row r="165" spans="2:11" x14ac:dyDescent="0.25">
      <c r="B165" s="2" t="s">
        <v>1642</v>
      </c>
      <c r="C165" s="2" t="s">
        <v>1643</v>
      </c>
      <c r="D165" s="3">
        <v>23.57</v>
      </c>
      <c r="E165" s="3">
        <v>0</v>
      </c>
      <c r="F165" s="3">
        <v>0</v>
      </c>
      <c r="H165" s="3">
        <v>37</v>
      </c>
      <c r="I165" s="3">
        <v>1.24</v>
      </c>
      <c r="J165" s="3">
        <v>1.17</v>
      </c>
      <c r="K165" s="3">
        <v>0.62</v>
      </c>
    </row>
    <row r="166" spans="2:11" x14ac:dyDescent="0.25">
      <c r="B166" s="2" t="s">
        <v>1644</v>
      </c>
      <c r="C166" s="2" t="s">
        <v>1645</v>
      </c>
      <c r="D166" s="3">
        <v>24.37</v>
      </c>
      <c r="E166" s="3">
        <v>0</v>
      </c>
      <c r="F166" s="3">
        <v>0</v>
      </c>
      <c r="H166" s="3">
        <v>33</v>
      </c>
      <c r="I166" s="3">
        <v>1.1000000000000001</v>
      </c>
      <c r="J166" s="3">
        <v>1.04</v>
      </c>
      <c r="K166" s="3">
        <v>0.55000000000000004</v>
      </c>
    </row>
    <row r="167" spans="2:11" x14ac:dyDescent="0.25">
      <c r="B167" s="2" t="s">
        <v>1646</v>
      </c>
      <c r="C167" s="2" t="s">
        <v>1647</v>
      </c>
      <c r="D167" s="3">
        <v>22.2</v>
      </c>
      <c r="E167" s="3">
        <v>0</v>
      </c>
      <c r="F167" s="3">
        <v>0</v>
      </c>
      <c r="H167" s="3">
        <v>45</v>
      </c>
      <c r="I167" s="3">
        <v>1.46</v>
      </c>
      <c r="J167" s="3">
        <v>1.38</v>
      </c>
      <c r="K167" s="3">
        <v>0.73</v>
      </c>
    </row>
    <row r="168" spans="2:11" x14ac:dyDescent="0.25">
      <c r="B168" s="2" t="s">
        <v>1648</v>
      </c>
      <c r="C168" s="2" t="s">
        <v>1649</v>
      </c>
      <c r="D168" s="3">
        <v>19.63</v>
      </c>
      <c r="E168" s="3">
        <v>0</v>
      </c>
      <c r="F168" s="3">
        <v>0</v>
      </c>
      <c r="H168" s="3">
        <v>53</v>
      </c>
      <c r="I168" s="3">
        <v>3.38</v>
      </c>
      <c r="J168" s="3">
        <v>4.18</v>
      </c>
      <c r="K168" s="3">
        <v>2.98</v>
      </c>
    </row>
    <row r="169" spans="2:11" x14ac:dyDescent="0.25">
      <c r="B169" s="2" t="s">
        <v>1650</v>
      </c>
      <c r="C169" s="2" t="s">
        <v>1651</v>
      </c>
      <c r="D169" s="3">
        <v>21.76</v>
      </c>
      <c r="E169" s="3">
        <v>0</v>
      </c>
      <c r="F169" s="3">
        <v>0</v>
      </c>
      <c r="H169" s="3">
        <v>51</v>
      </c>
      <c r="I169" s="3">
        <v>1.32</v>
      </c>
      <c r="J169" s="3">
        <v>1.28</v>
      </c>
      <c r="K169" s="3">
        <v>1.17</v>
      </c>
    </row>
    <row r="170" spans="2:11" x14ac:dyDescent="0.25">
      <c r="B170" s="2" t="s">
        <v>1652</v>
      </c>
      <c r="C170" s="2" t="s">
        <v>1653</v>
      </c>
      <c r="D170" s="3">
        <v>22.59</v>
      </c>
      <c r="E170" s="3">
        <v>0</v>
      </c>
      <c r="F170" s="3">
        <v>0</v>
      </c>
      <c r="H170" s="3">
        <v>55</v>
      </c>
      <c r="I170" s="3">
        <v>0.87</v>
      </c>
      <c r="J170" s="3">
        <v>0.84</v>
      </c>
      <c r="K170" s="3">
        <v>0.77</v>
      </c>
    </row>
    <row r="171" spans="2:11" x14ac:dyDescent="0.25">
      <c r="B171" s="2" t="s">
        <v>1654</v>
      </c>
      <c r="C171" s="2" t="s">
        <v>1655</v>
      </c>
      <c r="D171" s="3">
        <v>18.47</v>
      </c>
      <c r="E171" s="3">
        <v>0</v>
      </c>
      <c r="F171" s="3">
        <v>0</v>
      </c>
      <c r="H171" s="3">
        <v>54</v>
      </c>
      <c r="I171" s="3">
        <v>8.43</v>
      </c>
      <c r="J171" s="3">
        <v>9.7200000000000006</v>
      </c>
      <c r="K171" s="3">
        <v>3.07</v>
      </c>
    </row>
    <row r="172" spans="2:11" x14ac:dyDescent="0.25">
      <c r="B172" s="2" t="s">
        <v>1656</v>
      </c>
      <c r="C172" s="2" t="s">
        <v>1657</v>
      </c>
      <c r="D172" s="3">
        <v>17.5</v>
      </c>
      <c r="E172" s="3">
        <v>0</v>
      </c>
      <c r="F172" s="3">
        <v>0</v>
      </c>
      <c r="H172" s="3">
        <v>51</v>
      </c>
      <c r="I172" s="3">
        <v>1.96</v>
      </c>
      <c r="J172" s="3">
        <v>2.66</v>
      </c>
      <c r="K172" s="3">
        <v>1.6</v>
      </c>
    </row>
    <row r="173" spans="2:11" x14ac:dyDescent="0.25">
      <c r="B173" s="2" t="s">
        <v>1658</v>
      </c>
      <c r="C173" s="2" t="s">
        <v>1659</v>
      </c>
      <c r="D173" s="3">
        <v>21.76</v>
      </c>
      <c r="E173" s="3">
        <v>0</v>
      </c>
      <c r="F173" s="3">
        <v>0</v>
      </c>
      <c r="H173" s="3">
        <v>55</v>
      </c>
      <c r="I173" s="3">
        <v>1.18</v>
      </c>
      <c r="J173" s="3">
        <v>1.61</v>
      </c>
      <c r="K173" s="3">
        <v>0.96</v>
      </c>
    </row>
    <row r="174" spans="2:11" x14ac:dyDescent="0.25">
      <c r="B174" s="2" t="s">
        <v>1660</v>
      </c>
      <c r="C174" s="2" t="s">
        <v>1661</v>
      </c>
      <c r="D174" s="3">
        <v>21.64</v>
      </c>
      <c r="E174" s="3">
        <v>0.13</v>
      </c>
      <c r="F174" s="3">
        <v>0</v>
      </c>
      <c r="G174" s="3">
        <v>7.0000000000000007E-2</v>
      </c>
      <c r="H174" s="3">
        <v>112</v>
      </c>
      <c r="I174" s="3">
        <v>1.4610000000000001</v>
      </c>
      <c r="J174" s="3">
        <v>1.8260000000000001</v>
      </c>
      <c r="K174" s="3">
        <v>1.466</v>
      </c>
    </row>
    <row r="175" spans="2:11" x14ac:dyDescent="0.25">
      <c r="B175" s="2" t="s">
        <v>1662</v>
      </c>
      <c r="C175" s="2" t="s">
        <v>1663</v>
      </c>
      <c r="D175" s="3">
        <v>28.55</v>
      </c>
      <c r="E175" s="3">
        <v>0.06</v>
      </c>
      <c r="F175" s="3">
        <v>0</v>
      </c>
      <c r="G175" s="3">
        <v>0</v>
      </c>
      <c r="H175" s="3">
        <v>103</v>
      </c>
      <c r="I175" s="3">
        <v>2.1549999999999998</v>
      </c>
      <c r="J175" s="3">
        <v>2.6469999999999998</v>
      </c>
      <c r="K175" s="3">
        <v>2.1190000000000002</v>
      </c>
    </row>
    <row r="176" spans="2:11" x14ac:dyDescent="0.25">
      <c r="B176" s="2" t="s">
        <v>1664</v>
      </c>
      <c r="C176" s="2" t="s">
        <v>1665</v>
      </c>
      <c r="D176" s="3">
        <v>22.64</v>
      </c>
      <c r="E176" s="3">
        <v>0.14000000000000001</v>
      </c>
      <c r="F176" s="3">
        <v>0</v>
      </c>
      <c r="G176" s="3">
        <v>7.0000000000000007E-2</v>
      </c>
      <c r="H176" s="3">
        <v>118</v>
      </c>
      <c r="I176" s="3">
        <v>0.45900000000000002</v>
      </c>
      <c r="J176" s="3">
        <v>0.47699999999999998</v>
      </c>
      <c r="K176" s="3">
        <v>0.41099999999999998</v>
      </c>
    </row>
    <row r="177" spans="2:11" x14ac:dyDescent="0.25">
      <c r="B177" s="2" t="s">
        <v>1666</v>
      </c>
      <c r="C177" s="2" t="s">
        <v>1667</v>
      </c>
      <c r="D177" s="3">
        <v>29.06</v>
      </c>
      <c r="E177" s="3">
        <v>0</v>
      </c>
      <c r="F177" s="3">
        <v>0</v>
      </c>
      <c r="G177" s="3">
        <v>0</v>
      </c>
      <c r="H177" s="3">
        <v>101</v>
      </c>
      <c r="I177" s="3">
        <v>1.1319999999999999</v>
      </c>
      <c r="J177" s="3">
        <v>1.264</v>
      </c>
      <c r="K177" s="3">
        <v>1.032</v>
      </c>
    </row>
    <row r="178" spans="2:11" x14ac:dyDescent="0.25">
      <c r="B178" s="2" t="s">
        <v>1668</v>
      </c>
      <c r="C178" s="2" t="s">
        <v>1669</v>
      </c>
      <c r="D178" s="3">
        <v>12.96</v>
      </c>
      <c r="E178" s="3">
        <v>0.16</v>
      </c>
      <c r="F178" s="3">
        <v>0</v>
      </c>
      <c r="G178" s="3">
        <v>0.1</v>
      </c>
      <c r="H178" s="3">
        <v>62</v>
      </c>
      <c r="I178" s="3">
        <v>10.43</v>
      </c>
      <c r="J178" s="3">
        <v>13.907999999999999</v>
      </c>
      <c r="K178" s="3">
        <v>10.922000000000001</v>
      </c>
    </row>
    <row r="179" spans="2:11" x14ac:dyDescent="0.25">
      <c r="B179" s="2" t="s">
        <v>1670</v>
      </c>
      <c r="C179" s="2" t="s">
        <v>1671</v>
      </c>
      <c r="D179" s="3">
        <v>23.94</v>
      </c>
      <c r="E179" s="3">
        <v>0.56999999999999995</v>
      </c>
      <c r="F179" s="3">
        <v>0</v>
      </c>
      <c r="G179" s="3">
        <v>0</v>
      </c>
      <c r="H179" s="3">
        <v>116</v>
      </c>
      <c r="I179" s="3">
        <v>11.356</v>
      </c>
      <c r="J179" s="3">
        <v>15.093999999999999</v>
      </c>
      <c r="K179" s="3">
        <v>11.903</v>
      </c>
    </row>
    <row r="180" spans="2:11" x14ac:dyDescent="0.25">
      <c r="B180" s="2" t="s">
        <v>1672</v>
      </c>
      <c r="C180" s="2" t="s">
        <v>1673</v>
      </c>
      <c r="D180" s="3">
        <v>18.18</v>
      </c>
      <c r="E180" s="3">
        <v>7.0000000000000007E-2</v>
      </c>
      <c r="F180" s="3">
        <v>0</v>
      </c>
      <c r="G180" s="3">
        <v>0</v>
      </c>
      <c r="H180" s="3">
        <v>136</v>
      </c>
      <c r="I180" s="3">
        <v>1.452</v>
      </c>
      <c r="J180" s="3">
        <v>1.016</v>
      </c>
      <c r="K180" s="3">
        <v>1.425</v>
      </c>
    </row>
    <row r="181" spans="2:11" x14ac:dyDescent="0.25">
      <c r="B181" s="2" t="s">
        <v>1674</v>
      </c>
      <c r="C181" s="2" t="s">
        <v>1675</v>
      </c>
      <c r="D181" s="3">
        <v>26.44</v>
      </c>
      <c r="E181" s="3">
        <v>0</v>
      </c>
      <c r="F181" s="3">
        <v>0</v>
      </c>
      <c r="G181" s="3">
        <v>0</v>
      </c>
      <c r="H181" s="3">
        <v>117</v>
      </c>
      <c r="I181" s="3">
        <v>1.7250000000000001</v>
      </c>
      <c r="J181" s="3">
        <v>1.0409999999999999</v>
      </c>
      <c r="K181" s="3">
        <v>1.5369999999999999</v>
      </c>
    </row>
    <row r="182" spans="2:11" x14ac:dyDescent="0.25">
      <c r="B182" s="2" t="s">
        <v>1676</v>
      </c>
      <c r="C182" s="2" t="s">
        <v>1677</v>
      </c>
      <c r="D182" s="3">
        <v>18.8</v>
      </c>
      <c r="E182" s="3">
        <v>0</v>
      </c>
      <c r="F182" s="3">
        <v>0</v>
      </c>
      <c r="G182" s="3">
        <v>0</v>
      </c>
      <c r="H182" s="3">
        <v>147</v>
      </c>
      <c r="I182" s="3">
        <v>0.92900000000000005</v>
      </c>
      <c r="J182" s="3">
        <v>0.79500000000000004</v>
      </c>
      <c r="K182" s="3">
        <v>0.70799999999999996</v>
      </c>
    </row>
    <row r="183" spans="2:11" x14ac:dyDescent="0.25">
      <c r="B183" s="2" t="s">
        <v>1678</v>
      </c>
      <c r="C183" s="2" t="s">
        <v>1679</v>
      </c>
      <c r="D183" s="3">
        <v>26.45</v>
      </c>
      <c r="E183" s="3">
        <v>0</v>
      </c>
      <c r="F183" s="3">
        <v>0</v>
      </c>
      <c r="G183" s="3">
        <v>0</v>
      </c>
      <c r="H183" s="3">
        <v>127</v>
      </c>
      <c r="I183" s="3">
        <v>1.0589999999999999</v>
      </c>
      <c r="J183" s="3">
        <v>1.5980000000000001</v>
      </c>
      <c r="K183" s="3">
        <v>1.359</v>
      </c>
    </row>
    <row r="184" spans="2:11" x14ac:dyDescent="0.25">
      <c r="B184" s="2" t="s">
        <v>1680</v>
      </c>
      <c r="C184" s="2" t="s">
        <v>1681</v>
      </c>
      <c r="D184" s="3">
        <v>16.7</v>
      </c>
      <c r="E184" s="3">
        <v>0.4</v>
      </c>
      <c r="F184" s="3">
        <v>0</v>
      </c>
      <c r="G184" s="3">
        <v>0</v>
      </c>
      <c r="H184" s="3">
        <v>129</v>
      </c>
      <c r="I184" s="3">
        <v>1.923</v>
      </c>
      <c r="J184" s="3">
        <v>2.0449999999999999</v>
      </c>
      <c r="K184" s="3">
        <v>2.153</v>
      </c>
    </row>
    <row r="185" spans="2:11" x14ac:dyDescent="0.25">
      <c r="B185" s="2" t="s">
        <v>1682</v>
      </c>
      <c r="C185" s="2" t="s">
        <v>1683</v>
      </c>
      <c r="D185" s="3">
        <v>24.88</v>
      </c>
      <c r="E185" s="3">
        <v>0</v>
      </c>
      <c r="F185" s="3">
        <v>0</v>
      </c>
      <c r="G185" s="3">
        <v>0</v>
      </c>
      <c r="H185" s="3">
        <v>140</v>
      </c>
      <c r="I185" s="3">
        <v>1.8979999999999999</v>
      </c>
      <c r="J185" s="3">
        <v>1.6679999999999999</v>
      </c>
      <c r="K185" s="3">
        <v>1.8320000000000001</v>
      </c>
    </row>
    <row r="186" spans="2:11" x14ac:dyDescent="0.25">
      <c r="B186" s="2" t="s">
        <v>1684</v>
      </c>
      <c r="C186" s="2" t="s">
        <v>1685</v>
      </c>
      <c r="D186" s="3">
        <v>18.260000000000002</v>
      </c>
      <c r="E186" s="3">
        <v>0</v>
      </c>
      <c r="F186" s="3">
        <v>0</v>
      </c>
      <c r="G186" s="3">
        <v>0</v>
      </c>
      <c r="H186" s="3">
        <v>131</v>
      </c>
      <c r="I186" s="3">
        <v>1.6639999999999999</v>
      </c>
      <c r="J186" s="3">
        <v>0.81699999999999995</v>
      </c>
      <c r="K186" s="3">
        <v>1.6839999999999999</v>
      </c>
    </row>
    <row r="187" spans="2:11" x14ac:dyDescent="0.25">
      <c r="B187" s="2" t="s">
        <v>1686</v>
      </c>
      <c r="C187" s="2" t="s">
        <v>1687</v>
      </c>
      <c r="D187" s="3">
        <v>27</v>
      </c>
      <c r="E187" s="3">
        <v>0</v>
      </c>
      <c r="F187" s="3">
        <v>0</v>
      </c>
      <c r="G187" s="3">
        <v>0</v>
      </c>
      <c r="H187" s="3">
        <v>98</v>
      </c>
      <c r="I187" s="3">
        <v>2.3039999999999998</v>
      </c>
      <c r="J187" s="3">
        <v>1.038</v>
      </c>
      <c r="K187" s="3">
        <v>2.1669999999999998</v>
      </c>
    </row>
    <row r="188" spans="2:11" x14ac:dyDescent="0.25">
      <c r="B188" s="2" t="s">
        <v>1688</v>
      </c>
      <c r="C188" s="2" t="s">
        <v>1689</v>
      </c>
      <c r="D188" s="3">
        <v>16.510000000000002</v>
      </c>
      <c r="E188" s="3">
        <v>0</v>
      </c>
      <c r="F188" s="3">
        <v>0</v>
      </c>
      <c r="G188" s="3">
        <v>0</v>
      </c>
      <c r="H188" s="3">
        <v>233</v>
      </c>
      <c r="I188" s="3">
        <v>1.647</v>
      </c>
      <c r="J188" s="3">
        <v>1.8240000000000001</v>
      </c>
      <c r="K188" s="3">
        <v>1.478</v>
      </c>
    </row>
    <row r="189" spans="2:11" x14ac:dyDescent="0.25">
      <c r="B189" s="2" t="s">
        <v>1690</v>
      </c>
      <c r="C189" s="2" t="s">
        <v>1691</v>
      </c>
      <c r="D189" s="3">
        <v>22.48</v>
      </c>
      <c r="E189" s="3">
        <v>0</v>
      </c>
      <c r="F189" s="3">
        <v>0</v>
      </c>
      <c r="G189" s="3">
        <v>0</v>
      </c>
      <c r="H189" s="3">
        <v>246</v>
      </c>
      <c r="I189" s="3">
        <v>2.2160000000000002</v>
      </c>
      <c r="J189" s="3">
        <v>2.5270000000000001</v>
      </c>
      <c r="K189" s="3">
        <v>2.0379999999999998</v>
      </c>
    </row>
    <row r="190" spans="2:11" x14ac:dyDescent="0.25">
      <c r="B190" s="2" t="s">
        <v>1692</v>
      </c>
      <c r="C190" s="2" t="s">
        <v>1693</v>
      </c>
      <c r="D190" s="3">
        <v>21.96</v>
      </c>
      <c r="E190" s="3">
        <v>0.15</v>
      </c>
      <c r="F190" s="3">
        <v>0</v>
      </c>
      <c r="G190" s="3">
        <v>0.06</v>
      </c>
      <c r="H190" s="3">
        <v>105</v>
      </c>
      <c r="I190" s="3">
        <v>1.899</v>
      </c>
      <c r="J190" s="3">
        <v>2.431</v>
      </c>
      <c r="K190" s="3">
        <v>1.952</v>
      </c>
    </row>
    <row r="191" spans="2:11" x14ac:dyDescent="0.25">
      <c r="B191" s="2" t="s">
        <v>1694</v>
      </c>
      <c r="C191" s="2" t="s">
        <v>1695</v>
      </c>
      <c r="D191" s="3">
        <v>29.55</v>
      </c>
      <c r="E191" s="3">
        <v>0.05</v>
      </c>
      <c r="F191" s="3">
        <v>0</v>
      </c>
      <c r="G191" s="3">
        <v>0</v>
      </c>
      <c r="H191" s="3">
        <v>101</v>
      </c>
      <c r="I191" s="3">
        <v>1.603</v>
      </c>
      <c r="J191" s="3">
        <v>1.984</v>
      </c>
      <c r="K191" s="3">
        <v>1.5960000000000001</v>
      </c>
    </row>
    <row r="192" spans="2:11" x14ac:dyDescent="0.25">
      <c r="B192" s="2" t="s">
        <v>1696</v>
      </c>
      <c r="C192" s="2" t="s">
        <v>1697</v>
      </c>
      <c r="D192" s="3">
        <v>19.809999999999999</v>
      </c>
      <c r="E192" s="3">
        <v>0.15</v>
      </c>
      <c r="F192" s="3">
        <v>0</v>
      </c>
      <c r="G192" s="3">
        <v>0.1</v>
      </c>
      <c r="H192" s="3">
        <v>113</v>
      </c>
      <c r="I192" s="3">
        <v>2.4129999999999998</v>
      </c>
      <c r="J192" s="3">
        <v>3.0910000000000002</v>
      </c>
      <c r="K192" s="3">
        <v>2.4430000000000001</v>
      </c>
    </row>
    <row r="193" spans="2:11" x14ac:dyDescent="0.25">
      <c r="B193" s="2" t="s">
        <v>1698</v>
      </c>
      <c r="C193" s="2" t="s">
        <v>1699</v>
      </c>
      <c r="D193" s="3">
        <v>27.27</v>
      </c>
      <c r="E193" s="3">
        <v>7.0000000000000007E-2</v>
      </c>
      <c r="F193" s="3">
        <v>0</v>
      </c>
      <c r="G193" s="3">
        <v>0</v>
      </c>
      <c r="H193" s="3">
        <v>105</v>
      </c>
      <c r="I193" s="3">
        <v>2.93</v>
      </c>
      <c r="J193" s="3">
        <v>3.5939999999999999</v>
      </c>
      <c r="K193" s="3">
        <v>2.867</v>
      </c>
    </row>
    <row r="194" spans="2:11" x14ac:dyDescent="0.25">
      <c r="B194" s="2" t="s">
        <v>1700</v>
      </c>
      <c r="C194" s="2" t="s">
        <v>1701</v>
      </c>
      <c r="D194" s="3">
        <v>23.66</v>
      </c>
      <c r="E194" s="3">
        <v>0.14000000000000001</v>
      </c>
      <c r="F194" s="3">
        <v>0</v>
      </c>
      <c r="G194" s="3">
        <v>0.05</v>
      </c>
      <c r="H194" s="3">
        <v>113</v>
      </c>
      <c r="I194" s="3">
        <v>0.28899999999999998</v>
      </c>
      <c r="J194" s="3">
        <v>0.26400000000000001</v>
      </c>
      <c r="K194" s="3">
        <v>0.25800000000000001</v>
      </c>
    </row>
    <row r="195" spans="2:11" x14ac:dyDescent="0.25">
      <c r="B195" s="2" t="s">
        <v>1702</v>
      </c>
      <c r="C195" s="2" t="s">
        <v>1703</v>
      </c>
      <c r="D195" s="3">
        <v>30.13</v>
      </c>
      <c r="E195" s="3">
        <v>0</v>
      </c>
      <c r="F195" s="3">
        <v>0</v>
      </c>
      <c r="G195" s="3">
        <v>0</v>
      </c>
      <c r="H195" s="3">
        <v>99</v>
      </c>
      <c r="I195" s="3">
        <v>0.59299999999999997</v>
      </c>
      <c r="J195" s="3">
        <v>0.626</v>
      </c>
      <c r="K195" s="3">
        <v>0.52800000000000002</v>
      </c>
    </row>
    <row r="196" spans="2:11" x14ac:dyDescent="0.25">
      <c r="B196" s="2" t="s">
        <v>1704</v>
      </c>
      <c r="C196" s="2" t="s">
        <v>1705</v>
      </c>
      <c r="D196" s="3">
        <v>21.28</v>
      </c>
      <c r="E196" s="3">
        <v>0.15</v>
      </c>
      <c r="F196" s="3">
        <v>0</v>
      </c>
      <c r="G196" s="3">
        <v>0.1</v>
      </c>
      <c r="H196" s="3">
        <v>124</v>
      </c>
      <c r="I196" s="3">
        <v>0.68300000000000005</v>
      </c>
      <c r="J196" s="3">
        <v>0.75600000000000001</v>
      </c>
      <c r="K196" s="3">
        <v>0.61299999999999999</v>
      </c>
    </row>
    <row r="197" spans="2:11" x14ac:dyDescent="0.25">
      <c r="B197" s="2" t="s">
        <v>1706</v>
      </c>
      <c r="C197" s="2" t="s">
        <v>1707</v>
      </c>
      <c r="D197" s="3">
        <v>27.71</v>
      </c>
      <c r="E197" s="3">
        <v>0</v>
      </c>
      <c r="F197" s="3">
        <v>0</v>
      </c>
      <c r="G197" s="3">
        <v>0</v>
      </c>
      <c r="H197" s="3">
        <v>104</v>
      </c>
      <c r="I197" s="3">
        <v>1.8069999999999999</v>
      </c>
      <c r="J197" s="3">
        <v>2.0609999999999999</v>
      </c>
      <c r="K197" s="3">
        <v>1.6619999999999999</v>
      </c>
    </row>
    <row r="198" spans="2:11" x14ac:dyDescent="0.25">
      <c r="B198" s="2" t="s">
        <v>1708</v>
      </c>
      <c r="C198" s="2" t="s">
        <v>1709</v>
      </c>
      <c r="D198" s="3">
        <v>26.59</v>
      </c>
      <c r="E198" s="3">
        <v>0.16</v>
      </c>
      <c r="F198" s="3">
        <v>0</v>
      </c>
      <c r="G198" s="3">
        <v>0</v>
      </c>
      <c r="H198" s="3">
        <v>73</v>
      </c>
      <c r="I198" s="3">
        <v>4.18</v>
      </c>
      <c r="J198" s="3">
        <v>5</v>
      </c>
      <c r="K198" s="3">
        <v>3.7</v>
      </c>
    </row>
    <row r="199" spans="2:11" x14ac:dyDescent="0.25">
      <c r="B199" s="2" t="s">
        <v>1710</v>
      </c>
      <c r="C199" s="2" t="s">
        <v>1711</v>
      </c>
      <c r="D199" s="3">
        <v>21.89</v>
      </c>
      <c r="E199" s="3">
        <v>0</v>
      </c>
      <c r="F199" s="3">
        <v>0</v>
      </c>
      <c r="H199" s="3">
        <v>59</v>
      </c>
      <c r="I199" s="3">
        <v>1.91</v>
      </c>
      <c r="J199" s="3">
        <v>2.66</v>
      </c>
      <c r="K199" s="3">
        <v>1.66</v>
      </c>
    </row>
    <row r="200" spans="2:11" x14ac:dyDescent="0.25">
      <c r="B200" s="2" t="s">
        <v>1712</v>
      </c>
      <c r="C200" s="2" t="s">
        <v>1713</v>
      </c>
      <c r="D200" s="3">
        <v>28.71</v>
      </c>
      <c r="E200" s="3">
        <v>0</v>
      </c>
      <c r="F200" s="3">
        <v>0</v>
      </c>
      <c r="H200" s="3">
        <v>63</v>
      </c>
      <c r="I200" s="3">
        <v>2.1</v>
      </c>
      <c r="J200" s="3">
        <v>2.4500000000000002</v>
      </c>
      <c r="K200" s="3">
        <v>1.8</v>
      </c>
    </row>
    <row r="201" spans="2:11" x14ac:dyDescent="0.25">
      <c r="B201" s="2" t="s">
        <v>1714</v>
      </c>
      <c r="C201" s="2" t="s">
        <v>1715</v>
      </c>
      <c r="D201" s="3">
        <v>19.54</v>
      </c>
      <c r="E201" s="3">
        <v>0</v>
      </c>
      <c r="F201" s="3">
        <v>0</v>
      </c>
      <c r="H201" s="3">
        <v>74</v>
      </c>
      <c r="I201" s="3">
        <v>2.06</v>
      </c>
      <c r="J201" s="3">
        <v>2.06</v>
      </c>
      <c r="K201" s="3">
        <v>1.83</v>
      </c>
    </row>
    <row r="202" spans="2:11" x14ac:dyDescent="0.25">
      <c r="B202" s="2" t="s">
        <v>1716</v>
      </c>
      <c r="C202" s="2" t="s">
        <v>1717</v>
      </c>
      <c r="D202" s="3">
        <v>27.87</v>
      </c>
      <c r="E202" s="3">
        <v>0</v>
      </c>
      <c r="F202" s="3">
        <v>0</v>
      </c>
      <c r="G202" s="3">
        <v>0</v>
      </c>
      <c r="H202" s="3">
        <v>77</v>
      </c>
      <c r="I202" s="3">
        <v>3.06</v>
      </c>
      <c r="J202" s="3">
        <v>2.87</v>
      </c>
      <c r="K202" s="3">
        <v>2.72</v>
      </c>
    </row>
    <row r="203" spans="2:11" x14ac:dyDescent="0.25">
      <c r="B203" s="2" t="s">
        <v>1718</v>
      </c>
      <c r="C203" s="2" t="s">
        <v>1719</v>
      </c>
      <c r="D203" s="3">
        <v>20.22</v>
      </c>
      <c r="E203" s="3">
        <v>0</v>
      </c>
      <c r="F203" s="3">
        <v>0</v>
      </c>
      <c r="H203" s="3">
        <v>55</v>
      </c>
      <c r="I203" s="3">
        <v>3.28</v>
      </c>
      <c r="J203" s="3">
        <v>4.97</v>
      </c>
      <c r="K203" s="3">
        <v>2.86</v>
      </c>
    </row>
    <row r="204" spans="2:11" x14ac:dyDescent="0.25">
      <c r="B204" s="2" t="s">
        <v>1720</v>
      </c>
      <c r="C204" s="2" t="s">
        <v>1721</v>
      </c>
      <c r="D204" s="3">
        <v>27.38</v>
      </c>
      <c r="E204" s="3">
        <v>0</v>
      </c>
      <c r="F204" s="3">
        <v>0</v>
      </c>
      <c r="G204" s="3">
        <v>0</v>
      </c>
      <c r="H204" s="3">
        <v>61</v>
      </c>
      <c r="I204" s="3">
        <v>3.39</v>
      </c>
      <c r="J204" s="3">
        <v>4.66</v>
      </c>
      <c r="K204" s="3">
        <v>2.94</v>
      </c>
    </row>
    <row r="205" spans="2:11" x14ac:dyDescent="0.25">
      <c r="B205" s="2" t="s">
        <v>1722</v>
      </c>
      <c r="C205" s="2" t="s">
        <v>1723</v>
      </c>
      <c r="D205" s="3">
        <v>28.26</v>
      </c>
      <c r="E205" s="3">
        <v>0</v>
      </c>
      <c r="F205" s="3">
        <v>0</v>
      </c>
      <c r="G205" s="3">
        <v>0</v>
      </c>
      <c r="H205" s="3">
        <v>66</v>
      </c>
      <c r="I205" s="3">
        <v>1.65</v>
      </c>
      <c r="J205" s="3">
        <v>1.96</v>
      </c>
      <c r="K205" s="3">
        <v>1.45</v>
      </c>
    </row>
    <row r="206" spans="2:11" x14ac:dyDescent="0.25">
      <c r="B206" s="2" t="s">
        <v>1724</v>
      </c>
      <c r="C206" s="2" t="s">
        <v>1725</v>
      </c>
      <c r="D206" s="3">
        <v>21.28</v>
      </c>
      <c r="E206" s="3">
        <v>0.15</v>
      </c>
      <c r="F206" s="3">
        <v>0</v>
      </c>
      <c r="G206" s="3">
        <v>0.1</v>
      </c>
      <c r="H206" s="3">
        <v>124</v>
      </c>
    </row>
    <row r="207" spans="2:11" x14ac:dyDescent="0.25">
      <c r="B207" s="2" t="s">
        <v>1726</v>
      </c>
      <c r="C207" s="2" t="s">
        <v>1727</v>
      </c>
      <c r="D207" s="3">
        <v>27.71</v>
      </c>
      <c r="E207" s="3">
        <v>0</v>
      </c>
      <c r="F207" s="3">
        <v>0</v>
      </c>
      <c r="G207" s="3">
        <v>0</v>
      </c>
      <c r="H207" s="3">
        <v>104</v>
      </c>
      <c r="I207" s="3">
        <v>1.8069999999999999</v>
      </c>
      <c r="J207" s="3">
        <v>2.0609999999999999</v>
      </c>
      <c r="K207" s="3">
        <v>1.6619999999999999</v>
      </c>
    </row>
    <row r="208" spans="2:11" x14ac:dyDescent="0.25">
      <c r="B208" s="2" t="s">
        <v>1728</v>
      </c>
      <c r="C208" s="2" t="s">
        <v>1729</v>
      </c>
      <c r="D208" s="3">
        <v>23.66</v>
      </c>
      <c r="E208" s="3">
        <v>0.14000000000000001</v>
      </c>
      <c r="F208" s="3">
        <v>0</v>
      </c>
      <c r="G208" s="3">
        <v>0.05</v>
      </c>
      <c r="H208" s="3">
        <v>113</v>
      </c>
      <c r="I208" s="3">
        <v>0.28899999999999998</v>
      </c>
      <c r="J208" s="3">
        <v>0.26400000000000001</v>
      </c>
      <c r="K208" s="3">
        <v>0.25800000000000001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526A2-7CEB-C04C-A51B-AFA10A9B5BEE}">
  <sheetPr codeName="Sheet8"/>
  <dimension ref="A1:K208"/>
  <sheetViews>
    <sheetView workbookViewId="0">
      <selection activeCell="L45" sqref="L45"/>
    </sheetView>
  </sheetViews>
  <sheetFormatPr defaultColWidth="11" defaultRowHeight="15.75" x14ac:dyDescent="0.25"/>
  <cols>
    <col min="3" max="3" width="57.1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06001</v>
      </c>
      <c r="C3" s="10" t="str" cm="1">
        <f t="array" ref="C3">INDEX($B$11:$K$208, $A$3, C1)</f>
        <v>SOUP,CRM OF ASPARAGUS,CND,COND</v>
      </c>
      <c r="D3" s="10" cm="1">
        <f t="array" ref="D3">INDEX($B$11:$K$74, $A$3, D1)</f>
        <v>1.82</v>
      </c>
      <c r="E3" s="10" cm="1">
        <f t="array" ref="E3">INDEX($B$11:$K$74, $A$3, E1)</f>
        <v>8.52</v>
      </c>
      <c r="F3" s="10" cm="1">
        <f t="array" ref="F3">INDEX($B$11:$K$74, $A$3, F1)</f>
        <v>0.4</v>
      </c>
      <c r="G3" s="10" cm="1">
        <f t="array" ref="G3">INDEX($B$11:$K$74, $A$3, G1)</f>
        <v>0.72</v>
      </c>
      <c r="H3" s="10" cm="1">
        <f t="array" ref="H3">INDEX($B$11:$K$74, $A$3, H1)</f>
        <v>669</v>
      </c>
      <c r="I3" s="10" cm="1">
        <f t="array" ref="I3">INDEX($B$11:$K$74, $A$3, I1)</f>
        <v>0.82</v>
      </c>
      <c r="J3" s="10" cm="1">
        <f t="array" ref="J3">INDEX($B$11:$K$74, $A$3, J1)</f>
        <v>0.75</v>
      </c>
      <c r="K3" s="10" cm="1">
        <f t="array" ref="K3">INDEX($B$11:$K$74, $A$3, K1)</f>
        <v>1.46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17.04</v>
      </c>
      <c r="F6" s="10">
        <f>A6*F3</f>
        <v>0</v>
      </c>
      <c r="G6" s="10">
        <f>A7*G3</f>
        <v>1.44</v>
      </c>
      <c r="H6" s="12">
        <f>A6*H3</f>
        <v>0</v>
      </c>
      <c r="I6" s="12">
        <f>A6*I3</f>
        <v>0</v>
      </c>
      <c r="J6" s="12">
        <f>A7*J3</f>
        <v>1.5</v>
      </c>
      <c r="K6" s="10">
        <f>A7*K3</f>
        <v>2.92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1730</v>
      </c>
      <c r="C11" s="2" t="s">
        <v>1731</v>
      </c>
      <c r="D11" s="3">
        <v>1.82</v>
      </c>
      <c r="E11" s="3">
        <v>8.52</v>
      </c>
      <c r="F11" s="3">
        <v>0.4</v>
      </c>
      <c r="G11" s="3">
        <v>0.72</v>
      </c>
      <c r="H11" s="3">
        <v>669</v>
      </c>
      <c r="I11" s="3">
        <v>0.82</v>
      </c>
      <c r="J11" s="3">
        <v>0.75</v>
      </c>
      <c r="K11" s="3">
        <v>1.46</v>
      </c>
    </row>
    <row r="12" spans="1:11" x14ac:dyDescent="0.25">
      <c r="B12" s="2" t="s">
        <v>1732</v>
      </c>
      <c r="C12" s="2" t="s">
        <v>1733</v>
      </c>
      <c r="D12" s="3">
        <v>4.83</v>
      </c>
      <c r="E12" s="3">
        <v>15.42</v>
      </c>
      <c r="F12" s="3">
        <v>6.8</v>
      </c>
      <c r="G12" s="3">
        <v>2.4900000000000002</v>
      </c>
      <c r="H12" s="3">
        <v>970</v>
      </c>
      <c r="I12" s="3">
        <v>0.34</v>
      </c>
      <c r="J12" s="3">
        <v>0.48</v>
      </c>
      <c r="K12" s="3">
        <v>0.41</v>
      </c>
    </row>
    <row r="13" spans="1:11" x14ac:dyDescent="0.25">
      <c r="B13" s="2" t="s">
        <v>1734</v>
      </c>
      <c r="C13" s="2" t="s">
        <v>1735</v>
      </c>
      <c r="D13" s="3">
        <v>2.38</v>
      </c>
      <c r="E13" s="3">
        <v>4.76</v>
      </c>
      <c r="F13" s="3">
        <v>0</v>
      </c>
      <c r="G13" s="3">
        <v>0.79</v>
      </c>
      <c r="H13" s="3">
        <v>706</v>
      </c>
      <c r="I13" s="3">
        <v>0.39700000000000002</v>
      </c>
      <c r="J13" s="3">
        <v>0.39700000000000002</v>
      </c>
      <c r="K13" s="3">
        <v>0.79400000000000004</v>
      </c>
    </row>
    <row r="14" spans="1:11" x14ac:dyDescent="0.25">
      <c r="B14" s="2" t="s">
        <v>1736</v>
      </c>
      <c r="C14" s="2" t="s">
        <v>1737</v>
      </c>
      <c r="D14" s="3">
        <v>5.88</v>
      </c>
      <c r="E14" s="3">
        <v>16.97</v>
      </c>
      <c r="F14" s="3">
        <v>5.9</v>
      </c>
      <c r="G14" s="3">
        <v>3</v>
      </c>
      <c r="H14" s="3">
        <v>672</v>
      </c>
      <c r="I14" s="3">
        <v>1.1399999999999999</v>
      </c>
      <c r="J14" s="3">
        <v>1.62</v>
      </c>
      <c r="K14" s="3">
        <v>1.36</v>
      </c>
    </row>
    <row r="15" spans="1:11" x14ac:dyDescent="0.25">
      <c r="B15" s="2" t="s">
        <v>1738</v>
      </c>
      <c r="C15" s="2" t="s">
        <v>1739</v>
      </c>
      <c r="D15" s="3">
        <v>7.6</v>
      </c>
      <c r="E15" s="3">
        <v>16.75</v>
      </c>
      <c r="F15" s="3">
        <v>4.5999999999999996</v>
      </c>
      <c r="H15" s="3">
        <v>831</v>
      </c>
      <c r="I15" s="3">
        <v>1.61</v>
      </c>
      <c r="J15" s="3">
        <v>2.08</v>
      </c>
      <c r="K15" s="3">
        <v>1.25</v>
      </c>
    </row>
    <row r="16" spans="1:11" x14ac:dyDescent="0.25">
      <c r="B16" s="2" t="s">
        <v>1740</v>
      </c>
      <c r="C16" s="2" t="s">
        <v>1741</v>
      </c>
      <c r="D16" s="3">
        <v>5.19</v>
      </c>
      <c r="E16" s="3">
        <v>11.16</v>
      </c>
      <c r="F16" s="3">
        <v>4.5999999999999996</v>
      </c>
      <c r="H16" s="3">
        <v>400</v>
      </c>
      <c r="I16" s="3">
        <v>1.37</v>
      </c>
      <c r="J16" s="3">
        <v>1.58</v>
      </c>
      <c r="K16" s="3">
        <v>0.39</v>
      </c>
    </row>
    <row r="17" spans="2:11" x14ac:dyDescent="0.25">
      <c r="B17" s="2" t="s">
        <v>1742</v>
      </c>
      <c r="C17" s="2" t="s">
        <v>1743</v>
      </c>
      <c r="D17" s="3">
        <v>1.1399999999999999</v>
      </c>
      <c r="E17" s="3">
        <v>0.04</v>
      </c>
      <c r="F17" s="3">
        <v>0</v>
      </c>
      <c r="G17" s="3">
        <v>0</v>
      </c>
      <c r="H17" s="3">
        <v>372</v>
      </c>
      <c r="I17" s="3">
        <v>0.11</v>
      </c>
      <c r="J17" s="3">
        <v>0.09</v>
      </c>
      <c r="K17" s="3">
        <v>0.01</v>
      </c>
    </row>
    <row r="18" spans="2:11" x14ac:dyDescent="0.25">
      <c r="B18" s="2" t="s">
        <v>1744</v>
      </c>
      <c r="C18" s="2" t="s">
        <v>1745</v>
      </c>
      <c r="D18" s="3">
        <v>3.85</v>
      </c>
      <c r="E18" s="3">
        <v>7.16</v>
      </c>
      <c r="F18" s="3">
        <v>0.6</v>
      </c>
      <c r="G18" s="3">
        <v>2.06</v>
      </c>
      <c r="H18" s="3">
        <v>653</v>
      </c>
      <c r="I18" s="3">
        <v>0.91</v>
      </c>
      <c r="J18" s="3">
        <v>0.99</v>
      </c>
      <c r="K18" s="3">
        <v>0.39</v>
      </c>
    </row>
    <row r="19" spans="2:11" x14ac:dyDescent="0.25">
      <c r="B19" s="2" t="s">
        <v>1746</v>
      </c>
      <c r="C19" s="2" t="s">
        <v>1747</v>
      </c>
      <c r="D19" s="3">
        <v>1.32</v>
      </c>
      <c r="E19" s="3">
        <v>7.03</v>
      </c>
      <c r="F19" s="3">
        <v>0.6</v>
      </c>
      <c r="G19" s="3">
        <v>1.35</v>
      </c>
      <c r="H19" s="3">
        <v>516</v>
      </c>
      <c r="I19" s="3">
        <v>1.1200000000000001</v>
      </c>
      <c r="J19" s="3">
        <v>1.03</v>
      </c>
      <c r="K19" s="3">
        <v>2</v>
      </c>
    </row>
    <row r="20" spans="2:11" x14ac:dyDescent="0.25">
      <c r="B20" s="2" t="s">
        <v>1748</v>
      </c>
      <c r="C20" s="2" t="s">
        <v>1749</v>
      </c>
      <c r="D20" s="3">
        <v>0.8</v>
      </c>
      <c r="E20" s="3">
        <v>11.3</v>
      </c>
      <c r="F20" s="3">
        <v>2.2000000000000002</v>
      </c>
      <c r="G20" s="3">
        <v>3.73</v>
      </c>
      <c r="H20" s="3">
        <v>692</v>
      </c>
      <c r="I20" s="3">
        <v>2.4500000000000002</v>
      </c>
      <c r="J20" s="3">
        <v>1.0820000000000001</v>
      </c>
      <c r="K20" s="3">
        <v>0.114</v>
      </c>
    </row>
    <row r="21" spans="2:11" x14ac:dyDescent="0.25">
      <c r="B21" s="2" t="s">
        <v>1750</v>
      </c>
      <c r="C21" s="2" t="s">
        <v>1751</v>
      </c>
      <c r="D21" s="3">
        <v>4.42</v>
      </c>
      <c r="E21" s="3">
        <v>0.75</v>
      </c>
      <c r="F21" s="3">
        <v>0</v>
      </c>
      <c r="G21" s="3">
        <v>0.35</v>
      </c>
      <c r="H21" s="3">
        <v>621</v>
      </c>
      <c r="I21" s="3">
        <v>0.31</v>
      </c>
      <c r="J21" s="3">
        <v>0.47</v>
      </c>
      <c r="K21" s="3">
        <v>0.22</v>
      </c>
    </row>
    <row r="22" spans="2:11" x14ac:dyDescent="0.25">
      <c r="B22" s="2" t="s">
        <v>1752</v>
      </c>
      <c r="C22" s="2" t="s">
        <v>1753</v>
      </c>
      <c r="D22" s="3">
        <v>1.61</v>
      </c>
      <c r="E22" s="3">
        <v>9.68</v>
      </c>
      <c r="F22" s="3">
        <v>0</v>
      </c>
      <c r="G22" s="3">
        <v>2.42</v>
      </c>
      <c r="H22" s="3">
        <v>661</v>
      </c>
      <c r="I22" s="3">
        <v>1.613</v>
      </c>
      <c r="J22" s="3">
        <v>2.016</v>
      </c>
      <c r="K22" s="3">
        <v>0</v>
      </c>
    </row>
    <row r="23" spans="2:11" x14ac:dyDescent="0.25">
      <c r="B23" s="2" t="s">
        <v>1754</v>
      </c>
      <c r="C23" s="2" t="s">
        <v>1755</v>
      </c>
      <c r="D23" s="3">
        <v>5.0599999999999996</v>
      </c>
      <c r="E23" s="3">
        <v>6.88</v>
      </c>
      <c r="F23" s="3">
        <v>0.6</v>
      </c>
      <c r="G23" s="3">
        <v>0.87</v>
      </c>
      <c r="H23" s="3">
        <v>354</v>
      </c>
      <c r="I23" s="3">
        <v>0.79</v>
      </c>
      <c r="J23" s="3">
        <v>1.18</v>
      </c>
      <c r="K23" s="3">
        <v>0.55000000000000004</v>
      </c>
    </row>
    <row r="24" spans="2:11" x14ac:dyDescent="0.25">
      <c r="B24" s="2" t="s">
        <v>1756</v>
      </c>
      <c r="C24" s="2" t="s">
        <v>1757</v>
      </c>
      <c r="D24" s="3">
        <v>2.38</v>
      </c>
      <c r="E24" s="3">
        <v>7.16</v>
      </c>
      <c r="F24" s="3">
        <v>0</v>
      </c>
      <c r="G24" s="3">
        <v>0.54</v>
      </c>
      <c r="H24" s="3">
        <v>702</v>
      </c>
      <c r="I24" s="3">
        <v>1.6970000000000001</v>
      </c>
      <c r="J24" s="3">
        <v>2.056</v>
      </c>
      <c r="K24" s="3">
        <v>1.0629999999999999</v>
      </c>
    </row>
    <row r="25" spans="2:11" x14ac:dyDescent="0.25">
      <c r="B25" s="2" t="s">
        <v>1758</v>
      </c>
      <c r="C25" s="2" t="s">
        <v>1759</v>
      </c>
      <c r="D25" s="3">
        <v>2.1</v>
      </c>
      <c r="E25" s="3">
        <v>6.67</v>
      </c>
      <c r="F25" s="3">
        <v>1.6</v>
      </c>
      <c r="G25" s="3">
        <v>1.93</v>
      </c>
      <c r="H25" s="3">
        <v>693</v>
      </c>
      <c r="I25" s="3">
        <v>0.26</v>
      </c>
      <c r="J25" s="3">
        <v>0.52</v>
      </c>
      <c r="K25" s="3">
        <v>0.28000000000000003</v>
      </c>
    </row>
    <row r="26" spans="2:11" x14ac:dyDescent="0.25">
      <c r="B26" s="2" t="s">
        <v>1760</v>
      </c>
      <c r="C26" s="2" t="s">
        <v>1761</v>
      </c>
      <c r="D26" s="3">
        <v>3.09</v>
      </c>
      <c r="E26" s="3">
        <v>4.46</v>
      </c>
      <c r="F26" s="3">
        <v>0.8</v>
      </c>
      <c r="G26" s="3">
        <v>0.38</v>
      </c>
      <c r="H26" s="3">
        <v>306</v>
      </c>
      <c r="I26" s="3">
        <v>0.627</v>
      </c>
      <c r="J26" s="3">
        <v>0.29799999999999999</v>
      </c>
      <c r="K26" s="3">
        <v>0.17199999999999999</v>
      </c>
    </row>
    <row r="27" spans="2:11" x14ac:dyDescent="0.25">
      <c r="B27" s="2" t="s">
        <v>1762</v>
      </c>
      <c r="C27" s="2" t="s">
        <v>1763</v>
      </c>
      <c r="D27" s="3">
        <v>2.37</v>
      </c>
      <c r="E27" s="3">
        <v>6.07</v>
      </c>
      <c r="F27" s="3">
        <v>0.9</v>
      </c>
      <c r="G27" s="3">
        <v>0</v>
      </c>
      <c r="H27" s="3">
        <v>681</v>
      </c>
      <c r="I27" s="3">
        <v>0.38900000000000001</v>
      </c>
      <c r="J27" s="3">
        <v>0.53600000000000003</v>
      </c>
      <c r="K27" s="3">
        <v>0.33900000000000002</v>
      </c>
    </row>
    <row r="28" spans="2:11" x14ac:dyDescent="0.25">
      <c r="B28" s="2" t="s">
        <v>1764</v>
      </c>
      <c r="C28" s="2" t="s">
        <v>1765</v>
      </c>
      <c r="D28" s="3">
        <v>5.1100000000000003</v>
      </c>
      <c r="E28" s="3">
        <v>5.41</v>
      </c>
      <c r="F28" s="3">
        <v>0.4</v>
      </c>
      <c r="G28" s="3">
        <v>0.6</v>
      </c>
      <c r="H28" s="3">
        <v>370</v>
      </c>
      <c r="I28" s="3">
        <v>0.4</v>
      </c>
      <c r="J28" s="3">
        <v>0.6</v>
      </c>
      <c r="K28" s="3">
        <v>0.28000000000000003</v>
      </c>
    </row>
    <row r="29" spans="2:11" x14ac:dyDescent="0.25">
      <c r="B29" s="2" t="s">
        <v>1766</v>
      </c>
      <c r="C29" s="2" t="s">
        <v>1767</v>
      </c>
      <c r="D29" s="3">
        <v>1.84</v>
      </c>
      <c r="E29" s="3">
        <v>11.57</v>
      </c>
      <c r="F29" s="3">
        <v>0.9</v>
      </c>
      <c r="G29" s="3">
        <v>0.23</v>
      </c>
      <c r="H29" s="3">
        <v>645</v>
      </c>
      <c r="I29" s="3">
        <v>0.37</v>
      </c>
      <c r="J29" s="3">
        <v>0.74</v>
      </c>
      <c r="K29" s="3">
        <v>0.34</v>
      </c>
    </row>
    <row r="30" spans="2:11" x14ac:dyDescent="0.25">
      <c r="B30" s="2" t="s">
        <v>1768</v>
      </c>
      <c r="C30" s="2" t="s">
        <v>1769</v>
      </c>
      <c r="D30" s="3">
        <v>1.97</v>
      </c>
      <c r="E30" s="3">
        <v>4.68</v>
      </c>
      <c r="F30" s="3">
        <v>0.9</v>
      </c>
      <c r="G30" s="3">
        <v>1.01</v>
      </c>
      <c r="H30" s="3">
        <v>229</v>
      </c>
      <c r="I30" s="3">
        <v>0.121</v>
      </c>
      <c r="J30" s="3">
        <v>0.158</v>
      </c>
      <c r="K30" s="3">
        <v>0.13400000000000001</v>
      </c>
    </row>
    <row r="31" spans="2:11" x14ac:dyDescent="0.25">
      <c r="B31" s="2" t="s">
        <v>1770</v>
      </c>
      <c r="C31" s="2" t="s">
        <v>1771</v>
      </c>
      <c r="D31" s="3">
        <v>2.94</v>
      </c>
      <c r="E31" s="3">
        <v>7.01</v>
      </c>
      <c r="F31" s="3">
        <v>0.7</v>
      </c>
      <c r="G31" s="3">
        <v>1.26</v>
      </c>
      <c r="H31" s="3">
        <v>706</v>
      </c>
      <c r="I31" s="3">
        <v>0.69</v>
      </c>
      <c r="J31" s="3">
        <v>1.04</v>
      </c>
      <c r="K31" s="3">
        <v>0.49</v>
      </c>
    </row>
    <row r="32" spans="2:11" x14ac:dyDescent="0.25">
      <c r="B32" s="2" t="s">
        <v>1772</v>
      </c>
      <c r="C32" s="2" t="s">
        <v>1773</v>
      </c>
      <c r="D32" s="3">
        <v>5.09</v>
      </c>
      <c r="E32" s="3">
        <v>18.86</v>
      </c>
      <c r="F32" s="3">
        <v>2.5</v>
      </c>
      <c r="G32" s="3">
        <v>5.09</v>
      </c>
      <c r="H32" s="3">
        <v>788</v>
      </c>
      <c r="I32" s="3">
        <v>1.242</v>
      </c>
      <c r="J32" s="3">
        <v>1.0129999999999999</v>
      </c>
      <c r="K32" s="3">
        <v>9.5000000000000001E-2</v>
      </c>
    </row>
    <row r="33" spans="2:11" x14ac:dyDescent="0.25">
      <c r="B33" s="2" t="s">
        <v>1774</v>
      </c>
      <c r="C33" s="2" t="s">
        <v>1775</v>
      </c>
      <c r="D33" s="3">
        <v>3.02</v>
      </c>
      <c r="E33" s="3">
        <v>7.84</v>
      </c>
      <c r="F33" s="3">
        <v>1.2</v>
      </c>
      <c r="G33" s="3">
        <v>1.67</v>
      </c>
      <c r="H33" s="3">
        <v>417</v>
      </c>
      <c r="I33" s="3">
        <v>0.88</v>
      </c>
      <c r="J33" s="3">
        <v>0.41</v>
      </c>
      <c r="K33" s="3">
        <v>0.05</v>
      </c>
    </row>
    <row r="34" spans="2:11" x14ac:dyDescent="0.25">
      <c r="B34" s="2" t="s">
        <v>1776</v>
      </c>
      <c r="C34" s="2" t="s">
        <v>1777</v>
      </c>
      <c r="D34" s="3">
        <v>1.74</v>
      </c>
      <c r="E34" s="3">
        <v>9.74</v>
      </c>
      <c r="F34" s="3">
        <v>1.2</v>
      </c>
      <c r="G34" s="3">
        <v>2.7</v>
      </c>
      <c r="H34" s="3">
        <v>698</v>
      </c>
      <c r="I34" s="3">
        <v>0.30499999999999999</v>
      </c>
      <c r="J34" s="3">
        <v>0.30499999999999999</v>
      </c>
      <c r="K34" s="3">
        <v>1.0269999999999999</v>
      </c>
    </row>
    <row r="35" spans="2:11" x14ac:dyDescent="0.25">
      <c r="B35" s="2" t="s">
        <v>1778</v>
      </c>
      <c r="C35" s="2" t="s">
        <v>1779</v>
      </c>
      <c r="D35" s="3">
        <v>1.59</v>
      </c>
      <c r="E35" s="3">
        <v>7.19</v>
      </c>
      <c r="F35" s="3">
        <v>0.8</v>
      </c>
      <c r="G35" s="3">
        <v>0.79</v>
      </c>
      <c r="H35" s="3">
        <v>325</v>
      </c>
      <c r="I35" s="3">
        <v>0.39700000000000002</v>
      </c>
      <c r="J35" s="3">
        <v>0.39700000000000002</v>
      </c>
      <c r="K35" s="3">
        <v>0</v>
      </c>
    </row>
    <row r="36" spans="2:11" x14ac:dyDescent="0.25">
      <c r="B36" s="2" t="s">
        <v>1780</v>
      </c>
      <c r="C36" s="2" t="s">
        <v>1781</v>
      </c>
      <c r="D36" s="3">
        <v>3.17</v>
      </c>
      <c r="E36" s="3">
        <v>10.32</v>
      </c>
      <c r="F36" s="3">
        <v>0.7</v>
      </c>
      <c r="G36" s="3">
        <v>0.38</v>
      </c>
      <c r="H36" s="3">
        <v>516</v>
      </c>
      <c r="I36" s="3">
        <v>0.95899999999999996</v>
      </c>
      <c r="J36" s="3">
        <v>0</v>
      </c>
      <c r="K36" s="3">
        <v>0.95899999999999996</v>
      </c>
    </row>
    <row r="37" spans="2:11" x14ac:dyDescent="0.25">
      <c r="B37" s="2" t="s">
        <v>1782</v>
      </c>
      <c r="C37" s="2" t="s">
        <v>1783</v>
      </c>
      <c r="D37" s="3">
        <v>2.52</v>
      </c>
      <c r="E37" s="3">
        <v>0.32</v>
      </c>
      <c r="F37" s="3">
        <v>0</v>
      </c>
      <c r="G37" s="3">
        <v>0</v>
      </c>
      <c r="H37" s="3">
        <v>694</v>
      </c>
      <c r="I37" s="3">
        <v>0</v>
      </c>
      <c r="J37" s="3">
        <v>0</v>
      </c>
      <c r="K37" s="3">
        <v>0</v>
      </c>
    </row>
    <row r="38" spans="2:11" x14ac:dyDescent="0.25">
      <c r="B38" s="2" t="s">
        <v>1784</v>
      </c>
      <c r="C38" s="2" t="s">
        <v>1785</v>
      </c>
      <c r="D38" s="3">
        <v>3.74</v>
      </c>
      <c r="E38" s="3">
        <v>8.16</v>
      </c>
      <c r="H38" s="3">
        <v>532</v>
      </c>
      <c r="I38" s="3">
        <v>0.45</v>
      </c>
      <c r="J38" s="3">
        <v>0.52</v>
      </c>
      <c r="K38" s="3">
        <v>0.13</v>
      </c>
    </row>
    <row r="39" spans="2:11" x14ac:dyDescent="0.25">
      <c r="B39" s="2" t="s">
        <v>1786</v>
      </c>
      <c r="C39" s="2" t="s">
        <v>1787</v>
      </c>
      <c r="D39" s="3">
        <v>0.8</v>
      </c>
      <c r="E39" s="3">
        <v>11.44</v>
      </c>
      <c r="F39" s="3">
        <v>2.2000000000000002</v>
      </c>
      <c r="G39" s="3">
        <v>3.73</v>
      </c>
      <c r="H39" s="3">
        <v>692</v>
      </c>
      <c r="I39" s="3">
        <v>1.1299999999999999</v>
      </c>
      <c r="J39" s="3">
        <v>0.68</v>
      </c>
      <c r="K39" s="3">
        <v>1.69</v>
      </c>
    </row>
    <row r="40" spans="2:11" x14ac:dyDescent="0.25">
      <c r="B40" s="2" t="s">
        <v>1788</v>
      </c>
      <c r="C40" s="2" t="s">
        <v>1789</v>
      </c>
      <c r="D40" s="3">
        <v>2.13</v>
      </c>
      <c r="E40" s="3">
        <v>8.64</v>
      </c>
      <c r="F40" s="3">
        <v>2.4</v>
      </c>
      <c r="G40" s="3">
        <v>2.17</v>
      </c>
      <c r="H40" s="3">
        <v>288</v>
      </c>
      <c r="I40" s="3">
        <v>0.62</v>
      </c>
      <c r="J40" s="3">
        <v>0.38</v>
      </c>
      <c r="K40" s="3">
        <v>0.11</v>
      </c>
    </row>
    <row r="41" spans="2:11" x14ac:dyDescent="0.25">
      <c r="B41" s="2" t="s">
        <v>1790</v>
      </c>
      <c r="C41" s="2" t="s">
        <v>1791</v>
      </c>
      <c r="D41" s="3">
        <v>3.48</v>
      </c>
      <c r="E41" s="3">
        <v>9.17</v>
      </c>
      <c r="F41" s="3">
        <v>0.8</v>
      </c>
      <c r="G41" s="3">
        <v>1.5</v>
      </c>
      <c r="H41" s="3">
        <v>516</v>
      </c>
      <c r="I41" s="3">
        <v>0.44</v>
      </c>
      <c r="J41" s="3">
        <v>0.56000000000000005</v>
      </c>
      <c r="K41" s="3">
        <v>0.91</v>
      </c>
    </row>
    <row r="42" spans="2:11" x14ac:dyDescent="0.25">
      <c r="B42" s="2" t="s">
        <v>1792</v>
      </c>
      <c r="C42" s="2" t="s">
        <v>1793</v>
      </c>
      <c r="D42" s="3">
        <v>2.38</v>
      </c>
      <c r="E42" s="3">
        <v>7.94</v>
      </c>
      <c r="F42" s="3">
        <v>0.8</v>
      </c>
      <c r="G42" s="3">
        <v>0.79</v>
      </c>
      <c r="H42" s="3">
        <v>603</v>
      </c>
      <c r="I42" s="3">
        <v>0.79400000000000004</v>
      </c>
    </row>
    <row r="43" spans="2:11" x14ac:dyDescent="0.25">
      <c r="B43" s="2" t="s">
        <v>1794</v>
      </c>
      <c r="C43" s="2" t="s">
        <v>1795</v>
      </c>
      <c r="D43" s="3">
        <v>1.5</v>
      </c>
      <c r="E43" s="3">
        <v>9.6</v>
      </c>
      <c r="H43" s="3">
        <v>573</v>
      </c>
      <c r="I43" s="3">
        <v>0.35</v>
      </c>
      <c r="J43" s="3">
        <v>0.8</v>
      </c>
      <c r="K43" s="3">
        <v>0.56999999999999995</v>
      </c>
    </row>
    <row r="44" spans="2:11" x14ac:dyDescent="0.25">
      <c r="B44" s="2" t="s">
        <v>1796</v>
      </c>
      <c r="C44" s="2" t="s">
        <v>1797</v>
      </c>
      <c r="D44" s="3">
        <v>1.35</v>
      </c>
      <c r="E44" s="3">
        <v>6.8</v>
      </c>
      <c r="F44" s="3">
        <v>0.7</v>
      </c>
      <c r="G44" s="3">
        <v>0.4</v>
      </c>
      <c r="H44" s="3">
        <v>691</v>
      </c>
      <c r="I44" s="3">
        <v>0.96399999999999997</v>
      </c>
      <c r="J44" s="3">
        <v>1.2190000000000001</v>
      </c>
      <c r="K44" s="3">
        <v>2.9009999999999998</v>
      </c>
    </row>
    <row r="45" spans="2:11" x14ac:dyDescent="0.25">
      <c r="B45" s="2" t="s">
        <v>1798</v>
      </c>
      <c r="C45" s="2" t="s">
        <v>1799</v>
      </c>
      <c r="D45" s="3">
        <v>2.5099999999999998</v>
      </c>
      <c r="E45" s="3">
        <v>7.41</v>
      </c>
      <c r="F45" s="3">
        <v>0.1</v>
      </c>
      <c r="G45" s="3">
        <v>2.2799999999999998</v>
      </c>
      <c r="H45" s="3">
        <v>773</v>
      </c>
      <c r="I45" s="3">
        <v>1.24</v>
      </c>
      <c r="J45" s="3">
        <v>1.1200000000000001</v>
      </c>
      <c r="K45" s="3">
        <v>0.62</v>
      </c>
    </row>
    <row r="46" spans="2:11" x14ac:dyDescent="0.25">
      <c r="B46" s="2" t="s">
        <v>1800</v>
      </c>
      <c r="C46" s="2" t="s">
        <v>1801</v>
      </c>
      <c r="D46" s="3">
        <v>3.06</v>
      </c>
      <c r="E46" s="3">
        <v>6.68</v>
      </c>
      <c r="F46" s="3">
        <v>0.7</v>
      </c>
      <c r="G46" s="3">
        <v>2.72</v>
      </c>
      <c r="H46" s="3">
        <v>516</v>
      </c>
      <c r="I46" s="3">
        <v>0.21</v>
      </c>
      <c r="J46" s="3">
        <v>0.61</v>
      </c>
      <c r="K46" s="3">
        <v>0.53</v>
      </c>
    </row>
    <row r="47" spans="2:11" x14ac:dyDescent="0.25">
      <c r="B47" s="2" t="s">
        <v>1802</v>
      </c>
      <c r="C47" s="2" t="s">
        <v>1803</v>
      </c>
      <c r="D47" s="3">
        <v>2.2000000000000002</v>
      </c>
      <c r="E47" s="3">
        <v>10.4</v>
      </c>
      <c r="F47" s="3">
        <v>0.4</v>
      </c>
      <c r="G47" s="3">
        <v>3.64</v>
      </c>
      <c r="H47" s="3">
        <v>637</v>
      </c>
      <c r="I47" s="3">
        <v>1.17</v>
      </c>
      <c r="J47" s="3">
        <v>1.67</v>
      </c>
      <c r="K47" s="3">
        <v>1.1599999999999999</v>
      </c>
    </row>
    <row r="48" spans="2:11" x14ac:dyDescent="0.25">
      <c r="B48" s="2" t="s">
        <v>1804</v>
      </c>
      <c r="C48" s="2" t="s">
        <v>1805</v>
      </c>
      <c r="D48" s="3">
        <v>2.38</v>
      </c>
      <c r="E48" s="3">
        <v>8.73</v>
      </c>
      <c r="F48" s="3">
        <v>0.8</v>
      </c>
      <c r="G48" s="3">
        <v>0.79</v>
      </c>
      <c r="H48" s="3">
        <v>381</v>
      </c>
      <c r="I48" s="3">
        <v>0.39700000000000002</v>
      </c>
      <c r="J48" s="3">
        <v>0.79400000000000004</v>
      </c>
      <c r="K48" s="3">
        <v>0.39700000000000002</v>
      </c>
    </row>
    <row r="49" spans="2:11" x14ac:dyDescent="0.25">
      <c r="B49" s="2" t="s">
        <v>1806</v>
      </c>
      <c r="C49" s="2" t="s">
        <v>1807</v>
      </c>
      <c r="D49" s="3">
        <v>1.72</v>
      </c>
      <c r="E49" s="3">
        <v>3.32</v>
      </c>
      <c r="F49" s="3">
        <v>0</v>
      </c>
      <c r="H49" s="3">
        <v>722</v>
      </c>
      <c r="I49" s="3">
        <v>2.04</v>
      </c>
      <c r="J49" s="3">
        <v>0.74</v>
      </c>
      <c r="K49" s="3">
        <v>0.13</v>
      </c>
    </row>
    <row r="50" spans="2:11" x14ac:dyDescent="0.25">
      <c r="B50" s="2" t="s">
        <v>1808</v>
      </c>
      <c r="C50" s="2" t="s">
        <v>1809</v>
      </c>
      <c r="D50" s="3">
        <v>6.54</v>
      </c>
      <c r="E50" s="3">
        <v>20.18</v>
      </c>
      <c r="F50" s="3">
        <v>3.9</v>
      </c>
      <c r="G50" s="3">
        <v>6.52</v>
      </c>
      <c r="H50" s="3">
        <v>680</v>
      </c>
      <c r="I50" s="3">
        <v>1.07</v>
      </c>
      <c r="J50" s="3">
        <v>0.76</v>
      </c>
      <c r="K50" s="3">
        <v>0.28999999999999998</v>
      </c>
    </row>
    <row r="51" spans="2:11" x14ac:dyDescent="0.25">
      <c r="B51" s="2" t="s">
        <v>1810</v>
      </c>
      <c r="C51" s="2" t="s">
        <v>1811</v>
      </c>
      <c r="D51" s="3">
        <v>4.62</v>
      </c>
      <c r="E51" s="3">
        <v>11.17</v>
      </c>
      <c r="F51" s="3">
        <v>1.7</v>
      </c>
      <c r="G51" s="3">
        <v>1.91</v>
      </c>
      <c r="H51" s="3">
        <v>301</v>
      </c>
      <c r="I51" s="3">
        <v>0.66</v>
      </c>
      <c r="J51" s="3">
        <v>0.68</v>
      </c>
      <c r="K51" s="3">
        <v>0.24</v>
      </c>
    </row>
    <row r="52" spans="2:11" x14ac:dyDescent="0.25">
      <c r="B52" s="2" t="s">
        <v>1812</v>
      </c>
      <c r="C52" s="2" t="s">
        <v>1813</v>
      </c>
      <c r="D52" s="3">
        <v>7.68</v>
      </c>
      <c r="E52" s="3">
        <v>20.81</v>
      </c>
      <c r="F52" s="3">
        <v>1.7</v>
      </c>
      <c r="H52" s="3">
        <v>630</v>
      </c>
      <c r="I52" s="3">
        <v>1.31</v>
      </c>
      <c r="J52" s="3">
        <v>1.34</v>
      </c>
      <c r="K52" s="3">
        <v>0.47</v>
      </c>
    </row>
    <row r="53" spans="2:11" x14ac:dyDescent="0.25">
      <c r="B53" s="2" t="s">
        <v>1814</v>
      </c>
      <c r="C53" s="2" t="s">
        <v>1815</v>
      </c>
      <c r="D53" s="3">
        <v>1.51</v>
      </c>
      <c r="E53" s="3">
        <v>12.79</v>
      </c>
      <c r="F53" s="3">
        <v>1.3</v>
      </c>
      <c r="G53" s="3">
        <v>1.44</v>
      </c>
      <c r="H53" s="3">
        <v>604</v>
      </c>
      <c r="I53" s="3">
        <v>0.97</v>
      </c>
      <c r="J53" s="3">
        <v>0.44</v>
      </c>
      <c r="K53" s="3">
        <v>0.33</v>
      </c>
    </row>
    <row r="54" spans="2:11" x14ac:dyDescent="0.25">
      <c r="B54" s="2" t="s">
        <v>1816</v>
      </c>
      <c r="C54" s="2" t="s">
        <v>1817</v>
      </c>
      <c r="D54" s="3">
        <v>2.38</v>
      </c>
      <c r="E54" s="3">
        <v>9.52</v>
      </c>
      <c r="F54" s="3">
        <v>0.8</v>
      </c>
      <c r="G54" s="3">
        <v>0.79</v>
      </c>
      <c r="H54" s="3">
        <v>381</v>
      </c>
      <c r="I54" s="3">
        <v>0.39700000000000002</v>
      </c>
      <c r="J54" s="3">
        <v>0.39700000000000002</v>
      </c>
      <c r="K54" s="3">
        <v>0.39700000000000002</v>
      </c>
    </row>
    <row r="55" spans="2:11" x14ac:dyDescent="0.25">
      <c r="B55" s="2" t="s">
        <v>1818</v>
      </c>
      <c r="C55" s="2" t="s">
        <v>1819</v>
      </c>
      <c r="D55" s="3">
        <v>2.2200000000000002</v>
      </c>
      <c r="E55" s="3">
        <v>6.53</v>
      </c>
      <c r="F55" s="3">
        <v>0.2</v>
      </c>
      <c r="H55" s="3">
        <v>685</v>
      </c>
      <c r="I55" s="3">
        <v>2.58</v>
      </c>
      <c r="J55" s="3">
        <v>1.19</v>
      </c>
      <c r="K55" s="3">
        <v>0.15</v>
      </c>
    </row>
    <row r="56" spans="2:11" x14ac:dyDescent="0.25">
      <c r="B56" s="2" t="s">
        <v>1820</v>
      </c>
      <c r="C56" s="2" t="s">
        <v>1821</v>
      </c>
      <c r="D56" s="3">
        <v>0.81</v>
      </c>
      <c r="E56" s="3">
        <v>0.81</v>
      </c>
      <c r="F56" s="3">
        <v>0</v>
      </c>
      <c r="G56" s="3">
        <v>0.81</v>
      </c>
      <c r="H56" s="3">
        <v>621</v>
      </c>
      <c r="I56" s="3">
        <v>0</v>
      </c>
    </row>
    <row r="57" spans="2:11" x14ac:dyDescent="0.25">
      <c r="B57" s="2" t="s">
        <v>1822</v>
      </c>
      <c r="C57" s="2" t="s">
        <v>1823</v>
      </c>
      <c r="D57" s="3">
        <v>1.59</v>
      </c>
      <c r="E57" s="3">
        <v>7.94</v>
      </c>
      <c r="F57" s="3">
        <v>0.8</v>
      </c>
      <c r="G57" s="3">
        <v>1.59</v>
      </c>
      <c r="H57" s="3">
        <v>690</v>
      </c>
      <c r="I57" s="3">
        <v>0.39700000000000002</v>
      </c>
      <c r="J57" s="3">
        <v>0</v>
      </c>
      <c r="K57" s="3">
        <v>0</v>
      </c>
    </row>
    <row r="58" spans="2:11" x14ac:dyDescent="0.25">
      <c r="B58" s="2" t="s">
        <v>1824</v>
      </c>
      <c r="C58" s="2" t="s">
        <v>1825</v>
      </c>
      <c r="D58" s="3">
        <v>3.55</v>
      </c>
      <c r="E58" s="3">
        <v>16.87</v>
      </c>
      <c r="F58" s="3">
        <v>1.2</v>
      </c>
      <c r="H58" s="3">
        <v>731</v>
      </c>
      <c r="I58" s="3">
        <v>1.27</v>
      </c>
      <c r="J58" s="3">
        <v>1.38</v>
      </c>
      <c r="K58" s="3">
        <v>0.54</v>
      </c>
    </row>
    <row r="59" spans="2:11" x14ac:dyDescent="0.25">
      <c r="B59" s="2" t="s">
        <v>1826</v>
      </c>
      <c r="C59" s="2" t="s">
        <v>1827</v>
      </c>
      <c r="D59" s="3">
        <v>2.37</v>
      </c>
      <c r="E59" s="3">
        <v>5.97</v>
      </c>
      <c r="G59" s="3">
        <v>0</v>
      </c>
      <c r="H59" s="3">
        <v>683</v>
      </c>
      <c r="I59" s="3">
        <v>0.38800000000000001</v>
      </c>
      <c r="J59" s="3">
        <v>0.53400000000000003</v>
      </c>
      <c r="K59" s="3">
        <v>0.33500000000000002</v>
      </c>
    </row>
    <row r="60" spans="2:11" x14ac:dyDescent="0.25">
      <c r="B60" s="2" t="s">
        <v>1828</v>
      </c>
      <c r="C60" s="2" t="s">
        <v>1829</v>
      </c>
      <c r="D60" s="3">
        <v>1.64</v>
      </c>
      <c r="E60" s="3">
        <v>17.079999999999998</v>
      </c>
      <c r="F60" s="3">
        <v>1.3</v>
      </c>
      <c r="G60" s="3">
        <v>5.9</v>
      </c>
      <c r="H60" s="3">
        <v>635</v>
      </c>
      <c r="I60" s="3">
        <v>0.4</v>
      </c>
      <c r="J60" s="3">
        <v>0.47</v>
      </c>
      <c r="K60" s="3">
        <v>1.05</v>
      </c>
    </row>
    <row r="61" spans="2:11" x14ac:dyDescent="0.25">
      <c r="B61" s="2" t="s">
        <v>1830</v>
      </c>
      <c r="C61" s="2" t="s">
        <v>1831</v>
      </c>
      <c r="D61" s="3">
        <v>4.33</v>
      </c>
      <c r="E61" s="3">
        <v>5.96</v>
      </c>
      <c r="H61" s="3">
        <v>391</v>
      </c>
      <c r="I61" s="3">
        <v>0.52</v>
      </c>
      <c r="J61" s="3">
        <v>0.75</v>
      </c>
      <c r="K61" s="3">
        <v>0.46</v>
      </c>
    </row>
    <row r="62" spans="2:11" x14ac:dyDescent="0.25">
      <c r="B62" s="2" t="s">
        <v>1832</v>
      </c>
      <c r="C62" s="2" t="s">
        <v>1833</v>
      </c>
      <c r="D62" s="3">
        <v>1.1399999999999999</v>
      </c>
      <c r="E62" s="3">
        <v>7.9</v>
      </c>
      <c r="F62" s="3">
        <v>1.1000000000000001</v>
      </c>
      <c r="G62" s="3">
        <v>1.56</v>
      </c>
      <c r="H62" s="3">
        <v>267</v>
      </c>
      <c r="I62" s="3">
        <v>4.4999999999999998E-2</v>
      </c>
      <c r="J62" s="3">
        <v>0.152</v>
      </c>
      <c r="K62" s="3">
        <v>0.13300000000000001</v>
      </c>
    </row>
    <row r="63" spans="2:11" x14ac:dyDescent="0.25">
      <c r="B63" s="2" t="s">
        <v>1834</v>
      </c>
      <c r="C63" s="2" t="s">
        <v>1835</v>
      </c>
      <c r="D63" s="3">
        <v>1.72</v>
      </c>
      <c r="E63" s="3">
        <v>9.7799999999999994</v>
      </c>
      <c r="F63" s="3">
        <v>0.5</v>
      </c>
      <c r="G63" s="3">
        <v>3.13</v>
      </c>
      <c r="H63" s="3">
        <v>516</v>
      </c>
      <c r="I63" s="3">
        <v>0.24</v>
      </c>
      <c r="J63" s="3">
        <v>0.68</v>
      </c>
      <c r="K63" s="3">
        <v>0.59</v>
      </c>
    </row>
    <row r="64" spans="2:11" x14ac:dyDescent="0.25">
      <c r="B64" s="2" t="s">
        <v>1836</v>
      </c>
      <c r="C64" s="2" t="s">
        <v>1837</v>
      </c>
      <c r="D64" s="3">
        <v>3.97</v>
      </c>
      <c r="E64" s="3">
        <v>10.08</v>
      </c>
      <c r="F64" s="3">
        <v>0.6</v>
      </c>
      <c r="G64" s="3">
        <v>0.67</v>
      </c>
      <c r="H64" s="3">
        <v>338</v>
      </c>
      <c r="I64" s="3">
        <v>0.55400000000000005</v>
      </c>
      <c r="J64" s="3">
        <v>0.46500000000000002</v>
      </c>
      <c r="K64" s="3">
        <v>4.7E-2</v>
      </c>
    </row>
    <row r="65" spans="2:11" x14ac:dyDescent="0.25">
      <c r="B65" s="2" t="s">
        <v>1838</v>
      </c>
      <c r="C65" s="2" t="s">
        <v>1839</v>
      </c>
      <c r="D65" s="3">
        <v>4.45</v>
      </c>
      <c r="E65" s="3">
        <v>8.11</v>
      </c>
      <c r="F65" s="3">
        <v>1.6</v>
      </c>
      <c r="G65" s="3">
        <v>0.89</v>
      </c>
      <c r="H65" s="3">
        <v>706</v>
      </c>
      <c r="I65" s="3">
        <v>0.68</v>
      </c>
      <c r="J65" s="3">
        <v>0.64</v>
      </c>
      <c r="K65" s="3">
        <v>0.09</v>
      </c>
    </row>
    <row r="66" spans="2:11" x14ac:dyDescent="0.25">
      <c r="B66" s="2" t="s">
        <v>1840</v>
      </c>
      <c r="C66" s="2" t="s">
        <v>1841</v>
      </c>
      <c r="D66" s="3">
        <v>2.42</v>
      </c>
      <c r="E66" s="3">
        <v>10.7</v>
      </c>
      <c r="F66" s="3">
        <v>1.3</v>
      </c>
      <c r="G66" s="3">
        <v>1.64</v>
      </c>
      <c r="H66" s="3">
        <v>515</v>
      </c>
      <c r="I66" s="3">
        <v>0.36</v>
      </c>
      <c r="J66" s="3">
        <v>0.45</v>
      </c>
      <c r="K66" s="3">
        <v>0.64</v>
      </c>
    </row>
    <row r="67" spans="2:11" x14ac:dyDescent="0.25">
      <c r="B67" s="2" t="s">
        <v>1842</v>
      </c>
      <c r="C67" s="2" t="s">
        <v>1843</v>
      </c>
      <c r="D67" s="3">
        <v>15.97</v>
      </c>
      <c r="E67" s="3">
        <v>17.399999999999999</v>
      </c>
      <c r="F67" s="3">
        <v>0</v>
      </c>
      <c r="G67" s="3">
        <v>16.71</v>
      </c>
      <c r="H67" s="3">
        <v>26000</v>
      </c>
      <c r="I67" s="3">
        <v>4.32</v>
      </c>
      <c r="J67" s="3">
        <v>3.6160000000000001</v>
      </c>
      <c r="K67" s="3">
        <v>0.33200000000000002</v>
      </c>
    </row>
    <row r="68" spans="2:11" x14ac:dyDescent="0.25">
      <c r="B68" s="2" t="s">
        <v>1844</v>
      </c>
      <c r="C68" s="2" t="s">
        <v>1845</v>
      </c>
      <c r="D68" s="3">
        <v>17.3</v>
      </c>
      <c r="E68" s="3">
        <v>16.100000000000001</v>
      </c>
      <c r="F68" s="3">
        <v>0</v>
      </c>
      <c r="G68" s="3">
        <v>14.51</v>
      </c>
      <c r="H68" s="3">
        <v>24000</v>
      </c>
      <c r="I68" s="3">
        <v>1.99</v>
      </c>
      <c r="J68" s="3">
        <v>1.67</v>
      </c>
      <c r="K68" s="3">
        <v>0.16</v>
      </c>
    </row>
    <row r="69" spans="2:11" x14ac:dyDescent="0.25">
      <c r="B69" s="2" t="s">
        <v>1846</v>
      </c>
      <c r="C69" s="2" t="s">
        <v>1847</v>
      </c>
      <c r="D69" s="3">
        <v>16.66</v>
      </c>
      <c r="E69" s="3">
        <v>18.010000000000002</v>
      </c>
      <c r="F69" s="3">
        <v>0</v>
      </c>
      <c r="G69" s="3">
        <v>17.36</v>
      </c>
      <c r="H69" s="3">
        <v>23875</v>
      </c>
      <c r="I69" s="3">
        <v>3.43</v>
      </c>
      <c r="J69" s="3">
        <v>5.36</v>
      </c>
      <c r="K69" s="3">
        <v>4.4800000000000004</v>
      </c>
    </row>
    <row r="70" spans="2:11" x14ac:dyDescent="0.25">
      <c r="B70" s="2" t="s">
        <v>1848</v>
      </c>
      <c r="C70" s="2" t="s">
        <v>1849</v>
      </c>
      <c r="D70" s="3">
        <v>14.6</v>
      </c>
      <c r="E70" s="3">
        <v>23.5</v>
      </c>
      <c r="F70" s="3">
        <v>0</v>
      </c>
      <c r="G70" s="3">
        <v>0</v>
      </c>
      <c r="H70" s="3">
        <v>24000</v>
      </c>
      <c r="I70" s="3">
        <v>1.2</v>
      </c>
      <c r="J70" s="3">
        <v>1.92</v>
      </c>
      <c r="K70" s="3">
        <v>1.62</v>
      </c>
    </row>
    <row r="71" spans="2:11" x14ac:dyDescent="0.25">
      <c r="B71" s="2" t="s">
        <v>1850</v>
      </c>
      <c r="C71" s="2" t="s">
        <v>1851</v>
      </c>
      <c r="D71" s="3">
        <v>2.38</v>
      </c>
      <c r="E71" s="3">
        <v>11.9</v>
      </c>
      <c r="F71" s="3">
        <v>0.8</v>
      </c>
      <c r="G71" s="3">
        <v>1.59</v>
      </c>
      <c r="H71" s="3">
        <v>381</v>
      </c>
      <c r="I71" s="3">
        <v>0.79400000000000004</v>
      </c>
      <c r="J71" s="3">
        <v>0.79400000000000004</v>
      </c>
      <c r="K71" s="3">
        <v>0.39700000000000002</v>
      </c>
    </row>
    <row r="72" spans="2:11" x14ac:dyDescent="0.25">
      <c r="B72" s="2" t="s">
        <v>1852</v>
      </c>
      <c r="C72" s="2" t="s">
        <v>1853</v>
      </c>
      <c r="D72" s="3">
        <v>2.38</v>
      </c>
      <c r="E72" s="3">
        <v>11.9</v>
      </c>
      <c r="F72" s="3">
        <v>1.6</v>
      </c>
      <c r="G72" s="3">
        <v>2.38</v>
      </c>
      <c r="H72" s="3">
        <v>706</v>
      </c>
      <c r="I72" s="3">
        <v>0.39700000000000002</v>
      </c>
      <c r="J72" s="3">
        <v>0</v>
      </c>
      <c r="K72" s="3">
        <v>0</v>
      </c>
    </row>
    <row r="73" spans="2:11" x14ac:dyDescent="0.25">
      <c r="B73" s="2" t="s">
        <v>1854</v>
      </c>
      <c r="C73" s="2" t="s">
        <v>1855</v>
      </c>
      <c r="D73" s="3">
        <v>2.42</v>
      </c>
      <c r="E73" s="3">
        <v>0.81</v>
      </c>
      <c r="F73" s="3">
        <v>0</v>
      </c>
      <c r="G73" s="3">
        <v>0.81</v>
      </c>
      <c r="H73" s="3">
        <v>694</v>
      </c>
      <c r="I73" s="3">
        <v>0</v>
      </c>
      <c r="J73" s="3">
        <v>0</v>
      </c>
      <c r="K73" s="3">
        <v>0</v>
      </c>
    </row>
    <row r="74" spans="2:11" x14ac:dyDescent="0.25">
      <c r="B74" s="2" t="s">
        <v>1856</v>
      </c>
      <c r="C74" s="2" t="s">
        <v>1857</v>
      </c>
      <c r="D74" s="3">
        <v>7.48</v>
      </c>
      <c r="E74" s="3">
        <v>65.069999999999993</v>
      </c>
      <c r="F74" s="3">
        <v>6.6</v>
      </c>
      <c r="G74" s="3">
        <v>4.6500000000000004</v>
      </c>
      <c r="H74" s="3">
        <v>8031</v>
      </c>
      <c r="I74" s="3">
        <v>8.8999999999999996E-2</v>
      </c>
      <c r="J74" s="3">
        <v>6.7000000000000004E-2</v>
      </c>
      <c r="K74" s="3">
        <v>0.16400000000000001</v>
      </c>
    </row>
    <row r="75" spans="2:11" x14ac:dyDescent="0.25">
      <c r="B75" s="2" t="s">
        <v>1858</v>
      </c>
      <c r="C75" s="2" t="s">
        <v>1859</v>
      </c>
      <c r="D75" s="3">
        <v>3.23</v>
      </c>
      <c r="E75" s="3">
        <v>0.81</v>
      </c>
      <c r="F75" s="3">
        <v>0</v>
      </c>
      <c r="G75" s="3">
        <v>0.81</v>
      </c>
      <c r="H75" s="3">
        <v>653</v>
      </c>
      <c r="I75" s="3">
        <v>0</v>
      </c>
      <c r="J75" s="3">
        <v>0</v>
      </c>
      <c r="K75" s="3">
        <v>0</v>
      </c>
    </row>
    <row r="76" spans="2:11" x14ac:dyDescent="0.25">
      <c r="B76" s="2" t="s">
        <v>1860</v>
      </c>
      <c r="C76" s="2" t="s">
        <v>1861</v>
      </c>
      <c r="D76" s="3">
        <v>8</v>
      </c>
      <c r="E76" s="3">
        <v>52.1</v>
      </c>
      <c r="F76" s="3">
        <v>3</v>
      </c>
      <c r="G76" s="3">
        <v>17.510000000000002</v>
      </c>
      <c r="H76" s="3">
        <v>4957</v>
      </c>
      <c r="I76" s="3">
        <v>6.03</v>
      </c>
      <c r="J76" s="3">
        <v>10.73</v>
      </c>
      <c r="K76" s="3">
        <v>6.29</v>
      </c>
    </row>
    <row r="77" spans="2:11" x14ac:dyDescent="0.25">
      <c r="B77" s="2" t="s">
        <v>1862</v>
      </c>
      <c r="C77" s="2" t="s">
        <v>1863</v>
      </c>
      <c r="D77" s="3">
        <v>5.93</v>
      </c>
      <c r="E77" s="3">
        <v>15.56</v>
      </c>
      <c r="F77" s="3">
        <v>0.1</v>
      </c>
      <c r="G77" s="3">
        <v>14.1</v>
      </c>
      <c r="H77" s="3">
        <v>3833</v>
      </c>
      <c r="I77" s="3">
        <v>0</v>
      </c>
      <c r="J77" s="3">
        <v>0</v>
      </c>
      <c r="K77" s="3">
        <v>0</v>
      </c>
    </row>
    <row r="78" spans="2:11" x14ac:dyDescent="0.25">
      <c r="B78" s="2" t="s">
        <v>1864</v>
      </c>
      <c r="C78" s="2" t="s">
        <v>1865</v>
      </c>
      <c r="D78" s="3">
        <v>1.2</v>
      </c>
      <c r="E78" s="3">
        <v>2.5</v>
      </c>
      <c r="F78" s="3">
        <v>0</v>
      </c>
      <c r="H78" s="3">
        <v>478</v>
      </c>
      <c r="I78" s="3">
        <v>0.1</v>
      </c>
      <c r="J78" s="3">
        <v>0.08</v>
      </c>
      <c r="K78" s="3">
        <v>0.01</v>
      </c>
    </row>
    <row r="79" spans="2:11" x14ac:dyDescent="0.25">
      <c r="B79" s="2" t="s">
        <v>1866</v>
      </c>
      <c r="C79" s="2" t="s">
        <v>1867</v>
      </c>
      <c r="D79" s="3">
        <v>9.1999999999999993</v>
      </c>
      <c r="E79" s="3">
        <v>47.49</v>
      </c>
      <c r="H79" s="3">
        <v>11588</v>
      </c>
      <c r="I79" s="3">
        <v>2.0259999999999998</v>
      </c>
      <c r="J79" s="3">
        <v>4.6829999999999998</v>
      </c>
      <c r="K79" s="3">
        <v>0.23</v>
      </c>
    </row>
    <row r="80" spans="2:11" x14ac:dyDescent="0.25">
      <c r="B80" s="2" t="s">
        <v>1868</v>
      </c>
      <c r="C80" s="2" t="s">
        <v>1869</v>
      </c>
      <c r="D80" s="3">
        <v>3.75</v>
      </c>
      <c r="E80" s="3">
        <v>4.8099999999999996</v>
      </c>
      <c r="F80" s="3">
        <v>0.4</v>
      </c>
      <c r="G80" s="3">
        <v>0.21</v>
      </c>
      <c r="H80" s="3">
        <v>560</v>
      </c>
      <c r="I80" s="3">
        <v>1.153</v>
      </c>
      <c r="J80" s="3">
        <v>0.96199999999999997</v>
      </c>
      <c r="K80" s="3">
        <v>0.08</v>
      </c>
    </row>
    <row r="81" spans="2:11" x14ac:dyDescent="0.25">
      <c r="B81" s="2" t="s">
        <v>1870</v>
      </c>
      <c r="C81" s="2" t="s">
        <v>1871</v>
      </c>
      <c r="D81" s="3">
        <v>6.25</v>
      </c>
      <c r="E81" s="3">
        <v>19.53</v>
      </c>
      <c r="F81" s="3">
        <v>6.3</v>
      </c>
      <c r="G81" s="3">
        <v>3.13</v>
      </c>
      <c r="H81" s="3">
        <v>672</v>
      </c>
      <c r="I81" s="3">
        <v>1.1719999999999999</v>
      </c>
      <c r="J81" s="3">
        <v>0.78100000000000003</v>
      </c>
      <c r="K81" s="3">
        <v>0.39100000000000001</v>
      </c>
    </row>
    <row r="82" spans="2:11" x14ac:dyDescent="0.25">
      <c r="B82" s="2" t="s">
        <v>1872</v>
      </c>
      <c r="C82" s="2" t="s">
        <v>1873</v>
      </c>
      <c r="D82" s="3">
        <v>10.74</v>
      </c>
      <c r="E82" s="3">
        <v>59.38</v>
      </c>
      <c r="F82" s="3">
        <v>2</v>
      </c>
      <c r="H82" s="3">
        <v>4843</v>
      </c>
      <c r="I82" s="3">
        <v>3.319</v>
      </c>
      <c r="J82" s="3">
        <v>4.452</v>
      </c>
      <c r="K82" s="3">
        <v>0.40500000000000003</v>
      </c>
    </row>
    <row r="83" spans="2:11" x14ac:dyDescent="0.25">
      <c r="B83" s="2" t="s">
        <v>1874</v>
      </c>
      <c r="C83" s="2" t="s">
        <v>1875</v>
      </c>
      <c r="D83" s="3">
        <v>0.71</v>
      </c>
      <c r="E83" s="3">
        <v>5.29</v>
      </c>
      <c r="F83" s="3">
        <v>0.1</v>
      </c>
      <c r="G83" s="3">
        <v>0.3</v>
      </c>
      <c r="H83" s="3">
        <v>389</v>
      </c>
      <c r="I83" s="3">
        <v>0.63900000000000001</v>
      </c>
      <c r="J83" s="3">
        <v>1.0269999999999999</v>
      </c>
      <c r="K83" s="3">
        <v>0.40699999999999997</v>
      </c>
    </row>
    <row r="84" spans="2:11" x14ac:dyDescent="0.25">
      <c r="B84" s="2" t="s">
        <v>1876</v>
      </c>
      <c r="C84" s="2" t="s">
        <v>1877</v>
      </c>
      <c r="D84" s="3">
        <v>11.27</v>
      </c>
      <c r="E84" s="3">
        <v>62.09</v>
      </c>
      <c r="H84" s="3">
        <v>4152</v>
      </c>
      <c r="I84" s="3">
        <v>2.92</v>
      </c>
      <c r="J84" s="3">
        <v>4.6479999999999997</v>
      </c>
      <c r="K84" s="3">
        <v>1.877</v>
      </c>
    </row>
    <row r="85" spans="2:11" x14ac:dyDescent="0.25">
      <c r="B85" s="2" t="s">
        <v>1878</v>
      </c>
      <c r="C85" s="2" t="s">
        <v>1879</v>
      </c>
      <c r="D85" s="3">
        <v>1.26</v>
      </c>
      <c r="E85" s="3">
        <v>5.47</v>
      </c>
      <c r="F85" s="3">
        <v>0.4</v>
      </c>
      <c r="H85" s="3">
        <v>570</v>
      </c>
      <c r="I85" s="3">
        <v>0.4</v>
      </c>
      <c r="J85" s="3">
        <v>1.17</v>
      </c>
      <c r="K85" s="3">
        <v>1.02</v>
      </c>
    </row>
    <row r="86" spans="2:11" x14ac:dyDescent="0.25">
      <c r="B86" s="2" t="s">
        <v>1880</v>
      </c>
      <c r="C86" s="2" t="s">
        <v>1881</v>
      </c>
      <c r="D86" s="3">
        <v>10</v>
      </c>
      <c r="E86" s="3">
        <v>64.66</v>
      </c>
      <c r="F86" s="3">
        <v>4.8</v>
      </c>
      <c r="G86" s="3">
        <v>3.26</v>
      </c>
      <c r="H86" s="3">
        <v>6580</v>
      </c>
      <c r="I86" s="3">
        <v>2.36</v>
      </c>
      <c r="J86" s="3">
        <v>1.31</v>
      </c>
      <c r="K86" s="3">
        <v>0.14000000000000001</v>
      </c>
    </row>
    <row r="87" spans="2:11" x14ac:dyDescent="0.25">
      <c r="B87" s="2" t="s">
        <v>1882</v>
      </c>
      <c r="C87" s="2" t="s">
        <v>1883</v>
      </c>
      <c r="D87" s="3">
        <v>9</v>
      </c>
      <c r="E87" s="3">
        <v>67.64</v>
      </c>
      <c r="F87" s="3">
        <v>6</v>
      </c>
      <c r="H87" s="3">
        <v>4186</v>
      </c>
      <c r="I87" s="3">
        <v>1.86</v>
      </c>
      <c r="J87" s="3">
        <v>0.9</v>
      </c>
      <c r="K87" s="3">
        <v>0.14000000000000001</v>
      </c>
    </row>
    <row r="88" spans="2:11" x14ac:dyDescent="0.25">
      <c r="B88" s="2" t="s">
        <v>1884</v>
      </c>
      <c r="C88" s="2" t="s">
        <v>1885</v>
      </c>
      <c r="D88" s="3">
        <v>8.7799999999999994</v>
      </c>
      <c r="E88" s="3">
        <v>63.57</v>
      </c>
      <c r="F88" s="3">
        <v>2.4</v>
      </c>
      <c r="G88" s="3">
        <v>24.73</v>
      </c>
      <c r="H88" s="3">
        <v>5356</v>
      </c>
      <c r="I88" s="3">
        <v>4.29</v>
      </c>
      <c r="J88" s="3">
        <v>3.8809999999999998</v>
      </c>
      <c r="K88" s="3">
        <v>0.45400000000000001</v>
      </c>
    </row>
    <row r="89" spans="2:11" x14ac:dyDescent="0.25">
      <c r="B89" s="2" t="s">
        <v>1886</v>
      </c>
      <c r="C89" s="2" t="s">
        <v>1887</v>
      </c>
      <c r="D89" s="3">
        <v>2.6</v>
      </c>
      <c r="E89" s="3">
        <v>5.0999999999999996</v>
      </c>
      <c r="F89" s="3">
        <v>0.4</v>
      </c>
      <c r="G89" s="3">
        <v>0.21</v>
      </c>
      <c r="H89" s="3">
        <v>577</v>
      </c>
      <c r="I89" s="3">
        <v>0.62</v>
      </c>
      <c r="J89" s="3">
        <v>0.9</v>
      </c>
      <c r="K89" s="3">
        <v>0.49</v>
      </c>
    </row>
    <row r="90" spans="2:11" x14ac:dyDescent="0.25">
      <c r="B90" s="2" t="s">
        <v>1888</v>
      </c>
      <c r="C90" s="2" t="s">
        <v>1889</v>
      </c>
      <c r="D90" s="3">
        <v>10.42</v>
      </c>
      <c r="E90" s="3">
        <v>65.12</v>
      </c>
      <c r="H90" s="3">
        <v>4392</v>
      </c>
      <c r="I90" s="3">
        <v>1.9750000000000001</v>
      </c>
      <c r="J90" s="3">
        <v>2.5750000000000002</v>
      </c>
      <c r="K90" s="3">
        <v>2.1960000000000002</v>
      </c>
    </row>
    <row r="91" spans="2:11" x14ac:dyDescent="0.25">
      <c r="B91" s="2" t="s">
        <v>1890</v>
      </c>
      <c r="C91" s="2" t="s">
        <v>1891</v>
      </c>
      <c r="D91" s="3">
        <v>13</v>
      </c>
      <c r="E91" s="3">
        <v>58</v>
      </c>
      <c r="H91" s="3">
        <v>5730</v>
      </c>
      <c r="I91" s="3">
        <v>2.86</v>
      </c>
      <c r="J91" s="3">
        <v>3.15</v>
      </c>
      <c r="K91" s="3">
        <v>1.62</v>
      </c>
    </row>
    <row r="92" spans="2:11" x14ac:dyDescent="0.25">
      <c r="B92" s="2" t="s">
        <v>1892</v>
      </c>
      <c r="C92" s="2" t="s">
        <v>1893</v>
      </c>
      <c r="D92" s="3">
        <v>15.42</v>
      </c>
      <c r="E92" s="3">
        <v>62.32</v>
      </c>
      <c r="F92" s="3">
        <v>3.2</v>
      </c>
      <c r="G92" s="3">
        <v>1.9</v>
      </c>
      <c r="H92" s="3">
        <v>3643</v>
      </c>
      <c r="I92" s="3">
        <v>1.9690000000000001</v>
      </c>
      <c r="J92" s="3">
        <v>2.2679999999999998</v>
      </c>
      <c r="K92" s="3">
        <v>1.3979999999999999</v>
      </c>
    </row>
    <row r="93" spans="2:11" x14ac:dyDescent="0.25">
      <c r="B93" s="2" t="s">
        <v>1894</v>
      </c>
      <c r="C93" s="2" t="s">
        <v>1895</v>
      </c>
      <c r="D93" s="3">
        <v>12.8</v>
      </c>
      <c r="E93" s="3">
        <v>5.46</v>
      </c>
      <c r="F93" s="3">
        <v>1.7</v>
      </c>
      <c r="H93" s="3">
        <v>1145</v>
      </c>
    </row>
    <row r="94" spans="2:11" x14ac:dyDescent="0.25">
      <c r="B94" s="2" t="s">
        <v>1896</v>
      </c>
      <c r="C94" s="2" t="s">
        <v>1897</v>
      </c>
      <c r="D94" s="3">
        <v>1.2</v>
      </c>
      <c r="E94" s="3">
        <v>8.6999999999999993</v>
      </c>
      <c r="G94" s="3">
        <v>4.7</v>
      </c>
      <c r="H94" s="3">
        <v>590</v>
      </c>
      <c r="I94" s="3">
        <v>0.16200000000000001</v>
      </c>
      <c r="J94" s="3">
        <v>0.21</v>
      </c>
      <c r="K94" s="3">
        <v>0.51</v>
      </c>
    </row>
    <row r="95" spans="2:11" x14ac:dyDescent="0.25">
      <c r="B95" s="2" t="s">
        <v>1898</v>
      </c>
      <c r="C95" s="2" t="s">
        <v>1899</v>
      </c>
      <c r="D95" s="3">
        <v>3.17</v>
      </c>
      <c r="E95" s="3">
        <v>6.35</v>
      </c>
      <c r="F95" s="3">
        <v>0.8</v>
      </c>
      <c r="G95" s="3">
        <v>0.79</v>
      </c>
      <c r="H95" s="3">
        <v>651</v>
      </c>
      <c r="I95" s="3">
        <v>0.39700000000000002</v>
      </c>
      <c r="J95" s="3">
        <v>0.39700000000000002</v>
      </c>
      <c r="K95" s="3">
        <v>0.79400000000000004</v>
      </c>
    </row>
    <row r="96" spans="2:11" x14ac:dyDescent="0.25">
      <c r="B96" s="2" t="s">
        <v>1900</v>
      </c>
      <c r="C96" s="2" t="s">
        <v>1901</v>
      </c>
      <c r="D96" s="3">
        <v>3.97</v>
      </c>
      <c r="E96" s="3">
        <v>11.9</v>
      </c>
      <c r="F96" s="3">
        <v>2.4</v>
      </c>
      <c r="G96" s="3">
        <v>1.59</v>
      </c>
      <c r="H96" s="3">
        <v>706</v>
      </c>
      <c r="I96" s="3">
        <v>0.79400000000000004</v>
      </c>
      <c r="J96" s="3">
        <v>0.39700000000000002</v>
      </c>
      <c r="K96" s="3">
        <v>0</v>
      </c>
    </row>
    <row r="97" spans="2:11" x14ac:dyDescent="0.25">
      <c r="B97" s="2" t="s">
        <v>1902</v>
      </c>
      <c r="C97" s="2" t="s">
        <v>1903</v>
      </c>
      <c r="D97" s="3">
        <v>4.5999999999999996</v>
      </c>
      <c r="E97" s="3">
        <v>5.2</v>
      </c>
      <c r="F97" s="3">
        <v>0.2</v>
      </c>
      <c r="H97" s="3">
        <v>709</v>
      </c>
      <c r="I97" s="3">
        <v>1.2</v>
      </c>
      <c r="J97" s="3">
        <v>1</v>
      </c>
      <c r="K97" s="3">
        <v>0.1</v>
      </c>
    </row>
    <row r="98" spans="2:11" x14ac:dyDescent="0.25">
      <c r="B98" s="2" t="s">
        <v>1904</v>
      </c>
      <c r="C98" s="2" t="s">
        <v>1905</v>
      </c>
      <c r="D98" s="3">
        <v>1.61</v>
      </c>
      <c r="E98" s="3">
        <v>11.95</v>
      </c>
      <c r="F98" s="3">
        <v>3.2</v>
      </c>
      <c r="G98" s="3">
        <v>0.79</v>
      </c>
      <c r="H98" s="3">
        <v>669</v>
      </c>
      <c r="I98" s="3">
        <v>1.246</v>
      </c>
      <c r="J98" s="3">
        <v>2.125</v>
      </c>
      <c r="K98" s="3">
        <v>1.226</v>
      </c>
    </row>
    <row r="99" spans="2:11" x14ac:dyDescent="0.25">
      <c r="B99" s="2" t="s">
        <v>1906</v>
      </c>
      <c r="C99" s="2" t="s">
        <v>1907</v>
      </c>
      <c r="D99" s="3">
        <v>0.82</v>
      </c>
      <c r="E99" s="3">
        <v>40.770000000000003</v>
      </c>
      <c r="F99" s="3">
        <v>0.9</v>
      </c>
      <c r="G99" s="3">
        <v>33.24</v>
      </c>
      <c r="H99" s="3">
        <v>1027</v>
      </c>
      <c r="I99" s="3">
        <v>4.4999999999999998E-2</v>
      </c>
      <c r="J99" s="3">
        <v>8.2000000000000003E-2</v>
      </c>
      <c r="K99" s="3">
        <v>0.10100000000000001</v>
      </c>
    </row>
    <row r="100" spans="2:11" x14ac:dyDescent="0.25">
      <c r="B100" s="2" t="s">
        <v>1908</v>
      </c>
      <c r="C100" s="2" t="s">
        <v>1909</v>
      </c>
      <c r="D100" s="3">
        <v>0.89</v>
      </c>
      <c r="E100" s="3">
        <v>42.81</v>
      </c>
      <c r="F100" s="3">
        <v>0.7</v>
      </c>
      <c r="H100" s="3">
        <v>538</v>
      </c>
      <c r="I100" s="3">
        <v>0.153</v>
      </c>
      <c r="J100" s="3">
        <v>0.24</v>
      </c>
      <c r="K100" s="3">
        <v>0.58799999999999997</v>
      </c>
    </row>
    <row r="101" spans="2:11" x14ac:dyDescent="0.25">
      <c r="B101" s="2" t="s">
        <v>1910</v>
      </c>
      <c r="C101" s="2" t="s">
        <v>1911</v>
      </c>
      <c r="D101" s="3">
        <v>2.1800000000000002</v>
      </c>
      <c r="E101" s="3">
        <v>8.66</v>
      </c>
      <c r="F101" s="3">
        <v>2</v>
      </c>
      <c r="G101" s="3">
        <v>3.78</v>
      </c>
      <c r="H101" s="3">
        <v>348</v>
      </c>
      <c r="I101" s="3">
        <v>0.46</v>
      </c>
      <c r="J101" s="3">
        <v>0.46100000000000002</v>
      </c>
      <c r="K101" s="3">
        <v>9.9000000000000005E-2</v>
      </c>
    </row>
    <row r="102" spans="2:11" x14ac:dyDescent="0.25">
      <c r="B102" s="2" t="s">
        <v>1912</v>
      </c>
      <c r="C102" s="2" t="s">
        <v>1913</v>
      </c>
      <c r="D102" s="3">
        <v>1.76</v>
      </c>
      <c r="E102" s="3">
        <v>18.47</v>
      </c>
      <c r="F102" s="3">
        <v>0.8</v>
      </c>
      <c r="H102" s="3">
        <v>698</v>
      </c>
      <c r="I102" s="3">
        <v>0.42</v>
      </c>
      <c r="J102" s="3">
        <v>0.53</v>
      </c>
      <c r="K102" s="3">
        <v>0.87</v>
      </c>
    </row>
    <row r="103" spans="2:11" x14ac:dyDescent="0.25">
      <c r="B103" s="2" t="s">
        <v>1914</v>
      </c>
      <c r="C103" s="2" t="s">
        <v>1915</v>
      </c>
      <c r="D103" s="3">
        <v>1.46</v>
      </c>
      <c r="E103" s="3">
        <v>15.22</v>
      </c>
      <c r="F103" s="3">
        <v>1.1000000000000001</v>
      </c>
      <c r="G103" s="3">
        <v>8.23</v>
      </c>
      <c r="H103" s="3">
        <v>377</v>
      </c>
      <c r="I103" s="3">
        <v>0.115</v>
      </c>
      <c r="J103" s="3">
        <v>0.13600000000000001</v>
      </c>
      <c r="K103" s="3">
        <v>0.157</v>
      </c>
    </row>
    <row r="104" spans="2:11" x14ac:dyDescent="0.25">
      <c r="B104" s="2" t="s">
        <v>1916</v>
      </c>
      <c r="C104" s="2" t="s">
        <v>1917</v>
      </c>
      <c r="D104" s="3">
        <v>1.52</v>
      </c>
      <c r="E104" s="3">
        <v>6.64</v>
      </c>
      <c r="F104" s="3">
        <v>1.9</v>
      </c>
      <c r="G104" s="3">
        <v>4.01</v>
      </c>
      <c r="H104" s="3">
        <v>711</v>
      </c>
      <c r="I104" s="3">
        <v>2.1000000000000001E-2</v>
      </c>
      <c r="J104" s="3">
        <v>1.7999999999999999E-2</v>
      </c>
      <c r="K104" s="3">
        <v>7.8E-2</v>
      </c>
    </row>
    <row r="105" spans="2:11" x14ac:dyDescent="0.25">
      <c r="B105" s="2" t="s">
        <v>1918</v>
      </c>
      <c r="C105" s="2" t="s">
        <v>1919</v>
      </c>
      <c r="D105" s="3">
        <v>3.77</v>
      </c>
      <c r="E105" s="3">
        <v>7.4</v>
      </c>
      <c r="F105" s="3">
        <v>0.1</v>
      </c>
      <c r="G105" s="3">
        <v>4.78</v>
      </c>
      <c r="H105" s="3">
        <v>328</v>
      </c>
      <c r="I105" s="3">
        <v>2.1520000000000001</v>
      </c>
      <c r="J105" s="3">
        <v>2.67</v>
      </c>
      <c r="K105" s="3">
        <v>1.5860000000000001</v>
      </c>
    </row>
    <row r="106" spans="2:11" x14ac:dyDescent="0.25">
      <c r="B106" s="2" t="s">
        <v>1920</v>
      </c>
      <c r="C106" s="2" t="s">
        <v>1921</v>
      </c>
      <c r="D106" s="3">
        <v>3.84</v>
      </c>
      <c r="E106" s="3">
        <v>9.17</v>
      </c>
      <c r="F106" s="3">
        <v>0.2</v>
      </c>
      <c r="G106" s="3">
        <v>4.38</v>
      </c>
      <c r="H106" s="3">
        <v>354</v>
      </c>
      <c r="I106" s="3">
        <v>2.8540000000000001</v>
      </c>
      <c r="J106" s="3">
        <v>4.42</v>
      </c>
      <c r="K106" s="3">
        <v>2.8620000000000001</v>
      </c>
    </row>
    <row r="107" spans="2:11" x14ac:dyDescent="0.25">
      <c r="B107" s="2" t="s">
        <v>1922</v>
      </c>
      <c r="C107" s="2" t="s">
        <v>1923</v>
      </c>
      <c r="D107" s="3">
        <v>3.99</v>
      </c>
      <c r="E107" s="3">
        <v>11.61</v>
      </c>
      <c r="F107" s="3">
        <v>0.3</v>
      </c>
      <c r="G107" s="3">
        <v>3.98</v>
      </c>
      <c r="H107" s="3">
        <v>373</v>
      </c>
      <c r="I107" s="3">
        <v>3.4159999999999999</v>
      </c>
      <c r="J107" s="3">
        <v>5.851</v>
      </c>
      <c r="K107" s="3">
        <v>3.9140000000000001</v>
      </c>
    </row>
    <row r="108" spans="2:11" x14ac:dyDescent="0.25">
      <c r="B108" s="2" t="s">
        <v>1924</v>
      </c>
      <c r="C108" s="2" t="s">
        <v>1925</v>
      </c>
      <c r="D108" s="3">
        <v>0.51</v>
      </c>
      <c r="E108" s="3">
        <v>1.75</v>
      </c>
      <c r="F108" s="3">
        <v>0.3</v>
      </c>
      <c r="G108" s="3">
        <v>1.26</v>
      </c>
      <c r="H108" s="3">
        <v>2643</v>
      </c>
      <c r="I108" s="3">
        <v>5.1999999999999998E-2</v>
      </c>
      <c r="J108" s="3">
        <v>0.03</v>
      </c>
      <c r="K108" s="3">
        <v>0.19600000000000001</v>
      </c>
    </row>
    <row r="109" spans="2:11" x14ac:dyDescent="0.25">
      <c r="B109" s="2" t="s">
        <v>1926</v>
      </c>
      <c r="C109" s="2" t="s">
        <v>1927</v>
      </c>
      <c r="D109" s="3">
        <v>1.29</v>
      </c>
      <c r="E109" s="3">
        <v>0.8</v>
      </c>
      <c r="F109" s="3">
        <v>0.6</v>
      </c>
      <c r="G109" s="3">
        <v>0.13</v>
      </c>
      <c r="H109" s="3">
        <v>633</v>
      </c>
      <c r="I109" s="3">
        <v>0.106</v>
      </c>
      <c r="J109" s="3">
        <v>6.0999999999999999E-2</v>
      </c>
      <c r="K109" s="3">
        <v>0.40100000000000002</v>
      </c>
    </row>
    <row r="110" spans="2:11" x14ac:dyDescent="0.25">
      <c r="B110" s="2" t="s">
        <v>1928</v>
      </c>
      <c r="C110" s="2" t="s">
        <v>1929</v>
      </c>
      <c r="D110" s="3">
        <v>1.97</v>
      </c>
      <c r="E110" s="3">
        <v>1.2</v>
      </c>
      <c r="F110" s="3">
        <v>0</v>
      </c>
      <c r="G110" s="3">
        <v>0.54</v>
      </c>
      <c r="H110" s="3">
        <v>198</v>
      </c>
      <c r="I110" s="3">
        <v>3.5000000000000003E-2</v>
      </c>
      <c r="J110" s="3">
        <v>4.2999999999999997E-2</v>
      </c>
      <c r="K110" s="3">
        <v>5.0000000000000001E-3</v>
      </c>
    </row>
    <row r="111" spans="2:11" x14ac:dyDescent="0.25">
      <c r="B111" s="2" t="s">
        <v>1930</v>
      </c>
      <c r="C111" s="2" t="s">
        <v>1931</v>
      </c>
      <c r="D111" s="3">
        <v>2.52</v>
      </c>
      <c r="E111" s="3">
        <v>3.53</v>
      </c>
      <c r="F111" s="3">
        <v>0</v>
      </c>
      <c r="G111" s="3">
        <v>1.58</v>
      </c>
      <c r="H111" s="3">
        <v>143</v>
      </c>
      <c r="I111" s="3">
        <v>0.32100000000000001</v>
      </c>
      <c r="J111" s="3">
        <v>0.58199999999999996</v>
      </c>
      <c r="K111" s="3">
        <v>0.21299999999999999</v>
      </c>
    </row>
    <row r="112" spans="2:11" x14ac:dyDescent="0.25">
      <c r="B112" s="2" t="s">
        <v>1932</v>
      </c>
      <c r="C112" s="2" t="s">
        <v>1933</v>
      </c>
      <c r="D112" s="3">
        <v>2.2599999999999998</v>
      </c>
      <c r="E112" s="3">
        <v>0</v>
      </c>
      <c r="F112" s="3">
        <v>0</v>
      </c>
      <c r="G112" s="3">
        <v>0</v>
      </c>
      <c r="H112" s="3">
        <v>156</v>
      </c>
      <c r="I112" s="3">
        <v>0.20300000000000001</v>
      </c>
      <c r="J112" s="3">
        <v>0.23599999999999999</v>
      </c>
      <c r="K112" s="3">
        <v>0.13800000000000001</v>
      </c>
    </row>
    <row r="113" spans="2:11" x14ac:dyDescent="0.25">
      <c r="B113" s="2" t="s">
        <v>1934</v>
      </c>
      <c r="C113" s="2" t="s">
        <v>1935</v>
      </c>
      <c r="D113" s="3">
        <v>3.31</v>
      </c>
      <c r="E113" s="3">
        <v>44.08</v>
      </c>
      <c r="F113" s="3">
        <v>2.8</v>
      </c>
      <c r="G113" s="3">
        <v>27.26</v>
      </c>
      <c r="H113" s="3">
        <v>1615</v>
      </c>
      <c r="I113" s="3">
        <v>0.56799999999999995</v>
      </c>
      <c r="J113" s="3">
        <v>0.96299999999999997</v>
      </c>
      <c r="K113" s="3">
        <v>1.698</v>
      </c>
    </row>
    <row r="114" spans="2:11" x14ac:dyDescent="0.25">
      <c r="B114" s="2" t="s">
        <v>1936</v>
      </c>
      <c r="C114" s="2" t="s">
        <v>1937</v>
      </c>
      <c r="D114" s="3">
        <v>1.35</v>
      </c>
      <c r="E114" s="3">
        <v>10.92</v>
      </c>
      <c r="F114" s="3">
        <v>0.3</v>
      </c>
      <c r="G114" s="3">
        <v>0</v>
      </c>
      <c r="H114" s="3">
        <v>2733</v>
      </c>
      <c r="I114" s="3">
        <v>4.2999999999999997E-2</v>
      </c>
      <c r="J114" s="3">
        <v>7.2999999999999995E-2</v>
      </c>
      <c r="K114" s="3">
        <v>6.6000000000000003E-2</v>
      </c>
    </row>
    <row r="115" spans="2:11" x14ac:dyDescent="0.25">
      <c r="B115" s="2" t="s">
        <v>1938</v>
      </c>
      <c r="C115" s="2" t="s">
        <v>1939</v>
      </c>
      <c r="D115" s="3">
        <v>2</v>
      </c>
      <c r="E115" s="3">
        <v>9</v>
      </c>
      <c r="F115" s="3">
        <v>2.4</v>
      </c>
      <c r="G115" s="3">
        <v>2.13</v>
      </c>
      <c r="H115" s="3">
        <v>215</v>
      </c>
      <c r="I115" s="3">
        <v>0.14000000000000001</v>
      </c>
      <c r="J115" s="3">
        <v>0.28000000000000003</v>
      </c>
      <c r="K115" s="3">
        <v>0.25</v>
      </c>
    </row>
    <row r="116" spans="2:11" x14ac:dyDescent="0.25">
      <c r="B116" s="2" t="s">
        <v>1940</v>
      </c>
      <c r="C116" s="2" t="s">
        <v>1941</v>
      </c>
      <c r="D116" s="3">
        <v>1.5</v>
      </c>
      <c r="E116" s="3">
        <v>7</v>
      </c>
      <c r="F116" s="3">
        <v>1.4</v>
      </c>
      <c r="H116" s="3">
        <v>430</v>
      </c>
      <c r="I116" s="3">
        <v>2.9000000000000001E-2</v>
      </c>
      <c r="J116" s="3">
        <v>1.6E-2</v>
      </c>
      <c r="K116" s="3">
        <v>0.107</v>
      </c>
    </row>
    <row r="117" spans="2:11" x14ac:dyDescent="0.25">
      <c r="B117" s="2" t="s">
        <v>1942</v>
      </c>
      <c r="C117" s="2" t="s">
        <v>1943</v>
      </c>
      <c r="D117" s="3">
        <v>5.0599999999999996</v>
      </c>
      <c r="E117" s="3">
        <v>3.64</v>
      </c>
      <c r="F117" s="3">
        <v>0</v>
      </c>
      <c r="G117" s="3">
        <v>3.64</v>
      </c>
      <c r="H117" s="3">
        <v>7851</v>
      </c>
      <c r="I117" s="3">
        <v>3.0000000000000001E-3</v>
      </c>
      <c r="J117" s="3">
        <v>2E-3</v>
      </c>
      <c r="K117" s="3">
        <v>3.0000000000000001E-3</v>
      </c>
    </row>
    <row r="118" spans="2:11" x14ac:dyDescent="0.25">
      <c r="B118" s="2" t="s">
        <v>1944</v>
      </c>
      <c r="C118" s="2" t="s">
        <v>1945</v>
      </c>
      <c r="D118" s="3">
        <v>3.2</v>
      </c>
      <c r="E118" s="3">
        <v>3.8</v>
      </c>
      <c r="F118" s="3">
        <v>0</v>
      </c>
      <c r="H118" s="3">
        <v>501</v>
      </c>
      <c r="I118" s="3">
        <v>0.501</v>
      </c>
      <c r="J118" s="3">
        <v>0.58299999999999996</v>
      </c>
      <c r="K118" s="3">
        <v>0.34100000000000003</v>
      </c>
    </row>
    <row r="119" spans="2:11" x14ac:dyDescent="0.25">
      <c r="B119" s="2" t="s">
        <v>1946</v>
      </c>
      <c r="C119" s="2" t="s">
        <v>1947</v>
      </c>
      <c r="D119" s="3">
        <v>1.21</v>
      </c>
      <c r="E119" s="3">
        <v>8.1</v>
      </c>
      <c r="F119" s="3">
        <v>0.6</v>
      </c>
      <c r="G119" s="3">
        <v>2.13</v>
      </c>
      <c r="H119" s="3">
        <v>383</v>
      </c>
      <c r="I119" s="3">
        <v>0.53</v>
      </c>
      <c r="J119" s="3">
        <v>0.44</v>
      </c>
      <c r="K119" s="3">
        <v>0.56000000000000005</v>
      </c>
    </row>
    <row r="120" spans="2:11" x14ac:dyDescent="0.25">
      <c r="B120" s="2" t="s">
        <v>1948</v>
      </c>
      <c r="C120" s="2" t="s">
        <v>1949</v>
      </c>
      <c r="D120" s="3">
        <v>1.36</v>
      </c>
      <c r="E120" s="3">
        <v>0.38</v>
      </c>
      <c r="F120" s="3">
        <v>0</v>
      </c>
      <c r="G120" s="3">
        <v>0.22</v>
      </c>
      <c r="H120" s="3">
        <v>231</v>
      </c>
      <c r="I120" s="3">
        <v>0</v>
      </c>
      <c r="J120" s="3">
        <v>0</v>
      </c>
      <c r="K120" s="3">
        <v>0</v>
      </c>
    </row>
    <row r="121" spans="2:11" x14ac:dyDescent="0.25">
      <c r="B121" s="2" t="s">
        <v>1950</v>
      </c>
      <c r="C121" s="2" t="s">
        <v>1951</v>
      </c>
      <c r="D121" s="3">
        <v>1.1399999999999999</v>
      </c>
      <c r="E121" s="3">
        <v>0.2</v>
      </c>
      <c r="F121" s="3">
        <v>0</v>
      </c>
      <c r="G121" s="3">
        <v>0.2</v>
      </c>
      <c r="H121" s="3">
        <v>225</v>
      </c>
      <c r="I121" s="3">
        <v>4.2000000000000003E-2</v>
      </c>
      <c r="J121" s="3">
        <v>2.5999999999999999E-2</v>
      </c>
      <c r="K121" s="3">
        <v>5.0000000000000001E-3</v>
      </c>
    </row>
    <row r="122" spans="2:11" x14ac:dyDescent="0.25">
      <c r="B122" s="2" t="s">
        <v>1952</v>
      </c>
      <c r="C122" s="2" t="s">
        <v>1953</v>
      </c>
      <c r="D122" s="3">
        <v>5.93</v>
      </c>
      <c r="E122" s="3">
        <v>15.58</v>
      </c>
      <c r="F122" s="3">
        <v>0.1</v>
      </c>
      <c r="G122" s="3">
        <v>14.1</v>
      </c>
      <c r="H122" s="3">
        <v>1778</v>
      </c>
      <c r="I122" s="3">
        <v>0</v>
      </c>
      <c r="J122" s="3">
        <v>0</v>
      </c>
      <c r="K122" s="3">
        <v>0</v>
      </c>
    </row>
    <row r="123" spans="2:11" x14ac:dyDescent="0.25">
      <c r="B123" s="2" t="s">
        <v>1954</v>
      </c>
      <c r="C123" s="2" t="s">
        <v>1955</v>
      </c>
      <c r="D123" s="3">
        <v>4.1900000000000004</v>
      </c>
      <c r="E123" s="3">
        <v>13.66</v>
      </c>
      <c r="F123" s="3">
        <v>4</v>
      </c>
      <c r="G123" s="3">
        <v>3.17</v>
      </c>
      <c r="H123" s="3">
        <v>187</v>
      </c>
      <c r="I123" s="3">
        <v>0.252</v>
      </c>
      <c r="J123" s="3">
        <v>0.41499999999999998</v>
      </c>
      <c r="K123" s="3">
        <v>0.26900000000000002</v>
      </c>
    </row>
    <row r="124" spans="2:11" x14ac:dyDescent="0.25">
      <c r="B124" s="2" t="s">
        <v>1956</v>
      </c>
      <c r="C124" s="2" t="s">
        <v>1957</v>
      </c>
      <c r="D124" s="3">
        <v>3.85</v>
      </c>
      <c r="E124" s="3">
        <v>11.83</v>
      </c>
      <c r="F124" s="3">
        <v>1.9</v>
      </c>
      <c r="G124" s="3">
        <v>5.0599999999999996</v>
      </c>
      <c r="H124" s="3">
        <v>166</v>
      </c>
      <c r="I124" s="3">
        <v>0.3</v>
      </c>
      <c r="J124" s="3">
        <v>0.37</v>
      </c>
      <c r="K124" s="3">
        <v>0.16800000000000001</v>
      </c>
    </row>
    <row r="125" spans="2:11" x14ac:dyDescent="0.25">
      <c r="B125" s="2" t="s">
        <v>1958</v>
      </c>
      <c r="C125" s="2" t="s">
        <v>1959</v>
      </c>
      <c r="D125" s="3">
        <v>4</v>
      </c>
      <c r="E125" s="3">
        <v>11.4</v>
      </c>
      <c r="F125" s="3">
        <v>1.9</v>
      </c>
      <c r="G125" s="3">
        <v>1.57</v>
      </c>
      <c r="H125" s="3">
        <v>196</v>
      </c>
      <c r="I125" s="3">
        <v>0.29399999999999998</v>
      </c>
      <c r="J125" s="3">
        <v>0.28199999999999997</v>
      </c>
      <c r="K125" s="3">
        <v>0.13500000000000001</v>
      </c>
    </row>
    <row r="126" spans="2:11" x14ac:dyDescent="0.25">
      <c r="B126" s="2" t="s">
        <v>1960</v>
      </c>
      <c r="C126" s="2" t="s">
        <v>1961</v>
      </c>
      <c r="D126" s="3">
        <v>0.64</v>
      </c>
      <c r="E126" s="3">
        <v>0.44</v>
      </c>
      <c r="F126" s="3">
        <v>0</v>
      </c>
      <c r="G126" s="3">
        <v>0.43</v>
      </c>
      <c r="H126" s="3">
        <v>371</v>
      </c>
      <c r="I126" s="3">
        <v>1.2999999999999999E-2</v>
      </c>
      <c r="J126" s="3">
        <v>1.9E-2</v>
      </c>
      <c r="K126" s="3">
        <v>8.9999999999999993E-3</v>
      </c>
    </row>
    <row r="127" spans="2:11" x14ac:dyDescent="0.25">
      <c r="B127" s="2" t="s">
        <v>1962</v>
      </c>
      <c r="C127" s="2" t="s">
        <v>1963</v>
      </c>
      <c r="D127" s="3">
        <v>3</v>
      </c>
      <c r="E127" s="3">
        <v>7.5</v>
      </c>
      <c r="F127" s="3">
        <v>0.4</v>
      </c>
      <c r="G127" s="3">
        <v>0.8</v>
      </c>
      <c r="H127" s="3">
        <v>347</v>
      </c>
      <c r="I127" s="3">
        <v>0.4</v>
      </c>
      <c r="J127" s="3">
        <v>0.4</v>
      </c>
      <c r="K127" s="3">
        <v>0.6</v>
      </c>
    </row>
    <row r="128" spans="2:11" x14ac:dyDescent="0.25">
      <c r="B128" s="2" t="s">
        <v>1964</v>
      </c>
      <c r="C128" s="2" t="s">
        <v>1965</v>
      </c>
      <c r="D128" s="3">
        <v>2.5499999999999998</v>
      </c>
      <c r="E128" s="3">
        <v>6.61</v>
      </c>
      <c r="F128" s="3">
        <v>0.3</v>
      </c>
      <c r="H128" s="3">
        <v>420</v>
      </c>
      <c r="I128" s="3">
        <v>1.34</v>
      </c>
      <c r="J128" s="3">
        <v>0.84</v>
      </c>
      <c r="K128" s="3">
        <v>0.9</v>
      </c>
    </row>
    <row r="129" spans="2:11" x14ac:dyDescent="0.25">
      <c r="B129" s="2" t="s">
        <v>1966</v>
      </c>
      <c r="C129" s="2" t="s">
        <v>1967</v>
      </c>
      <c r="D129" s="3">
        <v>1.1599999999999999</v>
      </c>
      <c r="E129" s="3">
        <v>5.2</v>
      </c>
      <c r="F129" s="3">
        <v>0.3</v>
      </c>
      <c r="G129" s="3">
        <v>0.64</v>
      </c>
      <c r="H129" s="3">
        <v>416</v>
      </c>
      <c r="I129" s="3">
        <v>1.6359999999999999</v>
      </c>
      <c r="J129" s="3">
        <v>1.605</v>
      </c>
      <c r="K129" s="3">
        <v>0.97399999999999998</v>
      </c>
    </row>
    <row r="130" spans="2:11" x14ac:dyDescent="0.25">
      <c r="B130" s="2" t="s">
        <v>1968</v>
      </c>
      <c r="C130" s="2" t="s">
        <v>1969</v>
      </c>
      <c r="D130" s="3">
        <v>1.61</v>
      </c>
      <c r="E130" s="3">
        <v>8.06</v>
      </c>
      <c r="F130" s="3">
        <v>1.6</v>
      </c>
      <c r="G130" s="3">
        <v>0.81</v>
      </c>
      <c r="H130" s="3">
        <v>565</v>
      </c>
      <c r="I130" s="3">
        <v>0.40300000000000002</v>
      </c>
    </row>
    <row r="131" spans="2:11" x14ac:dyDescent="0.25">
      <c r="B131" s="2" t="s">
        <v>1970</v>
      </c>
      <c r="C131" s="2" t="s">
        <v>1971</v>
      </c>
      <c r="D131" s="3">
        <v>2.29</v>
      </c>
      <c r="E131" s="3">
        <v>5.86</v>
      </c>
      <c r="F131" s="3">
        <v>0.3</v>
      </c>
      <c r="H131" s="3">
        <v>272</v>
      </c>
      <c r="I131" s="3">
        <v>1.59</v>
      </c>
      <c r="J131" s="3">
        <v>0.99</v>
      </c>
      <c r="K131" s="3">
        <v>1.07</v>
      </c>
    </row>
    <row r="132" spans="2:11" x14ac:dyDescent="0.25">
      <c r="B132" s="2" t="s">
        <v>1972</v>
      </c>
      <c r="C132" s="2" t="s">
        <v>1973</v>
      </c>
      <c r="D132" s="3">
        <v>3.77</v>
      </c>
      <c r="E132" s="3">
        <v>6.47</v>
      </c>
      <c r="F132" s="3">
        <v>0.4</v>
      </c>
      <c r="H132" s="3">
        <v>406</v>
      </c>
      <c r="I132" s="3">
        <v>3.63</v>
      </c>
      <c r="J132" s="3">
        <v>1.63</v>
      </c>
      <c r="K132" s="3">
        <v>0.18</v>
      </c>
    </row>
    <row r="133" spans="2:11" x14ac:dyDescent="0.25">
      <c r="B133" s="2" t="s">
        <v>1974</v>
      </c>
      <c r="C133" s="2" t="s">
        <v>1975</v>
      </c>
      <c r="D133" s="3">
        <v>2.9</v>
      </c>
      <c r="E133" s="3">
        <v>6.3</v>
      </c>
      <c r="F133" s="3">
        <v>0.8</v>
      </c>
      <c r="G133" s="3">
        <v>0.6</v>
      </c>
      <c r="H133" s="3">
        <v>446</v>
      </c>
      <c r="I133" s="3">
        <v>0.4</v>
      </c>
      <c r="J133" s="3">
        <v>0.6</v>
      </c>
      <c r="K133" s="3">
        <v>0.3</v>
      </c>
    </row>
    <row r="134" spans="2:11" x14ac:dyDescent="0.25">
      <c r="B134" s="2" t="s">
        <v>1976</v>
      </c>
      <c r="C134" s="2" t="s">
        <v>1977</v>
      </c>
      <c r="D134" s="3">
        <v>1.61</v>
      </c>
      <c r="E134" s="3">
        <v>16.13</v>
      </c>
      <c r="F134" s="3">
        <v>0.8</v>
      </c>
      <c r="G134" s="3">
        <v>9.68</v>
      </c>
      <c r="H134" s="3">
        <v>387</v>
      </c>
      <c r="I134" s="3">
        <v>0</v>
      </c>
      <c r="K134" s="3">
        <v>0</v>
      </c>
    </row>
    <row r="135" spans="2:11" x14ac:dyDescent="0.25">
      <c r="B135" s="2" t="s">
        <v>1978</v>
      </c>
      <c r="C135" s="2" t="s">
        <v>1979</v>
      </c>
      <c r="D135" s="3">
        <v>1.61</v>
      </c>
      <c r="E135" s="3">
        <v>6.45</v>
      </c>
      <c r="F135" s="3">
        <v>1.6</v>
      </c>
      <c r="G135" s="3">
        <v>0.81</v>
      </c>
      <c r="H135" s="3">
        <v>524</v>
      </c>
      <c r="I135" s="3">
        <v>0.80600000000000005</v>
      </c>
      <c r="J135" s="3">
        <v>2.419</v>
      </c>
      <c r="K135" s="3">
        <v>3.226</v>
      </c>
    </row>
    <row r="136" spans="2:11" x14ac:dyDescent="0.25">
      <c r="B136" s="2" t="s">
        <v>1980</v>
      </c>
      <c r="C136" s="2" t="s">
        <v>1981</v>
      </c>
      <c r="D136" s="3">
        <v>1.61</v>
      </c>
      <c r="E136" s="3">
        <v>9.68</v>
      </c>
      <c r="F136" s="3">
        <v>0.8</v>
      </c>
      <c r="G136" s="3">
        <v>2.42</v>
      </c>
      <c r="H136" s="3">
        <v>387</v>
      </c>
      <c r="I136" s="3">
        <v>0.80600000000000005</v>
      </c>
      <c r="J136" s="3">
        <v>0</v>
      </c>
      <c r="K136" s="3">
        <v>0</v>
      </c>
    </row>
    <row r="137" spans="2:11" x14ac:dyDescent="0.25">
      <c r="B137" s="2" t="s">
        <v>1982</v>
      </c>
      <c r="C137" s="2" t="s">
        <v>1983</v>
      </c>
      <c r="D137" s="3">
        <v>3.01</v>
      </c>
      <c r="E137" s="3">
        <v>6.04</v>
      </c>
      <c r="F137" s="3">
        <v>0.1</v>
      </c>
      <c r="H137" s="3">
        <v>362</v>
      </c>
      <c r="I137" s="3">
        <v>1.87</v>
      </c>
      <c r="J137" s="3">
        <v>1.8</v>
      </c>
      <c r="K137" s="3">
        <v>0.66</v>
      </c>
    </row>
    <row r="138" spans="2:11" x14ac:dyDescent="0.25">
      <c r="B138" s="2" t="s">
        <v>1984</v>
      </c>
      <c r="C138" s="2" t="s">
        <v>1985</v>
      </c>
      <c r="D138" s="3">
        <v>2.2000000000000002</v>
      </c>
      <c r="E138" s="3">
        <v>12.11</v>
      </c>
      <c r="F138" s="3">
        <v>2.1</v>
      </c>
      <c r="G138" s="3">
        <v>4.3099999999999996</v>
      </c>
      <c r="H138" s="3">
        <v>385</v>
      </c>
      <c r="I138" s="3">
        <v>0.14699999999999999</v>
      </c>
      <c r="J138" s="3">
        <v>0.20300000000000001</v>
      </c>
      <c r="K138" s="3">
        <v>0.40300000000000002</v>
      </c>
    </row>
    <row r="139" spans="2:11" x14ac:dyDescent="0.25">
      <c r="B139" s="2" t="s">
        <v>1986</v>
      </c>
      <c r="C139" s="2" t="s">
        <v>1987</v>
      </c>
      <c r="D139" s="3">
        <v>0.81</v>
      </c>
      <c r="E139" s="3">
        <v>7.26</v>
      </c>
      <c r="F139" s="3">
        <v>1.6</v>
      </c>
      <c r="G139" s="3">
        <v>0.81</v>
      </c>
      <c r="H139" s="3">
        <v>387</v>
      </c>
      <c r="I139" s="3">
        <v>0.80600000000000005</v>
      </c>
      <c r="J139" s="3">
        <v>0.40300000000000002</v>
      </c>
      <c r="K139" s="3">
        <v>1.21</v>
      </c>
    </row>
    <row r="140" spans="2:11" x14ac:dyDescent="0.25">
      <c r="B140" s="2" t="s">
        <v>1988</v>
      </c>
      <c r="C140" s="2" t="s">
        <v>1989</v>
      </c>
      <c r="D140" s="3">
        <v>1.8</v>
      </c>
      <c r="E140" s="3">
        <v>7.46</v>
      </c>
      <c r="F140" s="3">
        <v>0.4</v>
      </c>
      <c r="G140" s="3">
        <v>0.5</v>
      </c>
      <c r="H140" s="3">
        <v>575</v>
      </c>
      <c r="I140" s="3">
        <v>0.56000000000000005</v>
      </c>
      <c r="J140" s="3">
        <v>0.56999999999999995</v>
      </c>
      <c r="K140" s="3">
        <v>0.76</v>
      </c>
    </row>
    <row r="141" spans="2:11" x14ac:dyDescent="0.25">
      <c r="B141" s="2" t="s">
        <v>1990</v>
      </c>
      <c r="C141" s="2" t="s">
        <v>1991</v>
      </c>
      <c r="D141" s="3">
        <v>1.54</v>
      </c>
      <c r="E141" s="3">
        <v>10</v>
      </c>
      <c r="F141" s="3">
        <v>2.2999999999999998</v>
      </c>
      <c r="G141" s="3">
        <v>7.69</v>
      </c>
      <c r="H141" s="3">
        <v>362</v>
      </c>
      <c r="I141" s="3">
        <v>0</v>
      </c>
    </row>
    <row r="142" spans="2:11" x14ac:dyDescent="0.25">
      <c r="B142" s="2" t="s">
        <v>1992</v>
      </c>
      <c r="C142" s="2" t="s">
        <v>1993</v>
      </c>
      <c r="D142" s="3">
        <v>1.54</v>
      </c>
      <c r="E142" s="3">
        <v>10</v>
      </c>
      <c r="F142" s="3">
        <v>2.2999999999999998</v>
      </c>
      <c r="G142" s="3">
        <v>7.69</v>
      </c>
      <c r="H142" s="3">
        <v>354</v>
      </c>
      <c r="I142" s="3">
        <v>0.38500000000000001</v>
      </c>
      <c r="J142" s="3">
        <v>0.38500000000000001</v>
      </c>
      <c r="K142" s="3">
        <v>1.1539999999999999</v>
      </c>
    </row>
    <row r="143" spans="2:11" x14ac:dyDescent="0.25">
      <c r="B143" s="2" t="s">
        <v>1994</v>
      </c>
      <c r="C143" s="2" t="s">
        <v>1995</v>
      </c>
      <c r="D143" s="3">
        <v>1.54</v>
      </c>
      <c r="E143" s="3">
        <v>13.85</v>
      </c>
      <c r="F143" s="3">
        <v>2.2999999999999998</v>
      </c>
      <c r="G143" s="3">
        <v>9.23</v>
      </c>
      <c r="H143" s="3">
        <v>369</v>
      </c>
      <c r="I143" s="3">
        <v>1.1539999999999999</v>
      </c>
    </row>
    <row r="144" spans="2:11" x14ac:dyDescent="0.25">
      <c r="B144" s="2" t="s">
        <v>1996</v>
      </c>
      <c r="C144" s="2" t="s">
        <v>1997</v>
      </c>
      <c r="D144" s="3">
        <v>1.54</v>
      </c>
      <c r="E144" s="3">
        <v>10</v>
      </c>
      <c r="F144" s="3">
        <v>2.2999999999999998</v>
      </c>
      <c r="G144" s="3">
        <v>7.69</v>
      </c>
      <c r="H144" s="3">
        <v>369</v>
      </c>
      <c r="I144" s="3">
        <v>0.38500000000000001</v>
      </c>
    </row>
    <row r="145" spans="2:11" x14ac:dyDescent="0.25">
      <c r="B145" s="2" t="s">
        <v>1998</v>
      </c>
      <c r="C145" s="2" t="s">
        <v>1999</v>
      </c>
      <c r="D145" s="3">
        <v>1.54</v>
      </c>
      <c r="E145" s="3">
        <v>10</v>
      </c>
      <c r="F145" s="3">
        <v>2.2999999999999998</v>
      </c>
      <c r="G145" s="3">
        <v>8.4600000000000009</v>
      </c>
      <c r="H145" s="3">
        <v>369</v>
      </c>
      <c r="I145" s="3">
        <v>0.76900000000000002</v>
      </c>
    </row>
    <row r="146" spans="2:11" x14ac:dyDescent="0.25">
      <c r="B146" s="2" t="s">
        <v>2000</v>
      </c>
      <c r="C146" s="2" t="s">
        <v>2001</v>
      </c>
      <c r="D146" s="3">
        <v>1.54</v>
      </c>
      <c r="E146" s="3">
        <v>13.08</v>
      </c>
      <c r="F146" s="3">
        <v>2.2999999999999998</v>
      </c>
      <c r="G146" s="3">
        <v>10</v>
      </c>
      <c r="H146" s="3">
        <v>408</v>
      </c>
      <c r="I146" s="3">
        <v>1.1539999999999999</v>
      </c>
    </row>
    <row r="147" spans="2:11" x14ac:dyDescent="0.25">
      <c r="B147" s="2" t="s">
        <v>2002</v>
      </c>
      <c r="C147" s="2" t="s">
        <v>2003</v>
      </c>
      <c r="D147" s="3">
        <v>2.4</v>
      </c>
      <c r="E147" s="3">
        <v>10.4</v>
      </c>
      <c r="F147" s="3">
        <v>2.4</v>
      </c>
      <c r="G147" s="3">
        <v>8</v>
      </c>
      <c r="H147" s="3">
        <v>384</v>
      </c>
      <c r="I147" s="3">
        <v>0.8</v>
      </c>
    </row>
    <row r="148" spans="2:11" x14ac:dyDescent="0.25">
      <c r="B148" s="2" t="s">
        <v>2004</v>
      </c>
      <c r="C148" s="2" t="s">
        <v>2005</v>
      </c>
      <c r="D148" s="3">
        <v>3.08</v>
      </c>
      <c r="E148" s="3">
        <v>10</v>
      </c>
      <c r="F148" s="3">
        <v>2.2999999999999998</v>
      </c>
      <c r="G148" s="3">
        <v>7.69</v>
      </c>
      <c r="H148" s="3">
        <v>369</v>
      </c>
      <c r="I148" s="3">
        <v>0.76900000000000002</v>
      </c>
    </row>
    <row r="149" spans="2:11" x14ac:dyDescent="0.25">
      <c r="B149" s="2" t="s">
        <v>2006</v>
      </c>
      <c r="C149" s="2" t="s">
        <v>2007</v>
      </c>
      <c r="D149" s="3">
        <v>1.54</v>
      </c>
      <c r="E149" s="3">
        <v>10</v>
      </c>
      <c r="F149" s="3">
        <v>2.2999999999999998</v>
      </c>
      <c r="G149" s="3">
        <v>7.69</v>
      </c>
      <c r="H149" s="3">
        <v>362</v>
      </c>
      <c r="I149" s="3">
        <v>0</v>
      </c>
    </row>
    <row r="150" spans="2:11" x14ac:dyDescent="0.25">
      <c r="B150" s="2" t="s">
        <v>2008</v>
      </c>
      <c r="C150" s="2" t="s">
        <v>2009</v>
      </c>
      <c r="D150" s="3">
        <v>3.24</v>
      </c>
      <c r="E150" s="3">
        <v>7.46</v>
      </c>
      <c r="F150" s="3">
        <v>0.3</v>
      </c>
      <c r="G150" s="3">
        <v>2.81</v>
      </c>
      <c r="H150" s="3">
        <v>273</v>
      </c>
      <c r="I150" s="3">
        <v>1.0940000000000001</v>
      </c>
      <c r="J150" s="3">
        <v>0.26800000000000002</v>
      </c>
      <c r="K150" s="3">
        <v>0.51300000000000001</v>
      </c>
    </row>
    <row r="151" spans="2:11" x14ac:dyDescent="0.25">
      <c r="B151" s="2" t="s">
        <v>2010</v>
      </c>
      <c r="C151" s="2" t="s">
        <v>2011</v>
      </c>
      <c r="D151" s="3">
        <v>2.4</v>
      </c>
      <c r="E151" s="3">
        <v>17.600000000000001</v>
      </c>
      <c r="F151" s="3">
        <v>2.4</v>
      </c>
      <c r="G151" s="3">
        <v>10.4</v>
      </c>
      <c r="H151" s="3">
        <v>384</v>
      </c>
      <c r="I151" s="3">
        <v>1.2</v>
      </c>
    </row>
    <row r="152" spans="2:11" x14ac:dyDescent="0.25">
      <c r="B152" s="2" t="s">
        <v>2012</v>
      </c>
      <c r="C152" s="2" t="s">
        <v>2013</v>
      </c>
      <c r="D152" s="3">
        <v>1.6</v>
      </c>
      <c r="E152" s="3">
        <v>10.4</v>
      </c>
      <c r="F152" s="3">
        <v>3.2</v>
      </c>
      <c r="G152" s="3">
        <v>7.2</v>
      </c>
      <c r="H152" s="3">
        <v>376</v>
      </c>
      <c r="I152" s="3">
        <v>0.4</v>
      </c>
    </row>
    <row r="153" spans="2:11" x14ac:dyDescent="0.25">
      <c r="B153" s="2" t="s">
        <v>2014</v>
      </c>
      <c r="C153" s="2" t="s">
        <v>2015</v>
      </c>
      <c r="D153" s="3">
        <v>1.6</v>
      </c>
      <c r="E153" s="3">
        <v>10.4</v>
      </c>
      <c r="F153" s="3">
        <v>3.2</v>
      </c>
      <c r="G153" s="3">
        <v>7.2</v>
      </c>
      <c r="H153" s="3">
        <v>376</v>
      </c>
      <c r="I153" s="3">
        <v>0.38500000000000001</v>
      </c>
    </row>
    <row r="154" spans="2:11" x14ac:dyDescent="0.25">
      <c r="B154" s="2" t="s">
        <v>2016</v>
      </c>
      <c r="C154" s="2" t="s">
        <v>2017</v>
      </c>
      <c r="D154" s="3">
        <v>2.4</v>
      </c>
      <c r="E154" s="3">
        <v>10.4</v>
      </c>
      <c r="F154" s="3">
        <v>2.4</v>
      </c>
      <c r="G154" s="3">
        <v>8</v>
      </c>
      <c r="H154" s="3">
        <v>288</v>
      </c>
      <c r="I154" s="3">
        <v>0.8</v>
      </c>
    </row>
    <row r="155" spans="2:11" x14ac:dyDescent="0.25">
      <c r="B155" s="2" t="s">
        <v>2018</v>
      </c>
      <c r="C155" s="2" t="s">
        <v>2019</v>
      </c>
      <c r="D155" s="3">
        <v>1.54</v>
      </c>
      <c r="E155" s="3">
        <v>10</v>
      </c>
      <c r="F155" s="3">
        <v>2.2999999999999998</v>
      </c>
      <c r="G155" s="3">
        <v>6.92</v>
      </c>
      <c r="H155" s="3">
        <v>354</v>
      </c>
      <c r="I155" s="3">
        <v>0</v>
      </c>
    </row>
    <row r="156" spans="2:11" x14ac:dyDescent="0.25">
      <c r="B156" s="2" t="s">
        <v>2020</v>
      </c>
      <c r="C156" s="2" t="s">
        <v>2021</v>
      </c>
      <c r="D156" s="3">
        <v>2.31</v>
      </c>
      <c r="E156" s="3">
        <v>10</v>
      </c>
      <c r="F156" s="3">
        <v>2.2999999999999998</v>
      </c>
      <c r="G156" s="3">
        <v>7.69</v>
      </c>
      <c r="H156" s="3">
        <v>369</v>
      </c>
      <c r="I156" s="3">
        <v>0.38500000000000001</v>
      </c>
    </row>
    <row r="157" spans="2:11" x14ac:dyDescent="0.25">
      <c r="B157" s="2" t="s">
        <v>2022</v>
      </c>
      <c r="C157" s="2" t="s">
        <v>2023</v>
      </c>
      <c r="D157" s="3">
        <v>1.6</v>
      </c>
      <c r="E157" s="3">
        <v>10.4</v>
      </c>
      <c r="F157" s="3">
        <v>2.4</v>
      </c>
      <c r="G157" s="3">
        <v>7.2</v>
      </c>
      <c r="H157" s="3">
        <v>288</v>
      </c>
      <c r="I157" s="3">
        <v>0</v>
      </c>
    </row>
    <row r="158" spans="2:11" x14ac:dyDescent="0.25">
      <c r="B158" s="2" t="s">
        <v>2024</v>
      </c>
      <c r="C158" s="2" t="s">
        <v>2025</v>
      </c>
      <c r="D158" s="3">
        <v>1.6</v>
      </c>
      <c r="E158" s="3">
        <v>9.6</v>
      </c>
      <c r="F158" s="3">
        <v>2.4</v>
      </c>
      <c r="G158" s="3">
        <v>7.2</v>
      </c>
      <c r="H158" s="3">
        <v>336</v>
      </c>
      <c r="I158" s="3">
        <v>0</v>
      </c>
    </row>
    <row r="159" spans="2:11" x14ac:dyDescent="0.25">
      <c r="B159" s="2" t="s">
        <v>2026</v>
      </c>
      <c r="C159" s="2" t="s">
        <v>2027</v>
      </c>
      <c r="D159" s="3">
        <v>1.54</v>
      </c>
      <c r="E159" s="3">
        <v>13.85</v>
      </c>
      <c r="F159" s="3">
        <v>2.2999999999999998</v>
      </c>
      <c r="G159" s="3">
        <v>9.23</v>
      </c>
      <c r="H159" s="3">
        <v>408</v>
      </c>
      <c r="I159" s="3">
        <v>0.76900000000000002</v>
      </c>
    </row>
    <row r="160" spans="2:11" x14ac:dyDescent="0.25">
      <c r="B160" s="2" t="s">
        <v>2028</v>
      </c>
      <c r="C160" s="2" t="s">
        <v>2029</v>
      </c>
      <c r="D160" s="3">
        <v>4.08</v>
      </c>
      <c r="E160" s="3">
        <v>8.57</v>
      </c>
      <c r="F160" s="3">
        <v>2</v>
      </c>
      <c r="G160" s="3">
        <v>1.22</v>
      </c>
      <c r="H160" s="3">
        <v>367</v>
      </c>
      <c r="I160" s="3">
        <v>0.61199999999999999</v>
      </c>
    </row>
    <row r="161" spans="2:11" x14ac:dyDescent="0.25">
      <c r="B161" s="2" t="s">
        <v>2030</v>
      </c>
      <c r="C161" s="2" t="s">
        <v>2031</v>
      </c>
      <c r="D161" s="3">
        <v>3.27</v>
      </c>
      <c r="E161" s="3">
        <v>7.35</v>
      </c>
      <c r="F161" s="3">
        <v>1.2</v>
      </c>
      <c r="G161" s="3">
        <v>0.82</v>
      </c>
      <c r="H161" s="3">
        <v>363</v>
      </c>
      <c r="I161" s="3">
        <v>0.81599999999999995</v>
      </c>
    </row>
    <row r="162" spans="2:11" x14ac:dyDescent="0.25">
      <c r="B162" s="2" t="s">
        <v>2032</v>
      </c>
      <c r="C162" s="2" t="s">
        <v>2033</v>
      </c>
      <c r="D162" s="3">
        <v>2.36</v>
      </c>
      <c r="E162" s="3">
        <v>5.76</v>
      </c>
      <c r="F162" s="3">
        <v>0.3</v>
      </c>
      <c r="G162" s="3">
        <v>2.82</v>
      </c>
      <c r="H162" s="3">
        <v>357</v>
      </c>
      <c r="I162" s="3">
        <v>1.1160000000000001</v>
      </c>
      <c r="J162" s="3">
        <v>0.877</v>
      </c>
      <c r="K162" s="3">
        <v>1.4350000000000001</v>
      </c>
    </row>
    <row r="163" spans="2:11" x14ac:dyDescent="0.25">
      <c r="B163" s="2" t="s">
        <v>2034</v>
      </c>
      <c r="C163" s="2" t="s">
        <v>2035</v>
      </c>
      <c r="D163" s="3">
        <v>2.4500000000000002</v>
      </c>
      <c r="E163" s="3">
        <v>5.71</v>
      </c>
      <c r="F163" s="3">
        <v>0.8</v>
      </c>
      <c r="G163" s="3">
        <v>1.22</v>
      </c>
      <c r="H163" s="3">
        <v>322</v>
      </c>
      <c r="I163" s="3">
        <v>0.40799999999999997</v>
      </c>
    </row>
    <row r="164" spans="2:11" x14ac:dyDescent="0.25">
      <c r="B164" s="2" t="s">
        <v>2036</v>
      </c>
      <c r="C164" s="2" t="s">
        <v>2037</v>
      </c>
      <c r="D164" s="3">
        <v>2.86</v>
      </c>
      <c r="E164" s="3">
        <v>7.35</v>
      </c>
      <c r="F164" s="3">
        <v>0.4</v>
      </c>
      <c r="G164" s="3">
        <v>2.04</v>
      </c>
      <c r="H164" s="3">
        <v>318</v>
      </c>
      <c r="I164" s="3">
        <v>0.81599999999999995</v>
      </c>
    </row>
    <row r="165" spans="2:11" x14ac:dyDescent="0.25">
      <c r="B165" s="2" t="s">
        <v>2038</v>
      </c>
      <c r="C165" s="2" t="s">
        <v>2039</v>
      </c>
      <c r="D165" s="3">
        <v>2.74</v>
      </c>
      <c r="E165" s="3">
        <v>7.4</v>
      </c>
      <c r="F165" s="3">
        <v>0.3</v>
      </c>
      <c r="H165" s="3">
        <v>405</v>
      </c>
      <c r="I165" s="3">
        <v>1.63</v>
      </c>
      <c r="J165" s="3">
        <v>1.32</v>
      </c>
      <c r="K165" s="3">
        <v>0.64</v>
      </c>
    </row>
    <row r="166" spans="2:11" x14ac:dyDescent="0.25">
      <c r="B166" s="2" t="s">
        <v>2040</v>
      </c>
      <c r="C166" s="2" t="s">
        <v>2041</v>
      </c>
      <c r="D166" s="3">
        <v>2.5099999999999998</v>
      </c>
      <c r="E166" s="3">
        <v>3.99</v>
      </c>
      <c r="F166" s="3">
        <v>0</v>
      </c>
      <c r="H166" s="3">
        <v>425</v>
      </c>
      <c r="I166" s="3">
        <v>2.06</v>
      </c>
      <c r="J166" s="3">
        <v>0.85</v>
      </c>
      <c r="K166" s="3">
        <v>0.13</v>
      </c>
    </row>
    <row r="167" spans="2:11" x14ac:dyDescent="0.25">
      <c r="B167" s="2" t="s">
        <v>2042</v>
      </c>
      <c r="C167" s="2" t="s">
        <v>2043</v>
      </c>
      <c r="D167" s="3">
        <v>4.97</v>
      </c>
      <c r="E167" s="3">
        <v>12.69</v>
      </c>
      <c r="F167" s="3">
        <v>1.1000000000000001</v>
      </c>
      <c r="H167" s="3">
        <v>352</v>
      </c>
      <c r="I167" s="3">
        <v>1.58</v>
      </c>
      <c r="J167" s="3">
        <v>0.86</v>
      </c>
      <c r="K167" s="3">
        <v>0.21</v>
      </c>
    </row>
    <row r="168" spans="2:11" x14ac:dyDescent="0.25">
      <c r="B168" s="2" t="s">
        <v>2044</v>
      </c>
      <c r="C168" s="2" t="s">
        <v>2045</v>
      </c>
      <c r="D168" s="3">
        <v>2.4500000000000002</v>
      </c>
      <c r="E168" s="3">
        <v>6.94</v>
      </c>
      <c r="F168" s="3">
        <v>1.2</v>
      </c>
      <c r="G168" s="3">
        <v>0.41</v>
      </c>
      <c r="H168" s="3">
        <v>355</v>
      </c>
      <c r="I168" s="3">
        <v>1.02</v>
      </c>
    </row>
    <row r="169" spans="2:11" x14ac:dyDescent="0.25">
      <c r="B169" s="2" t="s">
        <v>2046</v>
      </c>
      <c r="C169" s="2" t="s">
        <v>2047</v>
      </c>
      <c r="D169" s="3">
        <v>2.86</v>
      </c>
      <c r="E169" s="3">
        <v>5.71</v>
      </c>
      <c r="F169" s="3">
        <v>1.2</v>
      </c>
      <c r="G169" s="3">
        <v>1.63</v>
      </c>
      <c r="H169" s="3">
        <v>359</v>
      </c>
      <c r="I169" s="3">
        <v>0.20399999999999999</v>
      </c>
    </row>
    <row r="170" spans="2:11" x14ac:dyDescent="0.25">
      <c r="B170" s="2" t="s">
        <v>2048</v>
      </c>
      <c r="C170" s="2" t="s">
        <v>2049</v>
      </c>
      <c r="D170" s="3">
        <v>3.27</v>
      </c>
      <c r="E170" s="3">
        <v>7.35</v>
      </c>
      <c r="F170" s="3">
        <v>1.2</v>
      </c>
      <c r="G170" s="3">
        <v>1.63</v>
      </c>
      <c r="H170" s="3">
        <v>327</v>
      </c>
      <c r="I170" s="3">
        <v>0.61199999999999999</v>
      </c>
    </row>
    <row r="171" spans="2:11" x14ac:dyDescent="0.25">
      <c r="B171" s="2" t="s">
        <v>2050</v>
      </c>
      <c r="C171" s="2" t="s">
        <v>2051</v>
      </c>
      <c r="D171" s="3">
        <v>2.33</v>
      </c>
      <c r="E171" s="3">
        <v>6.92</v>
      </c>
      <c r="F171" s="3">
        <v>0.2</v>
      </c>
      <c r="H171" s="3">
        <v>230</v>
      </c>
      <c r="I171" s="3">
        <v>1.52</v>
      </c>
      <c r="J171" s="3">
        <v>0.7</v>
      </c>
      <c r="K171" s="3">
        <v>0.23</v>
      </c>
    </row>
    <row r="172" spans="2:11" x14ac:dyDescent="0.25">
      <c r="B172" s="2" t="s">
        <v>2052</v>
      </c>
      <c r="C172" s="2" t="s">
        <v>2053</v>
      </c>
      <c r="D172" s="3">
        <v>2.78</v>
      </c>
      <c r="E172" s="3">
        <v>5.64</v>
      </c>
      <c r="F172" s="3">
        <v>0.1</v>
      </c>
      <c r="G172" s="3">
        <v>2.62</v>
      </c>
      <c r="H172" s="3">
        <v>354</v>
      </c>
      <c r="I172" s="3">
        <v>1.93</v>
      </c>
      <c r="J172" s="3">
        <v>1.147</v>
      </c>
      <c r="K172" s="3">
        <v>0.155</v>
      </c>
    </row>
    <row r="173" spans="2:11" x14ac:dyDescent="0.25">
      <c r="B173" s="2" t="s">
        <v>2054</v>
      </c>
      <c r="C173" s="2" t="s">
        <v>2055</v>
      </c>
      <c r="D173" s="3">
        <v>3.95</v>
      </c>
      <c r="E173" s="3">
        <v>8.2899999999999991</v>
      </c>
      <c r="F173" s="3">
        <v>0.1</v>
      </c>
      <c r="G173" s="3">
        <v>5.29</v>
      </c>
      <c r="H173" s="3">
        <v>184</v>
      </c>
      <c r="I173" s="3">
        <v>1.6</v>
      </c>
      <c r="J173" s="3">
        <v>0.65600000000000003</v>
      </c>
      <c r="K173" s="3">
        <v>0.112</v>
      </c>
    </row>
    <row r="174" spans="2:11" x14ac:dyDescent="0.25">
      <c r="B174" s="2" t="s">
        <v>2056</v>
      </c>
      <c r="C174" s="2" t="s">
        <v>2057</v>
      </c>
      <c r="D174" s="3">
        <v>1.84</v>
      </c>
      <c r="E174" s="3">
        <v>16.72</v>
      </c>
      <c r="F174" s="3">
        <v>0.4</v>
      </c>
      <c r="G174" s="3">
        <v>10.81</v>
      </c>
      <c r="H174" s="3">
        <v>347</v>
      </c>
      <c r="I174" s="3">
        <v>0.14399999999999999</v>
      </c>
      <c r="J174" s="3">
        <v>0.253</v>
      </c>
      <c r="K174" s="3">
        <v>0.11700000000000001</v>
      </c>
    </row>
    <row r="175" spans="2:11" x14ac:dyDescent="0.25">
      <c r="B175" s="2" t="s">
        <v>2058</v>
      </c>
      <c r="C175" s="2" t="s">
        <v>2059</v>
      </c>
      <c r="D175" s="3">
        <v>0.74</v>
      </c>
      <c r="E175" s="3">
        <v>40.770000000000003</v>
      </c>
      <c r="F175" s="3">
        <v>0.4</v>
      </c>
      <c r="G175" s="3">
        <v>32.26</v>
      </c>
      <c r="H175" s="3">
        <v>1242</v>
      </c>
      <c r="I175" s="3">
        <v>3.7999999999999999E-2</v>
      </c>
      <c r="J175" s="3">
        <v>9.1999999999999998E-2</v>
      </c>
      <c r="K175" s="3">
        <v>8.2000000000000003E-2</v>
      </c>
    </row>
    <row r="176" spans="2:11" x14ac:dyDescent="0.25">
      <c r="B176" s="2" t="s">
        <v>2060</v>
      </c>
      <c r="C176" s="2" t="s">
        <v>2061</v>
      </c>
      <c r="D176" s="3">
        <v>1.84</v>
      </c>
      <c r="E176" s="3">
        <v>11.28</v>
      </c>
      <c r="F176" s="3">
        <v>0.9</v>
      </c>
      <c r="G176" s="3">
        <v>0.23</v>
      </c>
      <c r="H176" s="3">
        <v>645</v>
      </c>
      <c r="I176" s="3">
        <v>0.52</v>
      </c>
      <c r="J176" s="3">
        <v>0.69</v>
      </c>
      <c r="K176" s="3">
        <v>0.37</v>
      </c>
    </row>
    <row r="177" spans="2:11" x14ac:dyDescent="0.25">
      <c r="B177" s="2" t="s">
        <v>2062</v>
      </c>
      <c r="C177" s="2" t="s">
        <v>2063</v>
      </c>
      <c r="D177" s="3">
        <v>2.38</v>
      </c>
      <c r="E177" s="3">
        <v>6.35</v>
      </c>
      <c r="F177" s="3">
        <v>0</v>
      </c>
      <c r="G177" s="3">
        <v>0.79</v>
      </c>
      <c r="H177" s="3">
        <v>690</v>
      </c>
      <c r="I177" s="3">
        <v>0.39700000000000002</v>
      </c>
      <c r="J177" s="3">
        <v>0.39700000000000002</v>
      </c>
      <c r="K177" s="3">
        <v>0</v>
      </c>
    </row>
    <row r="178" spans="2:11" x14ac:dyDescent="0.25">
      <c r="B178" s="2" t="s">
        <v>2064</v>
      </c>
      <c r="C178" s="2" t="s">
        <v>2065</v>
      </c>
      <c r="D178" s="3">
        <v>1.61</v>
      </c>
      <c r="E178" s="3">
        <v>7.26</v>
      </c>
      <c r="F178" s="3">
        <v>2.4</v>
      </c>
      <c r="G178" s="3">
        <v>1.61</v>
      </c>
      <c r="H178" s="3">
        <v>669</v>
      </c>
      <c r="I178" s="3">
        <v>1.613</v>
      </c>
      <c r="J178" s="3">
        <v>0.80600000000000005</v>
      </c>
      <c r="K178" s="3">
        <v>3.226</v>
      </c>
    </row>
    <row r="179" spans="2:11" x14ac:dyDescent="0.25">
      <c r="B179" s="2" t="s">
        <v>2066</v>
      </c>
      <c r="C179" s="2" t="s">
        <v>2067</v>
      </c>
      <c r="D179" s="3">
        <v>3.69</v>
      </c>
      <c r="E179" s="3">
        <v>5.2</v>
      </c>
      <c r="F179" s="3">
        <v>0.8</v>
      </c>
      <c r="G179" s="3">
        <v>0.56999999999999995</v>
      </c>
      <c r="H179" s="3">
        <v>195</v>
      </c>
      <c r="I179" s="3">
        <v>0.4</v>
      </c>
      <c r="J179" s="3">
        <v>0</v>
      </c>
      <c r="K179" s="3">
        <v>0.18</v>
      </c>
    </row>
    <row r="180" spans="2:11" x14ac:dyDescent="0.25">
      <c r="B180" s="2" t="s">
        <v>2068</v>
      </c>
      <c r="C180" s="2" t="s">
        <v>2069</v>
      </c>
      <c r="D180" s="3">
        <v>2.5299999999999998</v>
      </c>
      <c r="E180" s="3">
        <v>5.71</v>
      </c>
      <c r="F180" s="3">
        <v>0.8</v>
      </c>
      <c r="G180" s="3">
        <v>0.37</v>
      </c>
      <c r="H180" s="3">
        <v>181</v>
      </c>
      <c r="I180" s="3">
        <v>0.17</v>
      </c>
      <c r="J180" s="3">
        <v>0.23</v>
      </c>
      <c r="K180" s="3">
        <v>0.13</v>
      </c>
    </row>
    <row r="181" spans="2:11" x14ac:dyDescent="0.25">
      <c r="B181" s="2" t="s">
        <v>2070</v>
      </c>
      <c r="C181" s="2" t="s">
        <v>2071</v>
      </c>
      <c r="D181" s="3">
        <v>2.13</v>
      </c>
      <c r="E181" s="3">
        <v>10.039999999999999</v>
      </c>
      <c r="F181" s="3">
        <v>1.9</v>
      </c>
      <c r="G181" s="3">
        <v>2.13</v>
      </c>
      <c r="H181" s="3">
        <v>195</v>
      </c>
      <c r="I181" s="3">
        <v>0.05</v>
      </c>
      <c r="J181" s="3">
        <v>7.0000000000000007E-2</v>
      </c>
      <c r="K181" s="3">
        <v>0.08</v>
      </c>
    </row>
    <row r="182" spans="2:11" x14ac:dyDescent="0.25">
      <c r="B182" s="2" t="s">
        <v>2072</v>
      </c>
      <c r="C182" s="2" t="s">
        <v>2073</v>
      </c>
      <c r="D182" s="3">
        <v>1.69</v>
      </c>
      <c r="E182" s="3">
        <v>5.08</v>
      </c>
      <c r="F182" s="3">
        <v>0</v>
      </c>
      <c r="H182" s="3">
        <v>508</v>
      </c>
      <c r="I182" s="3">
        <v>0</v>
      </c>
    </row>
    <row r="183" spans="2:11" x14ac:dyDescent="0.25">
      <c r="B183" s="2" t="s">
        <v>2074</v>
      </c>
      <c r="C183" s="2" t="s">
        <v>2075</v>
      </c>
      <c r="D183" s="3">
        <v>1.69</v>
      </c>
      <c r="E183" s="3">
        <v>5.08</v>
      </c>
      <c r="F183" s="3">
        <v>0</v>
      </c>
      <c r="G183" s="3">
        <v>1.69</v>
      </c>
      <c r="H183" s="3">
        <v>322</v>
      </c>
      <c r="I183" s="3">
        <v>1.6950000000000001</v>
      </c>
    </row>
    <row r="184" spans="2:11" x14ac:dyDescent="0.25">
      <c r="B184" s="2" t="s">
        <v>2076</v>
      </c>
      <c r="C184" s="2" t="s">
        <v>2077</v>
      </c>
      <c r="D184" s="3">
        <v>3.39</v>
      </c>
      <c r="E184" s="3">
        <v>5.08</v>
      </c>
      <c r="F184" s="3">
        <v>0</v>
      </c>
      <c r="G184" s="3">
        <v>1.69</v>
      </c>
      <c r="H184" s="3">
        <v>458</v>
      </c>
      <c r="I184" s="3">
        <v>2.5419999999999998</v>
      </c>
    </row>
    <row r="185" spans="2:11" x14ac:dyDescent="0.25">
      <c r="B185" s="2" t="s">
        <v>2078</v>
      </c>
      <c r="C185" s="2" t="s">
        <v>2079</v>
      </c>
      <c r="D185" s="3">
        <v>1.69</v>
      </c>
      <c r="E185" s="3">
        <v>5.08</v>
      </c>
      <c r="H185" s="3">
        <v>525</v>
      </c>
      <c r="I185" s="3">
        <v>0</v>
      </c>
    </row>
    <row r="186" spans="2:11" x14ac:dyDescent="0.25">
      <c r="B186" s="2" t="s">
        <v>2080</v>
      </c>
      <c r="C186" s="2" t="s">
        <v>2081</v>
      </c>
      <c r="D186" s="3">
        <v>1.69</v>
      </c>
      <c r="E186" s="3">
        <v>5.08</v>
      </c>
      <c r="F186" s="3">
        <v>0</v>
      </c>
      <c r="G186" s="3">
        <v>1.69</v>
      </c>
      <c r="H186" s="3">
        <v>525</v>
      </c>
      <c r="I186" s="3">
        <v>2.5419999999999998</v>
      </c>
    </row>
    <row r="187" spans="2:11" x14ac:dyDescent="0.25">
      <c r="B187" s="2" t="s">
        <v>2082</v>
      </c>
      <c r="C187" s="2" t="s">
        <v>2083</v>
      </c>
      <c r="D187" s="3">
        <v>0</v>
      </c>
      <c r="E187" s="3">
        <v>5.08</v>
      </c>
      <c r="G187" s="3">
        <v>1.69</v>
      </c>
      <c r="H187" s="3">
        <v>475</v>
      </c>
      <c r="I187" s="3">
        <v>0</v>
      </c>
    </row>
    <row r="188" spans="2:11" x14ac:dyDescent="0.25">
      <c r="B188" s="2" t="s">
        <v>2084</v>
      </c>
      <c r="C188" s="2" t="s">
        <v>2085</v>
      </c>
      <c r="D188" s="3">
        <v>1.67</v>
      </c>
      <c r="E188" s="3">
        <v>6.67</v>
      </c>
      <c r="H188" s="3">
        <v>483</v>
      </c>
      <c r="I188" s="3">
        <v>0</v>
      </c>
    </row>
    <row r="189" spans="2:11" x14ac:dyDescent="0.25">
      <c r="B189" s="2" t="s">
        <v>2086</v>
      </c>
      <c r="C189" s="2" t="s">
        <v>2087</v>
      </c>
      <c r="D189" s="3">
        <v>1.69</v>
      </c>
      <c r="E189" s="3">
        <v>5.08</v>
      </c>
      <c r="F189" s="3">
        <v>0</v>
      </c>
      <c r="G189" s="3">
        <v>1.69</v>
      </c>
      <c r="H189" s="3">
        <v>475</v>
      </c>
      <c r="I189" s="3">
        <v>0.84699999999999998</v>
      </c>
    </row>
    <row r="190" spans="2:11" x14ac:dyDescent="0.25">
      <c r="B190" s="2" t="s">
        <v>2088</v>
      </c>
      <c r="C190" s="2" t="s">
        <v>2089</v>
      </c>
      <c r="D190" s="3">
        <v>0</v>
      </c>
      <c r="E190" s="3">
        <v>5</v>
      </c>
      <c r="F190" s="3">
        <v>0</v>
      </c>
      <c r="G190" s="3">
        <v>1.67</v>
      </c>
      <c r="H190" s="3">
        <v>433</v>
      </c>
      <c r="I190" s="3">
        <v>1.667</v>
      </c>
    </row>
    <row r="191" spans="2:11" x14ac:dyDescent="0.25">
      <c r="B191" s="2" t="s">
        <v>2090</v>
      </c>
      <c r="C191" s="2" t="s">
        <v>2091</v>
      </c>
      <c r="D191" s="3">
        <v>1.69</v>
      </c>
      <c r="E191" s="3">
        <v>5.08</v>
      </c>
      <c r="F191" s="3">
        <v>0</v>
      </c>
      <c r="G191" s="3">
        <v>1.69</v>
      </c>
      <c r="H191" s="3">
        <v>458</v>
      </c>
      <c r="I191" s="3">
        <v>0.84699999999999998</v>
      </c>
    </row>
    <row r="192" spans="2:11" x14ac:dyDescent="0.25">
      <c r="B192" s="2" t="s">
        <v>2092</v>
      </c>
      <c r="C192" s="2" t="s">
        <v>2093</v>
      </c>
      <c r="D192" s="3">
        <v>1.69</v>
      </c>
      <c r="E192" s="3">
        <v>5.08</v>
      </c>
      <c r="H192" s="3">
        <v>508</v>
      </c>
      <c r="I192" s="3">
        <v>0</v>
      </c>
    </row>
    <row r="193" spans="2:11" x14ac:dyDescent="0.25">
      <c r="B193" s="2" t="s">
        <v>2094</v>
      </c>
      <c r="C193" s="2" t="s">
        <v>2095</v>
      </c>
      <c r="D193" s="3">
        <v>1.69</v>
      </c>
      <c r="E193" s="3">
        <v>6.78</v>
      </c>
      <c r="H193" s="3">
        <v>424</v>
      </c>
      <c r="I193" s="3">
        <v>0</v>
      </c>
    </row>
    <row r="194" spans="2:11" x14ac:dyDescent="0.25">
      <c r="B194" s="2" t="s">
        <v>2096</v>
      </c>
      <c r="C194" s="2" t="s">
        <v>2097</v>
      </c>
      <c r="D194" s="3">
        <v>1.69</v>
      </c>
      <c r="E194" s="3">
        <v>5.08</v>
      </c>
      <c r="F194" s="3">
        <v>0</v>
      </c>
      <c r="G194" s="3">
        <v>0</v>
      </c>
      <c r="H194" s="3">
        <v>525</v>
      </c>
      <c r="I194" s="3">
        <v>0</v>
      </c>
    </row>
    <row r="195" spans="2:11" x14ac:dyDescent="0.25">
      <c r="B195" s="2" t="s">
        <v>2098</v>
      </c>
      <c r="C195" s="2" t="s">
        <v>2099</v>
      </c>
      <c r="D195" s="3">
        <v>1.69</v>
      </c>
      <c r="E195" s="3">
        <v>5.08</v>
      </c>
      <c r="H195" s="3">
        <v>407</v>
      </c>
      <c r="I195" s="3">
        <v>0</v>
      </c>
    </row>
    <row r="196" spans="2:11" x14ac:dyDescent="0.25">
      <c r="B196" s="2" t="s">
        <v>2100</v>
      </c>
      <c r="C196" s="2" t="s">
        <v>2101</v>
      </c>
      <c r="D196" s="3">
        <v>1.69</v>
      </c>
      <c r="E196" s="3">
        <v>6.78</v>
      </c>
      <c r="H196" s="3">
        <v>542</v>
      </c>
      <c r="I196" s="3">
        <v>0</v>
      </c>
    </row>
    <row r="197" spans="2:11" x14ac:dyDescent="0.25">
      <c r="B197" s="2" t="s">
        <v>2102</v>
      </c>
      <c r="C197" s="2" t="s">
        <v>2103</v>
      </c>
      <c r="D197" s="3">
        <v>1.67</v>
      </c>
      <c r="E197" s="3">
        <v>5</v>
      </c>
      <c r="F197" s="3">
        <v>0</v>
      </c>
      <c r="G197" s="3">
        <v>1.67</v>
      </c>
      <c r="H197" s="3">
        <v>450</v>
      </c>
      <c r="I197" s="3">
        <v>0.83299999999999996</v>
      </c>
    </row>
    <row r="198" spans="2:11" x14ac:dyDescent="0.25">
      <c r="B198" s="2" t="s">
        <v>2104</v>
      </c>
      <c r="C198" s="2" t="s">
        <v>2105</v>
      </c>
      <c r="D198" s="3">
        <v>1.61</v>
      </c>
      <c r="E198" s="3">
        <v>9.68</v>
      </c>
      <c r="F198" s="3">
        <v>0.8</v>
      </c>
      <c r="G198" s="3">
        <v>2.42</v>
      </c>
      <c r="H198" s="3">
        <v>605</v>
      </c>
      <c r="I198" s="3">
        <v>1.21</v>
      </c>
      <c r="J198" s="3">
        <v>0.80600000000000005</v>
      </c>
      <c r="K198" s="3">
        <v>2.016</v>
      </c>
    </row>
    <row r="199" spans="2:11" x14ac:dyDescent="0.25">
      <c r="B199" s="2" t="s">
        <v>2106</v>
      </c>
      <c r="C199" s="2" t="s">
        <v>2107</v>
      </c>
      <c r="D199" s="3">
        <v>0.81</v>
      </c>
      <c r="E199" s="3">
        <v>7.26</v>
      </c>
      <c r="F199" s="3">
        <v>2.4</v>
      </c>
      <c r="G199" s="3">
        <v>0.81</v>
      </c>
      <c r="H199" s="3">
        <v>516</v>
      </c>
      <c r="I199" s="3">
        <v>0.80600000000000005</v>
      </c>
      <c r="J199" s="3">
        <v>2.823</v>
      </c>
      <c r="K199" s="3">
        <v>1.21</v>
      </c>
    </row>
    <row r="200" spans="2:11" x14ac:dyDescent="0.25">
      <c r="B200" s="2" t="s">
        <v>2108</v>
      </c>
      <c r="C200" s="2" t="s">
        <v>2109</v>
      </c>
      <c r="D200" s="3">
        <v>1.76</v>
      </c>
      <c r="E200" s="3">
        <v>6.03</v>
      </c>
      <c r="F200" s="3">
        <v>4.0999999999999996</v>
      </c>
      <c r="G200" s="3">
        <v>0.33</v>
      </c>
      <c r="H200" s="3">
        <v>624</v>
      </c>
      <c r="I200" s="3">
        <v>2.11</v>
      </c>
      <c r="J200" s="3">
        <v>3.75</v>
      </c>
      <c r="K200" s="3">
        <v>1.74</v>
      </c>
    </row>
    <row r="201" spans="2:11" x14ac:dyDescent="0.25">
      <c r="B201" s="2" t="s">
        <v>2110</v>
      </c>
      <c r="C201" s="2" t="s">
        <v>2111</v>
      </c>
      <c r="D201" s="3">
        <v>1.61</v>
      </c>
      <c r="E201" s="3">
        <v>7.26</v>
      </c>
      <c r="F201" s="3">
        <v>0</v>
      </c>
      <c r="G201" s="3">
        <v>0.81</v>
      </c>
      <c r="H201" s="3">
        <v>645</v>
      </c>
      <c r="I201" s="3">
        <v>1.21</v>
      </c>
      <c r="J201" s="3">
        <v>1.21</v>
      </c>
      <c r="K201" s="3">
        <v>0.80600000000000005</v>
      </c>
    </row>
    <row r="202" spans="2:11" x14ac:dyDescent="0.25">
      <c r="B202" s="2" t="s">
        <v>2112</v>
      </c>
      <c r="C202" s="2" t="s">
        <v>2113</v>
      </c>
      <c r="D202" s="3">
        <v>1.29</v>
      </c>
      <c r="E202" s="3">
        <v>6.59</v>
      </c>
      <c r="F202" s="3">
        <v>0.6</v>
      </c>
      <c r="G202" s="3">
        <v>0.4</v>
      </c>
      <c r="H202" s="3">
        <v>697</v>
      </c>
      <c r="I202" s="3">
        <v>0.95099999999999996</v>
      </c>
      <c r="J202" s="3">
        <v>1.284</v>
      </c>
      <c r="K202" s="3">
        <v>3.1549999999999998</v>
      </c>
    </row>
    <row r="203" spans="2:11" x14ac:dyDescent="0.25">
      <c r="B203" s="2" t="s">
        <v>2114</v>
      </c>
      <c r="C203" s="2" t="s">
        <v>2115</v>
      </c>
      <c r="D203" s="3">
        <v>1.61</v>
      </c>
      <c r="E203" s="3">
        <v>8.06</v>
      </c>
      <c r="F203" s="3">
        <v>1.6</v>
      </c>
      <c r="G203" s="3">
        <v>0.81</v>
      </c>
      <c r="H203" s="3">
        <v>387</v>
      </c>
      <c r="I203" s="3">
        <v>0.80600000000000005</v>
      </c>
      <c r="J203" s="3">
        <v>0.40300000000000002</v>
      </c>
      <c r="K203" s="3">
        <v>0.80600000000000005</v>
      </c>
    </row>
    <row r="204" spans="2:11" x14ac:dyDescent="0.25">
      <c r="B204" s="2" t="s">
        <v>2116</v>
      </c>
      <c r="C204" s="2" t="s">
        <v>2117</v>
      </c>
      <c r="D204" s="3">
        <v>0.81</v>
      </c>
      <c r="E204" s="3">
        <v>8.06</v>
      </c>
      <c r="F204" s="3">
        <v>2.4</v>
      </c>
      <c r="G204" s="3">
        <v>3.23</v>
      </c>
      <c r="H204" s="3">
        <v>645</v>
      </c>
      <c r="I204" s="3">
        <v>1.21</v>
      </c>
      <c r="J204" s="3">
        <v>1.21</v>
      </c>
      <c r="K204" s="3">
        <v>2.419</v>
      </c>
    </row>
    <row r="205" spans="2:11" x14ac:dyDescent="0.25">
      <c r="B205" s="2" t="s">
        <v>2118</v>
      </c>
      <c r="C205" s="2" t="s">
        <v>2119</v>
      </c>
      <c r="D205" s="3">
        <v>1.51</v>
      </c>
      <c r="E205" s="3">
        <v>13.25</v>
      </c>
      <c r="F205" s="3">
        <v>1.3</v>
      </c>
      <c r="G205" s="3">
        <v>1.44</v>
      </c>
      <c r="H205" s="3">
        <v>604</v>
      </c>
      <c r="I205" s="3">
        <v>0.34</v>
      </c>
      <c r="J205" s="3">
        <v>0.28000000000000003</v>
      </c>
      <c r="K205" s="3">
        <v>0.63</v>
      </c>
    </row>
    <row r="206" spans="2:11" x14ac:dyDescent="0.25">
      <c r="B206" s="2" t="s">
        <v>2120</v>
      </c>
      <c r="C206" s="2" t="s">
        <v>2121</v>
      </c>
      <c r="D206" s="3">
        <v>2.42</v>
      </c>
      <c r="E206" s="3">
        <v>6.45</v>
      </c>
      <c r="F206" s="3">
        <v>0</v>
      </c>
      <c r="G206" s="3">
        <v>0</v>
      </c>
      <c r="H206" s="3">
        <v>694</v>
      </c>
      <c r="I206" s="3">
        <v>1.613</v>
      </c>
      <c r="J206" s="3">
        <v>0.80600000000000005</v>
      </c>
      <c r="K206" s="3">
        <v>2.419</v>
      </c>
    </row>
    <row r="207" spans="2:11" x14ac:dyDescent="0.25">
      <c r="B207" s="2" t="s">
        <v>2122</v>
      </c>
      <c r="C207" s="2" t="s">
        <v>2123</v>
      </c>
      <c r="D207" s="3">
        <v>3.23</v>
      </c>
      <c r="E207" s="3">
        <v>8.8699999999999992</v>
      </c>
      <c r="F207" s="3">
        <v>3.2</v>
      </c>
      <c r="G207" s="3">
        <v>0.81</v>
      </c>
      <c r="H207" s="3">
        <v>702</v>
      </c>
      <c r="I207" s="3">
        <v>1.21</v>
      </c>
      <c r="J207" s="3">
        <v>1.21</v>
      </c>
      <c r="K207" s="3">
        <v>2.419</v>
      </c>
    </row>
    <row r="208" spans="2:11" x14ac:dyDescent="0.25">
      <c r="B208" s="2" t="s">
        <v>2124</v>
      </c>
      <c r="C208" s="2" t="s">
        <v>2125</v>
      </c>
      <c r="D208" s="3">
        <v>2.38</v>
      </c>
      <c r="E208" s="3">
        <v>8.73</v>
      </c>
      <c r="F208" s="3">
        <v>0.8</v>
      </c>
      <c r="G208" s="3">
        <v>0.79</v>
      </c>
      <c r="H208" s="3">
        <v>627</v>
      </c>
      <c r="I208" s="3">
        <v>0.39700000000000002</v>
      </c>
      <c r="J208" s="3">
        <v>0.79400000000000004</v>
      </c>
      <c r="K208" s="3">
        <v>0.39700000000000002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BF12-1A36-3F40-912B-DD1F7122612C}">
  <sheetPr codeName="Sheet9"/>
  <dimension ref="A1:K165"/>
  <sheetViews>
    <sheetView topLeftCell="A118" workbookViewId="0">
      <selection activeCell="H36" sqref="H36"/>
    </sheetView>
  </sheetViews>
  <sheetFormatPr defaultColWidth="11" defaultRowHeight="15.75" x14ac:dyDescent="0.25"/>
  <cols>
    <col min="3" max="3" width="56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07001</v>
      </c>
      <c r="C3" s="10" t="str" cm="1">
        <f t="array" ref="C3">INDEX($B$11:$K$208, $A$3, C1)</f>
        <v>BARBECUE LOAF,PORK,BEEF</v>
      </c>
      <c r="D3" s="10" cm="1">
        <f t="array" ref="D3">INDEX($B$11:$K$74, $A$3, D1)</f>
        <v>15.84</v>
      </c>
      <c r="E3" s="10" cm="1">
        <f t="array" ref="E3">INDEX($B$11:$K$74, $A$3, E1)</f>
        <v>6.4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1334</v>
      </c>
      <c r="I3" s="10" cm="1">
        <f t="array" ref="I3">INDEX($B$11:$K$74, $A$3, I1)</f>
        <v>3.17</v>
      </c>
      <c r="J3" s="10" cm="1">
        <f t="array" ref="J3">INDEX($B$11:$K$74, $A$3, J1)</f>
        <v>4.1399999999999997</v>
      </c>
      <c r="K3" s="10" cm="1">
        <f t="array" ref="K3">INDEX($B$11:$K$74, $A$3, K1)</f>
        <v>0.81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12.8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8.2799999999999994</v>
      </c>
      <c r="K6" s="10">
        <f>A7*K3</f>
        <v>1.62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2126</v>
      </c>
      <c r="C11" s="2" t="s">
        <v>2127</v>
      </c>
      <c r="D11" s="3">
        <v>15.84</v>
      </c>
      <c r="E11" s="3">
        <v>6.4</v>
      </c>
      <c r="F11" s="3">
        <v>0</v>
      </c>
      <c r="H11" s="3">
        <v>1334</v>
      </c>
      <c r="I11" s="3">
        <v>3.17</v>
      </c>
      <c r="J11" s="3">
        <v>4.1399999999999997</v>
      </c>
      <c r="K11" s="3">
        <v>0.81</v>
      </c>
    </row>
    <row r="12" spans="1:11" x14ac:dyDescent="0.25">
      <c r="B12" s="2" t="s">
        <v>2128</v>
      </c>
      <c r="C12" s="2" t="s">
        <v>2129</v>
      </c>
      <c r="D12" s="3">
        <v>14</v>
      </c>
      <c r="E12" s="3">
        <v>3.76</v>
      </c>
      <c r="F12" s="3">
        <v>0.9</v>
      </c>
      <c r="G12" s="3">
        <v>0</v>
      </c>
      <c r="H12" s="3">
        <v>881</v>
      </c>
      <c r="I12" s="3">
        <v>8.4380000000000006</v>
      </c>
      <c r="J12" s="3">
        <v>10.105</v>
      </c>
      <c r="K12" s="3">
        <v>2.08</v>
      </c>
    </row>
    <row r="13" spans="1:11" x14ac:dyDescent="0.25">
      <c r="B13" s="2" t="s">
        <v>2130</v>
      </c>
      <c r="C13" s="2" t="s">
        <v>2131</v>
      </c>
      <c r="D13" s="3">
        <v>14.24</v>
      </c>
      <c r="E13" s="3">
        <v>2.06</v>
      </c>
      <c r="F13" s="3">
        <v>0</v>
      </c>
      <c r="H13" s="3">
        <v>1240</v>
      </c>
      <c r="I13" s="3">
        <v>6.28</v>
      </c>
      <c r="J13" s="3">
        <v>8.98</v>
      </c>
      <c r="K13" s="3">
        <v>2.36</v>
      </c>
    </row>
    <row r="14" spans="1:11" x14ac:dyDescent="0.25">
      <c r="B14" s="2" t="s">
        <v>2132</v>
      </c>
      <c r="C14" s="2" t="s">
        <v>2133</v>
      </c>
      <c r="D14" s="3">
        <v>15.27</v>
      </c>
      <c r="E14" s="3">
        <v>2.59</v>
      </c>
      <c r="F14" s="3">
        <v>0</v>
      </c>
      <c r="G14" s="3">
        <v>2.35</v>
      </c>
      <c r="H14" s="3">
        <v>1297</v>
      </c>
      <c r="I14" s="3">
        <v>6.08</v>
      </c>
      <c r="J14" s="3">
        <v>8</v>
      </c>
      <c r="K14" s="3">
        <v>1.58</v>
      </c>
    </row>
    <row r="15" spans="1:11" x14ac:dyDescent="0.25">
      <c r="B15" s="2" t="s">
        <v>2134</v>
      </c>
      <c r="C15" s="2" t="s">
        <v>2135</v>
      </c>
      <c r="D15" s="3">
        <v>14.6</v>
      </c>
      <c r="E15" s="3">
        <v>1.29</v>
      </c>
      <c r="F15" s="3">
        <v>0</v>
      </c>
      <c r="G15" s="3">
        <v>1.29</v>
      </c>
      <c r="H15" s="3">
        <v>680</v>
      </c>
      <c r="I15" s="3">
        <v>13.4</v>
      </c>
      <c r="J15" s="3">
        <v>15.9</v>
      </c>
      <c r="K15" s="3">
        <v>3.46</v>
      </c>
    </row>
    <row r="16" spans="1:11" x14ac:dyDescent="0.25">
      <c r="B16" s="2" t="s">
        <v>2136</v>
      </c>
      <c r="C16" s="2" t="s">
        <v>2137</v>
      </c>
      <c r="D16" s="3">
        <v>14.03</v>
      </c>
      <c r="E16" s="3">
        <v>2.95</v>
      </c>
      <c r="F16" s="3">
        <v>1</v>
      </c>
      <c r="G16" s="3">
        <v>1.33</v>
      </c>
      <c r="H16" s="3">
        <v>756</v>
      </c>
      <c r="I16" s="3">
        <v>10.256</v>
      </c>
      <c r="J16" s="3">
        <v>13.138</v>
      </c>
      <c r="K16" s="3">
        <v>2.3279999999999998</v>
      </c>
    </row>
    <row r="17" spans="2:11" x14ac:dyDescent="0.25">
      <c r="B17" s="2" t="s">
        <v>2138</v>
      </c>
      <c r="C17" s="2" t="s">
        <v>2139</v>
      </c>
      <c r="D17" s="3">
        <v>10.91</v>
      </c>
      <c r="E17" s="3">
        <v>4.29</v>
      </c>
      <c r="F17" s="3">
        <v>0</v>
      </c>
      <c r="G17" s="3">
        <v>2.0499999999999998</v>
      </c>
      <c r="H17" s="3">
        <v>1013</v>
      </c>
      <c r="I17" s="3">
        <v>10.487</v>
      </c>
      <c r="J17" s="3">
        <v>12.198</v>
      </c>
      <c r="K17" s="3">
        <v>1.1819999999999999</v>
      </c>
    </row>
    <row r="18" spans="2:11" x14ac:dyDescent="0.25">
      <c r="B18" s="2" t="s">
        <v>2140</v>
      </c>
      <c r="C18" s="2" t="s">
        <v>2141</v>
      </c>
      <c r="D18" s="3">
        <v>15.2</v>
      </c>
      <c r="E18" s="3">
        <v>5.49</v>
      </c>
      <c r="F18" s="3">
        <v>0</v>
      </c>
      <c r="G18" s="3">
        <v>4.42</v>
      </c>
      <c r="H18" s="3">
        <v>960</v>
      </c>
      <c r="I18" s="3">
        <v>9.3010000000000002</v>
      </c>
      <c r="J18" s="3">
        <v>10.526</v>
      </c>
      <c r="K18" s="3">
        <v>1.1200000000000001</v>
      </c>
    </row>
    <row r="19" spans="2:11" x14ac:dyDescent="0.25">
      <c r="B19" s="2" t="s">
        <v>2142</v>
      </c>
      <c r="C19" s="2" t="s">
        <v>2143</v>
      </c>
      <c r="D19" s="3">
        <v>15.3</v>
      </c>
      <c r="E19" s="3">
        <v>0.73</v>
      </c>
      <c r="F19" s="3">
        <v>0</v>
      </c>
      <c r="G19" s="3">
        <v>0</v>
      </c>
      <c r="H19" s="3">
        <v>907</v>
      </c>
      <c r="I19" s="3">
        <v>6.8390000000000004</v>
      </c>
      <c r="J19" s="3">
        <v>9.7319999999999993</v>
      </c>
      <c r="K19" s="3">
        <v>2.1070000000000002</v>
      </c>
    </row>
    <row r="20" spans="2:11" x14ac:dyDescent="0.25">
      <c r="B20" s="2" t="s">
        <v>2144</v>
      </c>
      <c r="C20" s="2" t="s">
        <v>2145</v>
      </c>
      <c r="D20" s="3">
        <v>11.42</v>
      </c>
      <c r="E20" s="3">
        <v>4.68</v>
      </c>
      <c r="F20" s="3">
        <v>0.5</v>
      </c>
      <c r="G20" s="3">
        <v>2.9</v>
      </c>
      <c r="H20" s="3">
        <v>1071</v>
      </c>
      <c r="I20" s="3">
        <v>4.3550000000000004</v>
      </c>
      <c r="J20" s="3">
        <v>6.8360000000000003</v>
      </c>
      <c r="K20" s="3">
        <v>3.8540000000000001</v>
      </c>
    </row>
    <row r="21" spans="2:11" x14ac:dyDescent="0.25">
      <c r="B21" s="2" t="s">
        <v>2146</v>
      </c>
      <c r="C21" s="2" t="s">
        <v>2147</v>
      </c>
      <c r="D21" s="3">
        <v>13.72</v>
      </c>
      <c r="E21" s="3">
        <v>2.85</v>
      </c>
      <c r="F21" s="3">
        <v>0</v>
      </c>
      <c r="G21" s="3">
        <v>0</v>
      </c>
      <c r="H21" s="3">
        <v>846</v>
      </c>
      <c r="I21" s="3">
        <v>9.9979999999999993</v>
      </c>
      <c r="J21" s="3">
        <v>14.692</v>
      </c>
      <c r="K21" s="3">
        <v>2.6320000000000001</v>
      </c>
    </row>
    <row r="22" spans="2:11" x14ac:dyDescent="0.25">
      <c r="B22" s="2" t="s">
        <v>2148</v>
      </c>
      <c r="C22" s="2" t="s">
        <v>2149</v>
      </c>
      <c r="D22" s="3">
        <v>14.5</v>
      </c>
      <c r="E22" s="3">
        <v>3.1</v>
      </c>
      <c r="F22" s="3">
        <v>0</v>
      </c>
      <c r="G22" s="3">
        <v>0</v>
      </c>
      <c r="H22" s="3">
        <v>977</v>
      </c>
      <c r="I22" s="3">
        <v>9.3070000000000004</v>
      </c>
      <c r="J22" s="3">
        <v>12.731</v>
      </c>
      <c r="K22" s="3">
        <v>3.1930000000000001</v>
      </c>
    </row>
    <row r="23" spans="2:11" x14ac:dyDescent="0.25">
      <c r="B23" s="2" t="s">
        <v>2150</v>
      </c>
      <c r="C23" s="2" t="s">
        <v>2151</v>
      </c>
      <c r="D23" s="3">
        <v>14.3</v>
      </c>
      <c r="E23" s="3">
        <v>2.98</v>
      </c>
      <c r="F23" s="3">
        <v>0</v>
      </c>
      <c r="G23" s="3">
        <v>2.98</v>
      </c>
      <c r="H23" s="3">
        <v>1112</v>
      </c>
      <c r="I23" s="3">
        <v>9.93</v>
      </c>
      <c r="J23" s="3">
        <v>13.34</v>
      </c>
      <c r="K23" s="3">
        <v>2.83</v>
      </c>
    </row>
    <row r="24" spans="2:11" x14ac:dyDescent="0.25">
      <c r="B24" s="2" t="s">
        <v>2152</v>
      </c>
      <c r="C24" s="2" t="s">
        <v>2153</v>
      </c>
      <c r="D24" s="3">
        <v>14.1</v>
      </c>
      <c r="E24" s="3">
        <v>1.51</v>
      </c>
      <c r="F24" s="3">
        <v>0</v>
      </c>
      <c r="G24" s="3">
        <v>1.51</v>
      </c>
      <c r="H24" s="3">
        <v>1082</v>
      </c>
      <c r="I24" s="3">
        <v>10.47</v>
      </c>
      <c r="J24" s="3">
        <v>13.64</v>
      </c>
      <c r="K24" s="3">
        <v>3.02</v>
      </c>
    </row>
    <row r="25" spans="2:11" x14ac:dyDescent="0.25">
      <c r="B25" s="2" t="s">
        <v>2154</v>
      </c>
      <c r="C25" s="2" t="s">
        <v>2155</v>
      </c>
      <c r="D25" s="3">
        <v>18.010000000000002</v>
      </c>
      <c r="E25" s="3">
        <v>4.05</v>
      </c>
      <c r="F25" s="3">
        <v>0.3</v>
      </c>
      <c r="G25" s="3">
        <v>0.47</v>
      </c>
      <c r="H25" s="3">
        <v>722</v>
      </c>
      <c r="I25" s="3">
        <v>3.23</v>
      </c>
      <c r="J25" s="3">
        <v>4.8</v>
      </c>
      <c r="K25" s="3">
        <v>2.35</v>
      </c>
    </row>
    <row r="26" spans="2:11" x14ac:dyDescent="0.25">
      <c r="B26" s="2" t="s">
        <v>2156</v>
      </c>
      <c r="C26" s="2" t="s">
        <v>2157</v>
      </c>
      <c r="D26" s="3">
        <v>24.1</v>
      </c>
      <c r="E26" s="3">
        <v>1.86</v>
      </c>
      <c r="F26" s="3">
        <v>0</v>
      </c>
      <c r="G26" s="3">
        <v>0</v>
      </c>
      <c r="H26" s="3">
        <v>1235</v>
      </c>
      <c r="I26" s="3">
        <v>14.38</v>
      </c>
      <c r="J26" s="3">
        <v>18.399999999999999</v>
      </c>
      <c r="K26" s="3">
        <v>3.46</v>
      </c>
    </row>
    <row r="27" spans="2:11" x14ac:dyDescent="0.25">
      <c r="B27" s="2" t="s">
        <v>2158</v>
      </c>
      <c r="C27" s="2" t="s">
        <v>2159</v>
      </c>
      <c r="D27" s="3">
        <v>22.9</v>
      </c>
      <c r="E27" s="3">
        <v>0</v>
      </c>
      <c r="F27" s="3">
        <v>0</v>
      </c>
      <c r="H27" s="3">
        <v>953</v>
      </c>
      <c r="I27" s="3">
        <v>2.6</v>
      </c>
      <c r="J27" s="3">
        <v>2.68</v>
      </c>
      <c r="K27" s="3">
        <v>0.32</v>
      </c>
    </row>
    <row r="28" spans="2:11" x14ac:dyDescent="0.25">
      <c r="B28" s="2" t="s">
        <v>2160</v>
      </c>
      <c r="C28" s="2" t="s">
        <v>2161</v>
      </c>
      <c r="D28" s="3">
        <v>12</v>
      </c>
      <c r="E28" s="3">
        <v>3.93</v>
      </c>
      <c r="F28" s="3">
        <v>0.3</v>
      </c>
      <c r="G28" s="3">
        <v>0.9</v>
      </c>
      <c r="H28" s="3">
        <v>786</v>
      </c>
      <c r="I28" s="3">
        <v>8.8059999999999992</v>
      </c>
      <c r="J28" s="3">
        <v>11.132</v>
      </c>
      <c r="K28" s="3">
        <v>2.972</v>
      </c>
    </row>
    <row r="29" spans="2:11" x14ac:dyDescent="0.25">
      <c r="B29" s="2" t="s">
        <v>2162</v>
      </c>
      <c r="C29" s="2" t="s">
        <v>2163</v>
      </c>
      <c r="D29" s="3">
        <v>11.69</v>
      </c>
      <c r="E29" s="3">
        <v>2.97</v>
      </c>
      <c r="F29" s="3">
        <v>0</v>
      </c>
      <c r="G29" s="3">
        <v>1.17</v>
      </c>
      <c r="H29" s="3">
        <v>865</v>
      </c>
      <c r="I29" s="3">
        <v>11.46</v>
      </c>
      <c r="J29" s="3">
        <v>13.552</v>
      </c>
      <c r="K29" s="3">
        <v>1.0980000000000001</v>
      </c>
    </row>
    <row r="30" spans="2:11" x14ac:dyDescent="0.25">
      <c r="B30" s="2" t="s">
        <v>2164</v>
      </c>
      <c r="C30" s="2" t="s">
        <v>2165</v>
      </c>
      <c r="D30" s="3">
        <v>15.51</v>
      </c>
      <c r="E30" s="3">
        <v>2.74</v>
      </c>
      <c r="F30" s="3">
        <v>0</v>
      </c>
      <c r="G30" s="3">
        <v>2.98</v>
      </c>
      <c r="H30" s="3">
        <v>1027</v>
      </c>
      <c r="I30" s="3">
        <v>3.8559999999999999</v>
      </c>
      <c r="J30" s="3">
        <v>5.9320000000000004</v>
      </c>
      <c r="K30" s="3">
        <v>3.8730000000000002</v>
      </c>
    </row>
    <row r="31" spans="2:11" x14ac:dyDescent="0.25">
      <c r="B31" s="2" t="s">
        <v>2166</v>
      </c>
      <c r="C31" s="2" t="s">
        <v>2167</v>
      </c>
      <c r="D31" s="3">
        <v>12.23</v>
      </c>
      <c r="E31" s="3">
        <v>3.81</v>
      </c>
      <c r="F31" s="3">
        <v>0</v>
      </c>
      <c r="G31" s="3">
        <v>1.21</v>
      </c>
      <c r="H31" s="3">
        <v>911</v>
      </c>
      <c r="I31" s="3">
        <v>4.0279999999999996</v>
      </c>
      <c r="J31" s="3">
        <v>5.7359999999999998</v>
      </c>
      <c r="K31" s="3">
        <v>3.9489999999999998</v>
      </c>
    </row>
    <row r="32" spans="2:11" x14ac:dyDescent="0.25">
      <c r="B32" s="2" t="s">
        <v>2168</v>
      </c>
      <c r="C32" s="2" t="s">
        <v>2169</v>
      </c>
      <c r="D32" s="3">
        <v>16.059999999999999</v>
      </c>
      <c r="E32" s="3">
        <v>0.26</v>
      </c>
      <c r="F32" s="3">
        <v>0</v>
      </c>
      <c r="G32" s="3">
        <v>0</v>
      </c>
      <c r="H32" s="3">
        <v>1280</v>
      </c>
      <c r="I32" s="3">
        <v>6.2910000000000004</v>
      </c>
      <c r="J32" s="3">
        <v>9.1609999999999996</v>
      </c>
      <c r="K32" s="3">
        <v>2.06</v>
      </c>
    </row>
    <row r="33" spans="2:11" x14ac:dyDescent="0.25">
      <c r="B33" s="2" t="s">
        <v>2170</v>
      </c>
      <c r="C33" s="2" t="s">
        <v>2171</v>
      </c>
      <c r="D33" s="3">
        <v>16.5</v>
      </c>
      <c r="E33" s="3">
        <v>4.2</v>
      </c>
      <c r="F33" s="3">
        <v>0</v>
      </c>
      <c r="G33" s="3">
        <v>0</v>
      </c>
      <c r="H33" s="3">
        <v>1039</v>
      </c>
      <c r="I33" s="3">
        <v>3.4220000000000002</v>
      </c>
      <c r="J33" s="3">
        <v>4.8970000000000002</v>
      </c>
      <c r="K33" s="3">
        <v>1.26</v>
      </c>
    </row>
    <row r="34" spans="2:11" x14ac:dyDescent="0.25">
      <c r="B34" s="2" t="s">
        <v>2172</v>
      </c>
      <c r="C34" s="2" t="s">
        <v>2173</v>
      </c>
      <c r="D34" s="3">
        <v>16.850000000000001</v>
      </c>
      <c r="E34" s="3">
        <v>0.7</v>
      </c>
      <c r="F34" s="3">
        <v>0</v>
      </c>
      <c r="G34" s="3">
        <v>0</v>
      </c>
      <c r="H34" s="3">
        <v>945</v>
      </c>
      <c r="I34" s="3">
        <v>1.2270000000000001</v>
      </c>
      <c r="J34" s="3">
        <v>1.6180000000000001</v>
      </c>
      <c r="K34" s="3">
        <v>0.626</v>
      </c>
    </row>
    <row r="35" spans="2:11" x14ac:dyDescent="0.25">
      <c r="B35" s="2" t="s">
        <v>2174</v>
      </c>
      <c r="C35" s="2" t="s">
        <v>2175</v>
      </c>
      <c r="D35" s="3">
        <v>16.600000000000001</v>
      </c>
      <c r="E35" s="3">
        <v>3.83</v>
      </c>
      <c r="F35" s="3">
        <v>1.3</v>
      </c>
      <c r="G35" s="3">
        <v>0</v>
      </c>
      <c r="H35" s="3">
        <v>1143</v>
      </c>
      <c r="I35" s="3">
        <v>2.9359999999999999</v>
      </c>
      <c r="J35" s="3">
        <v>4.3540000000000001</v>
      </c>
      <c r="K35" s="3">
        <v>0.78900000000000003</v>
      </c>
    </row>
    <row r="36" spans="2:11" x14ac:dyDescent="0.25">
      <c r="B36" s="2" t="s">
        <v>2176</v>
      </c>
      <c r="C36" s="2" t="s">
        <v>2177</v>
      </c>
      <c r="D36" s="3">
        <v>16.28</v>
      </c>
      <c r="E36" s="3">
        <v>1.84</v>
      </c>
      <c r="F36" s="3">
        <v>0</v>
      </c>
      <c r="G36" s="3">
        <v>0</v>
      </c>
      <c r="H36" s="3">
        <v>1245</v>
      </c>
      <c r="I36" s="3">
        <v>7.181</v>
      </c>
      <c r="J36" s="3">
        <v>9.5809999999999995</v>
      </c>
      <c r="K36" s="3">
        <v>2.4700000000000002</v>
      </c>
    </row>
    <row r="37" spans="2:11" x14ac:dyDescent="0.25">
      <c r="B37" s="2" t="s">
        <v>2178</v>
      </c>
      <c r="C37" s="2" t="s">
        <v>2179</v>
      </c>
      <c r="D37" s="3">
        <v>8.68</v>
      </c>
      <c r="E37" s="3">
        <v>10.64</v>
      </c>
      <c r="F37" s="3">
        <v>0</v>
      </c>
      <c r="G37" s="3">
        <v>0</v>
      </c>
      <c r="H37" s="3">
        <v>1075</v>
      </c>
      <c r="I37" s="3">
        <v>5.0490000000000004</v>
      </c>
      <c r="J37" s="3">
        <v>7.1710000000000003</v>
      </c>
      <c r="K37" s="3">
        <v>2.6890000000000001</v>
      </c>
    </row>
    <row r="38" spans="2:11" x14ac:dyDescent="0.25">
      <c r="B38" s="2" t="s">
        <v>2180</v>
      </c>
      <c r="C38" s="2" t="s">
        <v>2181</v>
      </c>
      <c r="D38" s="3">
        <v>13.6</v>
      </c>
      <c r="E38" s="3">
        <v>4</v>
      </c>
      <c r="F38" s="3">
        <v>0</v>
      </c>
      <c r="G38" s="3">
        <v>0</v>
      </c>
      <c r="H38" s="3">
        <v>1000</v>
      </c>
      <c r="I38" s="3">
        <v>6.9660000000000002</v>
      </c>
      <c r="J38" s="3">
        <v>8.59</v>
      </c>
      <c r="K38" s="3">
        <v>2.0219999999999998</v>
      </c>
    </row>
    <row r="39" spans="2:11" x14ac:dyDescent="0.25">
      <c r="B39" s="2" t="s">
        <v>2182</v>
      </c>
      <c r="C39" s="2" t="s">
        <v>2183</v>
      </c>
      <c r="D39" s="3">
        <v>16.18</v>
      </c>
      <c r="E39" s="3">
        <v>2.2799999999999998</v>
      </c>
      <c r="F39" s="3">
        <v>0</v>
      </c>
      <c r="H39" s="3">
        <v>1197</v>
      </c>
      <c r="I39" s="3">
        <v>8.6199999999999992</v>
      </c>
      <c r="J39" s="3">
        <v>7.08</v>
      </c>
      <c r="K39" s="3">
        <v>1.38</v>
      </c>
    </row>
    <row r="40" spans="2:11" x14ac:dyDescent="0.25">
      <c r="B40" s="2" t="s">
        <v>2184</v>
      </c>
      <c r="C40" s="2" t="s">
        <v>2185</v>
      </c>
      <c r="D40" s="3">
        <v>13.83</v>
      </c>
      <c r="E40" s="3">
        <v>0</v>
      </c>
      <c r="F40" s="3">
        <v>0</v>
      </c>
      <c r="G40" s="3">
        <v>0</v>
      </c>
      <c r="H40" s="3">
        <v>941</v>
      </c>
      <c r="I40" s="3">
        <v>3.4020000000000001</v>
      </c>
      <c r="J40" s="3">
        <v>5.601</v>
      </c>
      <c r="K40" s="3">
        <v>1.1339999999999999</v>
      </c>
    </row>
    <row r="41" spans="2:11" x14ac:dyDescent="0.25">
      <c r="B41" s="2" t="s">
        <v>2186</v>
      </c>
      <c r="C41" s="2" t="s">
        <v>2187</v>
      </c>
      <c r="D41" s="3">
        <v>14.25</v>
      </c>
      <c r="E41" s="3">
        <v>0.65</v>
      </c>
      <c r="F41" s="3">
        <v>0</v>
      </c>
      <c r="H41" s="3">
        <v>731</v>
      </c>
      <c r="I41" s="3">
        <v>11.27</v>
      </c>
      <c r="J41" s="3">
        <v>14.34</v>
      </c>
      <c r="K41" s="3">
        <v>4.03</v>
      </c>
    </row>
    <row r="42" spans="2:11" x14ac:dyDescent="0.25">
      <c r="B42" s="2" t="s">
        <v>2188</v>
      </c>
      <c r="C42" s="2" t="s">
        <v>2189</v>
      </c>
      <c r="D42" s="3">
        <v>11.1</v>
      </c>
      <c r="E42" s="3">
        <v>3.2</v>
      </c>
      <c r="F42" s="3">
        <v>0</v>
      </c>
      <c r="G42" s="3">
        <v>0</v>
      </c>
      <c r="H42" s="3">
        <v>930</v>
      </c>
      <c r="I42" s="3">
        <v>10.210000000000001</v>
      </c>
      <c r="J42" s="3">
        <v>12.81</v>
      </c>
      <c r="K42" s="3">
        <v>2.92</v>
      </c>
    </row>
    <row r="43" spans="2:11" x14ac:dyDescent="0.25">
      <c r="B43" s="2" t="s">
        <v>2190</v>
      </c>
      <c r="C43" s="2" t="s">
        <v>2191</v>
      </c>
      <c r="D43" s="3">
        <v>19.03</v>
      </c>
      <c r="E43" s="3">
        <v>0.44</v>
      </c>
      <c r="F43" s="3">
        <v>0</v>
      </c>
      <c r="G43" s="3">
        <v>0</v>
      </c>
      <c r="H43" s="3">
        <v>1374</v>
      </c>
      <c r="I43" s="3">
        <v>2.794</v>
      </c>
      <c r="J43" s="3">
        <v>4.4359999999999999</v>
      </c>
      <c r="K43" s="3">
        <v>0.25800000000000001</v>
      </c>
    </row>
    <row r="44" spans="2:11" x14ac:dyDescent="0.25">
      <c r="B44" s="2" t="s">
        <v>2192</v>
      </c>
      <c r="C44" s="2" t="s">
        <v>2193</v>
      </c>
      <c r="D44" s="3">
        <v>15.2</v>
      </c>
      <c r="E44" s="3">
        <v>2.1</v>
      </c>
      <c r="F44" s="3">
        <v>0</v>
      </c>
      <c r="H44" s="3">
        <v>1225</v>
      </c>
      <c r="I44" s="3">
        <v>8.9600000000000009</v>
      </c>
      <c r="J44" s="3">
        <v>12.26</v>
      </c>
      <c r="K44" s="3">
        <v>3.42</v>
      </c>
    </row>
    <row r="45" spans="2:11" x14ac:dyDescent="0.25">
      <c r="B45" s="2" t="s">
        <v>2194</v>
      </c>
      <c r="C45" s="2" t="s">
        <v>2195</v>
      </c>
      <c r="D45" s="3">
        <v>14.1</v>
      </c>
      <c r="E45" s="3">
        <v>2.2000000000000002</v>
      </c>
      <c r="F45" s="3">
        <v>0</v>
      </c>
      <c r="H45" s="3">
        <v>860</v>
      </c>
      <c r="I45" s="3">
        <v>10.6</v>
      </c>
      <c r="J45" s="3">
        <v>13.34</v>
      </c>
      <c r="K45" s="3">
        <v>2.6</v>
      </c>
    </row>
    <row r="46" spans="2:11" x14ac:dyDescent="0.25">
      <c r="B46" s="2" t="s">
        <v>2196</v>
      </c>
      <c r="C46" s="2" t="s">
        <v>2197</v>
      </c>
      <c r="D46" s="3">
        <v>18.62</v>
      </c>
      <c r="E46" s="3">
        <v>0.64</v>
      </c>
      <c r="F46" s="3">
        <v>0</v>
      </c>
      <c r="G46" s="3">
        <v>0.28999999999999998</v>
      </c>
      <c r="H46" s="3">
        <v>853</v>
      </c>
      <c r="I46" s="3">
        <v>1.3180000000000001</v>
      </c>
      <c r="J46" s="3">
        <v>1.5209999999999999</v>
      </c>
      <c r="K46" s="3">
        <v>0.27</v>
      </c>
    </row>
    <row r="47" spans="2:11" x14ac:dyDescent="0.25">
      <c r="B47" s="2" t="s">
        <v>2198</v>
      </c>
      <c r="C47" s="2" t="s">
        <v>2199</v>
      </c>
      <c r="D47" s="3">
        <v>17.5</v>
      </c>
      <c r="E47" s="3">
        <v>1.04</v>
      </c>
      <c r="F47" s="3">
        <v>0</v>
      </c>
      <c r="G47" s="3">
        <v>0</v>
      </c>
      <c r="H47" s="3">
        <v>820</v>
      </c>
      <c r="I47" s="3">
        <v>3.944</v>
      </c>
      <c r="J47" s="3">
        <v>5.6849999999999996</v>
      </c>
      <c r="K47" s="3">
        <v>1.5649999999999999</v>
      </c>
    </row>
    <row r="48" spans="2:11" x14ac:dyDescent="0.25">
      <c r="B48" s="2" t="s">
        <v>2200</v>
      </c>
      <c r="C48" s="2" t="s">
        <v>2201</v>
      </c>
      <c r="D48" s="3">
        <v>12.5</v>
      </c>
      <c r="E48" s="3">
        <v>2.1</v>
      </c>
      <c r="F48" s="3">
        <v>0</v>
      </c>
      <c r="G48" s="3">
        <v>0</v>
      </c>
      <c r="H48" s="3">
        <v>1289</v>
      </c>
      <c r="I48" s="3">
        <v>10.79</v>
      </c>
      <c r="J48" s="3">
        <v>14.29</v>
      </c>
      <c r="K48" s="3">
        <v>3.56</v>
      </c>
    </row>
    <row r="49" spans="2:11" x14ac:dyDescent="0.25">
      <c r="B49" s="2" t="s">
        <v>2202</v>
      </c>
      <c r="C49" s="2" t="s">
        <v>2203</v>
      </c>
      <c r="D49" s="3">
        <v>21.81</v>
      </c>
      <c r="E49" s="3">
        <v>3.51</v>
      </c>
      <c r="F49" s="3">
        <v>0.5</v>
      </c>
      <c r="G49" s="3">
        <v>3.51</v>
      </c>
      <c r="H49" s="3">
        <v>772</v>
      </c>
      <c r="I49" s="3">
        <v>0.19700000000000001</v>
      </c>
      <c r="J49" s="3">
        <v>0.26100000000000001</v>
      </c>
      <c r="K49" s="3">
        <v>0.184</v>
      </c>
    </row>
    <row r="50" spans="2:11" x14ac:dyDescent="0.25">
      <c r="B50" s="2" t="s">
        <v>2204</v>
      </c>
      <c r="C50" s="2" t="s">
        <v>2205</v>
      </c>
      <c r="D50" s="3">
        <v>16.37</v>
      </c>
      <c r="E50" s="3">
        <v>3.05</v>
      </c>
      <c r="F50" s="3">
        <v>0</v>
      </c>
      <c r="G50" s="3">
        <v>0</v>
      </c>
      <c r="H50" s="3">
        <v>1246</v>
      </c>
      <c r="I50" s="3">
        <v>9.51</v>
      </c>
      <c r="J50" s="3">
        <v>11.38</v>
      </c>
      <c r="K50" s="3">
        <v>3.12</v>
      </c>
    </row>
    <row r="51" spans="2:11" x14ac:dyDescent="0.25">
      <c r="B51" s="2" t="s">
        <v>2206</v>
      </c>
      <c r="C51" s="2" t="s">
        <v>2207</v>
      </c>
      <c r="D51" s="3">
        <v>11.8</v>
      </c>
      <c r="E51" s="3">
        <v>9.1999999999999993</v>
      </c>
      <c r="F51" s="3">
        <v>0</v>
      </c>
      <c r="G51" s="3">
        <v>0</v>
      </c>
      <c r="H51" s="3">
        <v>964</v>
      </c>
      <c r="I51" s="3">
        <v>5.85</v>
      </c>
      <c r="J51" s="3">
        <v>7.87</v>
      </c>
      <c r="K51" s="3">
        <v>1.93</v>
      </c>
    </row>
    <row r="52" spans="2:11" x14ac:dyDescent="0.25">
      <c r="B52" s="2" t="s">
        <v>2208</v>
      </c>
      <c r="C52" s="2" t="s">
        <v>2209</v>
      </c>
      <c r="D52" s="3">
        <v>16.3</v>
      </c>
      <c r="E52" s="3">
        <v>3.34</v>
      </c>
      <c r="F52" s="3">
        <v>0.1</v>
      </c>
      <c r="G52" s="3">
        <v>3.34</v>
      </c>
      <c r="H52" s="3">
        <v>1123</v>
      </c>
      <c r="I52" s="3">
        <v>1.395</v>
      </c>
      <c r="J52" s="3">
        <v>1.93</v>
      </c>
      <c r="K52" s="3">
        <v>1.42</v>
      </c>
    </row>
    <row r="53" spans="2:11" x14ac:dyDescent="0.25">
      <c r="B53" s="2" t="s">
        <v>2210</v>
      </c>
      <c r="C53" s="2" t="s">
        <v>2211</v>
      </c>
      <c r="D53" s="3">
        <v>13.45</v>
      </c>
      <c r="E53" s="3">
        <v>6.55</v>
      </c>
      <c r="F53" s="3">
        <v>0</v>
      </c>
      <c r="G53" s="3">
        <v>0</v>
      </c>
      <c r="H53" s="3">
        <v>386</v>
      </c>
      <c r="I53" s="3">
        <v>4</v>
      </c>
      <c r="J53" s="3">
        <v>5.28</v>
      </c>
      <c r="K53" s="3">
        <v>2.46</v>
      </c>
    </row>
    <row r="54" spans="2:11" x14ac:dyDescent="0.25">
      <c r="B54" s="2" t="s">
        <v>2212</v>
      </c>
      <c r="C54" s="2" t="s">
        <v>2213</v>
      </c>
      <c r="D54" s="3">
        <v>11.4</v>
      </c>
      <c r="E54" s="3">
        <v>4.67</v>
      </c>
      <c r="F54" s="3">
        <v>0</v>
      </c>
      <c r="H54" s="3">
        <v>697</v>
      </c>
      <c r="I54" s="3">
        <v>14.45</v>
      </c>
      <c r="J54" s="3">
        <v>25.61</v>
      </c>
      <c r="K54" s="3">
        <v>0.84</v>
      </c>
    </row>
    <row r="55" spans="2:11" x14ac:dyDescent="0.25">
      <c r="B55" s="2" t="s">
        <v>2214</v>
      </c>
      <c r="C55" s="2" t="s">
        <v>2215</v>
      </c>
      <c r="D55" s="3">
        <v>14.2</v>
      </c>
      <c r="E55" s="3">
        <v>1.5</v>
      </c>
      <c r="F55" s="3">
        <v>0</v>
      </c>
      <c r="H55" s="3">
        <v>697</v>
      </c>
      <c r="I55" s="3">
        <v>9.57</v>
      </c>
      <c r="J55" s="3">
        <v>12.36</v>
      </c>
      <c r="K55" s="3">
        <v>3.16</v>
      </c>
    </row>
    <row r="56" spans="2:11" x14ac:dyDescent="0.25">
      <c r="B56" s="2" t="s">
        <v>2216</v>
      </c>
      <c r="C56" s="2" t="s">
        <v>2217</v>
      </c>
      <c r="D56" s="3">
        <v>17.3</v>
      </c>
      <c r="E56" s="3">
        <v>4.53</v>
      </c>
      <c r="F56" s="3">
        <v>0</v>
      </c>
      <c r="G56" s="3">
        <v>4.6100000000000003</v>
      </c>
      <c r="H56" s="3">
        <v>732</v>
      </c>
      <c r="I56" s="3">
        <v>2.2799999999999998</v>
      </c>
      <c r="J56" s="3">
        <v>3</v>
      </c>
      <c r="K56" s="3">
        <v>0.5</v>
      </c>
    </row>
    <row r="57" spans="2:11" x14ac:dyDescent="0.25">
      <c r="B57" s="2" t="s">
        <v>2218</v>
      </c>
      <c r="C57" s="2" t="s">
        <v>2219</v>
      </c>
      <c r="D57" s="3">
        <v>19.25</v>
      </c>
      <c r="E57" s="3">
        <v>1.18</v>
      </c>
      <c r="F57" s="3">
        <v>0</v>
      </c>
      <c r="G57" s="3">
        <v>0</v>
      </c>
      <c r="H57" s="3">
        <v>1582</v>
      </c>
      <c r="I57" s="3">
        <v>17.707999999999998</v>
      </c>
      <c r="J57" s="3">
        <v>20.77</v>
      </c>
      <c r="K57" s="3">
        <v>4.4580000000000002</v>
      </c>
    </row>
    <row r="58" spans="2:11" x14ac:dyDescent="0.25">
      <c r="B58" s="2" t="s">
        <v>2220</v>
      </c>
      <c r="C58" s="2" t="s">
        <v>2221</v>
      </c>
      <c r="D58" s="3">
        <v>11.23</v>
      </c>
      <c r="E58" s="3">
        <v>8.4600000000000009</v>
      </c>
      <c r="F58" s="3">
        <v>1.5</v>
      </c>
      <c r="G58" s="3">
        <v>8.4600000000000009</v>
      </c>
      <c r="H58" s="3">
        <v>1040</v>
      </c>
      <c r="I58" s="3">
        <v>5.2869999999999999</v>
      </c>
      <c r="J58" s="3">
        <v>7.06</v>
      </c>
      <c r="K58" s="3">
        <v>2.8039999999999998</v>
      </c>
    </row>
    <row r="59" spans="2:11" x14ac:dyDescent="0.25">
      <c r="B59" s="2" t="s">
        <v>2222</v>
      </c>
      <c r="C59" s="2" t="s">
        <v>2223</v>
      </c>
      <c r="D59" s="3">
        <v>14.1</v>
      </c>
      <c r="E59" s="3">
        <v>1.63</v>
      </c>
      <c r="F59" s="3">
        <v>0</v>
      </c>
      <c r="H59" s="3">
        <v>876</v>
      </c>
      <c r="I59" s="3">
        <v>10.33</v>
      </c>
      <c r="J59" s="3">
        <v>13.52</v>
      </c>
      <c r="K59" s="3">
        <v>3.08</v>
      </c>
    </row>
    <row r="60" spans="2:11" x14ac:dyDescent="0.25">
      <c r="B60" s="2" t="s">
        <v>2224</v>
      </c>
      <c r="C60" s="2" t="s">
        <v>2225</v>
      </c>
      <c r="D60" s="3">
        <v>18.399999999999999</v>
      </c>
      <c r="E60" s="3">
        <v>4.9000000000000004</v>
      </c>
      <c r="F60" s="3">
        <v>0</v>
      </c>
      <c r="H60" s="3">
        <v>1225</v>
      </c>
      <c r="I60" s="3">
        <v>1.58</v>
      </c>
      <c r="J60" s="3">
        <v>2.33</v>
      </c>
      <c r="K60" s="3">
        <v>0.51</v>
      </c>
    </row>
    <row r="61" spans="2:11" x14ac:dyDescent="0.25">
      <c r="B61" s="2" t="s">
        <v>2226</v>
      </c>
      <c r="C61" s="2" t="s">
        <v>2227</v>
      </c>
      <c r="D61" s="3">
        <v>12.07</v>
      </c>
      <c r="E61" s="3">
        <v>7.53</v>
      </c>
      <c r="F61" s="3">
        <v>0</v>
      </c>
      <c r="H61" s="3">
        <v>1127</v>
      </c>
      <c r="I61" s="3">
        <v>7.95</v>
      </c>
      <c r="J61" s="3">
        <v>10.34</v>
      </c>
      <c r="K61" s="3">
        <v>2.58</v>
      </c>
    </row>
    <row r="62" spans="2:11" x14ac:dyDescent="0.25">
      <c r="B62" s="2" t="s">
        <v>2228</v>
      </c>
      <c r="C62" s="2" t="s">
        <v>2229</v>
      </c>
      <c r="D62" s="3">
        <v>14.92</v>
      </c>
      <c r="E62" s="3">
        <v>4.76</v>
      </c>
      <c r="F62" s="3">
        <v>0</v>
      </c>
      <c r="H62" s="3">
        <v>1164</v>
      </c>
      <c r="I62" s="3">
        <v>6.07</v>
      </c>
      <c r="J62" s="3">
        <v>7.68</v>
      </c>
      <c r="K62" s="3">
        <v>1.89</v>
      </c>
    </row>
    <row r="63" spans="2:11" x14ac:dyDescent="0.25">
      <c r="B63" s="2" t="s">
        <v>2230</v>
      </c>
      <c r="C63" s="2" t="s">
        <v>2231</v>
      </c>
      <c r="D63" s="3">
        <v>15.39</v>
      </c>
      <c r="E63" s="3">
        <v>0.93</v>
      </c>
      <c r="F63" s="3">
        <v>0</v>
      </c>
      <c r="G63" s="3">
        <v>0.93</v>
      </c>
      <c r="H63" s="3">
        <v>739</v>
      </c>
      <c r="I63" s="3">
        <v>7.57</v>
      </c>
      <c r="J63" s="3">
        <v>9.8439999999999994</v>
      </c>
      <c r="K63" s="3">
        <v>4.4320000000000004</v>
      </c>
    </row>
    <row r="64" spans="2:11" x14ac:dyDescent="0.25">
      <c r="B64" s="2" t="s">
        <v>2232</v>
      </c>
      <c r="C64" s="2" t="s">
        <v>2233</v>
      </c>
      <c r="D64" s="3">
        <v>18.53</v>
      </c>
      <c r="E64" s="3">
        <v>1.42</v>
      </c>
      <c r="F64" s="3">
        <v>0</v>
      </c>
      <c r="G64" s="3">
        <v>1.0900000000000001</v>
      </c>
      <c r="H64" s="3">
        <v>814</v>
      </c>
      <c r="I64" s="3">
        <v>8.8260000000000005</v>
      </c>
      <c r="J64" s="3">
        <v>11.541</v>
      </c>
      <c r="K64" s="3">
        <v>5.1150000000000002</v>
      </c>
    </row>
    <row r="65" spans="2:11" x14ac:dyDescent="0.25">
      <c r="B65" s="2" t="s">
        <v>2234</v>
      </c>
      <c r="C65" s="2" t="s">
        <v>2235</v>
      </c>
      <c r="D65" s="3">
        <v>13.8</v>
      </c>
      <c r="E65" s="3">
        <v>2.7</v>
      </c>
      <c r="F65" s="3">
        <v>0</v>
      </c>
      <c r="G65" s="3">
        <v>0</v>
      </c>
      <c r="H65" s="3">
        <v>929</v>
      </c>
      <c r="I65" s="3">
        <v>12.96</v>
      </c>
      <c r="J65" s="3">
        <v>17.18</v>
      </c>
      <c r="K65" s="3">
        <v>3.9</v>
      </c>
    </row>
    <row r="66" spans="2:11" x14ac:dyDescent="0.25">
      <c r="B66" s="2" t="s">
        <v>2236</v>
      </c>
      <c r="C66" s="2" t="s">
        <v>2237</v>
      </c>
      <c r="D66" s="3">
        <v>17</v>
      </c>
      <c r="E66" s="3">
        <v>10.92</v>
      </c>
      <c r="F66" s="3">
        <v>0.3</v>
      </c>
      <c r="G66" s="3">
        <v>0</v>
      </c>
      <c r="H66" s="3">
        <v>721</v>
      </c>
      <c r="I66" s="3">
        <v>2.871</v>
      </c>
      <c r="J66" s="3">
        <v>3.8759999999999999</v>
      </c>
      <c r="K66" s="3">
        <v>2.5409999999999999</v>
      </c>
    </row>
    <row r="67" spans="2:11" x14ac:dyDescent="0.25">
      <c r="B67" s="2" t="s">
        <v>2238</v>
      </c>
      <c r="C67" s="2" t="s">
        <v>2239</v>
      </c>
      <c r="D67" s="3">
        <v>11.64</v>
      </c>
      <c r="E67" s="3">
        <v>7.41</v>
      </c>
      <c r="F67" s="3">
        <v>0</v>
      </c>
      <c r="G67" s="3">
        <v>0</v>
      </c>
      <c r="H67" s="3">
        <v>653</v>
      </c>
      <c r="I67" s="3">
        <v>3.45</v>
      </c>
      <c r="J67" s="3">
        <v>3.25</v>
      </c>
      <c r="K67" s="3">
        <v>6.22</v>
      </c>
    </row>
    <row r="68" spans="2:11" x14ac:dyDescent="0.25">
      <c r="B68" s="2" t="s">
        <v>2240</v>
      </c>
      <c r="C68" s="2" t="s">
        <v>2241</v>
      </c>
      <c r="D68" s="3">
        <v>12.6</v>
      </c>
      <c r="E68" s="3">
        <v>1.9</v>
      </c>
      <c r="F68" s="3">
        <v>0</v>
      </c>
      <c r="G68" s="3">
        <v>1.5</v>
      </c>
      <c r="H68" s="3">
        <v>1140</v>
      </c>
      <c r="I68" s="3">
        <v>9.8650000000000002</v>
      </c>
      <c r="J68" s="3">
        <v>10.648</v>
      </c>
      <c r="K68" s="3">
        <v>1.036</v>
      </c>
    </row>
    <row r="69" spans="2:11" x14ac:dyDescent="0.25">
      <c r="B69" s="2" t="s">
        <v>2242</v>
      </c>
      <c r="C69" s="2" t="s">
        <v>2243</v>
      </c>
      <c r="D69" s="3">
        <v>21.85</v>
      </c>
      <c r="E69" s="3">
        <v>2.4</v>
      </c>
      <c r="F69" s="3">
        <v>0</v>
      </c>
      <c r="G69" s="3">
        <v>0.96</v>
      </c>
      <c r="H69" s="3">
        <v>1740</v>
      </c>
      <c r="I69" s="3">
        <v>9.3160000000000007</v>
      </c>
      <c r="J69" s="3">
        <v>11.127000000000001</v>
      </c>
      <c r="K69" s="3">
        <v>2.5289999999999999</v>
      </c>
    </row>
    <row r="70" spans="2:11" x14ac:dyDescent="0.25">
      <c r="B70" s="2" t="s">
        <v>2244</v>
      </c>
      <c r="C70" s="2" t="s">
        <v>2245</v>
      </c>
      <c r="D70" s="3">
        <v>19.2</v>
      </c>
      <c r="E70" s="3">
        <v>1.55</v>
      </c>
      <c r="F70" s="3">
        <v>0.1</v>
      </c>
      <c r="G70" s="3">
        <v>1.1200000000000001</v>
      </c>
      <c r="H70" s="3">
        <v>1107</v>
      </c>
      <c r="I70" s="3">
        <v>2.7829999999999999</v>
      </c>
      <c r="J70" s="3">
        <v>3.1720000000000002</v>
      </c>
      <c r="K70" s="3">
        <v>2.4660000000000002</v>
      </c>
    </row>
    <row r="71" spans="2:11" x14ac:dyDescent="0.25">
      <c r="B71" s="2" t="s">
        <v>2246</v>
      </c>
      <c r="C71" s="2" t="s">
        <v>2247</v>
      </c>
      <c r="D71" s="3">
        <v>22.58</v>
      </c>
      <c r="E71" s="3">
        <v>1.6</v>
      </c>
      <c r="F71" s="3">
        <v>0</v>
      </c>
      <c r="H71" s="3">
        <v>2260</v>
      </c>
      <c r="I71" s="3">
        <v>11.89</v>
      </c>
      <c r="J71" s="3">
        <v>16</v>
      </c>
      <c r="K71" s="3">
        <v>3.74</v>
      </c>
    </row>
    <row r="72" spans="2:11" x14ac:dyDescent="0.25">
      <c r="B72" s="2" t="s">
        <v>2248</v>
      </c>
      <c r="C72" s="2" t="s">
        <v>2249</v>
      </c>
      <c r="D72" s="3">
        <v>21.07</v>
      </c>
      <c r="E72" s="3">
        <v>0.72</v>
      </c>
      <c r="F72" s="3">
        <v>0</v>
      </c>
      <c r="G72" s="3">
        <v>0.26</v>
      </c>
      <c r="H72" s="3">
        <v>1756</v>
      </c>
      <c r="I72" s="3">
        <v>11.417999999999999</v>
      </c>
      <c r="J72" s="3">
        <v>14.717000000000001</v>
      </c>
      <c r="K72" s="3">
        <v>4.8949999999999996</v>
      </c>
    </row>
    <row r="73" spans="2:11" x14ac:dyDescent="0.25">
      <c r="B73" s="2" t="s">
        <v>2250</v>
      </c>
      <c r="C73" s="2" t="s">
        <v>2251</v>
      </c>
      <c r="D73" s="3">
        <v>7.66</v>
      </c>
      <c r="E73" s="3">
        <v>11.94</v>
      </c>
      <c r="F73" s="3">
        <v>0.2</v>
      </c>
      <c r="G73" s="3">
        <v>0</v>
      </c>
      <c r="H73" s="3">
        <v>1013</v>
      </c>
      <c r="I73" s="3">
        <v>5.9770000000000003</v>
      </c>
      <c r="J73" s="3">
        <v>7.5839999999999996</v>
      </c>
      <c r="K73" s="3">
        <v>2.5649999999999999</v>
      </c>
    </row>
    <row r="74" spans="2:11" x14ac:dyDescent="0.25">
      <c r="B74" s="2" t="s">
        <v>2252</v>
      </c>
      <c r="C74" s="2" t="s">
        <v>2253</v>
      </c>
      <c r="D74" s="3">
        <v>11.98</v>
      </c>
      <c r="E74" s="3">
        <v>0.94</v>
      </c>
      <c r="F74" s="3">
        <v>0</v>
      </c>
      <c r="G74" s="3">
        <v>0.94</v>
      </c>
      <c r="H74" s="3">
        <v>827</v>
      </c>
      <c r="I74" s="3">
        <v>9.3130000000000006</v>
      </c>
      <c r="J74" s="3">
        <v>11.212</v>
      </c>
      <c r="K74" s="3">
        <v>3.6259999999999999</v>
      </c>
    </row>
    <row r="75" spans="2:11" x14ac:dyDescent="0.25">
      <c r="B75" s="2" t="s">
        <v>2254</v>
      </c>
      <c r="C75" s="2" t="s">
        <v>2255</v>
      </c>
      <c r="D75" s="3">
        <v>12</v>
      </c>
      <c r="E75" s="3">
        <v>2.42</v>
      </c>
      <c r="F75" s="3">
        <v>0</v>
      </c>
      <c r="G75" s="3">
        <v>0</v>
      </c>
      <c r="H75" s="3">
        <v>911</v>
      </c>
      <c r="I75" s="3">
        <v>9.7690000000000001</v>
      </c>
      <c r="J75" s="3">
        <v>12.238</v>
      </c>
      <c r="K75" s="3">
        <v>3.927</v>
      </c>
    </row>
    <row r="76" spans="2:11" x14ac:dyDescent="0.25">
      <c r="B76" s="2" t="s">
        <v>2256</v>
      </c>
      <c r="C76" s="2" t="s">
        <v>2257</v>
      </c>
      <c r="D76" s="3">
        <v>13.28</v>
      </c>
      <c r="E76" s="3">
        <v>1.92</v>
      </c>
      <c r="F76" s="3">
        <v>0</v>
      </c>
      <c r="H76" s="3">
        <v>1173</v>
      </c>
      <c r="I76" s="3">
        <v>9.7200000000000006</v>
      </c>
      <c r="J76" s="3">
        <v>12.64</v>
      </c>
      <c r="K76" s="3">
        <v>3.02</v>
      </c>
    </row>
    <row r="77" spans="2:11" x14ac:dyDescent="0.25">
      <c r="B77" s="2" t="s">
        <v>2258</v>
      </c>
      <c r="C77" s="2" t="s">
        <v>2259</v>
      </c>
      <c r="D77" s="3">
        <v>17.45</v>
      </c>
      <c r="E77" s="3">
        <v>3.33</v>
      </c>
      <c r="F77" s="3">
        <v>0</v>
      </c>
      <c r="G77" s="3">
        <v>0.85</v>
      </c>
      <c r="H77" s="3">
        <v>1300</v>
      </c>
      <c r="I77" s="3">
        <v>11.51</v>
      </c>
      <c r="J77" s="3">
        <v>12.97</v>
      </c>
      <c r="K77" s="3">
        <v>1.2</v>
      </c>
    </row>
    <row r="78" spans="2:11" x14ac:dyDescent="0.25">
      <c r="B78" s="2" t="s">
        <v>2260</v>
      </c>
      <c r="C78" s="2" t="s">
        <v>2261</v>
      </c>
      <c r="D78" s="3">
        <v>14.81</v>
      </c>
      <c r="E78" s="3">
        <v>2.2000000000000002</v>
      </c>
      <c r="F78" s="3">
        <v>0</v>
      </c>
      <c r="G78" s="3">
        <v>0.91</v>
      </c>
      <c r="H78" s="3">
        <v>898</v>
      </c>
      <c r="I78" s="3">
        <v>0.90600000000000003</v>
      </c>
      <c r="J78" s="3">
        <v>1.145</v>
      </c>
      <c r="K78" s="3">
        <v>1.024</v>
      </c>
    </row>
    <row r="79" spans="2:11" x14ac:dyDescent="0.25">
      <c r="B79" s="2" t="s">
        <v>2262</v>
      </c>
      <c r="C79" s="2" t="s">
        <v>2263</v>
      </c>
      <c r="D79" s="3">
        <v>10.5</v>
      </c>
      <c r="E79" s="3">
        <v>2.6</v>
      </c>
      <c r="F79" s="3">
        <v>0</v>
      </c>
      <c r="G79" s="3">
        <v>0</v>
      </c>
      <c r="H79" s="3">
        <v>879</v>
      </c>
      <c r="I79" s="3">
        <v>7.125</v>
      </c>
      <c r="J79" s="3">
        <v>9.6280000000000001</v>
      </c>
      <c r="K79" s="3">
        <v>1.29</v>
      </c>
    </row>
    <row r="80" spans="2:11" x14ac:dyDescent="0.25">
      <c r="B80" s="2" t="s">
        <v>2264</v>
      </c>
      <c r="C80" s="2" t="s">
        <v>2265</v>
      </c>
      <c r="D80" s="3">
        <v>18.579999999999998</v>
      </c>
      <c r="E80" s="3">
        <v>2.1800000000000002</v>
      </c>
      <c r="F80" s="3">
        <v>0</v>
      </c>
      <c r="H80" s="3">
        <v>1322</v>
      </c>
      <c r="I80" s="3">
        <v>4.08</v>
      </c>
      <c r="J80" s="3">
        <v>4.82</v>
      </c>
      <c r="K80" s="3">
        <v>0.49</v>
      </c>
    </row>
    <row r="81" spans="2:11" x14ac:dyDescent="0.25">
      <c r="B81" s="2" t="s">
        <v>2266</v>
      </c>
      <c r="C81" s="2" t="s">
        <v>2267</v>
      </c>
      <c r="D81" s="3">
        <v>19.12</v>
      </c>
      <c r="E81" s="3">
        <v>4.2699999999999996</v>
      </c>
      <c r="F81" s="3">
        <v>0.1</v>
      </c>
      <c r="G81" s="3">
        <v>1.86</v>
      </c>
      <c r="H81" s="3">
        <v>743</v>
      </c>
      <c r="I81" s="3">
        <v>10.195</v>
      </c>
      <c r="J81" s="3">
        <v>17.108000000000001</v>
      </c>
      <c r="K81" s="3">
        <v>3.5179999999999998</v>
      </c>
    </row>
    <row r="82" spans="2:11" x14ac:dyDescent="0.25">
      <c r="B82" s="2" t="s">
        <v>2268</v>
      </c>
      <c r="C82" s="2" t="s">
        <v>2269</v>
      </c>
      <c r="D82" s="3">
        <v>15.38</v>
      </c>
      <c r="E82" s="3">
        <v>1.58</v>
      </c>
      <c r="F82" s="3">
        <v>0</v>
      </c>
      <c r="H82" s="3">
        <v>1182</v>
      </c>
      <c r="I82" s="3">
        <v>7.62</v>
      </c>
      <c r="J82" s="3">
        <v>9.93</v>
      </c>
      <c r="K82" s="3">
        <v>2.0499999999999998</v>
      </c>
    </row>
    <row r="83" spans="2:11" x14ac:dyDescent="0.25">
      <c r="B83" s="2" t="s">
        <v>2270</v>
      </c>
      <c r="C83" s="2" t="s">
        <v>2271</v>
      </c>
      <c r="D83" s="3">
        <v>17.27</v>
      </c>
      <c r="E83" s="3">
        <v>4.83</v>
      </c>
      <c r="F83" s="3">
        <v>0</v>
      </c>
      <c r="H83" s="3">
        <v>1220</v>
      </c>
      <c r="I83" s="3">
        <v>2.56</v>
      </c>
      <c r="J83" s="3">
        <v>3.64</v>
      </c>
      <c r="K83" s="3">
        <v>0.72</v>
      </c>
    </row>
    <row r="84" spans="2:11" x14ac:dyDescent="0.25">
      <c r="B84" s="2" t="s">
        <v>2272</v>
      </c>
      <c r="C84" s="2" t="s">
        <v>2273</v>
      </c>
      <c r="D84" s="3">
        <v>11.05</v>
      </c>
      <c r="E84" s="3">
        <v>2.4500000000000002</v>
      </c>
      <c r="F84" s="3">
        <v>0</v>
      </c>
      <c r="G84" s="3">
        <v>1.4</v>
      </c>
      <c r="H84" s="3">
        <v>1179</v>
      </c>
      <c r="I84" s="3">
        <v>12.85</v>
      </c>
      <c r="J84" s="3">
        <v>15.21</v>
      </c>
      <c r="K84" s="3">
        <v>1.1100000000000001</v>
      </c>
    </row>
    <row r="85" spans="2:11" x14ac:dyDescent="0.25">
      <c r="B85" s="2" t="s">
        <v>2274</v>
      </c>
      <c r="C85" s="2" t="s">
        <v>2275</v>
      </c>
      <c r="D85" s="3">
        <v>14.25</v>
      </c>
      <c r="E85" s="3">
        <v>2.6</v>
      </c>
      <c r="F85" s="3">
        <v>0.2</v>
      </c>
      <c r="G85" s="3">
        <v>1.2</v>
      </c>
      <c r="H85" s="3">
        <v>1159</v>
      </c>
      <c r="I85" s="3">
        <v>10.94</v>
      </c>
      <c r="J85" s="3">
        <v>15.48</v>
      </c>
      <c r="K85" s="3">
        <v>3.73</v>
      </c>
    </row>
    <row r="86" spans="2:11" x14ac:dyDescent="0.25">
      <c r="B86" s="2" t="s">
        <v>2276</v>
      </c>
      <c r="C86" s="2" t="s">
        <v>2277</v>
      </c>
      <c r="D86" s="3">
        <v>19.850000000000001</v>
      </c>
      <c r="E86" s="3">
        <v>4.3</v>
      </c>
      <c r="F86" s="3">
        <v>0</v>
      </c>
      <c r="G86" s="3">
        <v>4.3</v>
      </c>
      <c r="H86" s="3">
        <v>1438</v>
      </c>
      <c r="I86" s="3">
        <v>0.39400000000000002</v>
      </c>
      <c r="J86" s="3">
        <v>0.56399999999999995</v>
      </c>
      <c r="K86" s="3">
        <v>0.218</v>
      </c>
    </row>
    <row r="87" spans="2:11" x14ac:dyDescent="0.25">
      <c r="B87" s="2" t="s">
        <v>2278</v>
      </c>
      <c r="C87" s="2" t="s">
        <v>2279</v>
      </c>
      <c r="D87" s="3">
        <v>16.3</v>
      </c>
      <c r="E87" s="3">
        <v>3.65</v>
      </c>
      <c r="F87" s="3">
        <v>0</v>
      </c>
      <c r="G87" s="3">
        <v>2.2000000000000002</v>
      </c>
      <c r="H87" s="3">
        <v>1249</v>
      </c>
      <c r="I87" s="3">
        <v>4.056</v>
      </c>
      <c r="J87" s="3">
        <v>5.8289999999999997</v>
      </c>
      <c r="K87" s="3">
        <v>1.2749999999999999</v>
      </c>
    </row>
    <row r="88" spans="2:11" x14ac:dyDescent="0.25">
      <c r="B88" s="2" t="s">
        <v>2280</v>
      </c>
      <c r="C88" s="2" t="s">
        <v>2281</v>
      </c>
      <c r="D88" s="3">
        <v>25.9</v>
      </c>
      <c r="E88" s="3">
        <v>1.6</v>
      </c>
      <c r="F88" s="3">
        <v>0</v>
      </c>
      <c r="G88" s="3">
        <v>0.2</v>
      </c>
      <c r="H88" s="3">
        <v>1976</v>
      </c>
      <c r="I88" s="3">
        <v>11.085000000000001</v>
      </c>
      <c r="J88" s="3">
        <v>15.010999999999999</v>
      </c>
      <c r="K88" s="3">
        <v>2.8559999999999999</v>
      </c>
    </row>
    <row r="89" spans="2:11" x14ac:dyDescent="0.25">
      <c r="B89" s="2" t="s">
        <v>2282</v>
      </c>
      <c r="C89" s="2" t="s">
        <v>2283</v>
      </c>
      <c r="D89" s="3">
        <v>13.5</v>
      </c>
      <c r="E89" s="3">
        <v>1.7</v>
      </c>
      <c r="F89" s="3">
        <v>0</v>
      </c>
      <c r="G89" s="3">
        <v>0.3</v>
      </c>
      <c r="H89" s="3">
        <v>1036</v>
      </c>
      <c r="I89" s="3">
        <v>11.16</v>
      </c>
      <c r="J89" s="3">
        <v>13.19</v>
      </c>
      <c r="K89" s="3">
        <v>2.79</v>
      </c>
    </row>
    <row r="90" spans="2:11" x14ac:dyDescent="0.25">
      <c r="B90" s="2" t="s">
        <v>2284</v>
      </c>
      <c r="C90" s="2" t="s">
        <v>2285</v>
      </c>
      <c r="D90" s="3">
        <v>11.35</v>
      </c>
      <c r="E90" s="3">
        <v>2.78</v>
      </c>
      <c r="F90" s="3">
        <v>0</v>
      </c>
      <c r="G90" s="3">
        <v>1.6</v>
      </c>
      <c r="H90" s="3">
        <v>1025</v>
      </c>
      <c r="I90" s="3">
        <v>12.46</v>
      </c>
      <c r="J90" s="3">
        <v>14.74</v>
      </c>
      <c r="K90" s="3">
        <v>1.36</v>
      </c>
    </row>
    <row r="91" spans="2:11" x14ac:dyDescent="0.25">
      <c r="B91" s="2" t="s">
        <v>2286</v>
      </c>
      <c r="C91" s="2" t="s">
        <v>2287</v>
      </c>
      <c r="D91" s="3">
        <v>15.94</v>
      </c>
      <c r="E91" s="3">
        <v>1.89</v>
      </c>
      <c r="H91" s="3">
        <v>1069</v>
      </c>
      <c r="I91" s="3">
        <v>4.5199999999999996</v>
      </c>
      <c r="J91" s="3">
        <v>6.2229999999999999</v>
      </c>
      <c r="K91" s="3">
        <v>4.6989999999999998</v>
      </c>
    </row>
    <row r="92" spans="2:11" x14ac:dyDescent="0.25">
      <c r="B92" s="2" t="s">
        <v>2288</v>
      </c>
      <c r="C92" s="2" t="s">
        <v>2289</v>
      </c>
      <c r="D92" s="3">
        <v>30.99</v>
      </c>
      <c r="E92" s="3">
        <v>3.78</v>
      </c>
      <c r="F92" s="3">
        <v>0</v>
      </c>
      <c r="G92" s="3">
        <v>0</v>
      </c>
      <c r="H92" s="3">
        <v>1858</v>
      </c>
      <c r="I92" s="3">
        <v>3.52</v>
      </c>
      <c r="J92" s="3">
        <v>4.6500000000000004</v>
      </c>
      <c r="K92" s="3">
        <v>3.32</v>
      </c>
    </row>
    <row r="93" spans="2:11" x14ac:dyDescent="0.25">
      <c r="B93" s="2" t="s">
        <v>2290</v>
      </c>
      <c r="C93" s="2" t="s">
        <v>2291</v>
      </c>
      <c r="D93" s="3">
        <v>8</v>
      </c>
      <c r="E93" s="3">
        <v>11.54</v>
      </c>
      <c r="F93" s="3">
        <v>0.6</v>
      </c>
      <c r="G93" s="3">
        <v>0</v>
      </c>
      <c r="H93" s="3">
        <v>796</v>
      </c>
      <c r="I93" s="3">
        <v>0.85</v>
      </c>
      <c r="J93" s="3">
        <v>1.026</v>
      </c>
      <c r="K93" s="3">
        <v>0.32900000000000001</v>
      </c>
    </row>
    <row r="94" spans="2:11" x14ac:dyDescent="0.25">
      <c r="B94" s="2" t="s">
        <v>2292</v>
      </c>
      <c r="C94" s="2" t="s">
        <v>2293</v>
      </c>
      <c r="D94" s="3">
        <v>19.760000000000002</v>
      </c>
      <c r="E94" s="3">
        <v>0</v>
      </c>
      <c r="F94" s="3">
        <v>0</v>
      </c>
      <c r="H94" s="3">
        <v>540</v>
      </c>
      <c r="I94" s="3">
        <v>5.532</v>
      </c>
      <c r="J94" s="3">
        <v>8.7100000000000009</v>
      </c>
      <c r="K94" s="3">
        <v>2.3119999999999998</v>
      </c>
    </row>
    <row r="95" spans="2:11" x14ac:dyDescent="0.25">
      <c r="B95" s="2" t="s">
        <v>2294</v>
      </c>
      <c r="C95" s="2" t="s">
        <v>2295</v>
      </c>
      <c r="D95" s="3">
        <v>12.5</v>
      </c>
      <c r="E95" s="3">
        <v>11.21</v>
      </c>
      <c r="F95" s="3">
        <v>0</v>
      </c>
      <c r="G95" s="3">
        <v>0</v>
      </c>
      <c r="H95" s="3">
        <v>880</v>
      </c>
      <c r="I95" s="3">
        <v>0.5</v>
      </c>
      <c r="J95" s="3">
        <v>0.74</v>
      </c>
      <c r="K95" s="3">
        <v>0.35</v>
      </c>
    </row>
    <row r="96" spans="2:11" x14ac:dyDescent="0.25">
      <c r="B96" s="2" t="s">
        <v>2296</v>
      </c>
      <c r="C96" s="2" t="s">
        <v>2297</v>
      </c>
      <c r="D96" s="3">
        <v>12.5</v>
      </c>
      <c r="E96" s="3">
        <v>3.4</v>
      </c>
      <c r="F96" s="3">
        <v>0</v>
      </c>
      <c r="G96" s="3">
        <v>0</v>
      </c>
      <c r="H96" s="3">
        <v>1036</v>
      </c>
      <c r="I96" s="3">
        <v>8.8729999999999993</v>
      </c>
      <c r="J96" s="3">
        <v>12.34</v>
      </c>
      <c r="K96" s="3">
        <v>2.6659999999999999</v>
      </c>
    </row>
    <row r="97" spans="2:11" x14ac:dyDescent="0.25">
      <c r="B97" s="2" t="s">
        <v>2298</v>
      </c>
      <c r="C97" s="2" t="s">
        <v>2299</v>
      </c>
      <c r="D97" s="3">
        <v>14.95</v>
      </c>
      <c r="E97" s="3">
        <v>0</v>
      </c>
      <c r="F97" s="3">
        <v>0</v>
      </c>
      <c r="H97" s="3">
        <v>507</v>
      </c>
      <c r="I97" s="3">
        <v>4.968</v>
      </c>
      <c r="J97" s="3">
        <v>8.0609999999999999</v>
      </c>
      <c r="K97" s="3">
        <v>2.246</v>
      </c>
    </row>
    <row r="98" spans="2:11" x14ac:dyDescent="0.25">
      <c r="B98" s="2" t="s">
        <v>2300</v>
      </c>
      <c r="C98" s="2" t="s">
        <v>2301</v>
      </c>
      <c r="D98" s="3">
        <v>13.4</v>
      </c>
      <c r="E98" s="3">
        <v>4.5999999999999996</v>
      </c>
      <c r="F98" s="3">
        <v>0</v>
      </c>
      <c r="G98" s="3">
        <v>0</v>
      </c>
      <c r="H98" s="3">
        <v>1411</v>
      </c>
      <c r="I98" s="3">
        <v>9.9870000000000001</v>
      </c>
      <c r="J98" s="3">
        <v>13.505000000000001</v>
      </c>
      <c r="K98" s="3">
        <v>2.0190000000000001</v>
      </c>
    </row>
    <row r="99" spans="2:11" x14ac:dyDescent="0.25">
      <c r="B99" s="2" t="s">
        <v>2302</v>
      </c>
      <c r="C99" s="2" t="s">
        <v>2303</v>
      </c>
      <c r="D99" s="3">
        <v>15.23</v>
      </c>
      <c r="E99" s="3">
        <v>1.35</v>
      </c>
      <c r="F99" s="3">
        <v>0</v>
      </c>
      <c r="G99" s="3">
        <v>1.26</v>
      </c>
      <c r="H99" s="3">
        <v>1032</v>
      </c>
      <c r="I99" s="3">
        <v>4.5140000000000002</v>
      </c>
      <c r="J99" s="3">
        <v>7.02</v>
      </c>
      <c r="K99" s="3">
        <v>1.47</v>
      </c>
    </row>
    <row r="100" spans="2:11" x14ac:dyDescent="0.25">
      <c r="B100" s="2" t="s">
        <v>2304</v>
      </c>
      <c r="C100" s="2" t="s">
        <v>2305</v>
      </c>
      <c r="D100" s="3">
        <v>13.99</v>
      </c>
      <c r="E100" s="3">
        <v>0</v>
      </c>
      <c r="F100" s="3">
        <v>0</v>
      </c>
      <c r="G100" s="3">
        <v>0</v>
      </c>
      <c r="H100" s="3">
        <v>60</v>
      </c>
      <c r="I100" s="3">
        <v>14.94</v>
      </c>
      <c r="J100" s="3">
        <v>13</v>
      </c>
      <c r="K100" s="3">
        <v>1.6140000000000001</v>
      </c>
    </row>
    <row r="101" spans="2:11" x14ac:dyDescent="0.25">
      <c r="B101" s="2" t="s">
        <v>2306</v>
      </c>
      <c r="C101" s="2" t="s">
        <v>2307</v>
      </c>
      <c r="D101" s="3">
        <v>12.38</v>
      </c>
      <c r="E101" s="3">
        <v>5.89</v>
      </c>
      <c r="F101" s="3">
        <v>2.5</v>
      </c>
      <c r="G101" s="3">
        <v>1.65</v>
      </c>
      <c r="H101" s="3">
        <v>700</v>
      </c>
      <c r="I101" s="3">
        <v>9.9250000000000007</v>
      </c>
      <c r="J101" s="3">
        <v>12.286</v>
      </c>
      <c r="K101" s="3">
        <v>2.427</v>
      </c>
    </row>
    <row r="102" spans="2:11" x14ac:dyDescent="0.25">
      <c r="B102" s="2" t="s">
        <v>2308</v>
      </c>
      <c r="C102" s="2" t="s">
        <v>2309</v>
      </c>
      <c r="D102" s="3">
        <v>15.27</v>
      </c>
      <c r="E102" s="3">
        <v>3.73</v>
      </c>
      <c r="F102" s="3">
        <v>0.2</v>
      </c>
      <c r="G102" s="3">
        <v>0.71</v>
      </c>
      <c r="H102" s="3">
        <v>724</v>
      </c>
      <c r="I102" s="3">
        <v>6.4</v>
      </c>
      <c r="J102" s="3">
        <v>5.5869999999999997</v>
      </c>
      <c r="K102" s="3">
        <v>0.42699999999999999</v>
      </c>
    </row>
    <row r="103" spans="2:11" x14ac:dyDescent="0.25">
      <c r="B103" s="2" t="s">
        <v>2310</v>
      </c>
      <c r="C103" s="2" t="s">
        <v>2311</v>
      </c>
      <c r="D103" s="3">
        <v>15.01</v>
      </c>
      <c r="E103" s="3">
        <v>15.38</v>
      </c>
      <c r="F103" s="3">
        <v>0.2</v>
      </c>
      <c r="G103" s="3">
        <v>6.21</v>
      </c>
      <c r="H103" s="3">
        <v>623</v>
      </c>
      <c r="I103" s="3">
        <v>10.58</v>
      </c>
      <c r="J103" s="3">
        <v>13.32</v>
      </c>
      <c r="K103" s="3">
        <v>3.0670000000000002</v>
      </c>
    </row>
    <row r="104" spans="2:11" x14ac:dyDescent="0.25">
      <c r="B104" s="2" t="s">
        <v>2312</v>
      </c>
      <c r="C104" s="2" t="s">
        <v>2313</v>
      </c>
      <c r="D104" s="3">
        <v>16.13</v>
      </c>
      <c r="E104" s="3">
        <v>2.1</v>
      </c>
      <c r="F104" s="3">
        <v>0</v>
      </c>
      <c r="G104" s="3">
        <v>0</v>
      </c>
      <c r="H104" s="3">
        <v>570</v>
      </c>
      <c r="I104" s="3">
        <v>3.2570000000000001</v>
      </c>
      <c r="J104" s="3">
        <v>3.629</v>
      </c>
      <c r="K104" s="3">
        <v>0.49299999999999999</v>
      </c>
    </row>
    <row r="105" spans="2:11" x14ac:dyDescent="0.25">
      <c r="B105" s="2" t="s">
        <v>2314</v>
      </c>
      <c r="C105" s="2" t="s">
        <v>2315</v>
      </c>
      <c r="D105" s="3">
        <v>17.600000000000001</v>
      </c>
      <c r="E105" s="3">
        <v>3.6</v>
      </c>
      <c r="F105" s="3">
        <v>0</v>
      </c>
      <c r="G105" s="3">
        <v>0</v>
      </c>
      <c r="H105" s="3">
        <v>1540</v>
      </c>
      <c r="I105" s="3">
        <v>8.01</v>
      </c>
      <c r="J105" s="3">
        <v>9.6999999999999993</v>
      </c>
      <c r="K105" s="3">
        <v>0.79</v>
      </c>
    </row>
    <row r="106" spans="2:11" x14ac:dyDescent="0.25">
      <c r="B106" s="2" t="s">
        <v>2316</v>
      </c>
      <c r="C106" s="2" t="s">
        <v>2317</v>
      </c>
      <c r="D106" s="3">
        <v>12.07</v>
      </c>
      <c r="E106" s="3">
        <v>1.98</v>
      </c>
      <c r="F106" s="3">
        <v>0</v>
      </c>
      <c r="G106" s="3">
        <v>0</v>
      </c>
      <c r="H106" s="3">
        <v>848</v>
      </c>
      <c r="I106" s="3">
        <v>9.2070000000000007</v>
      </c>
      <c r="J106" s="3">
        <v>12.302</v>
      </c>
      <c r="K106" s="3">
        <v>2.8260000000000001</v>
      </c>
    </row>
    <row r="107" spans="2:11" x14ac:dyDescent="0.25">
      <c r="B107" s="2" t="s">
        <v>2318</v>
      </c>
      <c r="C107" s="2" t="s">
        <v>2319</v>
      </c>
      <c r="D107" s="3">
        <v>12.89</v>
      </c>
      <c r="E107" s="3">
        <v>2.13</v>
      </c>
      <c r="F107" s="3">
        <v>0</v>
      </c>
      <c r="G107" s="3">
        <v>0.11</v>
      </c>
      <c r="H107" s="3">
        <v>848</v>
      </c>
      <c r="I107" s="3">
        <v>9.4819999999999993</v>
      </c>
      <c r="J107" s="3">
        <v>12.356999999999999</v>
      </c>
      <c r="K107" s="3">
        <v>2.7349999999999999</v>
      </c>
    </row>
    <row r="108" spans="2:11" x14ac:dyDescent="0.25">
      <c r="B108" s="2" t="s">
        <v>2320</v>
      </c>
      <c r="C108" s="2" t="s">
        <v>2321</v>
      </c>
      <c r="D108" s="3">
        <v>19.43</v>
      </c>
      <c r="E108" s="3">
        <v>1.82</v>
      </c>
      <c r="F108" s="3">
        <v>0.2</v>
      </c>
      <c r="G108" s="3">
        <v>0.12</v>
      </c>
      <c r="H108" s="3">
        <v>1483</v>
      </c>
      <c r="I108" s="3">
        <v>10.47</v>
      </c>
      <c r="J108" s="3">
        <v>13.68</v>
      </c>
      <c r="K108" s="3">
        <v>3.02</v>
      </c>
    </row>
    <row r="109" spans="2:11" x14ac:dyDescent="0.25">
      <c r="B109" s="2" t="s">
        <v>2322</v>
      </c>
      <c r="C109" s="2" t="s">
        <v>2323</v>
      </c>
      <c r="D109" s="3">
        <v>15.42</v>
      </c>
      <c r="E109" s="3">
        <v>1.56</v>
      </c>
      <c r="F109" s="3">
        <v>0</v>
      </c>
      <c r="G109" s="3">
        <v>0</v>
      </c>
      <c r="H109" s="3">
        <v>639</v>
      </c>
      <c r="I109" s="3">
        <v>3.839</v>
      </c>
      <c r="J109" s="3">
        <v>5.1580000000000004</v>
      </c>
      <c r="K109" s="3">
        <v>4.657</v>
      </c>
    </row>
    <row r="110" spans="2:11" x14ac:dyDescent="0.25">
      <c r="B110" s="2" t="s">
        <v>2324</v>
      </c>
      <c r="C110" s="2" t="s">
        <v>2325</v>
      </c>
      <c r="D110" s="3">
        <v>12.69</v>
      </c>
      <c r="E110" s="3">
        <v>1.6</v>
      </c>
      <c r="F110" s="3">
        <v>0</v>
      </c>
      <c r="G110" s="3">
        <v>0</v>
      </c>
      <c r="H110" s="3">
        <v>827</v>
      </c>
      <c r="J110" s="3">
        <v>13.68</v>
      </c>
      <c r="K110" s="3">
        <v>3.02</v>
      </c>
    </row>
    <row r="111" spans="2:11" x14ac:dyDescent="0.25">
      <c r="B111" s="2" t="s">
        <v>2326</v>
      </c>
      <c r="C111" s="2" t="s">
        <v>2327</v>
      </c>
      <c r="D111" s="3">
        <v>29.1</v>
      </c>
      <c r="E111" s="3">
        <v>0.8</v>
      </c>
      <c r="F111" s="3">
        <v>0</v>
      </c>
      <c r="G111" s="3">
        <v>0.8</v>
      </c>
      <c r="H111" s="3">
        <v>1420</v>
      </c>
      <c r="I111" s="3">
        <v>16</v>
      </c>
      <c r="J111" s="3">
        <v>21.9</v>
      </c>
      <c r="K111" s="3">
        <v>4.3</v>
      </c>
    </row>
    <row r="112" spans="2:11" x14ac:dyDescent="0.25">
      <c r="B112" s="2" t="s">
        <v>2328</v>
      </c>
      <c r="C112" s="2" t="s">
        <v>2329</v>
      </c>
      <c r="D112" s="3">
        <v>12.2</v>
      </c>
      <c r="E112" s="3">
        <v>2</v>
      </c>
      <c r="F112" s="3">
        <v>0</v>
      </c>
      <c r="G112" s="3">
        <v>0</v>
      </c>
      <c r="H112" s="3">
        <v>848</v>
      </c>
      <c r="I112" s="3">
        <v>6.08</v>
      </c>
      <c r="J112" s="3">
        <v>8</v>
      </c>
      <c r="K112" s="3">
        <v>1.58</v>
      </c>
    </row>
    <row r="113" spans="2:11" x14ac:dyDescent="0.25">
      <c r="B113" s="2" t="s">
        <v>2330</v>
      </c>
      <c r="C113" s="2" t="s">
        <v>2331</v>
      </c>
      <c r="D113" s="3">
        <v>19.440000000000001</v>
      </c>
      <c r="E113" s="3">
        <v>0</v>
      </c>
      <c r="F113" s="3">
        <v>0</v>
      </c>
      <c r="G113" s="3">
        <v>0</v>
      </c>
      <c r="H113" s="3">
        <v>72</v>
      </c>
    </row>
    <row r="114" spans="2:11" x14ac:dyDescent="0.25">
      <c r="B114" s="2" t="s">
        <v>2332</v>
      </c>
      <c r="C114" s="2" t="s">
        <v>2333</v>
      </c>
      <c r="D114" s="3">
        <v>14.45</v>
      </c>
      <c r="E114" s="3">
        <v>1.62</v>
      </c>
      <c r="F114" s="3">
        <v>0</v>
      </c>
      <c r="G114" s="3">
        <v>1.57</v>
      </c>
      <c r="H114" s="3">
        <v>982</v>
      </c>
      <c r="J114" s="3">
        <v>7.165</v>
      </c>
      <c r="K114" s="3">
        <v>0.84599999999999997</v>
      </c>
    </row>
    <row r="115" spans="2:11" x14ac:dyDescent="0.25">
      <c r="B115" s="2" t="s">
        <v>2334</v>
      </c>
      <c r="C115" s="2" t="s">
        <v>2335</v>
      </c>
      <c r="D115" s="3">
        <v>19.600000000000001</v>
      </c>
      <c r="E115" s="3">
        <v>1.54</v>
      </c>
      <c r="F115" s="3">
        <v>0</v>
      </c>
      <c r="G115" s="3">
        <v>0</v>
      </c>
      <c r="H115" s="3">
        <v>1010</v>
      </c>
      <c r="I115" s="3">
        <v>0</v>
      </c>
      <c r="J115" s="3">
        <v>0.56000000000000005</v>
      </c>
      <c r="K115" s="3">
        <v>0.04</v>
      </c>
    </row>
    <row r="116" spans="2:11" x14ac:dyDescent="0.25">
      <c r="B116" s="2" t="s">
        <v>2336</v>
      </c>
      <c r="C116" s="2" t="s">
        <v>2337</v>
      </c>
      <c r="D116" s="3">
        <v>21.7</v>
      </c>
      <c r="E116" s="3">
        <v>1.2</v>
      </c>
      <c r="F116" s="3">
        <v>0</v>
      </c>
      <c r="G116" s="3">
        <v>1.2</v>
      </c>
      <c r="H116" s="3">
        <v>1890</v>
      </c>
      <c r="I116" s="3">
        <v>13.1</v>
      </c>
      <c r="J116" s="3">
        <v>18.2</v>
      </c>
      <c r="K116" s="3">
        <v>3.6</v>
      </c>
    </row>
    <row r="117" spans="2:11" x14ac:dyDescent="0.25">
      <c r="B117" s="2" t="s">
        <v>2338</v>
      </c>
      <c r="C117" s="2" t="s">
        <v>2339</v>
      </c>
      <c r="D117" s="3">
        <v>15.05</v>
      </c>
      <c r="E117" s="3">
        <v>4.6500000000000004</v>
      </c>
      <c r="F117" s="3">
        <v>0.9</v>
      </c>
      <c r="G117" s="3">
        <v>3.2</v>
      </c>
      <c r="H117" s="3">
        <v>928</v>
      </c>
      <c r="I117" s="3">
        <v>3.4009999999999998</v>
      </c>
      <c r="J117" s="3">
        <v>2.38</v>
      </c>
      <c r="K117" s="3">
        <v>1.5720000000000001</v>
      </c>
    </row>
    <row r="118" spans="2:11" x14ac:dyDescent="0.25">
      <c r="B118" s="2" t="s">
        <v>2340</v>
      </c>
      <c r="C118" s="2" t="s">
        <v>2341</v>
      </c>
      <c r="D118" s="3">
        <v>13.6</v>
      </c>
      <c r="E118" s="3">
        <v>8.1</v>
      </c>
      <c r="F118" s="3">
        <v>0</v>
      </c>
      <c r="G118" s="3">
        <v>1.9</v>
      </c>
      <c r="H118" s="3">
        <v>1034</v>
      </c>
      <c r="I118" s="3">
        <v>4.8</v>
      </c>
      <c r="J118" s="3">
        <v>7.165</v>
      </c>
      <c r="K118" s="3">
        <v>0.84599999999999997</v>
      </c>
    </row>
    <row r="119" spans="2:11" x14ac:dyDescent="0.25">
      <c r="B119" s="2" t="s">
        <v>2342</v>
      </c>
      <c r="C119" s="2" t="s">
        <v>2343</v>
      </c>
      <c r="D119" s="3">
        <v>15.05</v>
      </c>
      <c r="E119" s="3">
        <v>4.6500000000000004</v>
      </c>
      <c r="F119" s="3">
        <v>0.3</v>
      </c>
      <c r="G119" s="3">
        <v>3.2</v>
      </c>
      <c r="H119" s="3">
        <v>916</v>
      </c>
      <c r="I119" s="3">
        <v>3.4009999999999998</v>
      </c>
      <c r="J119" s="3">
        <v>2.38</v>
      </c>
      <c r="K119" s="3">
        <v>1.5720000000000001</v>
      </c>
    </row>
    <row r="120" spans="2:11" x14ac:dyDescent="0.25">
      <c r="B120" s="2" t="s">
        <v>2344</v>
      </c>
      <c r="C120" s="2" t="s">
        <v>2345</v>
      </c>
      <c r="D120" s="3">
        <v>14.8</v>
      </c>
      <c r="E120" s="3">
        <v>1.4</v>
      </c>
      <c r="F120" s="3">
        <v>0</v>
      </c>
      <c r="G120" s="3">
        <v>0</v>
      </c>
      <c r="H120" s="3">
        <v>936</v>
      </c>
      <c r="I120" s="3">
        <v>7.9</v>
      </c>
    </row>
    <row r="121" spans="2:11" x14ac:dyDescent="0.25">
      <c r="B121" s="2" t="s">
        <v>2346</v>
      </c>
      <c r="C121" s="2" t="s">
        <v>2347</v>
      </c>
      <c r="D121" s="3">
        <v>14</v>
      </c>
      <c r="E121" s="3">
        <v>4.2699999999999996</v>
      </c>
      <c r="F121" s="3">
        <v>0.9</v>
      </c>
      <c r="G121" s="3">
        <v>0</v>
      </c>
      <c r="H121" s="3">
        <v>732</v>
      </c>
      <c r="I121" s="3">
        <v>8.4380000000000006</v>
      </c>
      <c r="J121" s="3">
        <v>10.105</v>
      </c>
      <c r="K121" s="3">
        <v>2.08</v>
      </c>
    </row>
    <row r="122" spans="2:11" x14ac:dyDescent="0.25">
      <c r="B122" s="2" t="s">
        <v>2348</v>
      </c>
      <c r="C122" s="2" t="s">
        <v>2349</v>
      </c>
      <c r="D122" s="3">
        <v>16.8</v>
      </c>
      <c r="E122" s="3">
        <v>2.25</v>
      </c>
      <c r="F122" s="3">
        <v>0</v>
      </c>
      <c r="G122" s="3">
        <v>0.2</v>
      </c>
      <c r="H122" s="3">
        <v>1040</v>
      </c>
      <c r="I122" s="3">
        <v>0.13</v>
      </c>
      <c r="J122" s="3">
        <v>0.16</v>
      </c>
      <c r="K122" s="3">
        <v>0.06</v>
      </c>
    </row>
    <row r="123" spans="2:11" x14ac:dyDescent="0.25">
      <c r="B123" s="2" t="s">
        <v>2350</v>
      </c>
      <c r="C123" s="2" t="s">
        <v>2351</v>
      </c>
      <c r="D123" s="3">
        <v>16.79</v>
      </c>
      <c r="E123" s="3">
        <v>2.17</v>
      </c>
      <c r="F123" s="3">
        <v>0</v>
      </c>
      <c r="G123" s="3">
        <v>0.1</v>
      </c>
      <c r="H123" s="3">
        <v>1087</v>
      </c>
      <c r="I123" s="3">
        <v>0.13</v>
      </c>
      <c r="J123" s="3">
        <v>0.121</v>
      </c>
      <c r="K123" s="3">
        <v>7.2999999999999995E-2</v>
      </c>
    </row>
    <row r="124" spans="2:11" x14ac:dyDescent="0.25">
      <c r="B124" s="2" t="s">
        <v>2352</v>
      </c>
      <c r="C124" s="2" t="s">
        <v>2353</v>
      </c>
      <c r="D124" s="3">
        <v>13.1</v>
      </c>
      <c r="E124" s="3">
        <v>3.9</v>
      </c>
      <c r="F124" s="3">
        <v>0</v>
      </c>
      <c r="G124" s="3">
        <v>0</v>
      </c>
      <c r="H124" s="3">
        <v>1200</v>
      </c>
      <c r="I124" s="3">
        <v>6.23</v>
      </c>
      <c r="J124" s="3">
        <v>8.27</v>
      </c>
      <c r="K124" s="3">
        <v>2.33</v>
      </c>
    </row>
    <row r="125" spans="2:11" x14ac:dyDescent="0.25">
      <c r="B125" s="2" t="s">
        <v>2354</v>
      </c>
      <c r="C125" s="2" t="s">
        <v>2355</v>
      </c>
      <c r="D125" s="3">
        <v>14.59</v>
      </c>
      <c r="E125" s="3">
        <v>1.79</v>
      </c>
      <c r="F125" s="3">
        <v>0</v>
      </c>
      <c r="G125" s="3">
        <v>0.43</v>
      </c>
      <c r="H125" s="3">
        <v>883</v>
      </c>
      <c r="I125" s="3">
        <v>2.48</v>
      </c>
      <c r="J125" s="3">
        <v>2.8159999999999998</v>
      </c>
      <c r="K125" s="3">
        <v>1.456</v>
      </c>
    </row>
    <row r="126" spans="2:11" x14ac:dyDescent="0.25">
      <c r="B126" s="2" t="s">
        <v>2356</v>
      </c>
      <c r="C126" s="2" t="s">
        <v>2357</v>
      </c>
      <c r="D126" s="3">
        <v>13.06</v>
      </c>
      <c r="E126" s="3">
        <v>3.45</v>
      </c>
      <c r="F126" s="3">
        <v>0</v>
      </c>
      <c r="G126" s="3">
        <v>0</v>
      </c>
      <c r="H126" s="3">
        <v>716</v>
      </c>
      <c r="I126" s="3">
        <v>5.46</v>
      </c>
      <c r="J126" s="3">
        <v>7.548</v>
      </c>
      <c r="K126" s="3">
        <v>3.0510000000000002</v>
      </c>
    </row>
    <row r="127" spans="2:11" x14ac:dyDescent="0.25">
      <c r="B127" s="2" t="s">
        <v>2358</v>
      </c>
      <c r="C127" s="2" t="s">
        <v>2359</v>
      </c>
      <c r="D127" s="3">
        <v>11.56</v>
      </c>
      <c r="E127" s="3">
        <v>6.66</v>
      </c>
      <c r="F127" s="3">
        <v>0</v>
      </c>
      <c r="G127" s="3">
        <v>1.35</v>
      </c>
      <c r="H127" s="3">
        <v>1055</v>
      </c>
      <c r="I127" s="3">
        <v>11.7</v>
      </c>
      <c r="J127" s="3">
        <v>12.789</v>
      </c>
      <c r="K127" s="3">
        <v>2.512</v>
      </c>
    </row>
    <row r="128" spans="2:11" x14ac:dyDescent="0.25">
      <c r="B128" s="2" t="s">
        <v>2360</v>
      </c>
      <c r="C128" s="2" t="s">
        <v>2361</v>
      </c>
      <c r="D128" s="3">
        <v>17.93</v>
      </c>
      <c r="E128" s="3">
        <v>7.27</v>
      </c>
      <c r="F128" s="3">
        <v>0</v>
      </c>
      <c r="G128" s="3">
        <v>0</v>
      </c>
      <c r="H128" s="3">
        <v>900</v>
      </c>
      <c r="I128" s="3">
        <v>0.87</v>
      </c>
      <c r="J128" s="3">
        <v>1.24</v>
      </c>
      <c r="K128" s="3">
        <v>0.23</v>
      </c>
    </row>
    <row r="129" spans="2:11" x14ac:dyDescent="0.25">
      <c r="B129" s="2" t="s">
        <v>2362</v>
      </c>
      <c r="C129" s="2" t="s">
        <v>2363</v>
      </c>
      <c r="D129" s="3">
        <v>12.81</v>
      </c>
      <c r="E129" s="3">
        <v>0.28000000000000003</v>
      </c>
      <c r="F129" s="3">
        <v>0.1</v>
      </c>
      <c r="G129" s="3">
        <v>0</v>
      </c>
      <c r="H129" s="3">
        <v>816</v>
      </c>
      <c r="I129" s="3">
        <v>8.7189999999999994</v>
      </c>
      <c r="J129" s="3">
        <v>10.89</v>
      </c>
      <c r="K129" s="3">
        <v>2.2330000000000001</v>
      </c>
    </row>
    <row r="130" spans="2:11" x14ac:dyDescent="0.25">
      <c r="B130" s="2" t="s">
        <v>2364</v>
      </c>
      <c r="C130" s="2" t="s">
        <v>2365</v>
      </c>
      <c r="D130" s="3">
        <v>11.76</v>
      </c>
      <c r="E130" s="3">
        <v>11.63</v>
      </c>
      <c r="F130" s="3">
        <v>0</v>
      </c>
      <c r="G130" s="3">
        <v>0</v>
      </c>
      <c r="H130" s="3">
        <v>3</v>
      </c>
      <c r="I130" s="3">
        <v>5.6139999999999999</v>
      </c>
      <c r="J130" s="3">
        <v>7.6139999999999999</v>
      </c>
      <c r="K130" s="3">
        <v>1.657</v>
      </c>
    </row>
    <row r="131" spans="2:11" x14ac:dyDescent="0.25">
      <c r="B131" s="2" t="s">
        <v>2366</v>
      </c>
      <c r="C131" s="2" t="s">
        <v>2367</v>
      </c>
      <c r="D131" s="3">
        <v>21.8</v>
      </c>
      <c r="E131" s="3">
        <v>6.4</v>
      </c>
      <c r="F131" s="3">
        <v>0</v>
      </c>
      <c r="G131" s="3">
        <v>0</v>
      </c>
      <c r="H131" s="3">
        <v>936</v>
      </c>
      <c r="I131" s="3">
        <v>9.75</v>
      </c>
      <c r="J131" s="3">
        <v>13.2</v>
      </c>
      <c r="K131" s="3">
        <v>2.29</v>
      </c>
    </row>
    <row r="132" spans="2:11" x14ac:dyDescent="0.25">
      <c r="B132" s="2" t="s">
        <v>2368</v>
      </c>
      <c r="C132" s="2" t="s">
        <v>2369</v>
      </c>
      <c r="D132" s="3">
        <v>11.2</v>
      </c>
      <c r="E132" s="3">
        <v>6.3</v>
      </c>
      <c r="H132" s="3">
        <v>807</v>
      </c>
      <c r="I132" s="3">
        <v>10.1</v>
      </c>
      <c r="J132" s="3">
        <v>13.6</v>
      </c>
      <c r="K132" s="3">
        <v>3.42</v>
      </c>
    </row>
    <row r="133" spans="2:11" x14ac:dyDescent="0.25">
      <c r="B133" s="2" t="s">
        <v>2370</v>
      </c>
      <c r="C133" s="2" t="s">
        <v>2371</v>
      </c>
      <c r="D133" s="3">
        <v>20.9</v>
      </c>
      <c r="E133" s="3">
        <v>1.31</v>
      </c>
      <c r="F133" s="3">
        <v>0</v>
      </c>
      <c r="G133" s="3">
        <v>0</v>
      </c>
      <c r="H133" s="3">
        <v>1160</v>
      </c>
      <c r="I133" s="3">
        <v>0.22</v>
      </c>
      <c r="J133" s="3">
        <v>0.25</v>
      </c>
      <c r="K133" s="3">
        <v>0.19</v>
      </c>
    </row>
    <row r="134" spans="2:11" x14ac:dyDescent="0.25">
      <c r="B134" s="2" t="s">
        <v>2372</v>
      </c>
      <c r="C134" s="2" t="s">
        <v>2373</v>
      </c>
      <c r="D134" s="3">
        <v>13.5</v>
      </c>
      <c r="E134" s="3">
        <v>7.7</v>
      </c>
      <c r="F134" s="3">
        <v>0.4</v>
      </c>
      <c r="G134" s="3">
        <v>4</v>
      </c>
      <c r="H134" s="3">
        <v>1200</v>
      </c>
      <c r="I134" s="3">
        <v>0.11799999999999999</v>
      </c>
      <c r="J134" s="3">
        <v>0.59099999999999997</v>
      </c>
      <c r="K134" s="3">
        <v>0.37</v>
      </c>
    </row>
    <row r="135" spans="2:11" x14ac:dyDescent="0.25">
      <c r="B135" s="2" t="s">
        <v>2374</v>
      </c>
      <c r="C135" s="2" t="s">
        <v>2375</v>
      </c>
      <c r="D135" s="3">
        <v>11.69</v>
      </c>
      <c r="E135" s="3">
        <v>2.66</v>
      </c>
      <c r="F135" s="3">
        <v>0</v>
      </c>
      <c r="G135" s="3">
        <v>1.27</v>
      </c>
      <c r="H135" s="3">
        <v>852</v>
      </c>
      <c r="I135" s="3">
        <v>11.593</v>
      </c>
      <c r="J135" s="3">
        <v>12.722</v>
      </c>
      <c r="K135" s="3">
        <v>0.80800000000000005</v>
      </c>
    </row>
    <row r="136" spans="2:11" x14ac:dyDescent="0.25">
      <c r="B136" s="2" t="s">
        <v>2376</v>
      </c>
      <c r="C136" s="2" t="s">
        <v>2377</v>
      </c>
      <c r="D136" s="3">
        <v>9.77</v>
      </c>
      <c r="E136" s="3">
        <v>4.9000000000000004</v>
      </c>
      <c r="F136" s="3">
        <v>0</v>
      </c>
      <c r="H136" s="3">
        <v>1013</v>
      </c>
      <c r="I136" s="3">
        <v>7.22</v>
      </c>
      <c r="J136" s="3">
        <v>10.743</v>
      </c>
      <c r="K136" s="3">
        <v>3.9630000000000001</v>
      </c>
    </row>
    <row r="137" spans="2:11" x14ac:dyDescent="0.25">
      <c r="B137" s="2" t="s">
        <v>2378</v>
      </c>
      <c r="C137" s="2" t="s">
        <v>2379</v>
      </c>
      <c r="D137" s="3">
        <v>10.26</v>
      </c>
      <c r="E137" s="3">
        <v>4.17</v>
      </c>
      <c r="F137" s="3">
        <v>0</v>
      </c>
      <c r="H137" s="3">
        <v>1090</v>
      </c>
      <c r="I137" s="3">
        <v>7.6660000000000004</v>
      </c>
      <c r="J137" s="3">
        <v>11.385999999999999</v>
      </c>
      <c r="K137" s="3">
        <v>4.4039999999999999</v>
      </c>
    </row>
    <row r="138" spans="2:11" x14ac:dyDescent="0.25">
      <c r="B138" s="2" t="s">
        <v>2380</v>
      </c>
      <c r="C138" s="2" t="s">
        <v>2381</v>
      </c>
      <c r="D138" s="3">
        <v>8.06</v>
      </c>
      <c r="E138" s="3">
        <v>14.06</v>
      </c>
      <c r="F138" s="3">
        <v>0.3</v>
      </c>
      <c r="G138" s="3">
        <v>0.2</v>
      </c>
      <c r="H138" s="3">
        <v>482</v>
      </c>
      <c r="I138" s="3">
        <v>4.7320000000000002</v>
      </c>
      <c r="J138" s="3">
        <v>6.1559999999999997</v>
      </c>
      <c r="K138" s="3">
        <v>1.6639999999999999</v>
      </c>
    </row>
    <row r="139" spans="2:11" x14ac:dyDescent="0.25">
      <c r="B139" s="2" t="s">
        <v>2382</v>
      </c>
      <c r="C139" s="2" t="s">
        <v>2383</v>
      </c>
      <c r="D139" s="3">
        <v>9.8800000000000008</v>
      </c>
      <c r="E139" s="3">
        <v>5.65</v>
      </c>
      <c r="F139" s="3">
        <v>0</v>
      </c>
      <c r="G139" s="3">
        <v>0</v>
      </c>
      <c r="H139" s="3">
        <v>922</v>
      </c>
      <c r="I139" s="3">
        <v>7.99</v>
      </c>
      <c r="J139" s="3">
        <v>10.555</v>
      </c>
      <c r="K139" s="3">
        <v>4.6719999999999997</v>
      </c>
    </row>
    <row r="140" spans="2:11" x14ac:dyDescent="0.25">
      <c r="B140" s="2" t="s">
        <v>2384</v>
      </c>
      <c r="C140" s="2" t="s">
        <v>2385</v>
      </c>
      <c r="D140" s="3">
        <v>15.12</v>
      </c>
      <c r="E140" s="3">
        <v>0.62</v>
      </c>
      <c r="F140" s="3">
        <v>0</v>
      </c>
      <c r="G140" s="3">
        <v>0.62</v>
      </c>
      <c r="H140" s="3">
        <v>990</v>
      </c>
      <c r="I140" s="3">
        <v>13.557</v>
      </c>
      <c r="J140" s="3">
        <v>16.448</v>
      </c>
      <c r="K140" s="3">
        <v>8.0410000000000004</v>
      </c>
    </row>
    <row r="141" spans="2:11" x14ac:dyDescent="0.25">
      <c r="B141" s="2" t="s">
        <v>2386</v>
      </c>
      <c r="C141" s="2" t="s">
        <v>2387</v>
      </c>
      <c r="D141" s="3">
        <v>15.5</v>
      </c>
      <c r="E141" s="3">
        <v>0.03</v>
      </c>
      <c r="F141" s="3">
        <v>0</v>
      </c>
      <c r="G141" s="3">
        <v>0</v>
      </c>
      <c r="H141" s="3">
        <v>822</v>
      </c>
      <c r="I141" s="3">
        <v>15.098000000000001</v>
      </c>
      <c r="J141" s="3">
        <v>16.387</v>
      </c>
      <c r="K141" s="3">
        <v>1.0249999999999999</v>
      </c>
    </row>
    <row r="142" spans="2:11" x14ac:dyDescent="0.25">
      <c r="B142" s="2" t="s">
        <v>2388</v>
      </c>
      <c r="C142" s="2" t="s">
        <v>2389</v>
      </c>
      <c r="D142" s="3">
        <v>18.79</v>
      </c>
      <c r="E142" s="3">
        <v>0.47</v>
      </c>
      <c r="F142" s="3">
        <v>0</v>
      </c>
      <c r="G142" s="3">
        <v>0</v>
      </c>
      <c r="H142" s="3">
        <v>593</v>
      </c>
      <c r="I142" s="3">
        <v>1.9630000000000001</v>
      </c>
      <c r="J142" s="3">
        <v>2.6240000000000001</v>
      </c>
      <c r="K142" s="3">
        <v>2.3860000000000001</v>
      </c>
    </row>
    <row r="143" spans="2:11" x14ac:dyDescent="0.25">
      <c r="B143" s="2" t="s">
        <v>2390</v>
      </c>
      <c r="C143" s="2" t="s">
        <v>2391</v>
      </c>
      <c r="D143" s="3">
        <v>18.21</v>
      </c>
      <c r="E143" s="3">
        <v>0.35</v>
      </c>
      <c r="F143" s="3">
        <v>0</v>
      </c>
      <c r="G143" s="3">
        <v>0</v>
      </c>
      <c r="H143" s="3">
        <v>813</v>
      </c>
      <c r="I143" s="3">
        <v>10.904999999999999</v>
      </c>
      <c r="J143" s="3">
        <v>12.638999999999999</v>
      </c>
      <c r="K143" s="3">
        <v>0.66300000000000003</v>
      </c>
    </row>
    <row r="144" spans="2:11" x14ac:dyDescent="0.25">
      <c r="B144" s="2" t="s">
        <v>2392</v>
      </c>
      <c r="C144" s="2" t="s">
        <v>2393</v>
      </c>
      <c r="D144" s="3">
        <v>12.05</v>
      </c>
      <c r="E144" s="3">
        <v>3.63</v>
      </c>
      <c r="F144" s="3">
        <v>0</v>
      </c>
      <c r="G144" s="3">
        <v>0</v>
      </c>
      <c r="H144" s="3">
        <v>876</v>
      </c>
      <c r="I144" s="3">
        <v>9.8810000000000002</v>
      </c>
      <c r="J144" s="3">
        <v>13.054</v>
      </c>
      <c r="K144" s="3">
        <v>4.5039999999999996</v>
      </c>
    </row>
    <row r="145" spans="2:11" x14ac:dyDescent="0.25">
      <c r="B145" s="2" t="s">
        <v>2394</v>
      </c>
      <c r="C145" s="2" t="s">
        <v>2395</v>
      </c>
      <c r="D145" s="3">
        <v>23.89</v>
      </c>
      <c r="E145" s="3">
        <v>0</v>
      </c>
      <c r="F145" s="3">
        <v>0</v>
      </c>
      <c r="G145" s="3">
        <v>0</v>
      </c>
      <c r="H145" s="3">
        <v>665</v>
      </c>
      <c r="I145" s="3">
        <v>2.266</v>
      </c>
      <c r="J145" s="3">
        <v>2.99</v>
      </c>
      <c r="K145" s="3">
        <v>2.706</v>
      </c>
    </row>
    <row r="146" spans="2:11" x14ac:dyDescent="0.25">
      <c r="B146" s="2" t="s">
        <v>2396</v>
      </c>
      <c r="C146" s="2" t="s">
        <v>2397</v>
      </c>
      <c r="D146" s="3">
        <v>11.33</v>
      </c>
      <c r="E146" s="3">
        <v>5.61</v>
      </c>
      <c r="F146" s="3">
        <v>0</v>
      </c>
      <c r="G146" s="3">
        <v>0</v>
      </c>
      <c r="H146" s="3">
        <v>1120</v>
      </c>
      <c r="I146" s="3">
        <v>6.9969999999999999</v>
      </c>
      <c r="J146" s="3">
        <v>9.6980000000000004</v>
      </c>
      <c r="K146" s="3">
        <v>3.4750000000000001</v>
      </c>
    </row>
    <row r="147" spans="2:11" x14ac:dyDescent="0.25">
      <c r="B147" s="2" t="s">
        <v>2398</v>
      </c>
      <c r="C147" s="2" t="s">
        <v>2399</v>
      </c>
      <c r="D147" s="3">
        <v>10.31</v>
      </c>
      <c r="E147" s="3">
        <v>4.1900000000000004</v>
      </c>
      <c r="F147" s="3">
        <v>0</v>
      </c>
      <c r="G147" s="3">
        <v>0</v>
      </c>
      <c r="H147" s="3">
        <v>1240</v>
      </c>
      <c r="I147" s="3">
        <v>9.8629999999999995</v>
      </c>
      <c r="J147" s="3">
        <v>13.172000000000001</v>
      </c>
      <c r="K147" s="3">
        <v>4.3479999999999999</v>
      </c>
    </row>
    <row r="148" spans="2:11" x14ac:dyDescent="0.25">
      <c r="B148" s="2" t="s">
        <v>2400</v>
      </c>
      <c r="C148" s="2" t="s">
        <v>2401</v>
      </c>
      <c r="D148" s="3">
        <v>17.399999999999999</v>
      </c>
      <c r="E148" s="3">
        <v>2.92</v>
      </c>
      <c r="F148" s="3">
        <v>0</v>
      </c>
      <c r="G148" s="3">
        <v>0.75</v>
      </c>
      <c r="H148" s="3">
        <v>1032</v>
      </c>
      <c r="I148" s="3">
        <v>0.56399999999999995</v>
      </c>
      <c r="J148" s="3">
        <v>0.74</v>
      </c>
      <c r="K148" s="3">
        <v>0.45200000000000001</v>
      </c>
    </row>
    <row r="149" spans="2:11" x14ac:dyDescent="0.25">
      <c r="B149" s="2" t="s">
        <v>2402</v>
      </c>
      <c r="C149" s="2" t="s">
        <v>2403</v>
      </c>
      <c r="D149" s="3">
        <v>9.7200000000000006</v>
      </c>
      <c r="E149" s="3">
        <v>5.0199999999999996</v>
      </c>
      <c r="F149" s="3">
        <v>0</v>
      </c>
      <c r="G149" s="3">
        <v>2.75</v>
      </c>
      <c r="H149" s="3">
        <v>976</v>
      </c>
      <c r="I149" s="3">
        <v>7.5830000000000002</v>
      </c>
      <c r="J149" s="3">
        <v>9.9290000000000003</v>
      </c>
      <c r="K149" s="3">
        <v>5.3860000000000001</v>
      </c>
    </row>
    <row r="150" spans="2:11" x14ac:dyDescent="0.25">
      <c r="B150" s="2" t="s">
        <v>2404</v>
      </c>
      <c r="C150" s="2" t="s">
        <v>2405</v>
      </c>
      <c r="D150" s="3">
        <v>10.31</v>
      </c>
      <c r="E150" s="3">
        <v>4.96</v>
      </c>
      <c r="F150" s="3">
        <v>0</v>
      </c>
      <c r="G150" s="3">
        <v>2.7</v>
      </c>
      <c r="H150" s="3">
        <v>914</v>
      </c>
      <c r="I150" s="3">
        <v>8.2159999999999993</v>
      </c>
      <c r="J150" s="3">
        <v>10.759</v>
      </c>
      <c r="K150" s="3">
        <v>5.7130000000000001</v>
      </c>
    </row>
    <row r="151" spans="2:11" x14ac:dyDescent="0.25">
      <c r="B151" s="2" t="s">
        <v>2406</v>
      </c>
      <c r="C151" s="2" t="s">
        <v>2407</v>
      </c>
      <c r="D151" s="3">
        <v>10.67</v>
      </c>
      <c r="E151" s="3">
        <v>5.24</v>
      </c>
      <c r="F151" s="3">
        <v>0</v>
      </c>
      <c r="G151" s="3">
        <v>2.85</v>
      </c>
      <c r="H151" s="3">
        <v>1079</v>
      </c>
      <c r="I151" s="3">
        <v>8.218</v>
      </c>
      <c r="J151" s="3">
        <v>10.723000000000001</v>
      </c>
      <c r="K151" s="3">
        <v>5.8819999999999997</v>
      </c>
    </row>
    <row r="152" spans="2:11" x14ac:dyDescent="0.25">
      <c r="B152" s="2" t="s">
        <v>2408</v>
      </c>
      <c r="C152" s="2" t="s">
        <v>2409</v>
      </c>
      <c r="D152" s="3">
        <v>16.75</v>
      </c>
      <c r="E152" s="3">
        <v>0.2</v>
      </c>
      <c r="F152" s="3">
        <v>0</v>
      </c>
      <c r="G152" s="3">
        <v>0</v>
      </c>
      <c r="H152" s="3">
        <v>581</v>
      </c>
      <c r="I152" s="3">
        <v>4.3680000000000003</v>
      </c>
      <c r="J152" s="3">
        <v>5.89</v>
      </c>
      <c r="K152" s="3">
        <v>3.0249999999999999</v>
      </c>
    </row>
    <row r="153" spans="2:11" x14ac:dyDescent="0.25">
      <c r="B153" s="2" t="s">
        <v>2410</v>
      </c>
      <c r="C153" s="2" t="s">
        <v>2411</v>
      </c>
      <c r="D153" s="3">
        <v>20.94</v>
      </c>
      <c r="E153" s="3">
        <v>0.15</v>
      </c>
      <c r="F153" s="3">
        <v>0</v>
      </c>
      <c r="G153" s="3">
        <v>0</v>
      </c>
      <c r="H153" s="3">
        <v>698</v>
      </c>
      <c r="I153" s="3">
        <v>6.0339999999999998</v>
      </c>
      <c r="J153" s="3">
        <v>8.02</v>
      </c>
      <c r="K153" s="3">
        <v>4.1920000000000002</v>
      </c>
    </row>
    <row r="154" spans="2:11" x14ac:dyDescent="0.25">
      <c r="B154" s="2" t="s">
        <v>2412</v>
      </c>
      <c r="C154" s="2" t="s">
        <v>2413</v>
      </c>
      <c r="D154" s="3">
        <v>13.46</v>
      </c>
      <c r="E154" s="3">
        <v>0.69</v>
      </c>
      <c r="F154" s="3">
        <v>0</v>
      </c>
      <c r="G154" s="3">
        <v>0.53</v>
      </c>
      <c r="H154" s="3">
        <v>810</v>
      </c>
      <c r="I154" s="3">
        <v>12.129</v>
      </c>
      <c r="J154" s="3">
        <v>14.736000000000001</v>
      </c>
      <c r="K154" s="3">
        <v>6.9160000000000004</v>
      </c>
    </row>
    <row r="155" spans="2:11" x14ac:dyDescent="0.25">
      <c r="B155" s="2" t="s">
        <v>2414</v>
      </c>
      <c r="C155" s="2" t="s">
        <v>2415</v>
      </c>
      <c r="D155" s="3">
        <v>12.45</v>
      </c>
      <c r="E155" s="3">
        <v>5.03</v>
      </c>
      <c r="F155" s="3">
        <v>0</v>
      </c>
      <c r="G155" s="3">
        <v>2.39</v>
      </c>
      <c r="H155" s="3">
        <v>1062</v>
      </c>
      <c r="I155" s="3">
        <v>9.8940000000000001</v>
      </c>
      <c r="J155" s="3">
        <v>12.564</v>
      </c>
      <c r="K155" s="3">
        <v>5.383</v>
      </c>
    </row>
    <row r="156" spans="2:11" x14ac:dyDescent="0.25">
      <c r="B156" s="2" t="s">
        <v>2416</v>
      </c>
      <c r="C156" s="2" t="s">
        <v>2417</v>
      </c>
      <c r="D156" s="3">
        <v>12.36</v>
      </c>
      <c r="E156" s="3">
        <v>4.78</v>
      </c>
      <c r="F156" s="3">
        <v>0</v>
      </c>
      <c r="G156" s="3">
        <v>2.38</v>
      </c>
      <c r="H156" s="3">
        <v>1046</v>
      </c>
      <c r="I156" s="3">
        <v>9.4870000000000001</v>
      </c>
      <c r="J156" s="3">
        <v>11.79</v>
      </c>
      <c r="K156" s="3">
        <v>5.4580000000000002</v>
      </c>
    </row>
    <row r="157" spans="2:11" x14ac:dyDescent="0.25">
      <c r="B157" s="2" t="s">
        <v>2418</v>
      </c>
      <c r="C157" s="2" t="s">
        <v>2419</v>
      </c>
      <c r="D157" s="3">
        <v>10.84</v>
      </c>
      <c r="E157" s="3">
        <v>3.72</v>
      </c>
      <c r="F157" s="3">
        <v>0</v>
      </c>
      <c r="G157" s="3">
        <v>2.0499999999999998</v>
      </c>
      <c r="H157" s="3">
        <v>928</v>
      </c>
      <c r="I157" s="3">
        <v>9.6839999999999993</v>
      </c>
      <c r="J157" s="3">
        <v>12.186</v>
      </c>
      <c r="K157" s="3">
        <v>5.3</v>
      </c>
    </row>
    <row r="158" spans="2:11" x14ac:dyDescent="0.25">
      <c r="B158" s="2" t="s">
        <v>2420</v>
      </c>
      <c r="C158" s="2" t="s">
        <v>2421</v>
      </c>
      <c r="D158" s="3">
        <v>10.34</v>
      </c>
      <c r="E158" s="3">
        <v>6.31</v>
      </c>
      <c r="F158" s="3">
        <v>0</v>
      </c>
      <c r="G158" s="3">
        <v>1.97</v>
      </c>
      <c r="H158" s="3">
        <v>1379</v>
      </c>
      <c r="I158" s="3">
        <v>7.3890000000000002</v>
      </c>
      <c r="J158" s="3">
        <v>10.269</v>
      </c>
      <c r="K158" s="3">
        <v>4.59</v>
      </c>
    </row>
    <row r="159" spans="2:11" x14ac:dyDescent="0.25">
      <c r="B159" s="2" t="s">
        <v>2422</v>
      </c>
      <c r="C159" s="2" t="s">
        <v>2423</v>
      </c>
      <c r="D159" s="3">
        <v>14.4</v>
      </c>
      <c r="E159" s="3">
        <v>8.06</v>
      </c>
      <c r="F159" s="3">
        <v>2.2999999999999998</v>
      </c>
      <c r="G159" s="3">
        <v>3.47</v>
      </c>
      <c r="H159" s="3">
        <v>666</v>
      </c>
      <c r="I159" s="3">
        <v>7.6269999999999998</v>
      </c>
      <c r="J159" s="3">
        <v>9.1880000000000006</v>
      </c>
      <c r="K159" s="3">
        <v>3.3460000000000001</v>
      </c>
    </row>
    <row r="160" spans="2:11" x14ac:dyDescent="0.25">
      <c r="B160" s="2" t="s">
        <v>2424</v>
      </c>
      <c r="C160" s="2" t="s">
        <v>2425</v>
      </c>
      <c r="D160" s="3">
        <v>29.5</v>
      </c>
      <c r="E160" s="3">
        <v>4.24</v>
      </c>
      <c r="F160" s="3">
        <v>0</v>
      </c>
      <c r="G160" s="3">
        <v>4.24</v>
      </c>
      <c r="H160" s="3">
        <v>2021</v>
      </c>
      <c r="I160" s="3">
        <v>6.9329999999999998</v>
      </c>
      <c r="J160" s="3">
        <v>9.3819999999999997</v>
      </c>
      <c r="K160" s="3">
        <v>6.8710000000000004</v>
      </c>
    </row>
    <row r="161" spans="2:11" x14ac:dyDescent="0.25">
      <c r="B161" s="2" t="s">
        <v>2426</v>
      </c>
      <c r="C161" s="2" t="s">
        <v>2427</v>
      </c>
      <c r="D161" s="3">
        <v>13.33</v>
      </c>
      <c r="E161" s="3">
        <v>4.8</v>
      </c>
      <c r="F161" s="3">
        <v>0</v>
      </c>
      <c r="G161" s="3">
        <v>0</v>
      </c>
      <c r="H161" s="3">
        <v>900</v>
      </c>
      <c r="I161" s="3">
        <v>6.6669999999999998</v>
      </c>
      <c r="J161" s="3">
        <v>8.5709999999999997</v>
      </c>
      <c r="K161" s="3">
        <v>4.2750000000000004</v>
      </c>
    </row>
    <row r="162" spans="2:11" x14ac:dyDescent="0.25">
      <c r="B162" s="2" t="s">
        <v>2428</v>
      </c>
      <c r="C162" s="2" t="s">
        <v>2429</v>
      </c>
      <c r="D162" s="3">
        <v>21.43</v>
      </c>
      <c r="E162" s="3">
        <v>14.25</v>
      </c>
      <c r="F162" s="3">
        <v>0</v>
      </c>
      <c r="G162" s="3">
        <v>0.81</v>
      </c>
      <c r="H162" s="3">
        <v>446</v>
      </c>
      <c r="I162" s="3">
        <v>0.89300000000000002</v>
      </c>
      <c r="J162" s="3">
        <v>1.7969999999999999</v>
      </c>
      <c r="K162" s="3">
        <v>1.526</v>
      </c>
    </row>
    <row r="163" spans="2:11" x14ac:dyDescent="0.25">
      <c r="B163" s="2" t="s">
        <v>2430</v>
      </c>
      <c r="C163" s="2" t="s">
        <v>2431</v>
      </c>
      <c r="D163" s="3">
        <v>18.52</v>
      </c>
      <c r="E163" s="3">
        <v>10.7</v>
      </c>
      <c r="F163" s="3">
        <v>0</v>
      </c>
      <c r="G163" s="3">
        <v>10.68</v>
      </c>
      <c r="H163" s="3">
        <v>1062</v>
      </c>
      <c r="I163" s="3">
        <v>1.786</v>
      </c>
      <c r="J163" s="3">
        <v>0.60899999999999999</v>
      </c>
      <c r="K163" s="3">
        <v>0.187</v>
      </c>
    </row>
    <row r="164" spans="2:11" x14ac:dyDescent="0.25">
      <c r="B164" s="2" t="s">
        <v>2432</v>
      </c>
      <c r="C164" s="2" t="s">
        <v>2433</v>
      </c>
      <c r="D164" s="3">
        <v>9.41</v>
      </c>
      <c r="E164" s="3">
        <v>8.1300000000000008</v>
      </c>
      <c r="F164" s="3">
        <v>0</v>
      </c>
      <c r="G164" s="3">
        <v>0</v>
      </c>
      <c r="H164" s="3">
        <v>294</v>
      </c>
      <c r="I164" s="3">
        <v>8.2349999999999994</v>
      </c>
      <c r="J164" s="3">
        <v>9.7219999999999995</v>
      </c>
      <c r="K164" s="3">
        <v>3.4009999999999998</v>
      </c>
    </row>
    <row r="165" spans="2:11" x14ac:dyDescent="0.25">
      <c r="B165" s="2" t="s">
        <v>2434</v>
      </c>
      <c r="C165" s="2" t="s">
        <v>2435</v>
      </c>
      <c r="D165" s="3">
        <v>10.71</v>
      </c>
      <c r="E165" s="3">
        <v>0.11</v>
      </c>
      <c r="F165" s="3">
        <v>0.1</v>
      </c>
      <c r="G165" s="3">
        <v>0.02</v>
      </c>
      <c r="H165" s="3">
        <v>679</v>
      </c>
      <c r="I165" s="3">
        <v>10.714</v>
      </c>
      <c r="J165" s="3">
        <v>4.3780000000000001</v>
      </c>
      <c r="K165" s="3">
        <v>1.484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F67DB-3C46-FC41-A2AD-2960DD171154}">
  <sheetPr codeName="Sheet10"/>
  <dimension ref="A1:K208"/>
  <sheetViews>
    <sheetView topLeftCell="N1" workbookViewId="0">
      <selection activeCell="D220" sqref="D220"/>
    </sheetView>
  </sheetViews>
  <sheetFormatPr defaultColWidth="11" defaultRowHeight="15.75" x14ac:dyDescent="0.25"/>
  <cols>
    <col min="3" max="3" width="56.6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08001</v>
      </c>
      <c r="C3" s="10" t="str" cm="1">
        <f t="array" ref="C3">INDEX($B$11:$K$208, $A$3, C1)</f>
        <v>CEREALS RTE,KELLOGG,KELLOGG'S ALL-BRAN ORIGINAL</v>
      </c>
      <c r="D3" s="10" cm="1">
        <f t="array" ref="D3">INDEX($B$11:$K$74, $A$3, D1)</f>
        <v>13.14</v>
      </c>
      <c r="E3" s="10" cm="1">
        <f t="array" ref="E3">INDEX($B$11:$K$74, $A$3, E1)</f>
        <v>74.239999999999995</v>
      </c>
      <c r="F3" s="10" cm="1">
        <f t="array" ref="F3">INDEX($B$11:$K$74, $A$3, F1)</f>
        <v>29.3</v>
      </c>
      <c r="G3" s="10" cm="1">
        <f t="array" ref="G3">INDEX($B$11:$K$74, $A$3, G1)</f>
        <v>15.69</v>
      </c>
      <c r="H3" s="10" cm="1">
        <f t="array" ref="H3">INDEX($B$11:$K$74, $A$3, H1)</f>
        <v>258</v>
      </c>
      <c r="I3" s="10" cm="1">
        <f t="array" ref="I3">INDEX($B$11:$K$74, $A$3, I1)</f>
        <v>1.1000000000000001</v>
      </c>
      <c r="J3" s="10" cm="1">
        <f t="array" ref="J3">INDEX($B$11:$K$74, $A$3, J1)</f>
        <v>0.89</v>
      </c>
      <c r="K3" s="10" cm="1">
        <f t="array" ref="K3">INDEX($B$11:$K$74, $A$3, K1)</f>
        <v>2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148.47999999999999</v>
      </c>
      <c r="F6" s="10">
        <f>A6*F3</f>
        <v>0</v>
      </c>
      <c r="G6" s="10">
        <f>A7*G3</f>
        <v>31.38</v>
      </c>
      <c r="H6" s="12">
        <f>A6*H3</f>
        <v>0</v>
      </c>
      <c r="I6" s="12">
        <f>A6*I3</f>
        <v>0</v>
      </c>
      <c r="J6" s="12">
        <f>A7*J3</f>
        <v>1.78</v>
      </c>
      <c r="K6" s="10">
        <f>A7*K3</f>
        <v>4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2436</v>
      </c>
      <c r="C11" s="2" t="s">
        <v>2437</v>
      </c>
      <c r="D11" s="3">
        <v>13.14</v>
      </c>
      <c r="E11" s="3">
        <v>74.239999999999995</v>
      </c>
      <c r="F11" s="3">
        <v>29.3</v>
      </c>
      <c r="G11" s="3">
        <v>15.69</v>
      </c>
      <c r="H11" s="3">
        <v>258</v>
      </c>
      <c r="I11" s="3">
        <v>1.1000000000000001</v>
      </c>
      <c r="J11" s="3">
        <v>0.89</v>
      </c>
      <c r="K11" s="3">
        <v>2</v>
      </c>
    </row>
    <row r="12" spans="1:11" x14ac:dyDescent="0.25">
      <c r="B12" s="2" t="s">
        <v>2438</v>
      </c>
      <c r="C12" s="2" t="s">
        <v>2439</v>
      </c>
      <c r="D12" s="3">
        <v>10</v>
      </c>
      <c r="E12" s="3">
        <v>80.3</v>
      </c>
      <c r="F12" s="3">
        <v>7.1</v>
      </c>
      <c r="G12" s="3">
        <v>21</v>
      </c>
      <c r="H12" s="3">
        <v>592</v>
      </c>
      <c r="I12" s="3">
        <v>1.1000000000000001</v>
      </c>
      <c r="J12" s="3">
        <v>1.5</v>
      </c>
      <c r="K12" s="3">
        <v>1.8</v>
      </c>
    </row>
    <row r="13" spans="1:11" x14ac:dyDescent="0.25">
      <c r="B13" s="2" t="s">
        <v>2440</v>
      </c>
      <c r="C13" s="2" t="s">
        <v>2441</v>
      </c>
      <c r="D13" s="3">
        <v>5.0999999999999996</v>
      </c>
      <c r="E13" s="3">
        <v>88.2</v>
      </c>
      <c r="F13" s="3">
        <v>9.3000000000000007</v>
      </c>
      <c r="G13" s="3">
        <v>43.7</v>
      </c>
      <c r="H13" s="3">
        <v>466</v>
      </c>
      <c r="I13" s="3">
        <v>1.9</v>
      </c>
      <c r="J13" s="3">
        <v>0.6</v>
      </c>
      <c r="K13" s="3">
        <v>0.9</v>
      </c>
    </row>
    <row r="14" spans="1:11" x14ac:dyDescent="0.25">
      <c r="B14" s="2" t="s">
        <v>2442</v>
      </c>
      <c r="C14" s="2" t="s">
        <v>2443</v>
      </c>
      <c r="D14" s="3">
        <v>8.9</v>
      </c>
      <c r="E14" s="3">
        <v>81</v>
      </c>
      <c r="F14" s="3">
        <v>42.5</v>
      </c>
      <c r="G14" s="3">
        <v>26.7</v>
      </c>
      <c r="H14" s="3">
        <v>685</v>
      </c>
      <c r="I14" s="3">
        <v>0.5</v>
      </c>
      <c r="J14" s="3">
        <v>0.5</v>
      </c>
      <c r="K14" s="3">
        <v>1.5</v>
      </c>
    </row>
    <row r="15" spans="1:11" x14ac:dyDescent="0.25">
      <c r="B15" s="2" t="s">
        <v>2444</v>
      </c>
      <c r="C15" s="2" t="s">
        <v>2445</v>
      </c>
      <c r="D15" s="3">
        <v>4.3899999999999997</v>
      </c>
      <c r="E15" s="3">
        <v>85.51</v>
      </c>
      <c r="F15" s="3">
        <v>2.5</v>
      </c>
      <c r="G15" s="3">
        <v>44.32</v>
      </c>
      <c r="H15" s="3">
        <v>754</v>
      </c>
      <c r="I15" s="3">
        <v>3.3460000000000001</v>
      </c>
      <c r="J15" s="3">
        <v>0.63900000000000001</v>
      </c>
      <c r="K15" s="3">
        <v>0.747</v>
      </c>
    </row>
    <row r="16" spans="1:11" x14ac:dyDescent="0.25">
      <c r="B16" s="2" t="s">
        <v>2446</v>
      </c>
      <c r="C16" s="2" t="s">
        <v>2447</v>
      </c>
      <c r="D16" s="3">
        <v>4.45</v>
      </c>
      <c r="E16" s="3">
        <v>85.93</v>
      </c>
      <c r="F16" s="3">
        <v>2.6</v>
      </c>
      <c r="G16" s="3">
        <v>44.2</v>
      </c>
      <c r="H16" s="3">
        <v>725</v>
      </c>
      <c r="I16" s="3">
        <v>3.08</v>
      </c>
      <c r="J16" s="3">
        <v>0.63</v>
      </c>
      <c r="K16" s="3">
        <v>0.75</v>
      </c>
    </row>
    <row r="17" spans="2:11" x14ac:dyDescent="0.25">
      <c r="B17" s="2" t="s">
        <v>2448</v>
      </c>
      <c r="C17" s="2" t="s">
        <v>2449</v>
      </c>
      <c r="D17" s="3">
        <v>7.1</v>
      </c>
      <c r="E17" s="3">
        <v>78.650000000000006</v>
      </c>
      <c r="F17" s="3">
        <v>2.7</v>
      </c>
      <c r="G17" s="3">
        <v>33.36</v>
      </c>
      <c r="H17" s="3">
        <v>742</v>
      </c>
      <c r="I17" s="3">
        <v>3.92</v>
      </c>
      <c r="J17" s="3">
        <v>2.641</v>
      </c>
      <c r="K17" s="3">
        <v>2.1480000000000001</v>
      </c>
    </row>
    <row r="18" spans="2:11" x14ac:dyDescent="0.25">
      <c r="B18" s="2" t="s">
        <v>2450</v>
      </c>
      <c r="C18" s="2" t="s">
        <v>2451</v>
      </c>
      <c r="D18" s="3">
        <v>12.09</v>
      </c>
      <c r="E18" s="3">
        <v>73.23</v>
      </c>
      <c r="F18" s="3">
        <v>9.4</v>
      </c>
      <c r="G18" s="3">
        <v>4.3600000000000003</v>
      </c>
      <c r="H18" s="3">
        <v>497</v>
      </c>
      <c r="I18" s="3">
        <v>1.5</v>
      </c>
      <c r="J18" s="3">
        <v>2.3759999999999999</v>
      </c>
      <c r="K18" s="3">
        <v>2.4319999999999999</v>
      </c>
    </row>
    <row r="19" spans="2:11" x14ac:dyDescent="0.25">
      <c r="B19" s="2" t="s">
        <v>2452</v>
      </c>
      <c r="C19" s="2" t="s">
        <v>2453</v>
      </c>
      <c r="D19" s="3">
        <v>4.5999999999999996</v>
      </c>
      <c r="E19" s="3">
        <v>87.9</v>
      </c>
      <c r="F19" s="3">
        <v>1.4</v>
      </c>
      <c r="G19" s="3">
        <v>38.6</v>
      </c>
      <c r="H19" s="3">
        <v>424</v>
      </c>
      <c r="I19" s="3">
        <v>2.1</v>
      </c>
      <c r="J19" s="3">
        <v>0.3</v>
      </c>
      <c r="K19" s="3">
        <v>0.1</v>
      </c>
    </row>
    <row r="20" spans="2:11" x14ac:dyDescent="0.25">
      <c r="B20" s="2" t="s">
        <v>2454</v>
      </c>
      <c r="C20" s="2" t="s">
        <v>2455</v>
      </c>
      <c r="D20" s="3">
        <v>4.8</v>
      </c>
      <c r="E20" s="3">
        <v>85.7</v>
      </c>
      <c r="F20" s="3">
        <v>1.6</v>
      </c>
      <c r="G20" s="3">
        <v>35.799999999999997</v>
      </c>
      <c r="H20" s="3">
        <v>594</v>
      </c>
      <c r="I20" s="3">
        <v>3.6</v>
      </c>
      <c r="J20" s="3">
        <v>0.2</v>
      </c>
      <c r="K20" s="3">
        <v>0.1</v>
      </c>
    </row>
    <row r="21" spans="2:11" x14ac:dyDescent="0.25">
      <c r="B21" s="2" t="s">
        <v>2456</v>
      </c>
      <c r="C21" s="2" t="s">
        <v>2457</v>
      </c>
      <c r="D21" s="3">
        <v>5.2</v>
      </c>
      <c r="E21" s="3">
        <v>84.5</v>
      </c>
      <c r="F21" s="3">
        <v>5.0999999999999996</v>
      </c>
      <c r="G21" s="3">
        <v>34.799999999999997</v>
      </c>
      <c r="H21" s="3">
        <v>457</v>
      </c>
      <c r="I21" s="3">
        <v>0.8</v>
      </c>
      <c r="J21" s="3">
        <v>1.4</v>
      </c>
      <c r="K21" s="3">
        <v>1.7</v>
      </c>
    </row>
    <row r="22" spans="2:11" x14ac:dyDescent="0.25">
      <c r="B22" s="2" t="s">
        <v>2458</v>
      </c>
      <c r="C22" s="2" t="s">
        <v>2459</v>
      </c>
      <c r="D22" s="3">
        <v>6.37</v>
      </c>
      <c r="E22" s="3">
        <v>83.68</v>
      </c>
      <c r="F22" s="3">
        <v>15.3</v>
      </c>
      <c r="G22" s="3">
        <v>20.66</v>
      </c>
      <c r="H22" s="3">
        <v>759</v>
      </c>
      <c r="I22" s="3">
        <v>2.0299999999999998</v>
      </c>
      <c r="J22" s="3">
        <v>0.77600000000000002</v>
      </c>
      <c r="K22" s="3">
        <v>1.23</v>
      </c>
    </row>
    <row r="23" spans="2:11" x14ac:dyDescent="0.25">
      <c r="B23" s="2" t="s">
        <v>2460</v>
      </c>
      <c r="C23" s="2" t="s">
        <v>2461</v>
      </c>
      <c r="D23" s="3">
        <v>6.4</v>
      </c>
      <c r="E23" s="3">
        <v>85</v>
      </c>
      <c r="F23" s="3">
        <v>4.7</v>
      </c>
      <c r="G23" s="3">
        <v>11.1</v>
      </c>
      <c r="H23" s="3">
        <v>719</v>
      </c>
      <c r="I23" s="3">
        <v>0.4</v>
      </c>
      <c r="J23" s="3">
        <v>0.6</v>
      </c>
      <c r="K23" s="3">
        <v>1.29</v>
      </c>
    </row>
    <row r="24" spans="2:11" x14ac:dyDescent="0.25">
      <c r="B24" s="2" t="s">
        <v>2462</v>
      </c>
      <c r="C24" s="2" t="s">
        <v>2463</v>
      </c>
      <c r="D24" s="3">
        <v>7.5</v>
      </c>
      <c r="E24" s="3">
        <v>84.1</v>
      </c>
      <c r="F24" s="3">
        <v>3.3</v>
      </c>
      <c r="G24" s="3">
        <v>9.5</v>
      </c>
      <c r="H24" s="3">
        <v>729</v>
      </c>
      <c r="I24" s="3">
        <v>0.11600000000000001</v>
      </c>
      <c r="J24" s="3">
        <v>6.7000000000000004E-2</v>
      </c>
      <c r="K24" s="3">
        <v>0.19600000000000001</v>
      </c>
    </row>
    <row r="25" spans="2:11" x14ac:dyDescent="0.25">
      <c r="B25" s="2" t="s">
        <v>2464</v>
      </c>
      <c r="C25" s="2" t="s">
        <v>2465</v>
      </c>
      <c r="D25" s="3">
        <v>9.1999999999999993</v>
      </c>
      <c r="E25" s="3">
        <v>70.3</v>
      </c>
      <c r="F25" s="3">
        <v>12.7</v>
      </c>
      <c r="G25" s="3">
        <v>28</v>
      </c>
      <c r="H25" s="3">
        <v>280</v>
      </c>
      <c r="I25" s="3">
        <v>6.2</v>
      </c>
      <c r="J25" s="3">
        <v>4.9000000000000004</v>
      </c>
      <c r="K25" s="3">
        <v>2.8</v>
      </c>
    </row>
    <row r="26" spans="2:11" x14ac:dyDescent="0.25">
      <c r="B26" s="2" t="s">
        <v>2466</v>
      </c>
      <c r="C26" s="2" t="s">
        <v>2467</v>
      </c>
      <c r="D26" s="3">
        <v>6.69</v>
      </c>
      <c r="E26" s="3">
        <v>86.22</v>
      </c>
      <c r="F26" s="3">
        <v>0.7</v>
      </c>
      <c r="G26" s="3">
        <v>12.12</v>
      </c>
      <c r="H26" s="3">
        <v>545</v>
      </c>
      <c r="I26" s="3">
        <v>0.36</v>
      </c>
      <c r="J26" s="3">
        <v>0.24299999999999999</v>
      </c>
      <c r="K26" s="3">
        <v>0.29299999999999998</v>
      </c>
    </row>
    <row r="27" spans="2:11" x14ac:dyDescent="0.25">
      <c r="B27" s="2" t="s">
        <v>2468</v>
      </c>
      <c r="C27" s="2" t="s">
        <v>2469</v>
      </c>
      <c r="D27" s="3">
        <v>10.199999999999999</v>
      </c>
      <c r="E27" s="3">
        <v>81.599999999999994</v>
      </c>
      <c r="F27" s="3">
        <v>17.3</v>
      </c>
      <c r="G27" s="3">
        <v>18.8</v>
      </c>
      <c r="H27" s="3">
        <v>718</v>
      </c>
      <c r="I27" s="3">
        <v>0.4</v>
      </c>
      <c r="J27" s="3">
        <v>0.4</v>
      </c>
      <c r="K27" s="3">
        <v>1.3</v>
      </c>
    </row>
    <row r="28" spans="2:11" x14ac:dyDescent="0.25">
      <c r="B28" s="2" t="s">
        <v>2470</v>
      </c>
      <c r="C28" s="2" t="s">
        <v>2471</v>
      </c>
      <c r="D28" s="3">
        <v>9.9</v>
      </c>
      <c r="E28" s="3">
        <v>80.5</v>
      </c>
      <c r="F28" s="3">
        <v>18.3</v>
      </c>
      <c r="G28" s="3">
        <v>18.600000000000001</v>
      </c>
      <c r="H28" s="3">
        <v>540</v>
      </c>
      <c r="I28" s="3">
        <v>0.4</v>
      </c>
      <c r="J28" s="3">
        <v>0.3</v>
      </c>
      <c r="K28" s="3">
        <v>1.2</v>
      </c>
    </row>
    <row r="29" spans="2:11" x14ac:dyDescent="0.25">
      <c r="B29" s="2" t="s">
        <v>2472</v>
      </c>
      <c r="C29" s="2" t="s">
        <v>2473</v>
      </c>
      <c r="D29" s="3">
        <v>5.3</v>
      </c>
      <c r="E29" s="3">
        <v>88</v>
      </c>
      <c r="F29" s="3">
        <v>9.3000000000000007</v>
      </c>
      <c r="G29" s="3">
        <v>41.7</v>
      </c>
      <c r="H29" s="3">
        <v>469</v>
      </c>
      <c r="I29" s="3">
        <v>1.8</v>
      </c>
      <c r="J29" s="3">
        <v>0.6</v>
      </c>
      <c r="K29" s="3">
        <v>0.9</v>
      </c>
    </row>
    <row r="30" spans="2:11" x14ac:dyDescent="0.25">
      <c r="B30" s="2" t="s">
        <v>2474</v>
      </c>
      <c r="C30" s="2" t="s">
        <v>2475</v>
      </c>
      <c r="D30" s="3">
        <v>9.1999999999999993</v>
      </c>
      <c r="E30" s="3">
        <v>83.4</v>
      </c>
      <c r="F30" s="3">
        <v>10.8</v>
      </c>
      <c r="G30" s="3">
        <v>20.3</v>
      </c>
      <c r="H30" s="3">
        <v>2</v>
      </c>
      <c r="I30" s="3">
        <v>0.4</v>
      </c>
      <c r="J30" s="3">
        <v>0.2</v>
      </c>
      <c r="K30" s="3">
        <v>0.9</v>
      </c>
    </row>
    <row r="31" spans="2:11" x14ac:dyDescent="0.25">
      <c r="B31" s="2" t="s">
        <v>2476</v>
      </c>
      <c r="C31" s="2" t="s">
        <v>2477</v>
      </c>
      <c r="D31" s="3">
        <v>4.3</v>
      </c>
      <c r="E31" s="3">
        <v>91.3</v>
      </c>
      <c r="F31" s="3">
        <v>0.5</v>
      </c>
      <c r="G31" s="3">
        <v>40.200000000000003</v>
      </c>
      <c r="H31" s="3">
        <v>371</v>
      </c>
      <c r="I31" s="3">
        <v>0.1</v>
      </c>
      <c r="J31" s="3">
        <v>0.1</v>
      </c>
      <c r="K31" s="3">
        <v>0.1</v>
      </c>
    </row>
    <row r="32" spans="2:11" x14ac:dyDescent="0.25">
      <c r="B32" s="2" t="s">
        <v>2478</v>
      </c>
      <c r="C32" s="2" t="s">
        <v>2479</v>
      </c>
      <c r="D32" s="3">
        <v>4.62</v>
      </c>
      <c r="E32" s="3">
        <v>86.1</v>
      </c>
      <c r="F32" s="3">
        <v>0.8</v>
      </c>
      <c r="G32" s="3">
        <v>34.28</v>
      </c>
      <c r="H32" s="3">
        <v>531</v>
      </c>
      <c r="I32" s="3">
        <v>3.6</v>
      </c>
      <c r="J32" s="3">
        <v>0.16</v>
      </c>
      <c r="K32" s="3">
        <v>0.12</v>
      </c>
    </row>
    <row r="33" spans="2:11" x14ac:dyDescent="0.25">
      <c r="B33" s="2" t="s">
        <v>2480</v>
      </c>
      <c r="C33" s="2" t="s">
        <v>2481</v>
      </c>
      <c r="D33" s="3">
        <v>5.3</v>
      </c>
      <c r="E33" s="3">
        <v>85.1</v>
      </c>
      <c r="F33" s="3">
        <v>5.6</v>
      </c>
      <c r="G33" s="3">
        <v>35</v>
      </c>
      <c r="H33" s="3">
        <v>772</v>
      </c>
      <c r="I33" s="3">
        <v>0.4</v>
      </c>
      <c r="J33" s="3">
        <v>1.6</v>
      </c>
      <c r="K33" s="3">
        <v>1</v>
      </c>
    </row>
    <row r="34" spans="2:11" x14ac:dyDescent="0.25">
      <c r="B34" s="2" t="s">
        <v>2482</v>
      </c>
      <c r="C34" s="2" t="s">
        <v>2483</v>
      </c>
      <c r="D34" s="3">
        <v>13.67</v>
      </c>
      <c r="E34" s="3">
        <v>53.88</v>
      </c>
      <c r="F34" s="3">
        <v>8.9</v>
      </c>
      <c r="G34" s="3">
        <v>19.8</v>
      </c>
      <c r="H34" s="3">
        <v>26</v>
      </c>
      <c r="I34" s="3">
        <v>3.9569999999999999</v>
      </c>
      <c r="J34" s="3">
        <v>10.951000000000001</v>
      </c>
      <c r="K34" s="3">
        <v>7.8090000000000002</v>
      </c>
    </row>
    <row r="35" spans="2:11" x14ac:dyDescent="0.25">
      <c r="B35" s="2" t="s">
        <v>2484</v>
      </c>
      <c r="C35" s="2" t="s">
        <v>2485</v>
      </c>
      <c r="D35" s="3">
        <v>11.22</v>
      </c>
      <c r="E35" s="3">
        <v>80.489999999999995</v>
      </c>
      <c r="F35" s="3">
        <v>13</v>
      </c>
      <c r="G35" s="3">
        <v>8.86</v>
      </c>
      <c r="H35" s="3">
        <v>465</v>
      </c>
      <c r="I35" s="3">
        <v>0.34</v>
      </c>
      <c r="J35" s="3">
        <v>0.21</v>
      </c>
      <c r="K35" s="3">
        <v>0.78</v>
      </c>
    </row>
    <row r="36" spans="2:11" x14ac:dyDescent="0.25">
      <c r="B36" s="2" t="s">
        <v>2486</v>
      </c>
      <c r="C36" s="2" t="s">
        <v>2487</v>
      </c>
      <c r="D36" s="3">
        <v>9.4</v>
      </c>
      <c r="E36" s="3">
        <v>82</v>
      </c>
      <c r="F36" s="3">
        <v>10.199999999999999</v>
      </c>
      <c r="G36" s="3">
        <v>15.2</v>
      </c>
      <c r="H36" s="3">
        <v>470</v>
      </c>
      <c r="I36" s="3">
        <v>0.5</v>
      </c>
      <c r="J36" s="3">
        <v>1.5</v>
      </c>
      <c r="K36" s="3">
        <v>1.5</v>
      </c>
    </row>
    <row r="37" spans="2:11" x14ac:dyDescent="0.25">
      <c r="B37" s="2" t="s">
        <v>2488</v>
      </c>
      <c r="C37" s="2" t="s">
        <v>2489</v>
      </c>
      <c r="D37" s="3">
        <v>8.85</v>
      </c>
      <c r="E37" s="3">
        <v>79.69</v>
      </c>
      <c r="F37" s="3">
        <v>7.1</v>
      </c>
      <c r="G37" s="3">
        <v>32.89</v>
      </c>
      <c r="H37" s="3">
        <v>566</v>
      </c>
      <c r="I37" s="3">
        <v>0.52900000000000003</v>
      </c>
      <c r="J37" s="3">
        <v>1.1040000000000001</v>
      </c>
      <c r="K37" s="3">
        <v>1.024</v>
      </c>
    </row>
    <row r="38" spans="2:11" x14ac:dyDescent="0.25">
      <c r="B38" s="2" t="s">
        <v>2490</v>
      </c>
      <c r="C38" s="2" t="s">
        <v>2491</v>
      </c>
      <c r="D38" s="3">
        <v>6.01</v>
      </c>
      <c r="E38" s="3">
        <v>86.63</v>
      </c>
      <c r="F38" s="3">
        <v>3.2</v>
      </c>
      <c r="G38" s="3">
        <v>31.51</v>
      </c>
      <c r="H38" s="3">
        <v>553</v>
      </c>
      <c r="I38" s="3">
        <v>1.29</v>
      </c>
      <c r="J38" s="3">
        <v>0.6</v>
      </c>
      <c r="K38" s="3">
        <v>0.91</v>
      </c>
    </row>
    <row r="39" spans="2:11" x14ac:dyDescent="0.25">
      <c r="B39" s="2" t="s">
        <v>2492</v>
      </c>
      <c r="C39" s="2" t="s">
        <v>2493</v>
      </c>
      <c r="D39" s="3">
        <v>6.41</v>
      </c>
      <c r="E39" s="3">
        <v>83.85</v>
      </c>
      <c r="F39" s="3">
        <v>3.4</v>
      </c>
      <c r="G39" s="3">
        <v>20.27</v>
      </c>
      <c r="H39" s="3">
        <v>825</v>
      </c>
      <c r="I39" s="3">
        <v>1.5840000000000001</v>
      </c>
      <c r="J39" s="3">
        <v>0.64400000000000002</v>
      </c>
      <c r="K39" s="3">
        <v>1.117</v>
      </c>
    </row>
    <row r="40" spans="2:11" x14ac:dyDescent="0.25">
      <c r="B40" s="2" t="s">
        <v>2494</v>
      </c>
      <c r="C40" s="2" t="s">
        <v>2495</v>
      </c>
      <c r="D40" s="3">
        <v>7.69</v>
      </c>
      <c r="E40" s="3">
        <v>82.82</v>
      </c>
      <c r="F40" s="3">
        <v>8.8000000000000007</v>
      </c>
      <c r="G40" s="3">
        <v>9.76</v>
      </c>
      <c r="H40" s="3">
        <v>596</v>
      </c>
      <c r="I40" s="3">
        <v>0.57599999999999996</v>
      </c>
      <c r="J40" s="3">
        <v>0.99</v>
      </c>
      <c r="K40" s="3">
        <v>1.2769999999999999</v>
      </c>
    </row>
    <row r="41" spans="2:11" x14ac:dyDescent="0.25">
      <c r="B41" s="2" t="s">
        <v>2496</v>
      </c>
      <c r="C41" s="2" t="s">
        <v>2497</v>
      </c>
      <c r="D41" s="3">
        <v>9.98</v>
      </c>
      <c r="E41" s="3">
        <v>77.739999999999995</v>
      </c>
      <c r="F41" s="3">
        <v>6.6</v>
      </c>
      <c r="G41" s="3">
        <v>19.43</v>
      </c>
      <c r="H41" s="3">
        <v>501</v>
      </c>
      <c r="I41" s="3">
        <v>0.83</v>
      </c>
      <c r="J41" s="3">
        <v>1.48</v>
      </c>
      <c r="K41" s="3">
        <v>1.42</v>
      </c>
    </row>
    <row r="42" spans="2:11" x14ac:dyDescent="0.25">
      <c r="B42" s="2" t="s">
        <v>2498</v>
      </c>
      <c r="C42" s="2" t="s">
        <v>2499</v>
      </c>
      <c r="D42" s="3">
        <v>7.67</v>
      </c>
      <c r="E42" s="3">
        <v>80.89</v>
      </c>
      <c r="F42" s="3">
        <v>5</v>
      </c>
      <c r="G42" s="3">
        <v>36.130000000000003</v>
      </c>
      <c r="H42" s="3">
        <v>648</v>
      </c>
      <c r="I42" s="3">
        <v>0.88500000000000001</v>
      </c>
      <c r="J42" s="3">
        <v>1.5860000000000001</v>
      </c>
      <c r="K42" s="3">
        <v>1.542</v>
      </c>
    </row>
    <row r="43" spans="2:11" x14ac:dyDescent="0.25">
      <c r="B43" s="2" t="s">
        <v>2500</v>
      </c>
      <c r="C43" s="2" t="s">
        <v>2501</v>
      </c>
      <c r="D43" s="3">
        <v>10.55</v>
      </c>
      <c r="E43" s="3">
        <v>73.650000000000006</v>
      </c>
      <c r="F43" s="3">
        <v>10.199999999999999</v>
      </c>
      <c r="G43" s="3">
        <v>20.34</v>
      </c>
      <c r="H43" s="3">
        <v>50</v>
      </c>
      <c r="I43" s="3">
        <v>1.24</v>
      </c>
      <c r="J43" s="3">
        <v>6.6</v>
      </c>
      <c r="K43" s="3">
        <v>2.68</v>
      </c>
    </row>
    <row r="44" spans="2:11" x14ac:dyDescent="0.25">
      <c r="B44" s="2" t="s">
        <v>2502</v>
      </c>
      <c r="C44" s="2" t="s">
        <v>2503</v>
      </c>
      <c r="D44" s="3">
        <v>6.3</v>
      </c>
      <c r="E44" s="3">
        <v>86.67</v>
      </c>
      <c r="F44" s="3">
        <v>3.9</v>
      </c>
      <c r="G44" s="3">
        <v>28.1</v>
      </c>
      <c r="H44" s="3">
        <v>600</v>
      </c>
      <c r="I44" s="3">
        <v>0.5</v>
      </c>
      <c r="J44" s="3">
        <v>0.5</v>
      </c>
      <c r="K44" s="3">
        <v>1</v>
      </c>
    </row>
    <row r="45" spans="2:11" x14ac:dyDescent="0.25">
      <c r="B45" s="2" t="s">
        <v>2504</v>
      </c>
      <c r="C45" s="2" t="s">
        <v>2505</v>
      </c>
      <c r="D45" s="3">
        <v>8.5</v>
      </c>
      <c r="E45" s="3">
        <v>84.3</v>
      </c>
      <c r="F45" s="3">
        <v>2.8</v>
      </c>
      <c r="G45" s="3">
        <v>12.5</v>
      </c>
      <c r="H45" s="3">
        <v>727</v>
      </c>
      <c r="I45" s="3">
        <v>0.2</v>
      </c>
      <c r="J45" s="3">
        <v>0.4</v>
      </c>
      <c r="K45" s="3">
        <v>0.6</v>
      </c>
    </row>
    <row r="46" spans="2:11" x14ac:dyDescent="0.25">
      <c r="B46" s="2" t="s">
        <v>2506</v>
      </c>
      <c r="C46" s="2" t="s">
        <v>2507</v>
      </c>
      <c r="D46" s="3">
        <v>4.51</v>
      </c>
      <c r="E46" s="3">
        <v>85.03</v>
      </c>
      <c r="F46" s="3">
        <v>2.2999999999999998</v>
      </c>
      <c r="G46" s="3">
        <v>43.36</v>
      </c>
      <c r="H46" s="3">
        <v>740</v>
      </c>
      <c r="I46" s="3">
        <v>4.4420000000000002</v>
      </c>
      <c r="J46" s="3">
        <v>0.69499999999999995</v>
      </c>
      <c r="K46" s="3">
        <v>0.85399999999999998</v>
      </c>
    </row>
    <row r="47" spans="2:11" x14ac:dyDescent="0.25">
      <c r="B47" s="2" t="s">
        <v>2508</v>
      </c>
      <c r="C47" s="2" t="s">
        <v>2509</v>
      </c>
      <c r="D47" s="3">
        <v>7.72</v>
      </c>
      <c r="E47" s="3">
        <v>77.290000000000006</v>
      </c>
      <c r="F47" s="3">
        <v>11.4</v>
      </c>
      <c r="G47" s="3">
        <v>31.3</v>
      </c>
      <c r="H47" s="3">
        <v>356</v>
      </c>
      <c r="I47" s="3">
        <v>0.48</v>
      </c>
      <c r="J47" s="3">
        <v>0.33900000000000002</v>
      </c>
      <c r="K47" s="3">
        <v>0.94899999999999995</v>
      </c>
    </row>
    <row r="48" spans="2:11" x14ac:dyDescent="0.25">
      <c r="B48" s="2" t="s">
        <v>2510</v>
      </c>
      <c r="C48" s="2" t="s">
        <v>2511</v>
      </c>
      <c r="D48" s="3">
        <v>7.6</v>
      </c>
      <c r="E48" s="3">
        <v>78.900000000000006</v>
      </c>
      <c r="F48" s="3">
        <v>13.7</v>
      </c>
      <c r="G48" s="3">
        <v>32.9</v>
      </c>
      <c r="H48" s="3">
        <v>382</v>
      </c>
      <c r="I48" s="3">
        <v>0.29599999999999999</v>
      </c>
      <c r="J48" s="3">
        <v>0.34899999999999998</v>
      </c>
      <c r="K48" s="3">
        <v>0.79600000000000004</v>
      </c>
    </row>
    <row r="49" spans="2:11" x14ac:dyDescent="0.25">
      <c r="B49" s="2" t="s">
        <v>2512</v>
      </c>
      <c r="C49" s="2" t="s">
        <v>2513</v>
      </c>
      <c r="D49" s="3">
        <v>6.4</v>
      </c>
      <c r="E49" s="3">
        <v>85.09</v>
      </c>
      <c r="F49" s="3">
        <v>2</v>
      </c>
      <c r="G49" s="3">
        <v>8</v>
      </c>
      <c r="H49" s="3">
        <v>809</v>
      </c>
      <c r="I49" s="3">
        <v>0.5</v>
      </c>
      <c r="J49" s="3">
        <v>0.6</v>
      </c>
      <c r="K49" s="3">
        <v>0.69</v>
      </c>
    </row>
    <row r="50" spans="2:11" x14ac:dyDescent="0.25">
      <c r="B50" s="2" t="s">
        <v>2514</v>
      </c>
      <c r="C50" s="2" t="s">
        <v>2515</v>
      </c>
      <c r="D50" s="3">
        <v>6.75</v>
      </c>
      <c r="E50" s="3">
        <v>85.05</v>
      </c>
      <c r="F50" s="3">
        <v>0.4</v>
      </c>
      <c r="G50" s="3">
        <v>9.8699999999999992</v>
      </c>
      <c r="H50" s="3">
        <v>527</v>
      </c>
      <c r="I50" s="3">
        <v>0.45800000000000002</v>
      </c>
      <c r="J50" s="3">
        <v>0.59299999999999997</v>
      </c>
      <c r="K50" s="3">
        <v>0.626</v>
      </c>
    </row>
    <row r="51" spans="2:11" x14ac:dyDescent="0.25">
      <c r="B51" s="2" t="s">
        <v>2516</v>
      </c>
      <c r="C51" s="2" t="s">
        <v>2517</v>
      </c>
      <c r="D51" s="3">
        <v>7.01</v>
      </c>
      <c r="E51" s="3">
        <v>87.78</v>
      </c>
      <c r="F51" s="3">
        <v>1.4</v>
      </c>
      <c r="G51" s="3">
        <v>0</v>
      </c>
      <c r="H51" s="3">
        <v>5</v>
      </c>
      <c r="I51" s="3">
        <v>0.32500000000000001</v>
      </c>
      <c r="J51" s="3">
        <v>0.18</v>
      </c>
      <c r="K51" s="3">
        <v>0.34499999999999997</v>
      </c>
    </row>
    <row r="52" spans="2:11" x14ac:dyDescent="0.25">
      <c r="B52" s="2" t="s">
        <v>2518</v>
      </c>
      <c r="C52" s="2" t="s">
        <v>2519</v>
      </c>
      <c r="D52" s="3">
        <v>17.79</v>
      </c>
      <c r="E52" s="3">
        <v>73.400000000000006</v>
      </c>
      <c r="F52" s="3">
        <v>1.4</v>
      </c>
      <c r="G52" s="3">
        <v>12.69</v>
      </c>
      <c r="H52" s="3">
        <v>667</v>
      </c>
      <c r="I52" s="3">
        <v>0.4</v>
      </c>
      <c r="J52" s="3">
        <v>0.3</v>
      </c>
      <c r="K52" s="3">
        <v>0.4</v>
      </c>
    </row>
    <row r="53" spans="2:11" x14ac:dyDescent="0.25">
      <c r="B53" s="2" t="s">
        <v>2520</v>
      </c>
      <c r="C53" s="2" t="s">
        <v>2521</v>
      </c>
      <c r="D53" s="3">
        <v>4.8</v>
      </c>
      <c r="E53" s="3">
        <v>89.7</v>
      </c>
      <c r="F53" s="3">
        <v>8.4</v>
      </c>
      <c r="G53" s="3">
        <v>31.3</v>
      </c>
      <c r="H53" s="3">
        <v>357</v>
      </c>
      <c r="I53" s="3">
        <v>0.5</v>
      </c>
      <c r="J53" s="3">
        <v>0.2</v>
      </c>
      <c r="K53" s="3">
        <v>0.5</v>
      </c>
    </row>
    <row r="54" spans="2:11" x14ac:dyDescent="0.25">
      <c r="B54" s="2" t="s">
        <v>2522</v>
      </c>
      <c r="C54" s="2" t="s">
        <v>2523</v>
      </c>
      <c r="D54" s="3">
        <v>3.96</v>
      </c>
      <c r="E54" s="3">
        <v>89.2</v>
      </c>
      <c r="F54" s="3">
        <v>2.2000000000000002</v>
      </c>
      <c r="G54" s="3">
        <v>35.43</v>
      </c>
      <c r="H54" s="3">
        <v>468</v>
      </c>
      <c r="I54" s="3">
        <v>0.45100000000000001</v>
      </c>
      <c r="J54" s="3">
        <v>0.26500000000000001</v>
      </c>
      <c r="K54" s="3">
        <v>0.66900000000000004</v>
      </c>
    </row>
    <row r="55" spans="2:11" x14ac:dyDescent="0.25">
      <c r="B55" s="2" t="s">
        <v>2524</v>
      </c>
      <c r="C55" s="2" t="s">
        <v>2525</v>
      </c>
      <c r="D55" s="3">
        <v>5.7</v>
      </c>
      <c r="E55" s="3">
        <v>88.5</v>
      </c>
      <c r="F55" s="3">
        <v>5</v>
      </c>
      <c r="G55" s="3">
        <v>56.2</v>
      </c>
      <c r="H55" s="3">
        <v>142</v>
      </c>
      <c r="I55" s="3">
        <v>0.5</v>
      </c>
      <c r="J55" s="3">
        <v>0.4</v>
      </c>
      <c r="K55" s="3">
        <v>0.5</v>
      </c>
    </row>
    <row r="56" spans="2:11" x14ac:dyDescent="0.25">
      <c r="B56" s="2" t="s">
        <v>2526</v>
      </c>
      <c r="C56" s="2" t="s">
        <v>2527</v>
      </c>
      <c r="D56" s="3">
        <v>5.5</v>
      </c>
      <c r="E56" s="3">
        <v>90.1</v>
      </c>
      <c r="F56" s="3">
        <v>5</v>
      </c>
      <c r="G56" s="3">
        <v>53.6</v>
      </c>
      <c r="H56" s="3">
        <v>95</v>
      </c>
      <c r="I56" s="3">
        <v>0.2</v>
      </c>
      <c r="J56" s="3">
        <v>0.6</v>
      </c>
      <c r="K56" s="3">
        <v>0.6</v>
      </c>
    </row>
    <row r="57" spans="2:11" x14ac:dyDescent="0.25">
      <c r="B57" s="2" t="s">
        <v>2528</v>
      </c>
      <c r="C57" s="2" t="s">
        <v>2529</v>
      </c>
      <c r="D57" s="3">
        <v>10.71</v>
      </c>
      <c r="E57" s="3">
        <v>75.5</v>
      </c>
      <c r="F57" s="3">
        <v>10.7</v>
      </c>
      <c r="G57" s="3">
        <v>3.57</v>
      </c>
      <c r="H57" s="3">
        <v>571</v>
      </c>
      <c r="I57" s="3">
        <v>0.92600000000000005</v>
      </c>
      <c r="J57" s="3">
        <v>1.786</v>
      </c>
      <c r="K57" s="3">
        <v>1.786</v>
      </c>
    </row>
    <row r="58" spans="2:11" x14ac:dyDescent="0.25">
      <c r="B58" s="2" t="s">
        <v>2530</v>
      </c>
      <c r="C58" s="2" t="s">
        <v>2531</v>
      </c>
      <c r="D58" s="3">
        <v>8.4</v>
      </c>
      <c r="E58" s="3">
        <v>74.7</v>
      </c>
      <c r="F58" s="3">
        <v>9.1</v>
      </c>
      <c r="G58" s="3">
        <v>16.399999999999999</v>
      </c>
      <c r="H58" s="3">
        <v>470</v>
      </c>
      <c r="I58" s="3">
        <v>0.6</v>
      </c>
      <c r="J58" s="3">
        <v>0.3</v>
      </c>
      <c r="K58" s="3">
        <v>0.8</v>
      </c>
    </row>
    <row r="59" spans="2:11" x14ac:dyDescent="0.25">
      <c r="B59" s="2" t="s">
        <v>2532</v>
      </c>
      <c r="C59" s="2" t="s">
        <v>2533</v>
      </c>
      <c r="D59" s="3">
        <v>4.9000000000000004</v>
      </c>
      <c r="E59" s="3">
        <v>86.19</v>
      </c>
      <c r="F59" s="3">
        <v>3.9</v>
      </c>
      <c r="G59" s="3">
        <v>32</v>
      </c>
      <c r="H59" s="3">
        <v>500</v>
      </c>
      <c r="I59" s="3">
        <v>0.5</v>
      </c>
      <c r="J59" s="3">
        <v>1.79</v>
      </c>
      <c r="K59" s="3">
        <v>1.39</v>
      </c>
    </row>
    <row r="60" spans="2:11" x14ac:dyDescent="0.25">
      <c r="B60" s="2" t="s">
        <v>2534</v>
      </c>
      <c r="C60" s="2" t="s">
        <v>2535</v>
      </c>
      <c r="D60" s="3">
        <v>8.5</v>
      </c>
      <c r="E60" s="3">
        <v>83.6</v>
      </c>
      <c r="F60" s="3">
        <v>10.7</v>
      </c>
      <c r="G60" s="3">
        <v>20.7</v>
      </c>
      <c r="H60" s="3">
        <v>102</v>
      </c>
      <c r="I60" s="3">
        <v>0.4</v>
      </c>
      <c r="J60" s="3">
        <v>1.2</v>
      </c>
      <c r="K60" s="3">
        <v>1.2</v>
      </c>
    </row>
    <row r="61" spans="2:11" x14ac:dyDescent="0.25">
      <c r="B61" s="2" t="s">
        <v>2536</v>
      </c>
      <c r="C61" s="2" t="s">
        <v>2537</v>
      </c>
      <c r="D61" s="3">
        <v>9.8000000000000007</v>
      </c>
      <c r="E61" s="3">
        <v>82.2</v>
      </c>
      <c r="F61" s="3">
        <v>12.2</v>
      </c>
      <c r="G61" s="3">
        <v>10.3</v>
      </c>
      <c r="H61" s="3">
        <v>570</v>
      </c>
      <c r="I61" s="3">
        <v>0.4</v>
      </c>
      <c r="J61" s="3">
        <v>0.3</v>
      </c>
      <c r="K61" s="3">
        <v>1</v>
      </c>
    </row>
    <row r="62" spans="2:11" x14ac:dyDescent="0.25">
      <c r="B62" s="2" t="s">
        <v>2538</v>
      </c>
      <c r="C62" s="2" t="s">
        <v>2539</v>
      </c>
      <c r="D62" s="3">
        <v>3.32</v>
      </c>
      <c r="E62" s="3">
        <v>90.59</v>
      </c>
      <c r="F62" s="3">
        <v>1.9</v>
      </c>
      <c r="G62" s="3">
        <v>46.88</v>
      </c>
      <c r="H62" s="3">
        <v>855</v>
      </c>
      <c r="I62" s="3">
        <v>9.2999999999999999E-2</v>
      </c>
      <c r="J62" s="3">
        <v>8.4000000000000005E-2</v>
      </c>
      <c r="K62" s="3">
        <v>0.157</v>
      </c>
    </row>
    <row r="63" spans="2:11" x14ac:dyDescent="0.25">
      <c r="B63" s="2" t="s">
        <v>2540</v>
      </c>
      <c r="C63" s="2" t="s">
        <v>2541</v>
      </c>
      <c r="D63" s="3">
        <v>29.1</v>
      </c>
      <c r="E63" s="3">
        <v>49.6</v>
      </c>
      <c r="F63" s="3">
        <v>15.1</v>
      </c>
      <c r="G63" s="3">
        <v>7.8</v>
      </c>
      <c r="H63" s="3">
        <v>4</v>
      </c>
      <c r="I63" s="3">
        <v>1.83</v>
      </c>
      <c r="J63" s="3">
        <v>1.5</v>
      </c>
      <c r="K63" s="3">
        <v>6.62</v>
      </c>
    </row>
    <row r="64" spans="2:11" x14ac:dyDescent="0.25">
      <c r="B64" s="2" t="s">
        <v>2542</v>
      </c>
      <c r="C64" s="2" t="s">
        <v>2543</v>
      </c>
      <c r="D64" s="3">
        <v>26.55</v>
      </c>
      <c r="E64" s="3">
        <v>58.11</v>
      </c>
      <c r="F64" s="3">
        <v>10.199999999999999</v>
      </c>
      <c r="G64" s="3">
        <v>21.43</v>
      </c>
      <c r="H64" s="3">
        <v>11</v>
      </c>
      <c r="I64" s="3">
        <v>1.36</v>
      </c>
      <c r="J64" s="3">
        <v>1.04</v>
      </c>
      <c r="K64" s="3">
        <v>4.84</v>
      </c>
    </row>
    <row r="65" spans="2:11" x14ac:dyDescent="0.25">
      <c r="B65" s="2" t="s">
        <v>2544</v>
      </c>
      <c r="C65" s="2" t="s">
        <v>2545</v>
      </c>
      <c r="D65" s="3">
        <v>8.3000000000000007</v>
      </c>
      <c r="E65" s="3">
        <v>81.400000000000006</v>
      </c>
      <c r="F65" s="3">
        <v>8.6999999999999993</v>
      </c>
      <c r="G65" s="3">
        <v>21.2</v>
      </c>
      <c r="H65" s="3">
        <v>401</v>
      </c>
      <c r="I65" s="3">
        <v>0.89</v>
      </c>
      <c r="J65" s="3">
        <v>1.2</v>
      </c>
      <c r="K65" s="3">
        <v>1.7</v>
      </c>
    </row>
    <row r="66" spans="2:11" x14ac:dyDescent="0.25">
      <c r="B66" s="2" t="s">
        <v>2546</v>
      </c>
      <c r="C66" s="2" t="s">
        <v>2547</v>
      </c>
      <c r="D66" s="3">
        <v>8.3000000000000007</v>
      </c>
      <c r="E66" s="3">
        <v>83.3</v>
      </c>
      <c r="F66" s="3">
        <v>10.1</v>
      </c>
      <c r="G66" s="3">
        <v>15.2</v>
      </c>
      <c r="H66" s="3">
        <v>732</v>
      </c>
      <c r="I66" s="3">
        <v>0.5</v>
      </c>
      <c r="J66" s="3">
        <v>0.4</v>
      </c>
      <c r="K66" s="3">
        <v>1.2</v>
      </c>
    </row>
    <row r="67" spans="2:11" x14ac:dyDescent="0.25">
      <c r="B67" s="2" t="s">
        <v>2548</v>
      </c>
      <c r="C67" s="2" t="s">
        <v>2549</v>
      </c>
      <c r="D67" s="3">
        <v>7.65</v>
      </c>
      <c r="E67" s="3">
        <v>79.09</v>
      </c>
      <c r="F67" s="3">
        <v>4.5999999999999996</v>
      </c>
      <c r="G67" s="3">
        <v>0.56999999999999995</v>
      </c>
      <c r="H67" s="3">
        <v>1</v>
      </c>
      <c r="I67" s="3">
        <v>0.34</v>
      </c>
      <c r="J67" s="3">
        <v>0.315</v>
      </c>
      <c r="K67" s="3">
        <v>0.875</v>
      </c>
    </row>
    <row r="68" spans="2:11" x14ac:dyDescent="0.25">
      <c r="B68" s="2" t="s">
        <v>2550</v>
      </c>
      <c r="C68" s="2" t="s">
        <v>2551</v>
      </c>
      <c r="D68" s="3">
        <v>1.71</v>
      </c>
      <c r="E68" s="3">
        <v>14.76</v>
      </c>
      <c r="F68" s="3">
        <v>0.8</v>
      </c>
      <c r="G68" s="3">
        <v>0.12</v>
      </c>
      <c r="H68" s="3">
        <v>2</v>
      </c>
      <c r="I68" s="3">
        <v>6.6000000000000003E-2</v>
      </c>
      <c r="J68" s="3">
        <v>6.4000000000000001E-2</v>
      </c>
      <c r="K68" s="3">
        <v>0.16500000000000001</v>
      </c>
    </row>
    <row r="69" spans="2:11" x14ac:dyDescent="0.25">
      <c r="B69" s="2" t="s">
        <v>2552</v>
      </c>
      <c r="C69" s="2" t="s">
        <v>2553</v>
      </c>
      <c r="D69" s="3">
        <v>7.31</v>
      </c>
      <c r="E69" s="3">
        <v>78.42</v>
      </c>
      <c r="F69" s="3">
        <v>4.2</v>
      </c>
      <c r="G69" s="3">
        <v>1.51</v>
      </c>
      <c r="H69" s="3">
        <v>1121</v>
      </c>
      <c r="I69" s="3">
        <v>0.36199999999999999</v>
      </c>
      <c r="J69" s="3">
        <v>0.39500000000000002</v>
      </c>
      <c r="K69" s="3">
        <v>0.96699999999999997</v>
      </c>
    </row>
    <row r="70" spans="2:11" x14ac:dyDescent="0.25">
      <c r="B70" s="2" t="s">
        <v>2554</v>
      </c>
      <c r="C70" s="2" t="s">
        <v>2555</v>
      </c>
      <c r="D70" s="3">
        <v>1.58</v>
      </c>
      <c r="E70" s="3">
        <v>15.95</v>
      </c>
      <c r="F70" s="3">
        <v>1.1000000000000001</v>
      </c>
      <c r="G70" s="3">
        <v>0.1</v>
      </c>
      <c r="H70" s="3">
        <v>227</v>
      </c>
      <c r="I70" s="3">
        <v>7.5999999999999998E-2</v>
      </c>
      <c r="J70" s="3">
        <v>8.1000000000000003E-2</v>
      </c>
      <c r="K70" s="3">
        <v>0.191</v>
      </c>
    </row>
    <row r="71" spans="2:11" x14ac:dyDescent="0.25">
      <c r="B71" s="2" t="s">
        <v>2556</v>
      </c>
      <c r="C71" s="2" t="s">
        <v>2557</v>
      </c>
      <c r="D71" s="3">
        <v>8.98</v>
      </c>
      <c r="E71" s="3">
        <v>72.959999999999994</v>
      </c>
      <c r="F71" s="3">
        <v>4.2</v>
      </c>
      <c r="G71" s="3">
        <v>2.76</v>
      </c>
      <c r="H71" s="3">
        <v>1644</v>
      </c>
      <c r="I71" s="3">
        <v>1.33</v>
      </c>
      <c r="J71" s="3">
        <v>2.88</v>
      </c>
      <c r="K71" s="3">
        <v>1.05</v>
      </c>
    </row>
    <row r="72" spans="2:11" x14ac:dyDescent="0.25">
      <c r="B72" s="2" t="s">
        <v>2558</v>
      </c>
      <c r="C72" s="2" t="s">
        <v>2559</v>
      </c>
      <c r="D72" s="3">
        <v>9.93</v>
      </c>
      <c r="E72" s="3">
        <v>75.39</v>
      </c>
      <c r="F72" s="3">
        <v>5.0999999999999996</v>
      </c>
      <c r="G72" s="3">
        <v>0.38</v>
      </c>
      <c r="H72" s="3">
        <v>1523</v>
      </c>
      <c r="I72" s="3">
        <v>0.24</v>
      </c>
      <c r="J72" s="3">
        <v>0.4</v>
      </c>
      <c r="K72" s="3">
        <v>0.87</v>
      </c>
    </row>
    <row r="73" spans="2:11" x14ac:dyDescent="0.25">
      <c r="B73" s="2" t="s">
        <v>2560</v>
      </c>
      <c r="C73" s="2" t="s">
        <v>2561</v>
      </c>
      <c r="D73" s="3">
        <v>6.3</v>
      </c>
      <c r="E73" s="3">
        <v>82.4</v>
      </c>
      <c r="F73" s="3">
        <v>0.7</v>
      </c>
      <c r="G73" s="3">
        <v>0.3</v>
      </c>
      <c r="H73" s="3">
        <v>6</v>
      </c>
      <c r="I73" s="3">
        <v>0.13600000000000001</v>
      </c>
      <c r="J73" s="3">
        <v>0.156</v>
      </c>
      <c r="K73" s="3">
        <v>0.13400000000000001</v>
      </c>
    </row>
    <row r="74" spans="2:11" x14ac:dyDescent="0.25">
      <c r="B74" s="2" t="s">
        <v>2562</v>
      </c>
      <c r="C74" s="2" t="s">
        <v>2563</v>
      </c>
      <c r="D74" s="3">
        <v>0.9</v>
      </c>
      <c r="E74" s="3">
        <v>11.4</v>
      </c>
      <c r="F74" s="3">
        <v>0.1</v>
      </c>
      <c r="G74" s="3">
        <v>0.04</v>
      </c>
      <c r="H74" s="3">
        <v>1</v>
      </c>
      <c r="I74" s="3">
        <v>2.7E-2</v>
      </c>
      <c r="J74" s="3">
        <v>3.1E-2</v>
      </c>
      <c r="K74" s="3">
        <v>2.7E-2</v>
      </c>
    </row>
    <row r="75" spans="2:11" x14ac:dyDescent="0.25">
      <c r="B75" s="2" t="s">
        <v>2564</v>
      </c>
      <c r="C75" s="2" t="s">
        <v>2565</v>
      </c>
      <c r="D75" s="3">
        <v>10.5</v>
      </c>
      <c r="E75" s="3">
        <v>76.5</v>
      </c>
      <c r="F75" s="3">
        <v>3.8</v>
      </c>
      <c r="G75" s="3">
        <v>0.2</v>
      </c>
      <c r="H75" s="3">
        <v>7</v>
      </c>
      <c r="I75" s="3">
        <v>0.23799999999999999</v>
      </c>
      <c r="J75" s="3">
        <v>0.20499999999999999</v>
      </c>
      <c r="K75" s="3">
        <v>0.82899999999999996</v>
      </c>
    </row>
    <row r="76" spans="2:11" x14ac:dyDescent="0.25">
      <c r="B76" s="2" t="s">
        <v>2566</v>
      </c>
      <c r="C76" s="2" t="s">
        <v>2567</v>
      </c>
      <c r="D76" s="3">
        <v>1.44</v>
      </c>
      <c r="E76" s="3">
        <v>10.52</v>
      </c>
      <c r="F76" s="3">
        <v>0.5</v>
      </c>
      <c r="G76" s="3">
        <v>0.03</v>
      </c>
      <c r="H76" s="3">
        <v>6</v>
      </c>
      <c r="I76" s="3">
        <v>3.3000000000000002E-2</v>
      </c>
      <c r="J76" s="3">
        <v>2.8000000000000001E-2</v>
      </c>
      <c r="K76" s="3">
        <v>0.114</v>
      </c>
    </row>
    <row r="77" spans="2:11" x14ac:dyDescent="0.25">
      <c r="B77" s="2" t="s">
        <v>2568</v>
      </c>
      <c r="C77" s="2" t="s">
        <v>2569</v>
      </c>
      <c r="D77" s="3">
        <v>11.6</v>
      </c>
      <c r="E77" s="3">
        <v>73.19</v>
      </c>
      <c r="F77" s="3">
        <v>4.2</v>
      </c>
      <c r="G77" s="3">
        <v>0.56000000000000005</v>
      </c>
      <c r="H77" s="3">
        <v>124</v>
      </c>
      <c r="I77" s="3">
        <v>0.23200000000000001</v>
      </c>
      <c r="J77" s="3">
        <v>0.15</v>
      </c>
      <c r="K77" s="3">
        <v>0.627</v>
      </c>
    </row>
    <row r="78" spans="2:11" x14ac:dyDescent="0.25">
      <c r="B78" s="2" t="s">
        <v>2570</v>
      </c>
      <c r="C78" s="2" t="s">
        <v>2571</v>
      </c>
      <c r="D78" s="3">
        <v>1.82</v>
      </c>
      <c r="E78" s="3">
        <v>10.92</v>
      </c>
      <c r="F78" s="3">
        <v>0.8</v>
      </c>
      <c r="G78" s="3">
        <v>0.76</v>
      </c>
      <c r="H78" s="3">
        <v>18</v>
      </c>
      <c r="I78" s="3">
        <v>6.6000000000000003E-2</v>
      </c>
      <c r="J78" s="3">
        <v>3.7999999999999999E-2</v>
      </c>
      <c r="K78" s="3">
        <v>0.126</v>
      </c>
    </row>
    <row r="79" spans="2:11" x14ac:dyDescent="0.25">
      <c r="B79" s="2" t="s">
        <v>2572</v>
      </c>
      <c r="C79" s="2" t="s">
        <v>2573</v>
      </c>
      <c r="D79" s="3">
        <v>10.6</v>
      </c>
      <c r="E79" s="3">
        <v>75.5</v>
      </c>
      <c r="F79" s="3">
        <v>3.3</v>
      </c>
      <c r="G79" s="3">
        <v>0.4</v>
      </c>
      <c r="H79" s="3">
        <v>571</v>
      </c>
      <c r="I79" s="3">
        <v>0.222</v>
      </c>
      <c r="J79" s="3">
        <v>0.192</v>
      </c>
      <c r="K79" s="3">
        <v>0.77400000000000002</v>
      </c>
    </row>
    <row r="80" spans="2:11" x14ac:dyDescent="0.25">
      <c r="B80" s="2" t="s">
        <v>2574</v>
      </c>
      <c r="C80" s="2" t="s">
        <v>2575</v>
      </c>
      <c r="D80" s="3">
        <v>1.84</v>
      </c>
      <c r="E80" s="3">
        <v>13.08</v>
      </c>
      <c r="F80" s="3">
        <v>0.6</v>
      </c>
      <c r="G80" s="3">
        <v>7.0000000000000007E-2</v>
      </c>
      <c r="H80" s="3">
        <v>102</v>
      </c>
      <c r="I80" s="3">
        <v>3.7999999999999999E-2</v>
      </c>
      <c r="J80" s="3">
        <v>3.3000000000000002E-2</v>
      </c>
      <c r="K80" s="3">
        <v>0.13400000000000001</v>
      </c>
    </row>
    <row r="81" spans="2:11" x14ac:dyDescent="0.25">
      <c r="B81" s="2" t="s">
        <v>2576</v>
      </c>
      <c r="C81" s="2" t="s">
        <v>2577</v>
      </c>
      <c r="D81" s="3">
        <v>1.82</v>
      </c>
      <c r="E81" s="3">
        <v>10.92</v>
      </c>
      <c r="F81" s="3">
        <v>0.8</v>
      </c>
      <c r="G81" s="3">
        <v>0.76</v>
      </c>
      <c r="H81" s="3">
        <v>18</v>
      </c>
      <c r="I81" s="3">
        <v>6.6000000000000003E-2</v>
      </c>
      <c r="J81" s="3">
        <v>3.7999999999999999E-2</v>
      </c>
      <c r="K81" s="3">
        <v>0.126</v>
      </c>
    </row>
    <row r="82" spans="2:11" x14ac:dyDescent="0.25">
      <c r="B82" s="2" t="s">
        <v>2578</v>
      </c>
      <c r="C82" s="2" t="s">
        <v>2579</v>
      </c>
      <c r="D82" s="3">
        <v>11.8</v>
      </c>
      <c r="E82" s="3">
        <v>77.25</v>
      </c>
      <c r="F82" s="3">
        <v>2.1</v>
      </c>
      <c r="G82" s="3">
        <v>0</v>
      </c>
      <c r="H82" s="3">
        <v>0</v>
      </c>
      <c r="I82" s="3">
        <v>0.08</v>
      </c>
      <c r="J82" s="3">
        <v>0.05</v>
      </c>
      <c r="K82" s="3">
        <v>0.25</v>
      </c>
    </row>
    <row r="83" spans="2:11" x14ac:dyDescent="0.25">
      <c r="B83" s="2" t="s">
        <v>2580</v>
      </c>
      <c r="C83" s="2" t="s">
        <v>2581</v>
      </c>
      <c r="D83" s="3">
        <v>13.15</v>
      </c>
      <c r="E83" s="3">
        <v>67.7</v>
      </c>
      <c r="F83" s="3">
        <v>10.1</v>
      </c>
      <c r="G83" s="3">
        <v>0.99</v>
      </c>
      <c r="H83" s="3">
        <v>6</v>
      </c>
      <c r="I83" s="3">
        <v>1.1100000000000001</v>
      </c>
      <c r="J83" s="3">
        <v>1.98</v>
      </c>
      <c r="K83" s="3">
        <v>2.2999999999999998</v>
      </c>
    </row>
    <row r="84" spans="2:11" x14ac:dyDescent="0.25">
      <c r="B84" s="2" t="s">
        <v>2582</v>
      </c>
      <c r="C84" s="2" t="s">
        <v>2583</v>
      </c>
      <c r="D84" s="3">
        <v>2.54</v>
      </c>
      <c r="E84" s="3">
        <v>12</v>
      </c>
      <c r="F84" s="3">
        <v>1.7</v>
      </c>
      <c r="G84" s="3">
        <v>0.27</v>
      </c>
      <c r="H84" s="3">
        <v>4</v>
      </c>
      <c r="I84" s="3">
        <v>0.31</v>
      </c>
      <c r="J84" s="3">
        <v>0.435</v>
      </c>
      <c r="K84" s="3">
        <v>0.55900000000000005</v>
      </c>
    </row>
    <row r="85" spans="2:11" x14ac:dyDescent="0.25">
      <c r="B85" s="2" t="s">
        <v>2584</v>
      </c>
      <c r="C85" s="2" t="s">
        <v>2585</v>
      </c>
      <c r="D85" s="3">
        <v>11.92</v>
      </c>
      <c r="E85" s="3">
        <v>69.52</v>
      </c>
      <c r="F85" s="3">
        <v>10</v>
      </c>
      <c r="G85" s="3">
        <v>1.5</v>
      </c>
      <c r="H85" s="3">
        <v>220</v>
      </c>
      <c r="I85" s="3">
        <v>1.3460000000000001</v>
      </c>
      <c r="J85" s="3">
        <v>2.3250000000000002</v>
      </c>
      <c r="K85" s="3">
        <v>2.5329999999999999</v>
      </c>
    </row>
    <row r="86" spans="2:11" x14ac:dyDescent="0.25">
      <c r="B86" s="2" t="s">
        <v>2586</v>
      </c>
      <c r="C86" s="2" t="s">
        <v>2587</v>
      </c>
      <c r="D86" s="3">
        <v>2.37</v>
      </c>
      <c r="E86" s="3">
        <v>11.67</v>
      </c>
      <c r="F86" s="3">
        <v>1.7</v>
      </c>
      <c r="G86" s="3">
        <v>0.46</v>
      </c>
      <c r="H86" s="3">
        <v>49</v>
      </c>
      <c r="I86" s="3">
        <v>0.22600000000000001</v>
      </c>
      <c r="J86" s="3">
        <v>0.39100000000000001</v>
      </c>
      <c r="K86" s="3">
        <v>0.42599999999999999</v>
      </c>
    </row>
    <row r="87" spans="2:11" x14ac:dyDescent="0.25">
      <c r="B87" s="2" t="s">
        <v>2588</v>
      </c>
      <c r="C87" s="2" t="s">
        <v>2589</v>
      </c>
      <c r="D87" s="3">
        <v>8.6199999999999992</v>
      </c>
      <c r="E87" s="3">
        <v>76.739999999999995</v>
      </c>
      <c r="F87" s="3">
        <v>8.3000000000000007</v>
      </c>
      <c r="G87" s="3">
        <v>28.87</v>
      </c>
      <c r="H87" s="3">
        <v>454</v>
      </c>
      <c r="I87" s="3">
        <v>0.88</v>
      </c>
      <c r="J87" s="3">
        <v>1.64</v>
      </c>
      <c r="K87" s="3">
        <v>1.36</v>
      </c>
    </row>
    <row r="88" spans="2:11" x14ac:dyDescent="0.25">
      <c r="B88" s="2" t="s">
        <v>2590</v>
      </c>
      <c r="C88" s="2" t="s">
        <v>2591</v>
      </c>
      <c r="D88" s="3">
        <v>9.5299999999999994</v>
      </c>
      <c r="E88" s="3">
        <v>76.08</v>
      </c>
      <c r="F88" s="3">
        <v>8</v>
      </c>
      <c r="G88" s="3">
        <v>25.33</v>
      </c>
      <c r="H88" s="3">
        <v>434</v>
      </c>
      <c r="I88" s="3">
        <v>0.76800000000000002</v>
      </c>
      <c r="J88" s="3">
        <v>1.4870000000000001</v>
      </c>
      <c r="K88" s="3">
        <v>1.696</v>
      </c>
    </row>
    <row r="89" spans="2:11" x14ac:dyDescent="0.25">
      <c r="B89" s="2" t="s">
        <v>2592</v>
      </c>
      <c r="C89" s="2" t="s">
        <v>2593</v>
      </c>
      <c r="D89" s="3">
        <v>2.37</v>
      </c>
      <c r="E89" s="3">
        <v>18.95</v>
      </c>
      <c r="F89" s="3">
        <v>2</v>
      </c>
      <c r="G89" s="3">
        <v>6.31</v>
      </c>
      <c r="H89" s="3">
        <v>111</v>
      </c>
      <c r="I89" s="3">
        <v>0.191</v>
      </c>
      <c r="J89" s="3">
        <v>0.371</v>
      </c>
      <c r="K89" s="3">
        <v>0.42199999999999999</v>
      </c>
    </row>
    <row r="90" spans="2:11" x14ac:dyDescent="0.25">
      <c r="B90" s="2" t="s">
        <v>2594</v>
      </c>
      <c r="C90" s="2" t="s">
        <v>2595</v>
      </c>
      <c r="D90" s="3">
        <v>9.1999999999999993</v>
      </c>
      <c r="E90" s="3">
        <v>76.91</v>
      </c>
      <c r="F90" s="3">
        <v>7.2</v>
      </c>
      <c r="G90" s="3">
        <v>30.02</v>
      </c>
      <c r="H90" s="3">
        <v>506</v>
      </c>
      <c r="I90" s="3">
        <v>0.79300000000000004</v>
      </c>
      <c r="J90" s="3">
        <v>1.454</v>
      </c>
      <c r="K90" s="3">
        <v>1.6220000000000001</v>
      </c>
    </row>
    <row r="91" spans="2:11" x14ac:dyDescent="0.25">
      <c r="B91" s="2" t="s">
        <v>2596</v>
      </c>
      <c r="C91" s="2" t="s">
        <v>2597</v>
      </c>
      <c r="D91" s="3">
        <v>8.4499999999999993</v>
      </c>
      <c r="E91" s="3">
        <v>76.33</v>
      </c>
      <c r="F91" s="3">
        <v>5.7</v>
      </c>
      <c r="G91" s="3">
        <v>37.14</v>
      </c>
      <c r="H91" s="3">
        <v>462</v>
      </c>
      <c r="I91" s="3">
        <v>0.63900000000000001</v>
      </c>
      <c r="J91" s="3">
        <v>1.2070000000000001</v>
      </c>
      <c r="K91" s="3">
        <v>1.274</v>
      </c>
    </row>
    <row r="92" spans="2:11" x14ac:dyDescent="0.25">
      <c r="B92" s="2" t="s">
        <v>2598</v>
      </c>
      <c r="C92" s="2" t="s">
        <v>2599</v>
      </c>
      <c r="D92" s="3">
        <v>1.98</v>
      </c>
      <c r="E92" s="3">
        <v>17.91</v>
      </c>
      <c r="F92" s="3">
        <v>1.3</v>
      </c>
      <c r="G92" s="3">
        <v>8.7100000000000009</v>
      </c>
      <c r="H92" s="3">
        <v>111</v>
      </c>
      <c r="I92" s="3">
        <v>0.15</v>
      </c>
      <c r="J92" s="3">
        <v>0.28299999999999997</v>
      </c>
      <c r="K92" s="3">
        <v>0.29899999999999999</v>
      </c>
    </row>
    <row r="93" spans="2:11" x14ac:dyDescent="0.25">
      <c r="B93" s="2" t="s">
        <v>2600</v>
      </c>
      <c r="C93" s="2" t="s">
        <v>2601</v>
      </c>
      <c r="D93" s="3">
        <v>6.94</v>
      </c>
      <c r="E93" s="3">
        <v>82.77</v>
      </c>
      <c r="F93" s="3">
        <v>4.9000000000000004</v>
      </c>
      <c r="G93" s="3">
        <v>40.909999999999997</v>
      </c>
      <c r="H93" s="3">
        <v>667</v>
      </c>
      <c r="I93" s="3">
        <v>0.71899999999999997</v>
      </c>
      <c r="J93" s="3">
        <v>1.42</v>
      </c>
      <c r="K93" s="3">
        <v>1.3</v>
      </c>
    </row>
    <row r="94" spans="2:11" x14ac:dyDescent="0.25">
      <c r="B94" s="2" t="s">
        <v>2602</v>
      </c>
      <c r="C94" s="2" t="s">
        <v>2603</v>
      </c>
      <c r="D94" s="3">
        <v>13.1</v>
      </c>
      <c r="E94" s="3">
        <v>75.599999999999994</v>
      </c>
      <c r="F94" s="3">
        <v>12.8</v>
      </c>
      <c r="G94" s="3">
        <v>1.6</v>
      </c>
      <c r="H94" s="3">
        <v>13</v>
      </c>
      <c r="I94" s="3">
        <v>0.43</v>
      </c>
      <c r="J94" s="3">
        <v>0.41</v>
      </c>
      <c r="K94" s="3">
        <v>1.46</v>
      </c>
    </row>
    <row r="95" spans="2:11" x14ac:dyDescent="0.25">
      <c r="B95" s="2" t="s">
        <v>2604</v>
      </c>
      <c r="C95" s="2" t="s">
        <v>2605</v>
      </c>
      <c r="D95" s="3">
        <v>2</v>
      </c>
      <c r="E95" s="3">
        <v>11.8</v>
      </c>
      <c r="F95" s="3">
        <v>2.7</v>
      </c>
      <c r="H95" s="3">
        <v>2</v>
      </c>
      <c r="I95" s="3">
        <v>7.4999999999999997E-2</v>
      </c>
      <c r="J95" s="3">
        <v>7.0999999999999994E-2</v>
      </c>
      <c r="K95" s="3">
        <v>0.252</v>
      </c>
    </row>
    <row r="96" spans="2:11" x14ac:dyDescent="0.25">
      <c r="B96" s="2" t="s">
        <v>2606</v>
      </c>
      <c r="C96" s="2" t="s">
        <v>2607</v>
      </c>
      <c r="D96" s="3">
        <v>11.2</v>
      </c>
      <c r="E96" s="3">
        <v>75.2</v>
      </c>
      <c r="F96" s="3">
        <v>9.5</v>
      </c>
      <c r="G96" s="3">
        <v>0.42</v>
      </c>
      <c r="H96" s="3">
        <v>2</v>
      </c>
      <c r="I96" s="3">
        <v>0.3</v>
      </c>
      <c r="J96" s="3">
        <v>0.28299999999999997</v>
      </c>
      <c r="K96" s="3">
        <v>1.008</v>
      </c>
    </row>
    <row r="97" spans="2:11" x14ac:dyDescent="0.25">
      <c r="B97" s="2" t="s">
        <v>2608</v>
      </c>
      <c r="C97" s="2" t="s">
        <v>2609</v>
      </c>
      <c r="D97" s="3">
        <v>2</v>
      </c>
      <c r="E97" s="3">
        <v>13.7</v>
      </c>
      <c r="F97" s="3">
        <v>1.6</v>
      </c>
      <c r="G97" s="3">
        <v>0.08</v>
      </c>
      <c r="H97" s="3">
        <v>0</v>
      </c>
      <c r="I97" s="3">
        <v>0.06</v>
      </c>
      <c r="J97" s="3">
        <v>5.7000000000000002E-2</v>
      </c>
      <c r="K97" s="3">
        <v>0.20200000000000001</v>
      </c>
    </row>
    <row r="98" spans="2:11" x14ac:dyDescent="0.25">
      <c r="B98" s="2" t="s">
        <v>2610</v>
      </c>
      <c r="C98" s="2" t="s">
        <v>2611</v>
      </c>
      <c r="D98" s="3">
        <v>16.260000000000002</v>
      </c>
      <c r="E98" s="3">
        <v>76.39</v>
      </c>
      <c r="F98" s="3">
        <v>9.4</v>
      </c>
      <c r="G98" s="3">
        <v>1.37</v>
      </c>
      <c r="H98" s="3">
        <v>5</v>
      </c>
      <c r="I98" s="3">
        <v>0.41299999999999998</v>
      </c>
      <c r="J98" s="3">
        <v>0.313</v>
      </c>
      <c r="K98" s="3">
        <v>1.073</v>
      </c>
    </row>
    <row r="99" spans="2:11" x14ac:dyDescent="0.25">
      <c r="B99" s="2" t="s">
        <v>2612</v>
      </c>
      <c r="C99" s="2" t="s">
        <v>2613</v>
      </c>
      <c r="D99" s="3">
        <v>11.37</v>
      </c>
      <c r="E99" s="3">
        <v>78.959999999999994</v>
      </c>
      <c r="F99" s="3">
        <v>12.4</v>
      </c>
      <c r="G99" s="3">
        <v>0.94</v>
      </c>
      <c r="H99" s="3">
        <v>2</v>
      </c>
      <c r="I99" s="3">
        <v>0.41</v>
      </c>
      <c r="J99" s="3">
        <v>0.28999999999999998</v>
      </c>
      <c r="K99" s="3">
        <v>1.22</v>
      </c>
    </row>
    <row r="100" spans="2:11" x14ac:dyDescent="0.25">
      <c r="B100" s="2" t="s">
        <v>2614</v>
      </c>
      <c r="C100" s="2" t="s">
        <v>2615</v>
      </c>
      <c r="D100" s="3">
        <v>11.8</v>
      </c>
      <c r="E100" s="3">
        <v>81.400000000000006</v>
      </c>
      <c r="F100" s="3">
        <v>12.4</v>
      </c>
      <c r="G100" s="3">
        <v>0.9</v>
      </c>
      <c r="H100" s="3">
        <v>2</v>
      </c>
      <c r="I100" s="3">
        <v>0.4</v>
      </c>
      <c r="J100" s="3">
        <v>0.3</v>
      </c>
      <c r="K100" s="3">
        <v>1.3</v>
      </c>
    </row>
    <row r="101" spans="2:11" x14ac:dyDescent="0.25">
      <c r="B101" s="2" t="s">
        <v>2616</v>
      </c>
      <c r="C101" s="2" t="s">
        <v>2617</v>
      </c>
      <c r="D101" s="3">
        <v>6.3</v>
      </c>
      <c r="E101" s="3">
        <v>89.8</v>
      </c>
      <c r="F101" s="3">
        <v>1.7</v>
      </c>
      <c r="H101" s="3">
        <v>3</v>
      </c>
      <c r="I101" s="3">
        <v>0.13</v>
      </c>
    </row>
    <row r="102" spans="2:11" x14ac:dyDescent="0.25">
      <c r="B102" s="2" t="s">
        <v>2618</v>
      </c>
      <c r="C102" s="2" t="s">
        <v>2619</v>
      </c>
      <c r="D102" s="3">
        <v>14.7</v>
      </c>
      <c r="E102" s="3">
        <v>79.599999999999994</v>
      </c>
      <c r="F102" s="3">
        <v>4.4000000000000004</v>
      </c>
      <c r="H102" s="3">
        <v>4</v>
      </c>
      <c r="I102" s="3">
        <v>0.2</v>
      </c>
    </row>
    <row r="103" spans="2:11" x14ac:dyDescent="0.25">
      <c r="B103" s="2" t="s">
        <v>2620</v>
      </c>
      <c r="C103" s="2" t="s">
        <v>2621</v>
      </c>
      <c r="D103" s="3">
        <v>6.72</v>
      </c>
      <c r="E103" s="3">
        <v>79.91</v>
      </c>
      <c r="F103" s="3">
        <v>3.9</v>
      </c>
      <c r="G103" s="3">
        <v>0.55000000000000004</v>
      </c>
      <c r="H103" s="3">
        <v>2</v>
      </c>
      <c r="I103" s="3">
        <v>0.28999999999999998</v>
      </c>
      <c r="J103" s="3">
        <v>0.31</v>
      </c>
      <c r="K103" s="3">
        <v>0.72</v>
      </c>
    </row>
    <row r="104" spans="2:11" x14ac:dyDescent="0.25">
      <c r="B104" s="2" t="s">
        <v>2622</v>
      </c>
      <c r="C104" s="2" t="s">
        <v>2623</v>
      </c>
      <c r="D104" s="3">
        <v>8.8000000000000007</v>
      </c>
      <c r="E104" s="3">
        <v>79.599999999999994</v>
      </c>
      <c r="F104" s="3">
        <v>1.6</v>
      </c>
      <c r="G104" s="3">
        <v>0.64</v>
      </c>
      <c r="H104" s="3">
        <v>1</v>
      </c>
      <c r="I104" s="3">
        <v>0.155</v>
      </c>
      <c r="J104" s="3">
        <v>0.3</v>
      </c>
      <c r="K104" s="3">
        <v>0.51600000000000001</v>
      </c>
    </row>
    <row r="105" spans="2:11" x14ac:dyDescent="0.25">
      <c r="B105" s="2" t="s">
        <v>2624</v>
      </c>
      <c r="C105" s="2" t="s">
        <v>2625</v>
      </c>
      <c r="D105" s="3">
        <v>1.71</v>
      </c>
      <c r="E105" s="3">
        <v>14.76</v>
      </c>
      <c r="F105" s="3">
        <v>0.8</v>
      </c>
      <c r="G105" s="3">
        <v>0.12</v>
      </c>
      <c r="H105" s="3">
        <v>223</v>
      </c>
      <c r="I105" s="3">
        <v>6.6000000000000003E-2</v>
      </c>
      <c r="J105" s="3">
        <v>6.4000000000000001E-2</v>
      </c>
      <c r="K105" s="3">
        <v>0.16500000000000001</v>
      </c>
    </row>
    <row r="106" spans="2:11" x14ac:dyDescent="0.25">
      <c r="B106" s="2" t="s">
        <v>2626</v>
      </c>
      <c r="C106" s="2" t="s">
        <v>2627</v>
      </c>
      <c r="D106" s="3">
        <v>1.23</v>
      </c>
      <c r="E106" s="3">
        <v>13.86</v>
      </c>
      <c r="F106" s="3">
        <v>0.7</v>
      </c>
      <c r="G106" s="3">
        <v>0.09</v>
      </c>
      <c r="H106" s="3">
        <v>2</v>
      </c>
      <c r="I106" s="3">
        <v>0.06</v>
      </c>
      <c r="J106" s="3">
        <v>6.2E-2</v>
      </c>
      <c r="K106" s="3">
        <v>0.13</v>
      </c>
    </row>
    <row r="107" spans="2:11" x14ac:dyDescent="0.25">
      <c r="B107" s="2" t="s">
        <v>2628</v>
      </c>
      <c r="C107" s="2" t="s">
        <v>2629</v>
      </c>
      <c r="D107" s="3">
        <v>1.23</v>
      </c>
      <c r="E107" s="3">
        <v>13.86</v>
      </c>
      <c r="F107" s="3">
        <v>0.7</v>
      </c>
      <c r="G107" s="3">
        <v>0.09</v>
      </c>
      <c r="H107" s="3">
        <v>223</v>
      </c>
      <c r="I107" s="3">
        <v>0.06</v>
      </c>
      <c r="J107" s="3">
        <v>6.2E-2</v>
      </c>
      <c r="K107" s="3">
        <v>0.13</v>
      </c>
    </row>
    <row r="108" spans="2:11" x14ac:dyDescent="0.25">
      <c r="B108" s="2" t="s">
        <v>2630</v>
      </c>
      <c r="C108" s="2" t="s">
        <v>2631</v>
      </c>
      <c r="D108" s="3">
        <v>0.9</v>
      </c>
      <c r="E108" s="3">
        <v>11.5</v>
      </c>
      <c r="F108" s="3">
        <v>0.1</v>
      </c>
      <c r="G108" s="3">
        <v>0.04</v>
      </c>
      <c r="H108" s="3">
        <v>173</v>
      </c>
      <c r="I108" s="3">
        <v>0.02</v>
      </c>
      <c r="J108" s="3">
        <v>3.1E-2</v>
      </c>
      <c r="K108" s="3">
        <v>2.7E-2</v>
      </c>
    </row>
    <row r="109" spans="2:11" x14ac:dyDescent="0.25">
      <c r="B109" s="2" t="s">
        <v>2632</v>
      </c>
      <c r="C109" s="2" t="s">
        <v>2633</v>
      </c>
      <c r="D109" s="3">
        <v>1.46</v>
      </c>
      <c r="E109" s="3">
        <v>10.66</v>
      </c>
      <c r="F109" s="3">
        <v>0.5</v>
      </c>
      <c r="G109" s="3">
        <v>0.03</v>
      </c>
      <c r="H109" s="3">
        <v>129</v>
      </c>
      <c r="I109" s="3">
        <v>3.3000000000000002E-2</v>
      </c>
      <c r="J109" s="3">
        <v>2.9000000000000001E-2</v>
      </c>
      <c r="K109" s="3">
        <v>0.115</v>
      </c>
    </row>
    <row r="110" spans="2:11" x14ac:dyDescent="0.25">
      <c r="B110" s="2" t="s">
        <v>2634</v>
      </c>
      <c r="C110" s="2" t="s">
        <v>2635</v>
      </c>
      <c r="D110" s="3">
        <v>10.6</v>
      </c>
      <c r="E110" s="3">
        <v>78</v>
      </c>
      <c r="F110" s="3">
        <v>1.9</v>
      </c>
      <c r="H110" s="3">
        <v>3</v>
      </c>
      <c r="I110" s="3">
        <v>0.08</v>
      </c>
      <c r="J110" s="3">
        <v>0.06</v>
      </c>
      <c r="K110" s="3">
        <v>0.22</v>
      </c>
    </row>
    <row r="111" spans="2:11" x14ac:dyDescent="0.25">
      <c r="B111" s="2" t="s">
        <v>2636</v>
      </c>
      <c r="C111" s="2" t="s">
        <v>2637</v>
      </c>
      <c r="D111" s="3">
        <v>1.82</v>
      </c>
      <c r="E111" s="3">
        <v>10.92</v>
      </c>
      <c r="F111" s="3">
        <v>0.8</v>
      </c>
      <c r="G111" s="3">
        <v>0.76</v>
      </c>
      <c r="H111" s="3">
        <v>126</v>
      </c>
      <c r="I111" s="3">
        <v>6.6000000000000003E-2</v>
      </c>
      <c r="J111" s="3">
        <v>3.7999999999999999E-2</v>
      </c>
      <c r="K111" s="3">
        <v>0.126</v>
      </c>
    </row>
    <row r="112" spans="2:11" x14ac:dyDescent="0.25">
      <c r="B112" s="2" t="s">
        <v>2638</v>
      </c>
      <c r="C112" s="2" t="s">
        <v>2639</v>
      </c>
      <c r="D112" s="3">
        <v>10.6</v>
      </c>
      <c r="E112" s="3">
        <v>79.55</v>
      </c>
      <c r="F112" s="3">
        <v>2.8</v>
      </c>
      <c r="G112" s="3">
        <v>16.63</v>
      </c>
      <c r="H112" s="3">
        <v>10</v>
      </c>
      <c r="I112" s="3">
        <v>0.31</v>
      </c>
      <c r="J112" s="3">
        <v>0.18</v>
      </c>
      <c r="K112" s="3">
        <v>0.2</v>
      </c>
    </row>
    <row r="113" spans="2:11" x14ac:dyDescent="0.25">
      <c r="B113" s="2" t="s">
        <v>2640</v>
      </c>
      <c r="C113" s="2" t="s">
        <v>2641</v>
      </c>
      <c r="D113" s="3">
        <v>2.54</v>
      </c>
      <c r="E113" s="3">
        <v>12</v>
      </c>
      <c r="F113" s="3">
        <v>1.7</v>
      </c>
      <c r="G113" s="3">
        <v>0.27</v>
      </c>
      <c r="H113" s="3">
        <v>71</v>
      </c>
      <c r="I113" s="3">
        <v>0.31</v>
      </c>
      <c r="J113" s="3">
        <v>0.435</v>
      </c>
      <c r="K113" s="3">
        <v>0.55900000000000005</v>
      </c>
    </row>
    <row r="114" spans="2:11" x14ac:dyDescent="0.25">
      <c r="B114" s="2" t="s">
        <v>2642</v>
      </c>
      <c r="C114" s="2" t="s">
        <v>2643</v>
      </c>
      <c r="D114" s="3">
        <v>2.0299999999999998</v>
      </c>
      <c r="E114" s="3">
        <v>11.74</v>
      </c>
      <c r="F114" s="3">
        <v>2</v>
      </c>
      <c r="G114" s="3">
        <v>0.25</v>
      </c>
      <c r="H114" s="3">
        <v>238</v>
      </c>
      <c r="I114" s="3">
        <v>9.0999999999999998E-2</v>
      </c>
      <c r="J114" s="3">
        <v>6.7000000000000004E-2</v>
      </c>
      <c r="K114" s="3">
        <v>0.24</v>
      </c>
    </row>
    <row r="115" spans="2:11" x14ac:dyDescent="0.25">
      <c r="B115" s="2" t="s">
        <v>2644</v>
      </c>
      <c r="C115" s="2" t="s">
        <v>2645</v>
      </c>
      <c r="D115" s="3">
        <v>2</v>
      </c>
      <c r="E115" s="3">
        <v>13.7</v>
      </c>
      <c r="F115" s="3">
        <v>1.6</v>
      </c>
      <c r="G115" s="3">
        <v>0.08</v>
      </c>
      <c r="H115" s="3">
        <v>233</v>
      </c>
      <c r="I115" s="3">
        <v>0.06</v>
      </c>
      <c r="J115" s="3">
        <v>5.7000000000000002E-2</v>
      </c>
      <c r="K115" s="3">
        <v>0.20200000000000001</v>
      </c>
    </row>
    <row r="116" spans="2:11" x14ac:dyDescent="0.25">
      <c r="B116" s="2" t="s">
        <v>2646</v>
      </c>
      <c r="C116" s="2" t="s">
        <v>2647</v>
      </c>
      <c r="D116" s="3">
        <v>8.6999999999999993</v>
      </c>
      <c r="E116" s="3">
        <v>80.900000000000006</v>
      </c>
      <c r="F116" s="3">
        <v>7</v>
      </c>
      <c r="G116" s="3">
        <v>28.3</v>
      </c>
      <c r="H116" s="3">
        <v>257</v>
      </c>
      <c r="I116" s="3">
        <v>1.39</v>
      </c>
      <c r="J116" s="3">
        <v>2.5</v>
      </c>
      <c r="K116" s="3">
        <v>1.6</v>
      </c>
    </row>
    <row r="117" spans="2:11" x14ac:dyDescent="0.25">
      <c r="B117" s="2" t="s">
        <v>2648</v>
      </c>
      <c r="C117" s="2" t="s">
        <v>2649</v>
      </c>
      <c r="D117" s="3">
        <v>7.8</v>
      </c>
      <c r="E117" s="3">
        <v>83.8</v>
      </c>
      <c r="F117" s="3">
        <v>9.6</v>
      </c>
      <c r="G117" s="3">
        <v>22.3</v>
      </c>
      <c r="H117" s="3">
        <v>19</v>
      </c>
      <c r="I117" s="3">
        <v>0.3</v>
      </c>
      <c r="J117" s="3">
        <v>0.27100000000000002</v>
      </c>
      <c r="K117" s="3">
        <v>0.92500000000000004</v>
      </c>
    </row>
    <row r="118" spans="2:11" x14ac:dyDescent="0.25">
      <c r="B118" s="2" t="s">
        <v>2650</v>
      </c>
      <c r="C118" s="2" t="s">
        <v>2651</v>
      </c>
      <c r="D118" s="3">
        <v>6.5</v>
      </c>
      <c r="E118" s="3">
        <v>81.599999999999994</v>
      </c>
      <c r="F118" s="3">
        <v>4.7</v>
      </c>
      <c r="G118" s="3">
        <v>29.2</v>
      </c>
      <c r="H118" s="3">
        <v>341</v>
      </c>
      <c r="I118" s="3">
        <v>0.6</v>
      </c>
      <c r="J118" s="3">
        <v>2.9</v>
      </c>
      <c r="K118" s="3">
        <v>1.5</v>
      </c>
    </row>
    <row r="119" spans="2:11" x14ac:dyDescent="0.25">
      <c r="B119" s="2" t="s">
        <v>2652</v>
      </c>
      <c r="C119" s="2" t="s">
        <v>2653</v>
      </c>
      <c r="D119" s="3">
        <v>6.8</v>
      </c>
      <c r="E119" s="3">
        <v>75.599999999999994</v>
      </c>
      <c r="F119" s="3">
        <v>4.7</v>
      </c>
      <c r="G119" s="3">
        <v>35.299999999999997</v>
      </c>
      <c r="H119" s="3">
        <v>555</v>
      </c>
      <c r="I119" s="3">
        <v>2.1</v>
      </c>
      <c r="J119" s="3">
        <v>4.7</v>
      </c>
      <c r="K119" s="3">
        <v>3.7</v>
      </c>
    </row>
    <row r="120" spans="2:11" x14ac:dyDescent="0.25">
      <c r="B120" s="2" t="s">
        <v>2654</v>
      </c>
      <c r="C120" s="2" t="s">
        <v>2655</v>
      </c>
      <c r="D120" s="3">
        <v>12.64</v>
      </c>
      <c r="E120" s="3">
        <v>72.62</v>
      </c>
      <c r="F120" s="3">
        <v>11.9</v>
      </c>
      <c r="G120" s="3">
        <v>2.46</v>
      </c>
      <c r="H120" s="3">
        <v>7</v>
      </c>
      <c r="I120" s="3">
        <v>0.45</v>
      </c>
      <c r="J120" s="3">
        <v>0.6</v>
      </c>
      <c r="K120" s="3">
        <v>1.1299999999999999</v>
      </c>
    </row>
    <row r="121" spans="2:11" x14ac:dyDescent="0.25">
      <c r="B121" s="2" t="s">
        <v>2656</v>
      </c>
      <c r="C121" s="2" t="s">
        <v>2657</v>
      </c>
      <c r="D121" s="3">
        <v>9.89</v>
      </c>
      <c r="E121" s="3">
        <v>78.09</v>
      </c>
      <c r="F121" s="3">
        <v>8.1999999999999993</v>
      </c>
      <c r="G121" s="3">
        <v>22.89</v>
      </c>
      <c r="H121" s="3">
        <v>212</v>
      </c>
      <c r="I121" s="3">
        <v>1.1000000000000001</v>
      </c>
      <c r="J121" s="3">
        <v>3.1</v>
      </c>
      <c r="K121" s="3">
        <v>2.2000000000000002</v>
      </c>
    </row>
    <row r="122" spans="2:11" x14ac:dyDescent="0.25">
      <c r="B122" s="2" t="s">
        <v>2658</v>
      </c>
      <c r="C122" s="2" t="s">
        <v>2659</v>
      </c>
      <c r="D122" s="3">
        <v>3.34</v>
      </c>
      <c r="E122" s="3">
        <v>87.2</v>
      </c>
      <c r="F122" s="3">
        <v>3.8</v>
      </c>
      <c r="G122" s="3">
        <v>43.7</v>
      </c>
      <c r="H122" s="3">
        <v>534</v>
      </c>
      <c r="I122" s="3">
        <v>0.96099999999999997</v>
      </c>
      <c r="J122" s="3">
        <v>2.0790000000000002</v>
      </c>
      <c r="K122" s="3">
        <v>0.23100000000000001</v>
      </c>
    </row>
    <row r="123" spans="2:11" x14ac:dyDescent="0.25">
      <c r="B123" s="2" t="s">
        <v>2660</v>
      </c>
      <c r="C123" s="2" t="s">
        <v>2661</v>
      </c>
      <c r="D123" s="3">
        <v>3.41</v>
      </c>
      <c r="E123" s="3">
        <v>86.75</v>
      </c>
      <c r="F123" s="3">
        <v>3.3</v>
      </c>
      <c r="G123" s="3">
        <v>48.11</v>
      </c>
      <c r="H123" s="3">
        <v>350</v>
      </c>
      <c r="I123" s="3">
        <v>2.57</v>
      </c>
      <c r="J123" s="3">
        <v>0.88700000000000001</v>
      </c>
      <c r="K123" s="3">
        <v>0.55500000000000005</v>
      </c>
    </row>
    <row r="124" spans="2:11" x14ac:dyDescent="0.25">
      <c r="B124" s="2" t="s">
        <v>2662</v>
      </c>
      <c r="C124" s="2" t="s">
        <v>2663</v>
      </c>
      <c r="D124" s="3">
        <v>9.14</v>
      </c>
      <c r="E124" s="3">
        <v>79.02</v>
      </c>
      <c r="F124" s="3">
        <v>6.3</v>
      </c>
      <c r="G124" s="3">
        <v>25.18</v>
      </c>
      <c r="H124" s="3">
        <v>463</v>
      </c>
      <c r="I124" s="3">
        <v>0.77</v>
      </c>
      <c r="J124" s="3">
        <v>1.37</v>
      </c>
      <c r="K124" s="3">
        <v>1.3</v>
      </c>
    </row>
    <row r="125" spans="2:11" x14ac:dyDescent="0.25">
      <c r="B125" s="2" t="s">
        <v>2664</v>
      </c>
      <c r="C125" s="2" t="s">
        <v>2665</v>
      </c>
      <c r="D125" s="3">
        <v>3.92</v>
      </c>
      <c r="E125" s="3">
        <v>83.65</v>
      </c>
      <c r="F125" s="3">
        <v>2.1</v>
      </c>
      <c r="G125" s="3">
        <v>43.23</v>
      </c>
      <c r="H125" s="3">
        <v>679</v>
      </c>
      <c r="I125" s="3">
        <v>5.7089999999999996</v>
      </c>
      <c r="J125" s="3">
        <v>0.70399999999999996</v>
      </c>
      <c r="K125" s="3">
        <v>0.72199999999999998</v>
      </c>
    </row>
    <row r="126" spans="2:11" x14ac:dyDescent="0.25">
      <c r="B126" s="2" t="s">
        <v>2666</v>
      </c>
      <c r="C126" s="2" t="s">
        <v>2667</v>
      </c>
      <c r="D126" s="3">
        <v>11.38</v>
      </c>
      <c r="E126" s="3">
        <v>77.77</v>
      </c>
      <c r="F126" s="3">
        <v>8.3000000000000007</v>
      </c>
      <c r="G126" s="3">
        <v>16.690000000000001</v>
      </c>
      <c r="H126" s="3">
        <v>347</v>
      </c>
      <c r="I126" s="3">
        <v>0.873</v>
      </c>
      <c r="J126" s="3">
        <v>1.5940000000000001</v>
      </c>
      <c r="K126" s="3">
        <v>1.5229999999999999</v>
      </c>
    </row>
    <row r="127" spans="2:11" x14ac:dyDescent="0.25">
      <c r="B127" s="2" t="s">
        <v>2668</v>
      </c>
      <c r="C127" s="2" t="s">
        <v>2669</v>
      </c>
      <c r="D127" s="3">
        <v>11.23</v>
      </c>
      <c r="E127" s="3">
        <v>78.09</v>
      </c>
      <c r="F127" s="3">
        <v>8.6999999999999993</v>
      </c>
      <c r="G127" s="3">
        <v>16.670000000000002</v>
      </c>
      <c r="H127" s="3">
        <v>344</v>
      </c>
      <c r="I127" s="3">
        <v>0.88</v>
      </c>
      <c r="J127" s="3">
        <v>1.6</v>
      </c>
      <c r="K127" s="3">
        <v>1.55</v>
      </c>
    </row>
    <row r="128" spans="2:11" x14ac:dyDescent="0.25">
      <c r="B128" s="2" t="s">
        <v>2670</v>
      </c>
      <c r="C128" s="2" t="s">
        <v>2671</v>
      </c>
      <c r="D128" s="3">
        <v>12.38</v>
      </c>
      <c r="E128" s="3">
        <v>74.900000000000006</v>
      </c>
      <c r="F128" s="3">
        <v>10.199999999999999</v>
      </c>
      <c r="G128" s="3">
        <v>16.34</v>
      </c>
      <c r="H128" s="3">
        <v>365</v>
      </c>
      <c r="I128" s="3">
        <v>0.91</v>
      </c>
      <c r="J128" s="3">
        <v>1.58</v>
      </c>
      <c r="K128" s="3">
        <v>2.04</v>
      </c>
    </row>
    <row r="129" spans="2:11" x14ac:dyDescent="0.25">
      <c r="B129" s="2" t="s">
        <v>2672</v>
      </c>
      <c r="C129" s="2" t="s">
        <v>2673</v>
      </c>
      <c r="D129" s="3">
        <v>9.66</v>
      </c>
      <c r="E129" s="3">
        <v>74.67</v>
      </c>
      <c r="F129" s="3">
        <v>9.4</v>
      </c>
      <c r="G129" s="3">
        <v>24.63</v>
      </c>
      <c r="H129" s="3">
        <v>54</v>
      </c>
      <c r="I129" s="3">
        <v>1.1200000000000001</v>
      </c>
      <c r="J129" s="3">
        <v>5.87</v>
      </c>
      <c r="K129" s="3">
        <v>2.39</v>
      </c>
    </row>
    <row r="130" spans="2:11" x14ac:dyDescent="0.25">
      <c r="B130" s="2" t="s">
        <v>2674</v>
      </c>
      <c r="C130" s="2" t="s">
        <v>2675</v>
      </c>
      <c r="D130" s="3">
        <v>8.42</v>
      </c>
      <c r="E130" s="3">
        <v>80.569999999999993</v>
      </c>
      <c r="F130" s="3">
        <v>9.6</v>
      </c>
      <c r="G130" s="3">
        <v>25.65</v>
      </c>
      <c r="H130" s="3">
        <v>234</v>
      </c>
      <c r="I130" s="3">
        <v>0.97</v>
      </c>
      <c r="J130" s="3">
        <v>2.548</v>
      </c>
      <c r="K130" s="3">
        <v>1.4379999999999999</v>
      </c>
    </row>
    <row r="131" spans="2:11" x14ac:dyDescent="0.25">
      <c r="B131" s="2" t="s">
        <v>2676</v>
      </c>
      <c r="C131" s="2" t="s">
        <v>2677</v>
      </c>
      <c r="D131" s="3">
        <v>8.1199999999999992</v>
      </c>
      <c r="E131" s="3">
        <v>74.83</v>
      </c>
      <c r="F131" s="3">
        <v>4.7</v>
      </c>
      <c r="G131" s="3">
        <v>0.88</v>
      </c>
      <c r="H131" s="3">
        <v>1197</v>
      </c>
      <c r="I131" s="3">
        <v>2.58</v>
      </c>
      <c r="J131" s="3">
        <v>0.94</v>
      </c>
      <c r="K131" s="3">
        <v>0.49</v>
      </c>
    </row>
    <row r="132" spans="2:11" x14ac:dyDescent="0.25">
      <c r="B132" s="2" t="s">
        <v>2678</v>
      </c>
      <c r="C132" s="2" t="s">
        <v>2679</v>
      </c>
      <c r="D132" s="3">
        <v>8.3000000000000007</v>
      </c>
      <c r="E132" s="3">
        <v>75.42</v>
      </c>
      <c r="F132" s="3">
        <v>6</v>
      </c>
      <c r="G132" s="3">
        <v>31.27</v>
      </c>
      <c r="H132" s="3">
        <v>499</v>
      </c>
      <c r="I132" s="3">
        <v>1.3080000000000001</v>
      </c>
      <c r="J132" s="3">
        <v>2.0920000000000001</v>
      </c>
      <c r="K132" s="3">
        <v>1.335</v>
      </c>
    </row>
    <row r="133" spans="2:11" x14ac:dyDescent="0.25">
      <c r="B133" s="2" t="s">
        <v>2680</v>
      </c>
      <c r="C133" s="2" t="s">
        <v>2681</v>
      </c>
      <c r="D133" s="3">
        <v>8.82</v>
      </c>
      <c r="E133" s="3">
        <v>72.41</v>
      </c>
      <c r="F133" s="3">
        <v>6.9</v>
      </c>
      <c r="G133" s="3">
        <v>30.85</v>
      </c>
      <c r="H133" s="3">
        <v>516</v>
      </c>
      <c r="I133" s="3">
        <v>1.07</v>
      </c>
      <c r="J133" s="3">
        <v>1.903</v>
      </c>
      <c r="K133" s="3">
        <v>3.24</v>
      </c>
    </row>
    <row r="134" spans="2:11" x14ac:dyDescent="0.25">
      <c r="B134" s="2" t="s">
        <v>2682</v>
      </c>
      <c r="C134" s="2" t="s">
        <v>2683</v>
      </c>
      <c r="D134" s="3">
        <v>17.03</v>
      </c>
      <c r="E134" s="3">
        <v>62.94</v>
      </c>
      <c r="F134" s="3">
        <v>14.3</v>
      </c>
      <c r="G134" s="3">
        <v>1.43</v>
      </c>
      <c r="H134" s="3">
        <v>5</v>
      </c>
      <c r="I134" s="3">
        <v>1.43</v>
      </c>
      <c r="J134" s="3">
        <v>2.61</v>
      </c>
      <c r="K134" s="3">
        <v>3.03</v>
      </c>
    </row>
    <row r="135" spans="2:11" x14ac:dyDescent="0.25">
      <c r="B135" s="2" t="s">
        <v>2684</v>
      </c>
      <c r="C135" s="2" t="s">
        <v>2685</v>
      </c>
      <c r="D135" s="3">
        <v>2.0299999999999998</v>
      </c>
      <c r="E135" s="3">
        <v>7.49</v>
      </c>
      <c r="F135" s="3">
        <v>1.7</v>
      </c>
      <c r="H135" s="3">
        <v>3</v>
      </c>
      <c r="I135" s="3">
        <v>0.17</v>
      </c>
      <c r="J135" s="3">
        <v>0.31</v>
      </c>
      <c r="K135" s="3">
        <v>0.36</v>
      </c>
    </row>
    <row r="136" spans="2:11" x14ac:dyDescent="0.25">
      <c r="B136" s="2" t="s">
        <v>2686</v>
      </c>
      <c r="C136" s="2" t="s">
        <v>2687</v>
      </c>
      <c r="D136" s="3">
        <v>8.8000000000000007</v>
      </c>
      <c r="E136" s="3">
        <v>80.5</v>
      </c>
      <c r="F136" s="3">
        <v>7.6</v>
      </c>
      <c r="G136" s="3">
        <v>27</v>
      </c>
      <c r="H136" s="3">
        <v>639</v>
      </c>
      <c r="I136" s="3">
        <v>1</v>
      </c>
      <c r="J136" s="3">
        <v>1.6</v>
      </c>
      <c r="K136" s="3">
        <v>1.6</v>
      </c>
    </row>
    <row r="137" spans="2:11" x14ac:dyDescent="0.25">
      <c r="B137" s="2" t="s">
        <v>2688</v>
      </c>
      <c r="C137" s="2" t="s">
        <v>2689</v>
      </c>
      <c r="D137" s="3">
        <v>2.0299999999999998</v>
      </c>
      <c r="E137" s="3">
        <v>7.49</v>
      </c>
      <c r="F137" s="3">
        <v>1.7</v>
      </c>
      <c r="H137" s="3">
        <v>46</v>
      </c>
      <c r="I137" s="3">
        <v>0.17</v>
      </c>
      <c r="J137" s="3">
        <v>0.31</v>
      </c>
      <c r="K137" s="3">
        <v>0.36</v>
      </c>
    </row>
    <row r="138" spans="2:11" x14ac:dyDescent="0.25">
      <c r="B138" s="2" t="s">
        <v>2690</v>
      </c>
      <c r="C138" s="2" t="s">
        <v>2691</v>
      </c>
      <c r="D138" s="3">
        <v>7.7</v>
      </c>
      <c r="E138" s="3">
        <v>85.2</v>
      </c>
      <c r="F138" s="3">
        <v>6.3</v>
      </c>
      <c r="G138" s="3">
        <v>24.8</v>
      </c>
      <c r="H138" s="3">
        <v>515</v>
      </c>
      <c r="I138" s="3">
        <v>0.5</v>
      </c>
      <c r="J138" s="3">
        <v>0.2</v>
      </c>
      <c r="K138" s="3">
        <v>0.4</v>
      </c>
    </row>
    <row r="139" spans="2:11" x14ac:dyDescent="0.25">
      <c r="B139" s="2" t="s">
        <v>2692</v>
      </c>
      <c r="C139" s="2" t="s">
        <v>2693</v>
      </c>
      <c r="D139" s="3">
        <v>6.59</v>
      </c>
      <c r="E139" s="3">
        <v>84.3</v>
      </c>
      <c r="F139" s="3">
        <v>46.2</v>
      </c>
      <c r="G139" s="3">
        <v>1</v>
      </c>
      <c r="H139" s="3">
        <v>356</v>
      </c>
      <c r="I139" s="3">
        <v>0.4</v>
      </c>
      <c r="J139" s="3">
        <v>0.5</v>
      </c>
      <c r="K139" s="3">
        <v>1.29</v>
      </c>
    </row>
    <row r="140" spans="2:11" x14ac:dyDescent="0.25">
      <c r="B140" s="2" t="s">
        <v>2694</v>
      </c>
      <c r="C140" s="2" t="s">
        <v>2695</v>
      </c>
      <c r="D140" s="3">
        <v>8.5</v>
      </c>
      <c r="E140" s="3">
        <v>80.8</v>
      </c>
      <c r="F140" s="3">
        <v>7.5</v>
      </c>
      <c r="G140" s="3">
        <v>27.29</v>
      </c>
      <c r="H140" s="3">
        <v>195</v>
      </c>
      <c r="I140" s="3">
        <v>0.8</v>
      </c>
      <c r="J140" s="3">
        <v>1.3</v>
      </c>
      <c r="K140" s="3">
        <v>1.5</v>
      </c>
    </row>
    <row r="141" spans="2:11" x14ac:dyDescent="0.25">
      <c r="B141" s="2" t="s">
        <v>2696</v>
      </c>
      <c r="C141" s="2" t="s">
        <v>2697</v>
      </c>
      <c r="D141" s="3">
        <v>5.6</v>
      </c>
      <c r="E141" s="3">
        <v>76.8</v>
      </c>
      <c r="F141" s="3">
        <v>9.1</v>
      </c>
      <c r="G141" s="3">
        <v>32.299999999999997</v>
      </c>
      <c r="H141" s="3">
        <v>339</v>
      </c>
      <c r="I141" s="3">
        <v>0.4</v>
      </c>
      <c r="J141" s="3">
        <v>0.3</v>
      </c>
      <c r="K141" s="3">
        <v>0.8</v>
      </c>
    </row>
    <row r="142" spans="2:11" x14ac:dyDescent="0.25">
      <c r="B142" s="2" t="s">
        <v>2698</v>
      </c>
      <c r="C142" s="2" t="s">
        <v>2699</v>
      </c>
      <c r="D142" s="3">
        <v>2.08</v>
      </c>
      <c r="E142" s="3">
        <v>13.49</v>
      </c>
      <c r="F142" s="3">
        <v>2.2000000000000002</v>
      </c>
      <c r="H142" s="3">
        <v>3</v>
      </c>
      <c r="I142" s="3">
        <v>9.6000000000000002E-2</v>
      </c>
      <c r="J142" s="3">
        <v>0.105</v>
      </c>
      <c r="K142" s="3">
        <v>0.23499999999999999</v>
      </c>
    </row>
    <row r="143" spans="2:11" x14ac:dyDescent="0.25">
      <c r="B143" s="2" t="s">
        <v>2700</v>
      </c>
      <c r="C143" s="2" t="s">
        <v>2701</v>
      </c>
      <c r="D143" s="3">
        <v>2.0699999999999998</v>
      </c>
      <c r="E143" s="3">
        <v>13.47</v>
      </c>
      <c r="F143" s="3">
        <v>2.2000000000000002</v>
      </c>
      <c r="H143" s="3">
        <v>70</v>
      </c>
      <c r="I143" s="3">
        <v>9.5000000000000001E-2</v>
      </c>
      <c r="J143" s="3">
        <v>0.105</v>
      </c>
      <c r="K143" s="3">
        <v>0.23499999999999999</v>
      </c>
    </row>
    <row r="144" spans="2:11" x14ac:dyDescent="0.25">
      <c r="B144" s="2" t="s">
        <v>2702</v>
      </c>
      <c r="C144" s="2" t="s">
        <v>2703</v>
      </c>
      <c r="D144" s="3">
        <v>6.59</v>
      </c>
      <c r="E144" s="3">
        <v>87.19</v>
      </c>
      <c r="F144" s="3">
        <v>1</v>
      </c>
      <c r="G144" s="3">
        <v>12.8</v>
      </c>
      <c r="H144" s="3">
        <v>660</v>
      </c>
      <c r="I144" s="3">
        <v>0.2</v>
      </c>
      <c r="J144" s="3">
        <v>0.2</v>
      </c>
      <c r="K144" s="3">
        <v>0.3</v>
      </c>
    </row>
    <row r="145" spans="2:11" x14ac:dyDescent="0.25">
      <c r="B145" s="2" t="s">
        <v>2704</v>
      </c>
      <c r="C145" s="2" t="s">
        <v>2705</v>
      </c>
      <c r="D145" s="3">
        <v>8.19</v>
      </c>
      <c r="E145" s="3">
        <v>80</v>
      </c>
      <c r="F145" s="3">
        <v>12.2</v>
      </c>
      <c r="G145" s="3">
        <v>28.5</v>
      </c>
      <c r="H145" s="3">
        <v>440</v>
      </c>
      <c r="I145" s="3">
        <v>1</v>
      </c>
      <c r="J145" s="3">
        <v>2</v>
      </c>
      <c r="K145" s="3">
        <v>2</v>
      </c>
    </row>
    <row r="146" spans="2:11" x14ac:dyDescent="0.25">
      <c r="B146" s="2" t="s">
        <v>2706</v>
      </c>
      <c r="C146" s="2" t="s">
        <v>2707</v>
      </c>
      <c r="D146" s="3">
        <v>6.69</v>
      </c>
      <c r="E146" s="3">
        <v>79.09</v>
      </c>
      <c r="F146" s="3">
        <v>9.1</v>
      </c>
      <c r="G146" s="3">
        <v>22.5</v>
      </c>
      <c r="H146" s="3">
        <v>506</v>
      </c>
      <c r="I146" s="3">
        <v>1.29</v>
      </c>
      <c r="J146" s="3">
        <v>1.2</v>
      </c>
      <c r="K146" s="3">
        <v>1.1000000000000001</v>
      </c>
    </row>
    <row r="147" spans="2:11" x14ac:dyDescent="0.25">
      <c r="B147" s="2" t="s">
        <v>2708</v>
      </c>
      <c r="C147" s="2" t="s">
        <v>2709</v>
      </c>
      <c r="D147" s="3">
        <v>8.3000000000000007</v>
      </c>
      <c r="E147" s="3">
        <v>79.900000000000006</v>
      </c>
      <c r="F147" s="3">
        <v>7.3</v>
      </c>
      <c r="G147" s="3">
        <v>34.200000000000003</v>
      </c>
      <c r="H147" s="3">
        <v>390</v>
      </c>
      <c r="I147" s="3">
        <v>1.1000000000000001</v>
      </c>
      <c r="J147" s="3">
        <v>2.79</v>
      </c>
      <c r="K147" s="3">
        <v>1.89</v>
      </c>
    </row>
    <row r="148" spans="2:11" x14ac:dyDescent="0.25">
      <c r="B148" s="2" t="s">
        <v>2710</v>
      </c>
      <c r="C148" s="2" t="s">
        <v>2711</v>
      </c>
      <c r="D148" s="3">
        <v>9</v>
      </c>
      <c r="E148" s="3">
        <v>79.8</v>
      </c>
      <c r="F148" s="3">
        <v>7.5</v>
      </c>
      <c r="G148" s="3">
        <v>32</v>
      </c>
      <c r="H148" s="3">
        <v>553</v>
      </c>
      <c r="I148" s="3">
        <v>1.1000000000000001</v>
      </c>
      <c r="J148" s="3">
        <v>1.7</v>
      </c>
      <c r="K148" s="3">
        <v>1.79</v>
      </c>
    </row>
    <row r="149" spans="2:11" x14ac:dyDescent="0.25">
      <c r="B149" s="2" t="s">
        <v>2712</v>
      </c>
      <c r="C149" s="2" t="s">
        <v>2713</v>
      </c>
      <c r="D149" s="3">
        <v>5.5</v>
      </c>
      <c r="E149" s="3">
        <v>85.4</v>
      </c>
      <c r="F149" s="3">
        <v>4.2</v>
      </c>
      <c r="G149" s="3">
        <v>27.29</v>
      </c>
      <c r="H149" s="3">
        <v>458</v>
      </c>
      <c r="I149" s="3">
        <v>0.5</v>
      </c>
      <c r="J149" s="3">
        <v>2.09</v>
      </c>
      <c r="K149" s="3">
        <v>1.39</v>
      </c>
    </row>
    <row r="150" spans="2:11" x14ac:dyDescent="0.25">
      <c r="B150" s="2" t="s">
        <v>2714</v>
      </c>
      <c r="C150" s="2" t="s">
        <v>2715</v>
      </c>
      <c r="D150" s="3">
        <v>5.4</v>
      </c>
      <c r="E150" s="3">
        <v>84.5</v>
      </c>
      <c r="F150" s="3">
        <v>5</v>
      </c>
      <c r="G150" s="3">
        <v>33.090000000000003</v>
      </c>
      <c r="H150" s="3">
        <v>488</v>
      </c>
      <c r="I150" s="3">
        <v>0.6</v>
      </c>
      <c r="J150" s="3">
        <v>2.29</v>
      </c>
      <c r="K150" s="3">
        <v>1.6</v>
      </c>
    </row>
    <row r="151" spans="2:11" x14ac:dyDescent="0.25">
      <c r="B151" s="2" t="s">
        <v>2716</v>
      </c>
      <c r="C151" s="2" t="s">
        <v>2717</v>
      </c>
      <c r="D151" s="3">
        <v>5.6</v>
      </c>
      <c r="E151" s="3">
        <v>83.7</v>
      </c>
      <c r="F151" s="3">
        <v>5.7</v>
      </c>
      <c r="G151" s="3">
        <v>37.200000000000003</v>
      </c>
      <c r="H151" s="3">
        <v>564</v>
      </c>
      <c r="I151" s="3">
        <v>1</v>
      </c>
      <c r="J151" s="3">
        <v>1.7</v>
      </c>
      <c r="K151" s="3">
        <v>2.1</v>
      </c>
    </row>
    <row r="152" spans="2:11" x14ac:dyDescent="0.25">
      <c r="B152" s="2" t="s">
        <v>2718</v>
      </c>
      <c r="C152" s="2" t="s">
        <v>2719</v>
      </c>
      <c r="D152" s="3">
        <v>5.45</v>
      </c>
      <c r="E152" s="3">
        <v>77.989999999999995</v>
      </c>
      <c r="F152" s="3">
        <v>6.8</v>
      </c>
      <c r="G152" s="3">
        <v>30.3</v>
      </c>
      <c r="H152" s="3">
        <v>567</v>
      </c>
      <c r="I152" s="3">
        <v>0.97499999999999998</v>
      </c>
      <c r="J152" s="3">
        <v>4.92</v>
      </c>
      <c r="K152" s="3">
        <v>2.11</v>
      </c>
    </row>
    <row r="153" spans="2:11" x14ac:dyDescent="0.25">
      <c r="B153" s="2" t="s">
        <v>2720</v>
      </c>
      <c r="C153" s="2" t="s">
        <v>2721</v>
      </c>
      <c r="D153" s="3">
        <v>5.5</v>
      </c>
      <c r="E153" s="3">
        <v>85.4</v>
      </c>
      <c r="F153" s="3">
        <v>4.2</v>
      </c>
      <c r="G153" s="3">
        <v>27.29</v>
      </c>
      <c r="H153" s="3">
        <v>458</v>
      </c>
      <c r="I153" s="3">
        <v>0.5</v>
      </c>
      <c r="J153" s="3">
        <v>2.09</v>
      </c>
      <c r="K153" s="3">
        <v>1.39</v>
      </c>
    </row>
    <row r="154" spans="2:11" x14ac:dyDescent="0.25">
      <c r="B154" s="2" t="s">
        <v>2722</v>
      </c>
      <c r="C154" s="2" t="s">
        <v>2723</v>
      </c>
      <c r="D154" s="3">
        <v>6.19</v>
      </c>
      <c r="E154" s="3">
        <v>83.9</v>
      </c>
      <c r="F154" s="3">
        <v>5.8</v>
      </c>
      <c r="G154" s="3">
        <v>21</v>
      </c>
      <c r="H154" s="3">
        <v>517</v>
      </c>
      <c r="I154" s="3">
        <v>0.6</v>
      </c>
      <c r="J154" s="3">
        <v>1.7</v>
      </c>
      <c r="K154" s="3">
        <v>1.7</v>
      </c>
    </row>
    <row r="155" spans="2:11" x14ac:dyDescent="0.25">
      <c r="B155" s="2" t="s">
        <v>2724</v>
      </c>
      <c r="C155" s="2" t="s">
        <v>2725</v>
      </c>
      <c r="D155" s="3">
        <v>7.9</v>
      </c>
      <c r="E155" s="3">
        <v>79.400000000000006</v>
      </c>
      <c r="F155" s="3">
        <v>5</v>
      </c>
      <c r="G155" s="3">
        <v>31.89</v>
      </c>
      <c r="H155" s="3">
        <v>497</v>
      </c>
      <c r="I155" s="3">
        <v>0.89</v>
      </c>
      <c r="J155" s="3">
        <v>2.1</v>
      </c>
      <c r="K155" s="3">
        <v>1.39</v>
      </c>
    </row>
    <row r="156" spans="2:11" x14ac:dyDescent="0.25">
      <c r="B156" s="2" t="s">
        <v>2726</v>
      </c>
      <c r="C156" s="2" t="s">
        <v>2727</v>
      </c>
      <c r="D156" s="3">
        <v>9</v>
      </c>
      <c r="E156" s="3">
        <v>80.099999999999994</v>
      </c>
      <c r="F156" s="3">
        <v>7.4</v>
      </c>
      <c r="G156" s="3">
        <v>27.9</v>
      </c>
      <c r="H156" s="3">
        <v>249</v>
      </c>
      <c r="I156" s="3">
        <v>1.2</v>
      </c>
      <c r="J156" s="3">
        <v>2.2000000000000002</v>
      </c>
      <c r="K156" s="3">
        <v>1.6</v>
      </c>
    </row>
    <row r="157" spans="2:11" x14ac:dyDescent="0.25">
      <c r="B157" s="2" t="s">
        <v>2728</v>
      </c>
      <c r="C157" s="2" t="s">
        <v>2729</v>
      </c>
      <c r="D157" s="3">
        <v>8.6</v>
      </c>
      <c r="E157" s="3">
        <v>74.900000000000006</v>
      </c>
      <c r="F157" s="3">
        <v>7.7</v>
      </c>
      <c r="G157" s="3">
        <v>25.1</v>
      </c>
      <c r="H157" s="3">
        <v>239</v>
      </c>
      <c r="I157" s="3">
        <v>0.6</v>
      </c>
      <c r="J157" s="3">
        <v>2.5</v>
      </c>
      <c r="K157" s="3">
        <v>1.39</v>
      </c>
    </row>
    <row r="158" spans="2:11" x14ac:dyDescent="0.25">
      <c r="B158" s="2" t="s">
        <v>2730</v>
      </c>
      <c r="C158" s="2" t="s">
        <v>2731</v>
      </c>
      <c r="D158" s="3">
        <v>4.3</v>
      </c>
      <c r="E158" s="3">
        <v>85.59</v>
      </c>
      <c r="F158" s="3">
        <v>0.4</v>
      </c>
      <c r="G158" s="3">
        <v>29.6</v>
      </c>
      <c r="H158" s="3">
        <v>567</v>
      </c>
      <c r="I158" s="3">
        <v>0.89</v>
      </c>
      <c r="J158" s="3">
        <v>1.2</v>
      </c>
      <c r="K158" s="3">
        <v>0.2</v>
      </c>
    </row>
    <row r="159" spans="2:11" x14ac:dyDescent="0.25">
      <c r="B159" s="2" t="s">
        <v>2732</v>
      </c>
      <c r="C159" s="2" t="s">
        <v>2733</v>
      </c>
      <c r="D159" s="3">
        <v>14.44</v>
      </c>
      <c r="E159" s="3">
        <v>78.150000000000006</v>
      </c>
      <c r="F159" s="3">
        <v>14.1</v>
      </c>
      <c r="G159" s="3">
        <v>20</v>
      </c>
      <c r="H159" s="3">
        <v>200</v>
      </c>
      <c r="I159" s="3">
        <v>0.26100000000000001</v>
      </c>
      <c r="J159" s="3">
        <v>0.24399999999999999</v>
      </c>
      <c r="K159" s="3">
        <v>0.61</v>
      </c>
    </row>
    <row r="160" spans="2:11" x14ac:dyDescent="0.25">
      <c r="B160" s="2" t="s">
        <v>2734</v>
      </c>
      <c r="C160" s="2" t="s">
        <v>2735</v>
      </c>
      <c r="D160" s="3">
        <v>6.6</v>
      </c>
      <c r="E160" s="3">
        <v>83</v>
      </c>
      <c r="F160" s="3">
        <v>4.4000000000000004</v>
      </c>
      <c r="G160" s="3">
        <v>34.700000000000003</v>
      </c>
      <c r="H160" s="3">
        <v>596</v>
      </c>
      <c r="I160" s="3">
        <v>0.9</v>
      </c>
      <c r="J160" s="3">
        <v>1.7</v>
      </c>
      <c r="K160" s="3">
        <v>1.7</v>
      </c>
    </row>
    <row r="161" spans="2:11" x14ac:dyDescent="0.25">
      <c r="B161" s="2" t="s">
        <v>2736</v>
      </c>
      <c r="C161" s="2" t="s">
        <v>2737</v>
      </c>
      <c r="D161" s="3">
        <v>6.8</v>
      </c>
      <c r="E161" s="3">
        <v>87</v>
      </c>
      <c r="F161" s="3">
        <v>3.4</v>
      </c>
      <c r="G161" s="3">
        <v>33</v>
      </c>
      <c r="H161" s="3">
        <v>700</v>
      </c>
      <c r="I161" s="3">
        <v>0.3</v>
      </c>
      <c r="J161" s="3">
        <v>1</v>
      </c>
      <c r="K161" s="3">
        <v>0.6</v>
      </c>
    </row>
    <row r="162" spans="2:11" x14ac:dyDescent="0.25">
      <c r="B162" s="2" t="s">
        <v>2738</v>
      </c>
      <c r="C162" s="2" t="s">
        <v>2739</v>
      </c>
      <c r="D162" s="3">
        <v>8.8000000000000007</v>
      </c>
      <c r="E162" s="3">
        <v>79.599999999999994</v>
      </c>
      <c r="F162" s="3">
        <v>4.8</v>
      </c>
      <c r="G162" s="3">
        <v>0.3</v>
      </c>
      <c r="H162" s="3">
        <v>1</v>
      </c>
      <c r="I162" s="3">
        <v>0.16</v>
      </c>
      <c r="J162" s="3">
        <v>0.28999999999999998</v>
      </c>
      <c r="K162" s="3">
        <v>0.51</v>
      </c>
    </row>
    <row r="163" spans="2:11" x14ac:dyDescent="0.25">
      <c r="B163" s="2" t="s">
        <v>2740</v>
      </c>
      <c r="C163" s="2" t="s">
        <v>2741</v>
      </c>
      <c r="D163" s="3">
        <v>8.8000000000000007</v>
      </c>
      <c r="E163" s="3">
        <v>79.2</v>
      </c>
      <c r="F163" s="3">
        <v>1.6</v>
      </c>
      <c r="G163" s="3">
        <v>0.64</v>
      </c>
      <c r="H163" s="3">
        <v>1</v>
      </c>
      <c r="I163" s="3">
        <v>0.15</v>
      </c>
      <c r="J163" s="3">
        <v>0.3</v>
      </c>
      <c r="K163" s="3">
        <v>0.52</v>
      </c>
    </row>
    <row r="164" spans="2:11" x14ac:dyDescent="0.25">
      <c r="B164" s="2" t="s">
        <v>2742</v>
      </c>
      <c r="C164" s="2" t="s">
        <v>2743</v>
      </c>
      <c r="D164" s="3">
        <v>7.5</v>
      </c>
      <c r="E164" s="3">
        <v>86.8</v>
      </c>
      <c r="F164" s="3">
        <v>5.4</v>
      </c>
      <c r="G164" s="3">
        <v>27.79</v>
      </c>
      <c r="H164" s="3">
        <v>398</v>
      </c>
      <c r="I164" s="3">
        <v>0.3</v>
      </c>
      <c r="J164" s="3">
        <v>0.1</v>
      </c>
      <c r="K164" s="3">
        <v>0.5</v>
      </c>
    </row>
    <row r="165" spans="2:11" x14ac:dyDescent="0.25">
      <c r="B165" s="2" t="s">
        <v>2744</v>
      </c>
      <c r="C165" s="2" t="s">
        <v>2745</v>
      </c>
      <c r="D165" s="3">
        <v>9.19</v>
      </c>
      <c r="E165" s="3">
        <v>83.4</v>
      </c>
      <c r="F165" s="3">
        <v>10.8</v>
      </c>
      <c r="G165" s="3">
        <v>20.29</v>
      </c>
      <c r="H165" s="3">
        <v>2</v>
      </c>
      <c r="I165" s="3">
        <v>0.4</v>
      </c>
      <c r="J165" s="3">
        <v>0.2</v>
      </c>
      <c r="K165" s="3">
        <v>0.89</v>
      </c>
    </row>
    <row r="166" spans="2:11" x14ac:dyDescent="0.25">
      <c r="B166" s="2" t="s">
        <v>2746</v>
      </c>
      <c r="C166" s="2" t="s">
        <v>2747</v>
      </c>
      <c r="D166" s="3">
        <v>3.64</v>
      </c>
      <c r="E166" s="3">
        <v>81.59</v>
      </c>
      <c r="F166" s="3">
        <v>1.7</v>
      </c>
      <c r="G166" s="3">
        <v>42.5</v>
      </c>
      <c r="H166" s="3">
        <v>806</v>
      </c>
      <c r="I166" s="3">
        <v>2.2400000000000002</v>
      </c>
      <c r="J166" s="3">
        <v>1.47</v>
      </c>
      <c r="K166" s="3">
        <v>0.69</v>
      </c>
    </row>
    <row r="167" spans="2:11" x14ac:dyDescent="0.25">
      <c r="B167" s="2" t="s">
        <v>2748</v>
      </c>
      <c r="C167" s="2" t="s">
        <v>2749</v>
      </c>
      <c r="D167" s="3">
        <v>4.1900000000000004</v>
      </c>
      <c r="E167" s="3">
        <v>86.55</v>
      </c>
      <c r="F167" s="3">
        <v>1.8</v>
      </c>
      <c r="G167" s="3">
        <v>41.66</v>
      </c>
      <c r="H167" s="3">
        <v>633</v>
      </c>
      <c r="I167" s="3">
        <v>1.214</v>
      </c>
      <c r="J167" s="3">
        <v>1.274</v>
      </c>
      <c r="K167" s="3">
        <v>0.996</v>
      </c>
    </row>
    <row r="168" spans="2:11" x14ac:dyDescent="0.25">
      <c r="B168" s="2" t="s">
        <v>2750</v>
      </c>
      <c r="C168" s="2" t="s">
        <v>2751</v>
      </c>
      <c r="D168" s="3">
        <v>6.07</v>
      </c>
      <c r="E168" s="3">
        <v>86.4</v>
      </c>
      <c r="F168" s="3">
        <v>0.4</v>
      </c>
      <c r="G168" s="3">
        <v>7.82</v>
      </c>
      <c r="H168" s="3">
        <v>924</v>
      </c>
      <c r="I168" s="3">
        <v>0</v>
      </c>
      <c r="J168" s="3">
        <v>0.3</v>
      </c>
      <c r="K168" s="3">
        <v>0.34</v>
      </c>
    </row>
    <row r="169" spans="2:11" x14ac:dyDescent="0.25">
      <c r="B169" s="2" t="s">
        <v>2752</v>
      </c>
      <c r="C169" s="2" t="s">
        <v>2753</v>
      </c>
      <c r="D169" s="3">
        <v>4.6900000000000004</v>
      </c>
      <c r="E169" s="3">
        <v>85.94</v>
      </c>
      <c r="F169" s="3">
        <v>2.2000000000000002</v>
      </c>
      <c r="G169" s="3">
        <v>45.31</v>
      </c>
      <c r="H169" s="3">
        <v>453</v>
      </c>
      <c r="I169" s="3">
        <v>0.68700000000000006</v>
      </c>
      <c r="J169" s="3">
        <v>1.47</v>
      </c>
      <c r="K169" s="3">
        <v>0.97599999999999998</v>
      </c>
    </row>
    <row r="170" spans="2:11" x14ac:dyDescent="0.25">
      <c r="B170" s="2" t="s">
        <v>2754</v>
      </c>
      <c r="C170" s="2" t="s">
        <v>2755</v>
      </c>
      <c r="D170" s="3">
        <v>7.62</v>
      </c>
      <c r="E170" s="3">
        <v>79.680000000000007</v>
      </c>
      <c r="F170" s="3">
        <v>2.5</v>
      </c>
      <c r="G170" s="3">
        <v>29.29</v>
      </c>
      <c r="H170" s="3">
        <v>774</v>
      </c>
      <c r="I170" s="3">
        <v>1.45</v>
      </c>
      <c r="J170" s="3">
        <v>3.11</v>
      </c>
      <c r="K170" s="3">
        <v>2.25</v>
      </c>
    </row>
    <row r="171" spans="2:11" x14ac:dyDescent="0.25">
      <c r="B171" s="2" t="s">
        <v>2756</v>
      </c>
      <c r="C171" s="2" t="s">
        <v>2757</v>
      </c>
      <c r="D171" s="3">
        <v>11.45</v>
      </c>
      <c r="E171" s="3">
        <v>75.41</v>
      </c>
      <c r="F171" s="3">
        <v>8.6</v>
      </c>
      <c r="G171" s="3">
        <v>15.57</v>
      </c>
      <c r="H171" s="3">
        <v>653</v>
      </c>
      <c r="I171" s="3">
        <v>0.89</v>
      </c>
      <c r="J171" s="3">
        <v>1.65</v>
      </c>
      <c r="K171" s="3">
        <v>1.82</v>
      </c>
    </row>
    <row r="172" spans="2:11" x14ac:dyDescent="0.25">
      <c r="B172" s="2" t="s">
        <v>2758</v>
      </c>
      <c r="C172" s="2" t="s">
        <v>2759</v>
      </c>
      <c r="D172" s="3">
        <v>10.6</v>
      </c>
      <c r="E172" s="3">
        <v>79.790000000000006</v>
      </c>
      <c r="F172" s="3">
        <v>8.1</v>
      </c>
      <c r="G172" s="3">
        <v>25.37</v>
      </c>
      <c r="H172" s="3">
        <v>275</v>
      </c>
      <c r="I172" s="3">
        <v>0.82</v>
      </c>
      <c r="J172" s="3">
        <v>1.49</v>
      </c>
      <c r="K172" s="3">
        <v>1.46</v>
      </c>
    </row>
    <row r="173" spans="2:11" x14ac:dyDescent="0.25">
      <c r="B173" s="2" t="s">
        <v>2760</v>
      </c>
      <c r="C173" s="2" t="s">
        <v>2761</v>
      </c>
      <c r="D173" s="3">
        <v>4.55</v>
      </c>
      <c r="E173" s="3">
        <v>88.89</v>
      </c>
      <c r="F173" s="3">
        <v>2.6</v>
      </c>
      <c r="G173" s="3">
        <v>44.33</v>
      </c>
      <c r="H173" s="3">
        <v>758</v>
      </c>
      <c r="I173" s="3">
        <v>0.28000000000000003</v>
      </c>
      <c r="J173" s="3">
        <v>0.33</v>
      </c>
      <c r="K173" s="3">
        <v>0.69</v>
      </c>
    </row>
    <row r="174" spans="2:11" x14ac:dyDescent="0.25">
      <c r="B174" s="2" t="s">
        <v>2762</v>
      </c>
      <c r="C174" s="2" t="s">
        <v>2763</v>
      </c>
      <c r="D174" s="3">
        <v>4.21</v>
      </c>
      <c r="E174" s="3">
        <v>89.91</v>
      </c>
      <c r="F174" s="3">
        <v>2.7</v>
      </c>
      <c r="G174" s="3">
        <v>43.12</v>
      </c>
      <c r="H174" s="3">
        <v>452</v>
      </c>
      <c r="I174" s="3">
        <v>0.31</v>
      </c>
      <c r="J174" s="3">
        <v>0.32</v>
      </c>
      <c r="K174" s="3">
        <v>0.66</v>
      </c>
    </row>
    <row r="175" spans="2:11" x14ac:dyDescent="0.25">
      <c r="B175" s="2" t="s">
        <v>2764</v>
      </c>
      <c r="C175" s="2" t="s">
        <v>2765</v>
      </c>
      <c r="D175" s="3">
        <v>17.559999999999999</v>
      </c>
      <c r="E175" s="3">
        <v>59.51</v>
      </c>
      <c r="F175" s="3">
        <v>41.3</v>
      </c>
      <c r="H175" s="3">
        <v>6</v>
      </c>
      <c r="I175" s="3">
        <v>0.77</v>
      </c>
      <c r="J175" s="3">
        <v>0.8</v>
      </c>
      <c r="K175" s="3">
        <v>2.72</v>
      </c>
    </row>
    <row r="176" spans="2:11" x14ac:dyDescent="0.25">
      <c r="B176" s="2" t="s">
        <v>2766</v>
      </c>
      <c r="C176" s="2" t="s">
        <v>2767</v>
      </c>
      <c r="D176" s="3">
        <v>11.24</v>
      </c>
      <c r="E176" s="3">
        <v>81.010000000000005</v>
      </c>
      <c r="F176" s="3">
        <v>11.8</v>
      </c>
      <c r="G176" s="3">
        <v>0.81</v>
      </c>
      <c r="H176" s="3">
        <v>4</v>
      </c>
      <c r="I176" s="3">
        <v>0.40500000000000003</v>
      </c>
      <c r="J176" s="3">
        <v>0.30399999999999999</v>
      </c>
      <c r="K176" s="3">
        <v>1.216</v>
      </c>
    </row>
    <row r="177" spans="2:11" x14ac:dyDescent="0.25">
      <c r="B177" s="2" t="s">
        <v>2768</v>
      </c>
      <c r="C177" s="2" t="s">
        <v>2769</v>
      </c>
      <c r="D177" s="3">
        <v>31.43</v>
      </c>
      <c r="E177" s="3">
        <v>49.38</v>
      </c>
      <c r="F177" s="3">
        <v>11.9</v>
      </c>
      <c r="G177" s="3">
        <v>7.14</v>
      </c>
      <c r="H177" s="3">
        <v>6</v>
      </c>
      <c r="I177" s="3">
        <v>1.66</v>
      </c>
      <c r="J177" s="3">
        <v>1.25</v>
      </c>
      <c r="K177" s="3">
        <v>5.98</v>
      </c>
    </row>
    <row r="178" spans="2:11" x14ac:dyDescent="0.25">
      <c r="B178" s="2" t="s">
        <v>2770</v>
      </c>
      <c r="C178" s="2" t="s">
        <v>2771</v>
      </c>
      <c r="D178" s="3">
        <v>4.76</v>
      </c>
      <c r="E178" s="3">
        <v>80.95</v>
      </c>
      <c r="F178" s="3">
        <v>4.8</v>
      </c>
      <c r="G178" s="3">
        <v>9.52</v>
      </c>
      <c r="H178" s="3">
        <v>238</v>
      </c>
      <c r="I178" s="3">
        <v>0</v>
      </c>
    </row>
    <row r="179" spans="2:11" x14ac:dyDescent="0.25">
      <c r="B179" s="2" t="s">
        <v>2772</v>
      </c>
      <c r="C179" s="2" t="s">
        <v>2773</v>
      </c>
      <c r="D179" s="3">
        <v>4.59</v>
      </c>
      <c r="E179" s="3">
        <v>89.3</v>
      </c>
      <c r="F179" s="3">
        <v>7.4</v>
      </c>
      <c r="G179" s="3">
        <v>49.9</v>
      </c>
      <c r="H179" s="3">
        <v>393</v>
      </c>
      <c r="I179" s="3">
        <v>1.5</v>
      </c>
      <c r="J179" s="3">
        <v>0.5</v>
      </c>
      <c r="K179" s="3">
        <v>0.69</v>
      </c>
    </row>
    <row r="180" spans="2:11" x14ac:dyDescent="0.25">
      <c r="B180" s="2" t="s">
        <v>2774</v>
      </c>
      <c r="C180" s="2" t="s">
        <v>2775</v>
      </c>
      <c r="D180" s="3">
        <v>6.59</v>
      </c>
      <c r="E180" s="3">
        <v>84.9</v>
      </c>
      <c r="F180" s="3">
        <v>8</v>
      </c>
      <c r="G180" s="3">
        <v>35.200000000000003</v>
      </c>
      <c r="H180" s="3">
        <v>358</v>
      </c>
      <c r="I180" s="3">
        <v>0.4</v>
      </c>
      <c r="J180" s="3">
        <v>0.3</v>
      </c>
      <c r="K180" s="3">
        <v>0.69</v>
      </c>
    </row>
    <row r="181" spans="2:11" x14ac:dyDescent="0.25">
      <c r="B181" s="2" t="s">
        <v>2776</v>
      </c>
      <c r="C181" s="2" t="s">
        <v>2777</v>
      </c>
      <c r="D181" s="3">
        <v>6.3</v>
      </c>
      <c r="E181" s="3">
        <v>87.09</v>
      </c>
      <c r="F181" s="3">
        <v>8.5</v>
      </c>
      <c r="G181" s="3">
        <v>29.7</v>
      </c>
      <c r="H181" s="3">
        <v>619</v>
      </c>
      <c r="I181" s="3">
        <v>0.3</v>
      </c>
      <c r="J181" s="3">
        <v>0.3</v>
      </c>
      <c r="K181" s="3">
        <v>0.5</v>
      </c>
    </row>
    <row r="182" spans="2:11" x14ac:dyDescent="0.25">
      <c r="B182" s="2" t="s">
        <v>2778</v>
      </c>
      <c r="C182" s="2" t="s">
        <v>2779</v>
      </c>
      <c r="D182" s="3">
        <v>11.6</v>
      </c>
      <c r="E182" s="3">
        <v>81</v>
      </c>
      <c r="F182" s="3">
        <v>13.8</v>
      </c>
      <c r="G182" s="3">
        <v>0.4</v>
      </c>
      <c r="H182" s="3">
        <v>2</v>
      </c>
      <c r="I182" s="3">
        <v>0.5</v>
      </c>
      <c r="J182" s="3">
        <v>0.3</v>
      </c>
      <c r="K182" s="3">
        <v>1.1000000000000001</v>
      </c>
    </row>
    <row r="183" spans="2:11" x14ac:dyDescent="0.25">
      <c r="B183" s="2" t="s">
        <v>2780</v>
      </c>
      <c r="C183" s="2" t="s">
        <v>2781</v>
      </c>
      <c r="D183" s="3">
        <v>16.7</v>
      </c>
      <c r="E183" s="3">
        <v>71.400000000000006</v>
      </c>
      <c r="F183" s="3">
        <v>14.5</v>
      </c>
      <c r="G183" s="3">
        <v>24</v>
      </c>
      <c r="H183" s="3">
        <v>186</v>
      </c>
      <c r="I183" s="3">
        <v>0.8</v>
      </c>
      <c r="J183" s="3">
        <v>2.4</v>
      </c>
      <c r="K183" s="3">
        <v>2.09</v>
      </c>
    </row>
    <row r="184" spans="2:11" x14ac:dyDescent="0.25">
      <c r="B184" s="2" t="s">
        <v>2782</v>
      </c>
      <c r="C184" s="2" t="s">
        <v>2783</v>
      </c>
      <c r="D184" s="3">
        <v>11.39</v>
      </c>
      <c r="E184" s="3">
        <v>78.69</v>
      </c>
      <c r="F184" s="3">
        <v>13.7</v>
      </c>
      <c r="G184" s="3">
        <v>15.5</v>
      </c>
      <c r="H184" s="3">
        <v>267</v>
      </c>
      <c r="I184" s="3">
        <v>1</v>
      </c>
      <c r="J184" s="3">
        <v>1.79</v>
      </c>
      <c r="K184" s="3">
        <v>1.79</v>
      </c>
    </row>
    <row r="185" spans="2:11" x14ac:dyDescent="0.25">
      <c r="B185" s="2" t="s">
        <v>2784</v>
      </c>
      <c r="C185" s="2" t="s">
        <v>2785</v>
      </c>
      <c r="D185" s="3">
        <v>13</v>
      </c>
      <c r="E185" s="3">
        <v>78.599999999999994</v>
      </c>
      <c r="F185" s="3">
        <v>8</v>
      </c>
      <c r="G185" s="3">
        <v>0.93</v>
      </c>
      <c r="H185" s="3">
        <v>9</v>
      </c>
      <c r="I185" s="3">
        <v>0.46300000000000002</v>
      </c>
      <c r="J185" s="3">
        <v>0.57999999999999996</v>
      </c>
      <c r="K185" s="3">
        <v>1.0529999999999999</v>
      </c>
    </row>
    <row r="186" spans="2:11" x14ac:dyDescent="0.25">
      <c r="B186" s="2" t="s">
        <v>2786</v>
      </c>
      <c r="C186" s="2" t="s">
        <v>2787</v>
      </c>
      <c r="D186" s="3">
        <v>10</v>
      </c>
      <c r="E186" s="3">
        <v>79</v>
      </c>
      <c r="F186" s="3">
        <v>6</v>
      </c>
      <c r="G186" s="3">
        <v>21.8</v>
      </c>
      <c r="H186" s="3">
        <v>8</v>
      </c>
      <c r="I186" s="3">
        <v>0.35899999999999999</v>
      </c>
      <c r="J186" s="3">
        <v>0.55800000000000005</v>
      </c>
      <c r="K186" s="3">
        <v>0.86599999999999999</v>
      </c>
    </row>
    <row r="187" spans="2:11" x14ac:dyDescent="0.25">
      <c r="B187" s="2" t="s">
        <v>2788</v>
      </c>
      <c r="C187" s="2" t="s">
        <v>2789</v>
      </c>
      <c r="D187" s="3">
        <v>9.4</v>
      </c>
      <c r="E187" s="3">
        <v>79.3</v>
      </c>
      <c r="F187" s="3">
        <v>21.7</v>
      </c>
      <c r="G187" s="3">
        <v>18.8</v>
      </c>
      <c r="H187" s="3">
        <v>204</v>
      </c>
      <c r="I187" s="3">
        <v>0.5</v>
      </c>
      <c r="J187" s="3">
        <v>0.6</v>
      </c>
      <c r="K187" s="3">
        <v>1.1000000000000001</v>
      </c>
    </row>
    <row r="188" spans="2:11" x14ac:dyDescent="0.25">
      <c r="B188" s="2" t="s">
        <v>2790</v>
      </c>
      <c r="C188" s="2" t="s">
        <v>2791</v>
      </c>
      <c r="D188" s="3">
        <v>24.89</v>
      </c>
      <c r="E188" s="3">
        <v>67.19</v>
      </c>
      <c r="F188" s="3">
        <v>20.100000000000001</v>
      </c>
      <c r="G188" s="3">
        <v>16.5</v>
      </c>
      <c r="H188" s="3">
        <v>177</v>
      </c>
      <c r="I188" s="3">
        <v>0.4</v>
      </c>
      <c r="J188" s="3">
        <v>0.3</v>
      </c>
      <c r="K188" s="3">
        <v>0.69</v>
      </c>
    </row>
    <row r="189" spans="2:11" x14ac:dyDescent="0.25">
      <c r="B189" s="2" t="s">
        <v>2792</v>
      </c>
      <c r="C189" s="2" t="s">
        <v>2793</v>
      </c>
      <c r="D189" s="3">
        <v>13.7</v>
      </c>
      <c r="E189" s="3">
        <v>68.180000000000007</v>
      </c>
      <c r="F189" s="3">
        <v>9.4</v>
      </c>
      <c r="G189" s="3">
        <v>1.42</v>
      </c>
      <c r="H189" s="3">
        <v>3</v>
      </c>
      <c r="I189" s="3">
        <v>1.1100000000000001</v>
      </c>
      <c r="J189" s="3">
        <v>1.98</v>
      </c>
      <c r="K189" s="3">
        <v>2.2999999999999998</v>
      </c>
    </row>
    <row r="190" spans="2:11" x14ac:dyDescent="0.25">
      <c r="B190" s="2" t="s">
        <v>2794</v>
      </c>
      <c r="C190" s="2" t="s">
        <v>2795</v>
      </c>
      <c r="D190" s="3">
        <v>4.25</v>
      </c>
      <c r="E190" s="3">
        <v>90.2</v>
      </c>
      <c r="F190" s="3">
        <v>1.2</v>
      </c>
      <c r="G190" s="3">
        <v>39.270000000000003</v>
      </c>
      <c r="H190" s="3">
        <v>451</v>
      </c>
      <c r="I190" s="3">
        <v>0.107</v>
      </c>
      <c r="J190" s="3">
        <v>0.17100000000000001</v>
      </c>
      <c r="K190" s="3">
        <v>0.435</v>
      </c>
    </row>
    <row r="191" spans="2:11" x14ac:dyDescent="0.25">
      <c r="B191" s="2" t="s">
        <v>2796</v>
      </c>
      <c r="C191" s="2" t="s">
        <v>2797</v>
      </c>
      <c r="D191" s="3">
        <v>10.39</v>
      </c>
      <c r="E191" s="3">
        <v>74.52</v>
      </c>
      <c r="F191" s="3">
        <v>8.1999999999999993</v>
      </c>
      <c r="G191" s="3">
        <v>21.14</v>
      </c>
      <c r="H191" s="3">
        <v>416</v>
      </c>
      <c r="I191" s="3">
        <v>0.80800000000000005</v>
      </c>
      <c r="J191" s="3">
        <v>1.575</v>
      </c>
      <c r="K191" s="3">
        <v>1.7669999999999999</v>
      </c>
    </row>
    <row r="192" spans="2:11" x14ac:dyDescent="0.25">
      <c r="B192" s="2" t="s">
        <v>2798</v>
      </c>
      <c r="C192" s="2" t="s">
        <v>2799</v>
      </c>
      <c r="D192" s="3">
        <v>8.69</v>
      </c>
      <c r="E192" s="3">
        <v>73.680000000000007</v>
      </c>
      <c r="F192" s="3">
        <v>6.4</v>
      </c>
      <c r="G192" s="3">
        <v>28.91</v>
      </c>
      <c r="H192" s="3">
        <v>500</v>
      </c>
      <c r="I192" s="3">
        <v>2.42</v>
      </c>
      <c r="J192" s="3">
        <v>1.69</v>
      </c>
      <c r="K192" s="3">
        <v>1.4</v>
      </c>
    </row>
    <row r="193" spans="2:11" x14ac:dyDescent="0.25">
      <c r="B193" s="2" t="s">
        <v>2800</v>
      </c>
      <c r="C193" s="2" t="s">
        <v>2801</v>
      </c>
      <c r="D193" s="3">
        <v>8.9700000000000006</v>
      </c>
      <c r="E193" s="3">
        <v>75.7</v>
      </c>
      <c r="F193" s="3">
        <v>6.7</v>
      </c>
      <c r="G193" s="3">
        <v>29.45</v>
      </c>
      <c r="H193" s="3">
        <v>700</v>
      </c>
      <c r="I193" s="3">
        <v>0.9</v>
      </c>
      <c r="J193" s="3">
        <v>1.73</v>
      </c>
      <c r="K193" s="3">
        <v>1.43</v>
      </c>
    </row>
    <row r="194" spans="2:11" x14ac:dyDescent="0.25">
      <c r="B194" s="2" t="s">
        <v>2802</v>
      </c>
      <c r="C194" s="2" t="s">
        <v>2803</v>
      </c>
      <c r="D194" s="3">
        <v>15.98</v>
      </c>
      <c r="E194" s="3">
        <v>65.78</v>
      </c>
      <c r="F194" s="3">
        <v>20.3</v>
      </c>
      <c r="G194" s="3">
        <v>1.56</v>
      </c>
      <c r="H194" s="3">
        <v>206</v>
      </c>
      <c r="I194" s="3">
        <v>0.94599999999999995</v>
      </c>
      <c r="J194" s="3">
        <v>1.419</v>
      </c>
      <c r="K194" s="3">
        <v>5.9870000000000001</v>
      </c>
    </row>
    <row r="195" spans="2:11" x14ac:dyDescent="0.25">
      <c r="B195" s="2" t="s">
        <v>2804</v>
      </c>
      <c r="C195" s="2" t="s">
        <v>2805</v>
      </c>
      <c r="D195" s="3">
        <v>9.11</v>
      </c>
      <c r="E195" s="3">
        <v>75.680000000000007</v>
      </c>
      <c r="F195" s="3">
        <v>5.8</v>
      </c>
      <c r="G195" s="3">
        <v>35.65</v>
      </c>
      <c r="H195" s="3">
        <v>440</v>
      </c>
      <c r="I195" s="3">
        <v>0.60499999999999998</v>
      </c>
      <c r="J195" s="3">
        <v>1.1910000000000001</v>
      </c>
      <c r="K195" s="3">
        <v>1.254</v>
      </c>
    </row>
    <row r="196" spans="2:11" x14ac:dyDescent="0.25">
      <c r="B196" s="2" t="s">
        <v>2806</v>
      </c>
      <c r="C196" s="2" t="s">
        <v>2807</v>
      </c>
      <c r="D196" s="3">
        <v>9.83</v>
      </c>
      <c r="E196" s="3">
        <v>75.86</v>
      </c>
      <c r="F196" s="3">
        <v>4.5999999999999996</v>
      </c>
      <c r="G196" s="3">
        <v>0.71</v>
      </c>
      <c r="H196" s="3">
        <v>1805</v>
      </c>
      <c r="I196" s="3">
        <v>0.23</v>
      </c>
      <c r="J196" s="3">
        <v>0.41</v>
      </c>
      <c r="K196" s="3">
        <v>0.73</v>
      </c>
    </row>
    <row r="197" spans="2:11" x14ac:dyDescent="0.25">
      <c r="B197" s="2" t="s">
        <v>2808</v>
      </c>
      <c r="C197" s="2" t="s">
        <v>2809</v>
      </c>
      <c r="D197" s="3">
        <v>8.8000000000000007</v>
      </c>
      <c r="E197" s="3">
        <v>74.180000000000007</v>
      </c>
      <c r="F197" s="3">
        <v>4.3</v>
      </c>
      <c r="G197" s="3">
        <v>2.02</v>
      </c>
      <c r="H197" s="3">
        <v>1518</v>
      </c>
      <c r="I197" s="3">
        <v>1.08</v>
      </c>
      <c r="J197" s="3">
        <v>2.29</v>
      </c>
      <c r="K197" s="3">
        <v>1.1100000000000001</v>
      </c>
    </row>
    <row r="198" spans="2:11" x14ac:dyDescent="0.25">
      <c r="B198" s="2" t="s">
        <v>2810</v>
      </c>
      <c r="C198" s="2" t="s">
        <v>2811</v>
      </c>
      <c r="D198" s="3">
        <v>10.73</v>
      </c>
      <c r="E198" s="3">
        <v>71.08</v>
      </c>
      <c r="F198" s="3">
        <v>4.2</v>
      </c>
      <c r="G198" s="3">
        <v>2.69</v>
      </c>
      <c r="H198" s="3">
        <v>1930</v>
      </c>
      <c r="I198" s="3">
        <v>1.06</v>
      </c>
      <c r="J198" s="3">
        <v>2.2599999999999998</v>
      </c>
      <c r="K198" s="3">
        <v>1.05</v>
      </c>
    </row>
    <row r="199" spans="2:11" x14ac:dyDescent="0.25">
      <c r="B199" s="2" t="s">
        <v>2812</v>
      </c>
      <c r="C199" s="2" t="s">
        <v>2813</v>
      </c>
      <c r="D199" s="3">
        <v>13.7</v>
      </c>
      <c r="E199" s="3">
        <v>68.180000000000007</v>
      </c>
      <c r="F199" s="3">
        <v>9.4</v>
      </c>
      <c r="G199" s="3">
        <v>1.42</v>
      </c>
      <c r="H199" s="3">
        <v>3</v>
      </c>
      <c r="I199" s="3">
        <v>0.96</v>
      </c>
      <c r="J199" s="3">
        <v>1.98</v>
      </c>
      <c r="K199" s="3">
        <v>2.14</v>
      </c>
    </row>
    <row r="200" spans="2:11" x14ac:dyDescent="0.25">
      <c r="B200" s="2" t="s">
        <v>2814</v>
      </c>
      <c r="C200" s="2" t="s">
        <v>2815</v>
      </c>
      <c r="D200" s="3">
        <v>11.8</v>
      </c>
      <c r="E200" s="3">
        <v>74.8</v>
      </c>
      <c r="F200" s="3">
        <v>9.9</v>
      </c>
      <c r="G200" s="3">
        <v>2</v>
      </c>
      <c r="H200" s="3">
        <v>8</v>
      </c>
      <c r="I200" s="3">
        <v>0.41899999999999998</v>
      </c>
      <c r="J200" s="3">
        <v>0.309</v>
      </c>
      <c r="K200" s="3">
        <v>1.1759999999999999</v>
      </c>
    </row>
    <row r="201" spans="2:11" x14ac:dyDescent="0.25">
      <c r="B201" s="2" t="s">
        <v>2816</v>
      </c>
      <c r="C201" s="2" t="s">
        <v>2817</v>
      </c>
      <c r="D201" s="3">
        <v>6.9</v>
      </c>
      <c r="E201" s="3">
        <v>83.3</v>
      </c>
      <c r="F201" s="3">
        <v>9.5</v>
      </c>
      <c r="G201" s="3">
        <v>28.6</v>
      </c>
      <c r="H201" s="3">
        <v>631</v>
      </c>
      <c r="I201" s="3">
        <v>3</v>
      </c>
      <c r="J201" s="3">
        <v>0.2</v>
      </c>
      <c r="K201" s="3">
        <v>0.6</v>
      </c>
    </row>
    <row r="202" spans="2:11" x14ac:dyDescent="0.25">
      <c r="B202" s="2" t="s">
        <v>2818</v>
      </c>
      <c r="C202" s="2" t="s">
        <v>2819</v>
      </c>
      <c r="D202" s="3">
        <v>8.6999999999999993</v>
      </c>
      <c r="E202" s="3">
        <v>84.7</v>
      </c>
      <c r="F202" s="3">
        <v>10.3</v>
      </c>
      <c r="G202" s="3">
        <v>22.7</v>
      </c>
      <c r="H202" s="3">
        <v>6</v>
      </c>
      <c r="I202" s="3">
        <v>0.4</v>
      </c>
      <c r="J202" s="3">
        <v>0.2</v>
      </c>
      <c r="K202" s="3">
        <v>0.8</v>
      </c>
    </row>
    <row r="203" spans="2:11" x14ac:dyDescent="0.25">
      <c r="B203" s="2" t="s">
        <v>2820</v>
      </c>
      <c r="C203" s="2" t="s">
        <v>2821</v>
      </c>
      <c r="D203" s="3">
        <v>12</v>
      </c>
      <c r="E203" s="3">
        <v>79</v>
      </c>
      <c r="F203" s="3">
        <v>11.2</v>
      </c>
      <c r="G203" s="3">
        <v>12.4</v>
      </c>
      <c r="H203" s="3">
        <v>4</v>
      </c>
      <c r="I203" s="3">
        <v>0.3</v>
      </c>
      <c r="J203" s="3">
        <v>0.2</v>
      </c>
      <c r="K203" s="3">
        <v>0.9</v>
      </c>
    </row>
    <row r="204" spans="2:11" x14ac:dyDescent="0.25">
      <c r="B204" s="2" t="s">
        <v>2822</v>
      </c>
      <c r="C204" s="2" t="s">
        <v>2823</v>
      </c>
      <c r="D204" s="3">
        <v>9.4</v>
      </c>
      <c r="E204" s="3">
        <v>83.5</v>
      </c>
      <c r="F204" s="3">
        <v>5</v>
      </c>
      <c r="G204" s="3">
        <v>20.5</v>
      </c>
      <c r="H204" s="3">
        <v>337</v>
      </c>
      <c r="I204" s="3">
        <v>0.1</v>
      </c>
      <c r="J204" s="3">
        <v>0.1</v>
      </c>
      <c r="K204" s="3">
        <v>0.2</v>
      </c>
    </row>
    <row r="205" spans="2:11" x14ac:dyDescent="0.25">
      <c r="B205" s="2" t="s">
        <v>2824</v>
      </c>
      <c r="C205" s="2" t="s">
        <v>2825</v>
      </c>
      <c r="D205" s="3">
        <v>5.59</v>
      </c>
      <c r="E205" s="3">
        <v>87.3</v>
      </c>
      <c r="F205" s="3">
        <v>10.1</v>
      </c>
      <c r="G205" s="3">
        <v>23.89</v>
      </c>
      <c r="H205" s="3">
        <v>528</v>
      </c>
      <c r="I205" s="3">
        <v>0.1</v>
      </c>
      <c r="J205" s="3">
        <v>0.1</v>
      </c>
      <c r="K205" s="3">
        <v>0.2</v>
      </c>
    </row>
    <row r="206" spans="2:11" x14ac:dyDescent="0.25">
      <c r="B206" s="2" t="s">
        <v>2826</v>
      </c>
      <c r="C206" s="2" t="s">
        <v>2827</v>
      </c>
      <c r="D206" s="3">
        <v>31.2</v>
      </c>
      <c r="E206" s="3">
        <v>60.6</v>
      </c>
      <c r="F206" s="3">
        <v>8.3000000000000007</v>
      </c>
      <c r="G206" s="3">
        <v>20.3</v>
      </c>
      <c r="H206" s="3">
        <v>601</v>
      </c>
      <c r="I206" s="3">
        <v>0.5</v>
      </c>
      <c r="J206" s="3">
        <v>0.3</v>
      </c>
      <c r="K206" s="3">
        <v>1.6</v>
      </c>
    </row>
    <row r="207" spans="2:11" x14ac:dyDescent="0.25">
      <c r="B207" s="2" t="s">
        <v>2828</v>
      </c>
      <c r="C207" s="2" t="s">
        <v>2829</v>
      </c>
      <c r="D207" s="3">
        <v>3.45</v>
      </c>
      <c r="E207" s="3">
        <v>89.66</v>
      </c>
      <c r="F207" s="3">
        <v>3.4</v>
      </c>
      <c r="G207" s="3">
        <v>37.93</v>
      </c>
      <c r="H207" s="3">
        <v>759</v>
      </c>
      <c r="I207" s="3">
        <v>0.58499999999999996</v>
      </c>
      <c r="J207" s="3">
        <v>0.495</v>
      </c>
      <c r="K207" s="3">
        <v>0.58499999999999996</v>
      </c>
    </row>
    <row r="208" spans="2:11" x14ac:dyDescent="0.25">
      <c r="B208" s="2" t="s">
        <v>2830</v>
      </c>
      <c r="C208" s="2" t="s">
        <v>2831</v>
      </c>
      <c r="D208" s="3">
        <v>5.77</v>
      </c>
      <c r="E208" s="3">
        <v>89.72</v>
      </c>
      <c r="F208" s="3">
        <v>2.6</v>
      </c>
      <c r="G208" s="3">
        <v>51.34</v>
      </c>
      <c r="H208" s="3">
        <v>204</v>
      </c>
      <c r="I208" s="3">
        <v>0.161</v>
      </c>
      <c r="J208" s="3">
        <v>0.22</v>
      </c>
      <c r="K208" s="3">
        <v>0.34899999999999998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79363-8DF9-1547-8B77-9E44D0F11843}">
  <sheetPr codeName="Sheet11"/>
  <dimension ref="A1:K477"/>
  <sheetViews>
    <sheetView workbookViewId="0">
      <selection activeCell="C217" sqref="C217"/>
    </sheetView>
  </sheetViews>
  <sheetFormatPr defaultColWidth="11" defaultRowHeight="15.75" x14ac:dyDescent="0.25"/>
  <cols>
    <col min="3" max="3" width="59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09001</v>
      </c>
      <c r="C3" s="10" t="str" cm="1">
        <f t="array" ref="C3">INDEX($B$11:$K$208, $A$3, C1)</f>
        <v>ACEROLA,(WEST INDIAN CHERRY),RAW</v>
      </c>
      <c r="D3" s="10" cm="1">
        <f t="array" ref="D3">INDEX($B$11:$K$74, $A$3, D1)</f>
        <v>0.4</v>
      </c>
      <c r="E3" s="10" cm="1">
        <f t="array" ref="E3">INDEX($B$11:$K$74, $A$3, E1)</f>
        <v>7.69</v>
      </c>
      <c r="F3" s="10" cm="1">
        <f t="array" ref="F3">INDEX($B$11:$K$74, $A$3, F1)</f>
        <v>1.1000000000000001</v>
      </c>
      <c r="G3" s="10" cm="1">
        <f t="array" ref="G3">INDEX($B$11:$K$74, $A$3, G1)</f>
        <v>0</v>
      </c>
      <c r="H3" s="10" cm="1">
        <f t="array" ref="H3">INDEX($B$11:$K$74, $A$3, H1)</f>
        <v>7</v>
      </c>
      <c r="I3" s="10" cm="1">
        <f t="array" ref="I3">INDEX($B$11:$K$74, $A$3, I1)</f>
        <v>6.8000000000000005E-2</v>
      </c>
      <c r="J3" s="10" cm="1">
        <f t="array" ref="J3">INDEX($B$11:$K$74, $A$3, J1)</f>
        <v>8.2000000000000003E-2</v>
      </c>
      <c r="K3" s="10" cm="1">
        <f t="array" ref="K3">INDEX($B$11:$K$74, $A$3, K1)</f>
        <v>0.09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15.38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0.16400000000000001</v>
      </c>
      <c r="K6" s="10">
        <f>A7*K3</f>
        <v>0.18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2832</v>
      </c>
      <c r="C11" s="2" t="s">
        <v>2833</v>
      </c>
      <c r="D11" s="3">
        <v>0.4</v>
      </c>
      <c r="E11" s="3">
        <v>7.69</v>
      </c>
      <c r="F11" s="3">
        <v>1.1000000000000001</v>
      </c>
      <c r="H11" s="3">
        <v>7</v>
      </c>
      <c r="I11" s="3">
        <v>6.8000000000000005E-2</v>
      </c>
      <c r="J11" s="3">
        <v>8.2000000000000003E-2</v>
      </c>
      <c r="K11" s="3">
        <v>0.09</v>
      </c>
    </row>
    <row r="12" spans="1:11" x14ac:dyDescent="0.25">
      <c r="B12" s="2" t="s">
        <v>2834</v>
      </c>
      <c r="C12" s="2" t="s">
        <v>2835</v>
      </c>
      <c r="D12" s="3">
        <v>0.4</v>
      </c>
      <c r="E12" s="3">
        <v>4.8</v>
      </c>
      <c r="F12" s="3">
        <v>0.3</v>
      </c>
      <c r="G12" s="3">
        <v>4.5</v>
      </c>
      <c r="H12" s="3">
        <v>3</v>
      </c>
      <c r="I12" s="3">
        <v>6.8000000000000005E-2</v>
      </c>
      <c r="J12" s="3">
        <v>8.2000000000000003E-2</v>
      </c>
      <c r="K12" s="3">
        <v>0.09</v>
      </c>
    </row>
    <row r="13" spans="1:11" x14ac:dyDescent="0.25">
      <c r="B13" s="2" t="s">
        <v>2836</v>
      </c>
      <c r="C13" s="2" t="s">
        <v>2837</v>
      </c>
      <c r="D13" s="3">
        <v>0.26</v>
      </c>
      <c r="E13" s="3">
        <v>13.81</v>
      </c>
      <c r="F13" s="3">
        <v>2.4</v>
      </c>
      <c r="G13" s="3">
        <v>10.39</v>
      </c>
      <c r="H13" s="3">
        <v>1</v>
      </c>
      <c r="I13" s="3">
        <v>2.8000000000000001E-2</v>
      </c>
      <c r="J13" s="3">
        <v>7.0000000000000001E-3</v>
      </c>
      <c r="K13" s="3">
        <v>5.0999999999999997E-2</v>
      </c>
    </row>
    <row r="14" spans="1:11" x14ac:dyDescent="0.25">
      <c r="B14" s="2" t="s">
        <v>2838</v>
      </c>
      <c r="C14" s="2" t="s">
        <v>2839</v>
      </c>
      <c r="D14" s="3">
        <v>0.27</v>
      </c>
      <c r="E14" s="3">
        <v>12.76</v>
      </c>
      <c r="F14" s="3">
        <v>1.3</v>
      </c>
      <c r="G14" s="3">
        <v>10.1</v>
      </c>
      <c r="H14" s="3">
        <v>0</v>
      </c>
      <c r="I14" s="3">
        <v>2.1000000000000001E-2</v>
      </c>
      <c r="J14" s="3">
        <v>5.0000000000000001E-3</v>
      </c>
      <c r="K14" s="3">
        <v>3.6999999999999998E-2</v>
      </c>
    </row>
    <row r="15" spans="1:11" x14ac:dyDescent="0.25">
      <c r="B15" s="2" t="s">
        <v>2840</v>
      </c>
      <c r="C15" s="2" t="s">
        <v>2841</v>
      </c>
      <c r="D15" s="3">
        <v>0.26</v>
      </c>
      <c r="E15" s="3">
        <v>13.64</v>
      </c>
      <c r="F15" s="3">
        <v>2.4</v>
      </c>
      <c r="G15" s="3">
        <v>11.01</v>
      </c>
      <c r="H15" s="3">
        <v>1</v>
      </c>
      <c r="I15" s="3">
        <v>5.8000000000000003E-2</v>
      </c>
      <c r="J15" s="3">
        <v>1.4E-2</v>
      </c>
      <c r="K15" s="3">
        <v>0.104</v>
      </c>
    </row>
    <row r="16" spans="1:11" x14ac:dyDescent="0.25">
      <c r="B16" s="2" t="s">
        <v>2842</v>
      </c>
      <c r="C16" s="2" t="s">
        <v>2843</v>
      </c>
      <c r="D16" s="3">
        <v>0.28000000000000003</v>
      </c>
      <c r="E16" s="3">
        <v>14.41</v>
      </c>
      <c r="F16" s="3">
        <v>2.8</v>
      </c>
      <c r="G16" s="3">
        <v>11.61</v>
      </c>
      <c r="H16" s="3">
        <v>1</v>
      </c>
      <c r="I16" s="3">
        <v>6.8000000000000005E-2</v>
      </c>
      <c r="J16" s="3">
        <v>1.7000000000000001E-2</v>
      </c>
      <c r="K16" s="3">
        <v>0.122</v>
      </c>
    </row>
    <row r="17" spans="2:11" x14ac:dyDescent="0.25">
      <c r="B17" s="2" t="s">
        <v>2844</v>
      </c>
      <c r="C17" s="2" t="s">
        <v>2845</v>
      </c>
      <c r="D17" s="3">
        <v>0.18</v>
      </c>
      <c r="E17" s="3">
        <v>16.7</v>
      </c>
      <c r="F17" s="3">
        <v>1.7</v>
      </c>
      <c r="G17" s="3">
        <v>15</v>
      </c>
      <c r="H17" s="3">
        <v>3</v>
      </c>
      <c r="I17" s="3">
        <v>0.08</v>
      </c>
      <c r="J17" s="3">
        <v>0.02</v>
      </c>
      <c r="K17" s="3">
        <v>0.14399999999999999</v>
      </c>
    </row>
    <row r="18" spans="2:11" x14ac:dyDescent="0.25">
      <c r="B18" s="2" t="s">
        <v>2846</v>
      </c>
      <c r="C18" s="2" t="s">
        <v>2847</v>
      </c>
      <c r="D18" s="3">
        <v>0.18</v>
      </c>
      <c r="E18" s="3">
        <v>16.84</v>
      </c>
      <c r="F18" s="3">
        <v>2</v>
      </c>
      <c r="G18" s="3">
        <v>14.84</v>
      </c>
      <c r="H18" s="3">
        <v>3</v>
      </c>
      <c r="I18" s="3">
        <v>7.0000000000000007E-2</v>
      </c>
      <c r="J18" s="3">
        <v>1.7000000000000001E-2</v>
      </c>
      <c r="K18" s="3">
        <v>0.126</v>
      </c>
    </row>
    <row r="19" spans="2:11" x14ac:dyDescent="0.25">
      <c r="B19" s="2" t="s">
        <v>2848</v>
      </c>
      <c r="C19" s="2" t="s">
        <v>2849</v>
      </c>
      <c r="D19" s="3">
        <v>1.32</v>
      </c>
      <c r="E19" s="3">
        <v>93.53</v>
      </c>
      <c r="F19" s="3">
        <v>12.4</v>
      </c>
      <c r="G19" s="3">
        <v>81.13</v>
      </c>
      <c r="H19" s="3">
        <v>124</v>
      </c>
      <c r="I19" s="3">
        <v>9.5000000000000001E-2</v>
      </c>
      <c r="J19" s="3">
        <v>2.4E-2</v>
      </c>
      <c r="K19" s="3">
        <v>0.17100000000000001</v>
      </c>
    </row>
    <row r="20" spans="2:11" x14ac:dyDescent="0.25">
      <c r="B20" s="2" t="s">
        <v>2850</v>
      </c>
      <c r="C20" s="2" t="s">
        <v>2851</v>
      </c>
      <c r="D20" s="3">
        <v>0.28000000000000003</v>
      </c>
      <c r="E20" s="3">
        <v>19.91</v>
      </c>
      <c r="F20" s="3">
        <v>2.6</v>
      </c>
      <c r="H20" s="3">
        <v>26</v>
      </c>
      <c r="I20" s="3">
        <v>0.02</v>
      </c>
      <c r="J20" s="3">
        <v>5.0000000000000001E-3</v>
      </c>
      <c r="K20" s="3">
        <v>3.5999999999999997E-2</v>
      </c>
    </row>
    <row r="21" spans="2:11" x14ac:dyDescent="0.25">
      <c r="B21" s="2" t="s">
        <v>2852</v>
      </c>
      <c r="C21" s="2" t="s">
        <v>2853</v>
      </c>
      <c r="D21" s="3">
        <v>0.93</v>
      </c>
      <c r="E21" s="3">
        <v>65.89</v>
      </c>
      <c r="F21" s="3">
        <v>8.6999999999999993</v>
      </c>
      <c r="G21" s="3">
        <v>57.19</v>
      </c>
      <c r="H21" s="3">
        <v>87</v>
      </c>
      <c r="I21" s="3">
        <v>5.1999999999999998E-2</v>
      </c>
      <c r="J21" s="3">
        <v>1.2999999999999999E-2</v>
      </c>
      <c r="K21" s="3">
        <v>9.2999999999999999E-2</v>
      </c>
    </row>
    <row r="22" spans="2:11" x14ac:dyDescent="0.25">
      <c r="B22" s="2" t="s">
        <v>2854</v>
      </c>
      <c r="C22" s="2" t="s">
        <v>2855</v>
      </c>
      <c r="D22" s="3">
        <v>0.22</v>
      </c>
      <c r="E22" s="3">
        <v>15.32</v>
      </c>
      <c r="F22" s="3">
        <v>2</v>
      </c>
      <c r="G22" s="3">
        <v>13.32</v>
      </c>
      <c r="H22" s="3">
        <v>20</v>
      </c>
      <c r="I22" s="3">
        <v>1.2E-2</v>
      </c>
      <c r="J22" s="3">
        <v>3.0000000000000001E-3</v>
      </c>
      <c r="K22" s="3">
        <v>2.1999999999999999E-2</v>
      </c>
    </row>
    <row r="23" spans="2:11" x14ac:dyDescent="0.25">
      <c r="B23" s="2" t="s">
        <v>2856</v>
      </c>
      <c r="C23" s="2" t="s">
        <v>2857</v>
      </c>
      <c r="D23" s="3">
        <v>0.2</v>
      </c>
      <c r="E23" s="3">
        <v>20.73</v>
      </c>
      <c r="F23" s="3">
        <v>1.9</v>
      </c>
      <c r="H23" s="3">
        <v>19</v>
      </c>
      <c r="I23" s="3">
        <v>1.0999999999999999E-2</v>
      </c>
      <c r="J23" s="3">
        <v>3.0000000000000001E-3</v>
      </c>
      <c r="K23" s="3">
        <v>0.02</v>
      </c>
    </row>
    <row r="24" spans="2:11" x14ac:dyDescent="0.25">
      <c r="B24" s="2" t="s">
        <v>2858</v>
      </c>
      <c r="C24" s="2" t="s">
        <v>2859</v>
      </c>
      <c r="D24" s="3">
        <v>0.28000000000000003</v>
      </c>
      <c r="E24" s="3">
        <v>12.31</v>
      </c>
      <c r="F24" s="3">
        <v>1.3</v>
      </c>
      <c r="G24" s="3">
        <v>10.1</v>
      </c>
      <c r="H24" s="3">
        <v>3</v>
      </c>
      <c r="I24" s="3">
        <v>5.2999999999999999E-2</v>
      </c>
      <c r="J24" s="3">
        <v>1.2999999999999999E-2</v>
      </c>
      <c r="K24" s="3">
        <v>9.5000000000000001E-2</v>
      </c>
    </row>
    <row r="25" spans="2:11" x14ac:dyDescent="0.25">
      <c r="B25" s="2" t="s">
        <v>2860</v>
      </c>
      <c r="C25" s="2" t="s">
        <v>2861</v>
      </c>
      <c r="D25" s="3">
        <v>0.28999999999999998</v>
      </c>
      <c r="E25" s="3">
        <v>12</v>
      </c>
      <c r="F25" s="3">
        <v>1.3</v>
      </c>
      <c r="H25" s="3">
        <v>3</v>
      </c>
      <c r="I25" s="3">
        <v>5.2999999999999999E-2</v>
      </c>
      <c r="J25" s="3">
        <v>1.2999999999999999E-2</v>
      </c>
      <c r="K25" s="3">
        <v>9.5000000000000001E-2</v>
      </c>
    </row>
    <row r="26" spans="2:11" x14ac:dyDescent="0.25">
      <c r="B26" s="2" t="s">
        <v>2862</v>
      </c>
      <c r="C26" s="2" t="s">
        <v>2863</v>
      </c>
      <c r="D26" s="3">
        <v>0.1</v>
      </c>
      <c r="E26" s="3">
        <v>11.3</v>
      </c>
      <c r="F26" s="3">
        <v>0.2</v>
      </c>
      <c r="G26" s="3">
        <v>9.6199999999999992</v>
      </c>
      <c r="H26" s="3">
        <v>4</v>
      </c>
      <c r="I26" s="3">
        <v>2.1999999999999999E-2</v>
      </c>
      <c r="J26" s="3">
        <v>6.0000000000000001E-3</v>
      </c>
      <c r="K26" s="3">
        <v>3.9E-2</v>
      </c>
    </row>
    <row r="27" spans="2:11" x14ac:dyDescent="0.25">
      <c r="B27" s="2" t="s">
        <v>2864</v>
      </c>
      <c r="C27" s="2" t="s">
        <v>2865</v>
      </c>
      <c r="D27" s="3">
        <v>0.51</v>
      </c>
      <c r="E27" s="3">
        <v>41</v>
      </c>
      <c r="F27" s="3">
        <v>0.4</v>
      </c>
      <c r="G27" s="3">
        <v>38.83</v>
      </c>
      <c r="H27" s="3">
        <v>25</v>
      </c>
      <c r="I27" s="3">
        <v>0.06</v>
      </c>
      <c r="J27" s="3">
        <v>1.4999999999999999E-2</v>
      </c>
      <c r="K27" s="3">
        <v>0.108</v>
      </c>
    </row>
    <row r="28" spans="2:11" x14ac:dyDescent="0.25">
      <c r="B28" s="2" t="s">
        <v>2866</v>
      </c>
      <c r="C28" s="2" t="s">
        <v>2867</v>
      </c>
      <c r="D28" s="3">
        <v>0.14000000000000001</v>
      </c>
      <c r="E28" s="3">
        <v>11.54</v>
      </c>
      <c r="F28" s="3">
        <v>0.1</v>
      </c>
      <c r="G28" s="3">
        <v>10.93</v>
      </c>
      <c r="H28" s="3">
        <v>7</v>
      </c>
      <c r="I28" s="3">
        <v>1.7999999999999999E-2</v>
      </c>
      <c r="J28" s="3">
        <v>2E-3</v>
      </c>
      <c r="K28" s="3">
        <v>3.1E-2</v>
      </c>
    </row>
    <row r="29" spans="2:11" x14ac:dyDescent="0.25">
      <c r="B29" s="2" t="s">
        <v>2868</v>
      </c>
      <c r="C29" s="2" t="s">
        <v>2869</v>
      </c>
      <c r="D29" s="3">
        <v>0.17</v>
      </c>
      <c r="E29" s="3">
        <v>11.27</v>
      </c>
      <c r="F29" s="3">
        <v>1.1000000000000001</v>
      </c>
      <c r="G29" s="3">
        <v>9.39</v>
      </c>
      <c r="H29" s="3">
        <v>2</v>
      </c>
      <c r="I29" s="3">
        <v>8.0000000000000002E-3</v>
      </c>
      <c r="J29" s="3">
        <v>2E-3</v>
      </c>
      <c r="K29" s="3">
        <v>1.4E-2</v>
      </c>
    </row>
    <row r="30" spans="2:11" x14ac:dyDescent="0.25">
      <c r="B30" s="2" t="s">
        <v>2870</v>
      </c>
      <c r="C30" s="2" t="s">
        <v>2871</v>
      </c>
      <c r="D30" s="3">
        <v>0.16</v>
      </c>
      <c r="E30" s="3">
        <v>17.489999999999998</v>
      </c>
      <c r="F30" s="3">
        <v>1.2</v>
      </c>
      <c r="G30" s="3">
        <v>14.67</v>
      </c>
      <c r="H30" s="3">
        <v>2</v>
      </c>
      <c r="I30" s="3">
        <v>0.03</v>
      </c>
      <c r="J30" s="3">
        <v>7.0000000000000001E-3</v>
      </c>
      <c r="K30" s="3">
        <v>5.3999999999999999E-2</v>
      </c>
    </row>
    <row r="31" spans="2:11" x14ac:dyDescent="0.25">
      <c r="B31" s="2" t="s">
        <v>2872</v>
      </c>
      <c r="C31" s="2" t="s">
        <v>2873</v>
      </c>
      <c r="D31" s="3">
        <v>1.4</v>
      </c>
      <c r="E31" s="3">
        <v>11.12</v>
      </c>
      <c r="F31" s="3">
        <v>2</v>
      </c>
      <c r="G31" s="3">
        <v>9.24</v>
      </c>
      <c r="H31" s="3">
        <v>1</v>
      </c>
      <c r="I31" s="3">
        <v>2.7E-2</v>
      </c>
      <c r="J31" s="3">
        <v>0.17</v>
      </c>
      <c r="K31" s="3">
        <v>7.6999999999999999E-2</v>
      </c>
    </row>
    <row r="32" spans="2:11" x14ac:dyDescent="0.25">
      <c r="B32" s="2" t="s">
        <v>2874</v>
      </c>
      <c r="C32" s="2" t="s">
        <v>2875</v>
      </c>
      <c r="D32" s="3">
        <v>0.71</v>
      </c>
      <c r="E32" s="3">
        <v>6.39</v>
      </c>
      <c r="F32" s="3">
        <v>1.6</v>
      </c>
      <c r="G32" s="3">
        <v>4.79</v>
      </c>
      <c r="H32" s="3">
        <v>3</v>
      </c>
      <c r="I32" s="3">
        <v>1.0999999999999999E-2</v>
      </c>
      <c r="J32" s="3">
        <v>6.9000000000000006E-2</v>
      </c>
      <c r="K32" s="3">
        <v>3.1E-2</v>
      </c>
    </row>
    <row r="33" spans="2:11" x14ac:dyDescent="0.25">
      <c r="B33" s="2" t="s">
        <v>2876</v>
      </c>
      <c r="C33" s="2" t="s">
        <v>2877</v>
      </c>
      <c r="D33" s="3">
        <v>0.69</v>
      </c>
      <c r="E33" s="3">
        <v>5.48</v>
      </c>
      <c r="F33" s="3">
        <v>1.1000000000000001</v>
      </c>
      <c r="H33" s="3">
        <v>11</v>
      </c>
      <c r="I33" s="3">
        <v>2E-3</v>
      </c>
      <c r="J33" s="3">
        <v>1.2999999999999999E-2</v>
      </c>
      <c r="K33" s="3">
        <v>6.0000000000000001E-3</v>
      </c>
    </row>
    <row r="34" spans="2:11" x14ac:dyDescent="0.25">
      <c r="B34" s="2" t="s">
        <v>2878</v>
      </c>
      <c r="C34" s="2" t="s">
        <v>2879</v>
      </c>
      <c r="D34" s="3">
        <v>0.63</v>
      </c>
      <c r="E34" s="3">
        <v>12.34</v>
      </c>
      <c r="F34" s="3">
        <v>1.6</v>
      </c>
      <c r="G34" s="3">
        <v>10.74</v>
      </c>
      <c r="H34" s="3">
        <v>4</v>
      </c>
      <c r="I34" s="3">
        <v>3.0000000000000001E-3</v>
      </c>
      <c r="J34" s="3">
        <v>1.7000000000000001E-2</v>
      </c>
      <c r="K34" s="3">
        <v>7.0000000000000001E-3</v>
      </c>
    </row>
    <row r="35" spans="2:11" x14ac:dyDescent="0.25">
      <c r="B35" s="2" t="s">
        <v>2880</v>
      </c>
      <c r="C35" s="2" t="s">
        <v>2881</v>
      </c>
      <c r="D35" s="3">
        <v>0.6</v>
      </c>
      <c r="E35" s="3">
        <v>12.5</v>
      </c>
      <c r="F35" s="3">
        <v>1.6</v>
      </c>
      <c r="H35" s="3">
        <v>2</v>
      </c>
      <c r="I35" s="3">
        <v>7.0000000000000001E-3</v>
      </c>
      <c r="J35" s="3">
        <v>4.2999999999999997E-2</v>
      </c>
      <c r="K35" s="3">
        <v>0.02</v>
      </c>
    </row>
    <row r="36" spans="2:11" x14ac:dyDescent="0.25">
      <c r="B36" s="2" t="s">
        <v>2882</v>
      </c>
      <c r="C36" s="2" t="s">
        <v>2883</v>
      </c>
      <c r="D36" s="3">
        <v>0.53</v>
      </c>
      <c r="E36" s="3">
        <v>16.489999999999998</v>
      </c>
      <c r="F36" s="3">
        <v>1.6</v>
      </c>
      <c r="G36" s="3">
        <v>14.89</v>
      </c>
      <c r="H36" s="3">
        <v>4</v>
      </c>
      <c r="I36" s="3">
        <v>3.0000000000000001E-3</v>
      </c>
      <c r="J36" s="3">
        <v>2.1000000000000001E-2</v>
      </c>
      <c r="K36" s="3">
        <v>0.01</v>
      </c>
    </row>
    <row r="37" spans="2:11" x14ac:dyDescent="0.25">
      <c r="B37" s="2" t="s">
        <v>2884</v>
      </c>
      <c r="C37" s="2" t="s">
        <v>2885</v>
      </c>
      <c r="D37" s="3">
        <v>0.53</v>
      </c>
      <c r="E37" s="3">
        <v>21.47</v>
      </c>
      <c r="F37" s="3">
        <v>1.6</v>
      </c>
      <c r="G37" s="3">
        <v>19.87</v>
      </c>
      <c r="H37" s="3">
        <v>4</v>
      </c>
      <c r="I37" s="3">
        <v>5.0000000000000001E-3</v>
      </c>
      <c r="J37" s="3">
        <v>3.3000000000000002E-2</v>
      </c>
      <c r="K37" s="3">
        <v>1.4999999999999999E-2</v>
      </c>
    </row>
    <row r="38" spans="2:11" x14ac:dyDescent="0.25">
      <c r="B38" s="2" t="s">
        <v>2886</v>
      </c>
      <c r="C38" s="2" t="s">
        <v>2887</v>
      </c>
      <c r="D38" s="3">
        <v>0.51</v>
      </c>
      <c r="E38" s="3">
        <v>21.45</v>
      </c>
      <c r="F38" s="3">
        <v>1.6</v>
      </c>
      <c r="H38" s="3">
        <v>11</v>
      </c>
      <c r="I38" s="3">
        <v>6.0000000000000001E-3</v>
      </c>
      <c r="J38" s="3">
        <v>3.6999999999999998E-2</v>
      </c>
      <c r="K38" s="3">
        <v>1.7000000000000001E-2</v>
      </c>
    </row>
    <row r="39" spans="2:11" x14ac:dyDescent="0.25">
      <c r="B39" s="2" t="s">
        <v>2888</v>
      </c>
      <c r="C39" s="2" t="s">
        <v>2889</v>
      </c>
      <c r="D39" s="3">
        <v>0.55000000000000004</v>
      </c>
      <c r="E39" s="3">
        <v>24.85</v>
      </c>
      <c r="F39" s="3">
        <v>1.6</v>
      </c>
      <c r="H39" s="3">
        <v>13</v>
      </c>
      <c r="I39" s="3">
        <v>3.0000000000000001E-3</v>
      </c>
      <c r="J39" s="3">
        <v>1.7000000000000001E-2</v>
      </c>
      <c r="K39" s="3">
        <v>8.0000000000000002E-3</v>
      </c>
    </row>
    <row r="40" spans="2:11" x14ac:dyDescent="0.25">
      <c r="B40" s="2" t="s">
        <v>2890</v>
      </c>
      <c r="C40" s="2" t="s">
        <v>2891</v>
      </c>
      <c r="D40" s="3">
        <v>4.9000000000000004</v>
      </c>
      <c r="E40" s="3">
        <v>82.89</v>
      </c>
      <c r="H40" s="3">
        <v>13</v>
      </c>
      <c r="I40" s="3">
        <v>4.2999999999999997E-2</v>
      </c>
      <c r="J40" s="3">
        <v>0.26800000000000002</v>
      </c>
      <c r="K40" s="3">
        <v>0.121</v>
      </c>
    </row>
    <row r="41" spans="2:11" x14ac:dyDescent="0.25">
      <c r="B41" s="2" t="s">
        <v>2892</v>
      </c>
      <c r="C41" s="2" t="s">
        <v>2893</v>
      </c>
      <c r="D41" s="3">
        <v>1.93</v>
      </c>
      <c r="E41" s="3">
        <v>32.619999999999997</v>
      </c>
      <c r="H41" s="3">
        <v>5</v>
      </c>
      <c r="I41" s="3">
        <v>1.7000000000000001E-2</v>
      </c>
      <c r="J41" s="3">
        <v>0.105</v>
      </c>
      <c r="K41" s="3">
        <v>4.7E-2</v>
      </c>
    </row>
    <row r="42" spans="2:11" x14ac:dyDescent="0.25">
      <c r="B42" s="2" t="s">
        <v>2894</v>
      </c>
      <c r="C42" s="2" t="s">
        <v>2895</v>
      </c>
      <c r="D42" s="3">
        <v>3.39</v>
      </c>
      <c r="E42" s="3">
        <v>62.64</v>
      </c>
      <c r="F42" s="3">
        <v>7.3</v>
      </c>
      <c r="G42" s="3">
        <v>53.44</v>
      </c>
      <c r="H42" s="3">
        <v>10</v>
      </c>
      <c r="I42" s="3">
        <v>1.7000000000000001E-2</v>
      </c>
      <c r="J42" s="3">
        <v>7.3999999999999996E-2</v>
      </c>
      <c r="K42" s="3">
        <v>7.3999999999999996E-2</v>
      </c>
    </row>
    <row r="43" spans="2:11" x14ac:dyDescent="0.25">
      <c r="B43" s="2" t="s">
        <v>2896</v>
      </c>
      <c r="C43" s="2" t="s">
        <v>2897</v>
      </c>
      <c r="D43" s="3">
        <v>1.2</v>
      </c>
      <c r="E43" s="3">
        <v>22.15</v>
      </c>
      <c r="F43" s="3">
        <v>2.6</v>
      </c>
      <c r="G43" s="3">
        <v>19.57</v>
      </c>
      <c r="H43" s="3">
        <v>4</v>
      </c>
      <c r="I43" s="3">
        <v>6.0000000000000001E-3</v>
      </c>
      <c r="J43" s="3">
        <v>2.5999999999999999E-2</v>
      </c>
      <c r="K43" s="3">
        <v>2.5999999999999999E-2</v>
      </c>
    </row>
    <row r="44" spans="2:11" x14ac:dyDescent="0.25">
      <c r="B44" s="2" t="s">
        <v>2898</v>
      </c>
      <c r="C44" s="2" t="s">
        <v>2899</v>
      </c>
      <c r="D44" s="3">
        <v>1.17</v>
      </c>
      <c r="E44" s="3">
        <v>29.26</v>
      </c>
      <c r="F44" s="3">
        <v>4.0999999999999996</v>
      </c>
      <c r="H44" s="3">
        <v>3</v>
      </c>
      <c r="I44" s="3">
        <v>0.01</v>
      </c>
      <c r="J44" s="3">
        <v>6.4000000000000001E-2</v>
      </c>
      <c r="K44" s="3">
        <v>2.9000000000000001E-2</v>
      </c>
    </row>
    <row r="45" spans="2:11" x14ac:dyDescent="0.25">
      <c r="B45" s="2" t="s">
        <v>2900</v>
      </c>
      <c r="C45" s="2" t="s">
        <v>2901</v>
      </c>
      <c r="D45" s="3">
        <v>0.7</v>
      </c>
      <c r="E45" s="3">
        <v>25.1</v>
      </c>
      <c r="F45" s="3">
        <v>2.2000000000000002</v>
      </c>
      <c r="H45" s="3">
        <v>4</v>
      </c>
      <c r="I45" s="3">
        <v>7.0000000000000001E-3</v>
      </c>
      <c r="J45" s="3">
        <v>4.3999999999999997E-2</v>
      </c>
      <c r="K45" s="3">
        <v>0.02</v>
      </c>
    </row>
    <row r="46" spans="2:11" x14ac:dyDescent="0.25">
      <c r="B46" s="2" t="s">
        <v>2902</v>
      </c>
      <c r="C46" s="2" t="s">
        <v>2903</v>
      </c>
      <c r="D46" s="3">
        <v>0.37</v>
      </c>
      <c r="E46" s="3">
        <v>14.39</v>
      </c>
      <c r="F46" s="3">
        <v>0.6</v>
      </c>
      <c r="G46" s="3">
        <v>13.79</v>
      </c>
      <c r="H46" s="3">
        <v>3</v>
      </c>
      <c r="I46" s="3">
        <v>6.0000000000000001E-3</v>
      </c>
      <c r="J46" s="3">
        <v>3.7999999999999999E-2</v>
      </c>
      <c r="K46" s="3">
        <v>1.7000000000000001E-2</v>
      </c>
    </row>
    <row r="47" spans="2:11" x14ac:dyDescent="0.25">
      <c r="B47" s="2" t="s">
        <v>2904</v>
      </c>
      <c r="C47" s="2" t="s">
        <v>2905</v>
      </c>
      <c r="D47" s="3">
        <v>2</v>
      </c>
      <c r="E47" s="3">
        <v>8.5299999999999994</v>
      </c>
      <c r="F47" s="3">
        <v>6.7</v>
      </c>
      <c r="G47" s="3">
        <v>0.66</v>
      </c>
      <c r="H47" s="3">
        <v>7</v>
      </c>
      <c r="I47" s="3">
        <v>2.1259999999999999</v>
      </c>
      <c r="J47" s="3">
        <v>9.7989999999999995</v>
      </c>
      <c r="K47" s="3">
        <v>1.8160000000000001</v>
      </c>
    </row>
    <row r="48" spans="2:11" x14ac:dyDescent="0.25">
      <c r="B48" s="2" t="s">
        <v>2906</v>
      </c>
      <c r="C48" s="2" t="s">
        <v>2907</v>
      </c>
      <c r="D48" s="3">
        <v>1.96</v>
      </c>
      <c r="E48" s="3">
        <v>8.64</v>
      </c>
      <c r="F48" s="3">
        <v>6.8</v>
      </c>
      <c r="G48" s="3">
        <v>0.3</v>
      </c>
      <c r="H48" s="3">
        <v>8</v>
      </c>
      <c r="I48" s="3">
        <v>2.1259999999999999</v>
      </c>
      <c r="J48" s="3">
        <v>9.7989999999999995</v>
      </c>
      <c r="K48" s="3">
        <v>1.8160000000000001</v>
      </c>
    </row>
    <row r="49" spans="2:11" x14ac:dyDescent="0.25">
      <c r="B49" s="2" t="s">
        <v>2908</v>
      </c>
      <c r="C49" s="2" t="s">
        <v>2909</v>
      </c>
      <c r="D49" s="3">
        <v>2.23</v>
      </c>
      <c r="E49" s="3">
        <v>7.82</v>
      </c>
      <c r="F49" s="3">
        <v>5.6</v>
      </c>
      <c r="G49" s="3">
        <v>2.42</v>
      </c>
      <c r="H49" s="3">
        <v>2</v>
      </c>
      <c r="I49" s="3">
        <v>1.96</v>
      </c>
      <c r="J49" s="3">
        <v>5.5129999999999999</v>
      </c>
      <c r="K49" s="3">
        <v>1.6759999999999999</v>
      </c>
    </row>
    <row r="50" spans="2:11" x14ac:dyDescent="0.25">
      <c r="B50" s="2" t="s">
        <v>2910</v>
      </c>
      <c r="C50" s="2" t="s">
        <v>2911</v>
      </c>
      <c r="D50" s="3">
        <v>1.0900000000000001</v>
      </c>
      <c r="E50" s="3">
        <v>22.84</v>
      </c>
      <c r="F50" s="3">
        <v>2.6</v>
      </c>
      <c r="G50" s="3">
        <v>12.23</v>
      </c>
      <c r="H50" s="3">
        <v>1</v>
      </c>
      <c r="I50" s="3">
        <v>0.112</v>
      </c>
      <c r="J50" s="3">
        <v>3.2000000000000001E-2</v>
      </c>
      <c r="K50" s="3">
        <v>7.2999999999999995E-2</v>
      </c>
    </row>
    <row r="51" spans="2:11" x14ac:dyDescent="0.25">
      <c r="B51" s="2" t="s">
        <v>2912</v>
      </c>
      <c r="C51" s="2" t="s">
        <v>2913</v>
      </c>
      <c r="D51" s="3">
        <v>3.89</v>
      </c>
      <c r="E51" s="3">
        <v>88.28</v>
      </c>
      <c r="F51" s="3">
        <v>9.9</v>
      </c>
      <c r="G51" s="3">
        <v>47.3</v>
      </c>
      <c r="H51" s="3">
        <v>3</v>
      </c>
      <c r="I51" s="3">
        <v>0.69799999999999995</v>
      </c>
      <c r="J51" s="3">
        <v>0.153</v>
      </c>
      <c r="K51" s="3">
        <v>0.33700000000000002</v>
      </c>
    </row>
    <row r="52" spans="2:11" x14ac:dyDescent="0.25">
      <c r="B52" s="2" t="s">
        <v>2914</v>
      </c>
      <c r="C52" s="2" t="s">
        <v>2915</v>
      </c>
      <c r="D52" s="3">
        <v>1.39</v>
      </c>
      <c r="E52" s="3">
        <v>9.61</v>
      </c>
      <c r="F52" s="3">
        <v>5.3</v>
      </c>
      <c r="G52" s="3">
        <v>4.88</v>
      </c>
      <c r="H52" s="3">
        <v>1</v>
      </c>
      <c r="I52" s="3">
        <v>1.4E-2</v>
      </c>
      <c r="J52" s="3">
        <v>4.7E-2</v>
      </c>
      <c r="K52" s="3">
        <v>0.28000000000000003</v>
      </c>
    </row>
    <row r="53" spans="2:11" x14ac:dyDescent="0.25">
      <c r="B53" s="2" t="s">
        <v>2916</v>
      </c>
      <c r="C53" s="2" t="s">
        <v>2917</v>
      </c>
      <c r="D53" s="3">
        <v>0.3</v>
      </c>
      <c r="E53" s="3">
        <v>7.8</v>
      </c>
      <c r="F53" s="3">
        <v>0.1</v>
      </c>
      <c r="G53" s="3">
        <v>7.7</v>
      </c>
      <c r="H53" s="3">
        <v>1</v>
      </c>
      <c r="I53" s="3">
        <v>1.7999999999999999E-2</v>
      </c>
      <c r="J53" s="3">
        <v>5.8000000000000003E-2</v>
      </c>
      <c r="K53" s="3">
        <v>0.34399999999999997</v>
      </c>
    </row>
    <row r="54" spans="2:11" x14ac:dyDescent="0.25">
      <c r="B54" s="2" t="s">
        <v>2918</v>
      </c>
      <c r="C54" s="2" t="s">
        <v>2919</v>
      </c>
      <c r="D54" s="3">
        <v>1.25</v>
      </c>
      <c r="E54" s="3">
        <v>80.45</v>
      </c>
      <c r="F54" s="3">
        <v>2.5</v>
      </c>
      <c r="G54" s="3">
        <v>67.150000000000006</v>
      </c>
      <c r="H54" s="3">
        <v>13</v>
      </c>
      <c r="I54" s="3">
        <v>0.14599999999999999</v>
      </c>
      <c r="J54" s="3">
        <v>0.17699999999999999</v>
      </c>
      <c r="K54" s="3">
        <v>0.19400000000000001</v>
      </c>
    </row>
    <row r="55" spans="2:11" x14ac:dyDescent="0.25">
      <c r="B55" s="2" t="s">
        <v>2920</v>
      </c>
      <c r="C55" s="2" t="s">
        <v>2921</v>
      </c>
      <c r="D55" s="3">
        <v>1.31</v>
      </c>
      <c r="E55" s="3">
        <v>23.1</v>
      </c>
      <c r="F55" s="3">
        <v>3.4</v>
      </c>
      <c r="G55" s="3">
        <v>19.7</v>
      </c>
      <c r="H55" s="3">
        <v>3</v>
      </c>
      <c r="I55" s="3">
        <v>5.0000000000000001E-3</v>
      </c>
      <c r="J55" s="3">
        <v>1.4E-2</v>
      </c>
      <c r="K55" s="3">
        <v>0.08</v>
      </c>
    </row>
    <row r="56" spans="2:11" x14ac:dyDescent="0.25">
      <c r="B56" s="2" t="s">
        <v>2922</v>
      </c>
      <c r="C56" s="2" t="s">
        <v>2923</v>
      </c>
      <c r="D56" s="3">
        <v>1.18</v>
      </c>
      <c r="E56" s="3">
        <v>15.67</v>
      </c>
      <c r="F56" s="3">
        <v>5</v>
      </c>
      <c r="G56" s="3">
        <v>10.67</v>
      </c>
      <c r="H56" s="3">
        <v>1</v>
      </c>
      <c r="I56" s="3">
        <v>1.4999999999999999E-2</v>
      </c>
      <c r="J56" s="3">
        <v>4.1000000000000002E-2</v>
      </c>
      <c r="K56" s="3">
        <v>0.245</v>
      </c>
    </row>
    <row r="57" spans="2:11" x14ac:dyDescent="0.25">
      <c r="B57" s="2" t="s">
        <v>2924</v>
      </c>
      <c r="C57" s="2" t="s">
        <v>2925</v>
      </c>
      <c r="D57" s="3">
        <v>0.74</v>
      </c>
      <c r="E57" s="3">
        <v>14.49</v>
      </c>
      <c r="F57" s="3">
        <v>2.4</v>
      </c>
      <c r="G57" s="3">
        <v>9.9600000000000009</v>
      </c>
      <c r="H57" s="3">
        <v>1</v>
      </c>
      <c r="I57" s="3">
        <v>2.8000000000000001E-2</v>
      </c>
      <c r="J57" s="3">
        <v>4.7E-2</v>
      </c>
      <c r="K57" s="3">
        <v>0.14599999999999999</v>
      </c>
    </row>
    <row r="58" spans="2:11" x14ac:dyDescent="0.25">
      <c r="B58" s="2" t="s">
        <v>2926</v>
      </c>
      <c r="C58" s="2" t="s">
        <v>2927</v>
      </c>
      <c r="D58" s="3">
        <v>0.65</v>
      </c>
      <c r="E58" s="3">
        <v>22.06</v>
      </c>
      <c r="F58" s="3">
        <v>1.6</v>
      </c>
      <c r="G58" s="3">
        <v>20.46</v>
      </c>
      <c r="H58" s="3">
        <v>3</v>
      </c>
      <c r="I58" s="3">
        <v>2.7E-2</v>
      </c>
      <c r="J58" s="3">
        <v>4.7E-2</v>
      </c>
      <c r="K58" s="3">
        <v>0.14399999999999999</v>
      </c>
    </row>
    <row r="59" spans="2:11" x14ac:dyDescent="0.25">
      <c r="B59" s="2" t="s">
        <v>2928</v>
      </c>
      <c r="C59" s="2" t="s">
        <v>2929</v>
      </c>
      <c r="D59" s="3">
        <v>0</v>
      </c>
      <c r="E59" s="3">
        <v>13.85</v>
      </c>
      <c r="F59" s="3">
        <v>4.4000000000000004</v>
      </c>
      <c r="H59" s="3">
        <v>3</v>
      </c>
      <c r="I59" s="3">
        <v>0.03</v>
      </c>
      <c r="J59" s="3">
        <v>0.02</v>
      </c>
      <c r="K59" s="3">
        <v>0.09</v>
      </c>
    </row>
    <row r="60" spans="2:11" x14ac:dyDescent="0.25">
      <c r="B60" s="2" t="s">
        <v>2930</v>
      </c>
      <c r="C60" s="2" t="s">
        <v>2931</v>
      </c>
      <c r="D60" s="3">
        <v>0.42</v>
      </c>
      <c r="E60" s="3">
        <v>12.17</v>
      </c>
      <c r="F60" s="3">
        <v>2.7</v>
      </c>
      <c r="G60" s="3">
        <v>8.4499999999999993</v>
      </c>
      <c r="H60" s="3">
        <v>1</v>
      </c>
      <c r="I60" s="3">
        <v>5.2999999999999999E-2</v>
      </c>
      <c r="J60" s="3">
        <v>9.0999999999999998E-2</v>
      </c>
      <c r="K60" s="3">
        <v>0.27900000000000003</v>
      </c>
    </row>
    <row r="61" spans="2:11" x14ac:dyDescent="0.25">
      <c r="B61" s="2" t="s">
        <v>2932</v>
      </c>
      <c r="C61" s="2" t="s">
        <v>2933</v>
      </c>
      <c r="D61" s="3">
        <v>0.4</v>
      </c>
      <c r="E61" s="3">
        <v>21.95</v>
      </c>
      <c r="F61" s="3">
        <v>2.2000000000000002</v>
      </c>
      <c r="G61" s="3">
        <v>19.72</v>
      </c>
      <c r="H61" s="3">
        <v>1</v>
      </c>
      <c r="I61" s="3">
        <v>1.0999999999999999E-2</v>
      </c>
      <c r="J61" s="3">
        <v>1.7999999999999999E-2</v>
      </c>
      <c r="K61" s="3">
        <v>5.7000000000000002E-2</v>
      </c>
    </row>
    <row r="62" spans="2:11" x14ac:dyDescent="0.25">
      <c r="B62" s="2" t="s">
        <v>2934</v>
      </c>
      <c r="C62" s="2" t="s">
        <v>2935</v>
      </c>
      <c r="D62" s="3">
        <v>0.99</v>
      </c>
      <c r="E62" s="3">
        <v>22.31</v>
      </c>
      <c r="F62" s="3">
        <v>2.6</v>
      </c>
      <c r="H62" s="3">
        <v>3</v>
      </c>
      <c r="I62" s="3">
        <v>4.0000000000000001E-3</v>
      </c>
      <c r="J62" s="3">
        <v>1.2E-2</v>
      </c>
      <c r="K62" s="3">
        <v>6.8000000000000005E-2</v>
      </c>
    </row>
    <row r="63" spans="2:11" x14ac:dyDescent="0.25">
      <c r="B63" s="2" t="s">
        <v>2936</v>
      </c>
      <c r="C63" s="2" t="s">
        <v>2937</v>
      </c>
      <c r="D63" s="3">
        <v>1.1000000000000001</v>
      </c>
      <c r="E63" s="3">
        <v>12.19</v>
      </c>
      <c r="F63" s="3">
        <v>5.3</v>
      </c>
      <c r="G63" s="3">
        <v>6.89</v>
      </c>
      <c r="H63" s="3">
        <v>1</v>
      </c>
      <c r="I63" s="3">
        <v>8.9999999999999993E-3</v>
      </c>
      <c r="J63" s="3">
        <v>2.5000000000000001E-2</v>
      </c>
      <c r="K63" s="3">
        <v>0.14799999999999999</v>
      </c>
    </row>
    <row r="64" spans="2:11" x14ac:dyDescent="0.25">
      <c r="B64" s="2" t="s">
        <v>2938</v>
      </c>
      <c r="C64" s="2" t="s">
        <v>2939</v>
      </c>
      <c r="D64" s="3">
        <v>1.07</v>
      </c>
      <c r="E64" s="3">
        <v>27.12</v>
      </c>
      <c r="F64" s="3">
        <v>4.9000000000000004</v>
      </c>
      <c r="G64" s="3">
        <v>11</v>
      </c>
      <c r="H64" s="3">
        <v>2</v>
      </c>
      <c r="I64" s="3">
        <v>4.8000000000000001E-2</v>
      </c>
      <c r="J64" s="3">
        <v>3.4000000000000002E-2</v>
      </c>
      <c r="K64" s="3">
        <v>6.6000000000000003E-2</v>
      </c>
    </row>
    <row r="65" spans="2:11" x14ac:dyDescent="0.25">
      <c r="B65" s="2" t="s">
        <v>2940</v>
      </c>
      <c r="C65" s="2" t="s">
        <v>2941</v>
      </c>
      <c r="D65" s="3">
        <v>1.04</v>
      </c>
      <c r="E65" s="3">
        <v>6.73</v>
      </c>
      <c r="F65" s="3">
        <v>2.8</v>
      </c>
      <c r="G65" s="3">
        <v>3.98</v>
      </c>
      <c r="H65" s="3">
        <v>2</v>
      </c>
      <c r="I65" s="3">
        <v>1.9E-2</v>
      </c>
      <c r="J65" s="3">
        <v>0.03</v>
      </c>
      <c r="K65" s="3">
        <v>0.184</v>
      </c>
    </row>
    <row r="66" spans="2:11" x14ac:dyDescent="0.25">
      <c r="B66" s="2" t="s">
        <v>2942</v>
      </c>
      <c r="C66" s="2" t="s">
        <v>2943</v>
      </c>
      <c r="D66" s="3">
        <v>0.5</v>
      </c>
      <c r="E66" s="3">
        <v>13.63</v>
      </c>
      <c r="H66" s="3">
        <v>3</v>
      </c>
    </row>
    <row r="67" spans="2:11" x14ac:dyDescent="0.25">
      <c r="B67" s="2" t="s">
        <v>2944</v>
      </c>
      <c r="C67" s="2" t="s">
        <v>2945</v>
      </c>
      <c r="D67" s="3">
        <v>1.57</v>
      </c>
      <c r="E67" s="3">
        <v>17.71</v>
      </c>
      <c r="F67" s="3">
        <v>3</v>
      </c>
      <c r="G67" s="3">
        <v>12.87</v>
      </c>
      <c r="H67" s="3">
        <v>7</v>
      </c>
      <c r="I67" s="3">
        <v>0.23300000000000001</v>
      </c>
      <c r="J67" s="3">
        <v>5.5E-2</v>
      </c>
      <c r="K67" s="3">
        <v>0.188</v>
      </c>
    </row>
    <row r="68" spans="2:11" x14ac:dyDescent="0.25">
      <c r="B68" s="2" t="s">
        <v>2946</v>
      </c>
      <c r="C68" s="2" t="s">
        <v>2947</v>
      </c>
      <c r="D68" s="3">
        <v>1</v>
      </c>
      <c r="E68" s="3">
        <v>12.18</v>
      </c>
      <c r="F68" s="3">
        <v>1.6</v>
      </c>
      <c r="G68" s="3">
        <v>8.49</v>
      </c>
      <c r="H68" s="3">
        <v>3</v>
      </c>
      <c r="I68" s="3">
        <v>6.8000000000000005E-2</v>
      </c>
      <c r="J68" s="3">
        <v>8.2000000000000003E-2</v>
      </c>
      <c r="K68" s="3">
        <v>0.09</v>
      </c>
    </row>
    <row r="69" spans="2:11" x14ac:dyDescent="0.25">
      <c r="B69" s="2" t="s">
        <v>2948</v>
      </c>
      <c r="C69" s="2" t="s">
        <v>2949</v>
      </c>
      <c r="D69" s="3">
        <v>0.77</v>
      </c>
      <c r="E69" s="3">
        <v>8.94</v>
      </c>
      <c r="F69" s="3">
        <v>1.1000000000000001</v>
      </c>
      <c r="G69" s="3">
        <v>7.6</v>
      </c>
      <c r="H69" s="3">
        <v>7</v>
      </c>
      <c r="I69" s="3">
        <v>2.3E-2</v>
      </c>
      <c r="J69" s="3">
        <v>2.7E-2</v>
      </c>
      <c r="K69" s="3">
        <v>0.03</v>
      </c>
    </row>
    <row r="70" spans="2:11" x14ac:dyDescent="0.25">
      <c r="B70" s="2" t="s">
        <v>2950</v>
      </c>
      <c r="C70" s="2" t="s">
        <v>2951</v>
      </c>
      <c r="D70" s="3">
        <v>0.74</v>
      </c>
      <c r="E70" s="3">
        <v>19.3</v>
      </c>
      <c r="F70" s="3">
        <v>0.8</v>
      </c>
      <c r="H70" s="3">
        <v>7</v>
      </c>
      <c r="I70" s="3">
        <v>2.1999999999999999E-2</v>
      </c>
      <c r="J70" s="3">
        <v>2.5999999999999999E-2</v>
      </c>
      <c r="K70" s="3">
        <v>2.9000000000000001E-2</v>
      </c>
    </row>
    <row r="71" spans="2:11" x14ac:dyDescent="0.25">
      <c r="B71" s="2" t="s">
        <v>2952</v>
      </c>
      <c r="C71" s="2" t="s">
        <v>2953</v>
      </c>
      <c r="D71" s="3">
        <v>0.73</v>
      </c>
      <c r="E71" s="3">
        <v>23.27</v>
      </c>
      <c r="F71" s="3">
        <v>1.1000000000000001</v>
      </c>
      <c r="G71" s="3">
        <v>22.17</v>
      </c>
      <c r="H71" s="3">
        <v>7</v>
      </c>
      <c r="I71" s="3">
        <v>2.1000000000000001E-2</v>
      </c>
      <c r="J71" s="3">
        <v>2.5999999999999999E-2</v>
      </c>
      <c r="K71" s="3">
        <v>2.9000000000000001E-2</v>
      </c>
    </row>
    <row r="72" spans="2:11" x14ac:dyDescent="0.25">
      <c r="B72" s="2" t="s">
        <v>2954</v>
      </c>
      <c r="C72" s="2" t="s">
        <v>2955</v>
      </c>
      <c r="D72" s="3">
        <v>0.71</v>
      </c>
      <c r="E72" s="3">
        <v>29.23</v>
      </c>
      <c r="F72" s="3">
        <v>0.8</v>
      </c>
      <c r="H72" s="3">
        <v>7</v>
      </c>
      <c r="I72" s="3">
        <v>2.1000000000000001E-2</v>
      </c>
      <c r="J72" s="3">
        <v>2.5000000000000001E-2</v>
      </c>
      <c r="K72" s="3">
        <v>2.8000000000000001E-2</v>
      </c>
    </row>
    <row r="73" spans="2:11" x14ac:dyDescent="0.25">
      <c r="B73" s="2" t="s">
        <v>2956</v>
      </c>
      <c r="C73" s="2" t="s">
        <v>2957</v>
      </c>
      <c r="D73" s="3">
        <v>0.92</v>
      </c>
      <c r="E73" s="3">
        <v>11.02</v>
      </c>
      <c r="F73" s="3">
        <v>1.6</v>
      </c>
      <c r="G73" s="3">
        <v>9.02</v>
      </c>
      <c r="H73" s="3">
        <v>1</v>
      </c>
      <c r="I73" s="3">
        <v>0.1</v>
      </c>
      <c r="J73" s="3">
        <v>0.12</v>
      </c>
      <c r="K73" s="3">
        <v>0.13200000000000001</v>
      </c>
    </row>
    <row r="74" spans="2:11" x14ac:dyDescent="0.25">
      <c r="B74" s="2" t="s">
        <v>2958</v>
      </c>
      <c r="C74" s="2" t="s">
        <v>2959</v>
      </c>
      <c r="D74" s="3">
        <v>1.06</v>
      </c>
      <c r="E74" s="3">
        <v>16.010000000000002</v>
      </c>
      <c r="F74" s="3">
        <v>2.1</v>
      </c>
      <c r="G74" s="3">
        <v>12.82</v>
      </c>
      <c r="H74" s="3">
        <v>0</v>
      </c>
      <c r="I74" s="3">
        <v>3.7999999999999999E-2</v>
      </c>
      <c r="J74" s="3">
        <v>4.7E-2</v>
      </c>
      <c r="K74" s="3">
        <v>5.1999999999999998E-2</v>
      </c>
    </row>
    <row r="75" spans="2:11" x14ac:dyDescent="0.25">
      <c r="B75" s="2" t="s">
        <v>2960</v>
      </c>
      <c r="C75" s="2" t="s">
        <v>2961</v>
      </c>
      <c r="D75" s="3">
        <v>0.77</v>
      </c>
      <c r="E75" s="3">
        <v>11.76</v>
      </c>
      <c r="F75" s="3">
        <v>1.5</v>
      </c>
      <c r="G75" s="3">
        <v>10.26</v>
      </c>
      <c r="H75" s="3">
        <v>1</v>
      </c>
      <c r="I75" s="3">
        <v>2.8000000000000001E-2</v>
      </c>
      <c r="J75" s="3">
        <v>3.4000000000000002E-2</v>
      </c>
      <c r="K75" s="3">
        <v>3.7999999999999999E-2</v>
      </c>
    </row>
    <row r="76" spans="2:11" x14ac:dyDescent="0.25">
      <c r="B76" s="2" t="s">
        <v>2962</v>
      </c>
      <c r="C76" s="2" t="s">
        <v>2963</v>
      </c>
      <c r="D76" s="3">
        <v>0.91</v>
      </c>
      <c r="E76" s="3">
        <v>13.81</v>
      </c>
      <c r="F76" s="3">
        <v>1.5</v>
      </c>
      <c r="G76" s="3">
        <v>12.31</v>
      </c>
      <c r="H76" s="3">
        <v>3</v>
      </c>
      <c r="I76" s="3">
        <v>4.0000000000000001E-3</v>
      </c>
      <c r="J76" s="3">
        <v>5.0000000000000001E-3</v>
      </c>
      <c r="K76" s="3">
        <v>6.0000000000000001E-3</v>
      </c>
    </row>
    <row r="77" spans="2:11" x14ac:dyDescent="0.25">
      <c r="B77" s="2" t="s">
        <v>2964</v>
      </c>
      <c r="C77" s="2" t="s">
        <v>2965</v>
      </c>
      <c r="D77" s="3">
        <v>0.61</v>
      </c>
      <c r="E77" s="3">
        <v>17.29</v>
      </c>
      <c r="F77" s="3">
        <v>1.5</v>
      </c>
      <c r="G77" s="3">
        <v>15.79</v>
      </c>
      <c r="H77" s="3">
        <v>3</v>
      </c>
      <c r="I77" s="3">
        <v>3.4000000000000002E-2</v>
      </c>
      <c r="J77" s="3">
        <v>4.2000000000000003E-2</v>
      </c>
      <c r="K77" s="3">
        <v>4.5999999999999999E-2</v>
      </c>
    </row>
    <row r="78" spans="2:11" x14ac:dyDescent="0.25">
      <c r="B78" s="2" t="s">
        <v>2966</v>
      </c>
      <c r="C78" s="2" t="s">
        <v>2967</v>
      </c>
      <c r="D78" s="3">
        <v>0.6</v>
      </c>
      <c r="E78" s="3">
        <v>21.27</v>
      </c>
      <c r="F78" s="3">
        <v>1.4</v>
      </c>
      <c r="G78" s="3">
        <v>16.18</v>
      </c>
      <c r="H78" s="3">
        <v>3</v>
      </c>
      <c r="I78" s="3">
        <v>3.4000000000000002E-2</v>
      </c>
      <c r="J78" s="3">
        <v>4.1000000000000002E-2</v>
      </c>
      <c r="K78" s="3">
        <v>4.4999999999999998E-2</v>
      </c>
    </row>
    <row r="79" spans="2:11" x14ac:dyDescent="0.25">
      <c r="B79" s="2" t="s">
        <v>2968</v>
      </c>
      <c r="C79" s="2" t="s">
        <v>2969</v>
      </c>
      <c r="D79" s="3">
        <v>0.59</v>
      </c>
      <c r="E79" s="3">
        <v>26.23</v>
      </c>
      <c r="F79" s="3">
        <v>1.5</v>
      </c>
      <c r="H79" s="3">
        <v>3</v>
      </c>
      <c r="I79" s="3">
        <v>3.3000000000000002E-2</v>
      </c>
      <c r="J79" s="3">
        <v>0.04</v>
      </c>
      <c r="K79" s="3">
        <v>4.4999999999999998E-2</v>
      </c>
    </row>
    <row r="80" spans="2:11" x14ac:dyDescent="0.25">
      <c r="B80" s="2" t="s">
        <v>2970</v>
      </c>
      <c r="C80" s="2" t="s">
        <v>2971</v>
      </c>
      <c r="D80" s="3">
        <v>1.1499999999999999</v>
      </c>
      <c r="E80" s="3">
        <v>22.36</v>
      </c>
      <c r="F80" s="3">
        <v>2.1</v>
      </c>
      <c r="G80" s="3">
        <v>20.260000000000002</v>
      </c>
      <c r="H80" s="3">
        <v>1</v>
      </c>
      <c r="I80" s="3">
        <v>0.03</v>
      </c>
      <c r="J80" s="3">
        <v>3.5999999999999997E-2</v>
      </c>
      <c r="K80" s="3">
        <v>0.04</v>
      </c>
    </row>
    <row r="81" spans="2:11" x14ac:dyDescent="0.25">
      <c r="B81" s="2" t="s">
        <v>2972</v>
      </c>
      <c r="C81" s="2" t="s">
        <v>2973</v>
      </c>
      <c r="D81" s="3">
        <v>0.4</v>
      </c>
      <c r="E81" s="3">
        <v>19.95</v>
      </c>
      <c r="H81" s="3">
        <v>1</v>
      </c>
      <c r="I81" s="3">
        <v>4.8000000000000001E-2</v>
      </c>
      <c r="J81" s="3">
        <v>1.2E-2</v>
      </c>
      <c r="K81" s="3">
        <v>8.7999999999999995E-2</v>
      </c>
    </row>
    <row r="82" spans="2:11" x14ac:dyDescent="0.25">
      <c r="B82" s="2" t="s">
        <v>2974</v>
      </c>
      <c r="C82" s="2" t="s">
        <v>2975</v>
      </c>
      <c r="D82" s="3">
        <v>0.46</v>
      </c>
      <c r="E82" s="3">
        <v>11.97</v>
      </c>
      <c r="F82" s="3">
        <v>3.6</v>
      </c>
      <c r="G82" s="3">
        <v>4.2699999999999996</v>
      </c>
      <c r="H82" s="3">
        <v>2</v>
      </c>
      <c r="I82" s="3">
        <v>8.0000000000000002E-3</v>
      </c>
      <c r="J82" s="3">
        <v>1.7999999999999999E-2</v>
      </c>
      <c r="K82" s="3">
        <v>5.5E-2</v>
      </c>
    </row>
    <row r="83" spans="2:11" x14ac:dyDescent="0.25">
      <c r="B83" s="2" t="s">
        <v>2976</v>
      </c>
      <c r="C83" s="2" t="s">
        <v>2977</v>
      </c>
      <c r="D83" s="3">
        <v>0.17</v>
      </c>
      <c r="E83" s="3">
        <v>82.8</v>
      </c>
      <c r="F83" s="3">
        <v>5.3</v>
      </c>
      <c r="G83" s="3">
        <v>72.56</v>
      </c>
      <c r="H83" s="3">
        <v>5</v>
      </c>
      <c r="I83" s="3">
        <v>8.7999999999999995E-2</v>
      </c>
      <c r="J83" s="3">
        <v>0.29799999999999999</v>
      </c>
      <c r="K83" s="3">
        <v>0.182</v>
      </c>
    </row>
    <row r="84" spans="2:11" x14ac:dyDescent="0.25">
      <c r="B84" s="2" t="s">
        <v>2978</v>
      </c>
      <c r="C84" s="2" t="s">
        <v>2979</v>
      </c>
      <c r="D84" s="3">
        <v>0.9</v>
      </c>
      <c r="E84" s="3">
        <v>40.4</v>
      </c>
      <c r="F84" s="3">
        <v>1.1000000000000001</v>
      </c>
      <c r="G84" s="3">
        <v>31.75</v>
      </c>
      <c r="H84" s="3">
        <v>5</v>
      </c>
      <c r="I84" s="3">
        <v>7.0000000000000001E-3</v>
      </c>
      <c r="J84" s="3">
        <v>7.0000000000000001E-3</v>
      </c>
      <c r="K84" s="3">
        <v>3.1E-2</v>
      </c>
    </row>
    <row r="85" spans="2:11" x14ac:dyDescent="0.25">
      <c r="B85" s="2" t="s">
        <v>2980</v>
      </c>
      <c r="C85" s="2" t="s">
        <v>2981</v>
      </c>
      <c r="D85" s="3">
        <v>0.3</v>
      </c>
      <c r="E85" s="3">
        <v>46.2</v>
      </c>
      <c r="F85" s="3">
        <v>0</v>
      </c>
      <c r="H85" s="3">
        <v>32</v>
      </c>
      <c r="I85" s="3">
        <v>1.2E-2</v>
      </c>
    </row>
    <row r="86" spans="2:11" x14ac:dyDescent="0.25">
      <c r="B86" s="2" t="s">
        <v>2982</v>
      </c>
      <c r="C86" s="2" t="s">
        <v>2983</v>
      </c>
      <c r="D86" s="3">
        <v>1.4</v>
      </c>
      <c r="E86" s="3">
        <v>15.38</v>
      </c>
      <c r="H86" s="3">
        <v>2</v>
      </c>
      <c r="I86" s="3">
        <v>3.4000000000000002E-2</v>
      </c>
      <c r="J86" s="3">
        <v>5.8000000000000003E-2</v>
      </c>
      <c r="K86" s="3">
        <v>0.17899999999999999</v>
      </c>
    </row>
    <row r="87" spans="2:11" x14ac:dyDescent="0.25">
      <c r="B87" s="2" t="s">
        <v>2984</v>
      </c>
      <c r="C87" s="2" t="s">
        <v>2985</v>
      </c>
      <c r="D87" s="3">
        <v>1.4</v>
      </c>
      <c r="E87" s="3">
        <v>13.8</v>
      </c>
      <c r="F87" s="3">
        <v>4.3</v>
      </c>
      <c r="G87" s="3">
        <v>7.37</v>
      </c>
      <c r="H87" s="3">
        <v>1</v>
      </c>
      <c r="I87" s="3">
        <v>1.7000000000000001E-2</v>
      </c>
      <c r="J87" s="3">
        <v>2.8000000000000001E-2</v>
      </c>
      <c r="K87" s="3">
        <v>8.7999999999999995E-2</v>
      </c>
    </row>
    <row r="88" spans="2:11" x14ac:dyDescent="0.25">
      <c r="B88" s="2" t="s">
        <v>2986</v>
      </c>
      <c r="C88" s="2" t="s">
        <v>2987</v>
      </c>
      <c r="D88" s="3">
        <v>4.08</v>
      </c>
      <c r="E88" s="3">
        <v>74.08</v>
      </c>
      <c r="F88" s="3">
        <v>6.8</v>
      </c>
      <c r="G88" s="3">
        <v>67.28</v>
      </c>
      <c r="H88" s="3">
        <v>8</v>
      </c>
      <c r="I88" s="3">
        <v>2.8000000000000001E-2</v>
      </c>
      <c r="J88" s="3">
        <v>4.7E-2</v>
      </c>
      <c r="K88" s="3">
        <v>0.18</v>
      </c>
    </row>
    <row r="89" spans="2:11" x14ac:dyDescent="0.25">
      <c r="B89" s="2" t="s">
        <v>2988</v>
      </c>
      <c r="C89" s="2" t="s">
        <v>2989</v>
      </c>
      <c r="D89" s="3">
        <v>1.7</v>
      </c>
      <c r="E89" s="3">
        <v>25.2</v>
      </c>
      <c r="F89" s="3">
        <v>2.4</v>
      </c>
      <c r="H89" s="3">
        <v>4</v>
      </c>
      <c r="I89" s="3">
        <v>0.23100000000000001</v>
      </c>
    </row>
    <row r="90" spans="2:11" x14ac:dyDescent="0.25">
      <c r="B90" s="2" t="s">
        <v>2990</v>
      </c>
      <c r="C90" s="2" t="s">
        <v>2991</v>
      </c>
      <c r="D90" s="3">
        <v>2.4500000000000002</v>
      </c>
      <c r="E90" s="3">
        <v>75.03</v>
      </c>
      <c r="F90" s="3">
        <v>8</v>
      </c>
      <c r="G90" s="3">
        <v>63.35</v>
      </c>
      <c r="H90" s="3">
        <v>2</v>
      </c>
      <c r="I90" s="3">
        <v>3.2000000000000001E-2</v>
      </c>
      <c r="J90" s="3">
        <v>3.5999999999999997E-2</v>
      </c>
      <c r="K90" s="3">
        <v>1.9E-2</v>
      </c>
    </row>
    <row r="91" spans="2:11" x14ac:dyDescent="0.25">
      <c r="B91" s="2" t="s">
        <v>2992</v>
      </c>
      <c r="C91" s="2" t="s">
        <v>2993</v>
      </c>
      <c r="D91" s="3">
        <v>0.66</v>
      </c>
      <c r="E91" s="3">
        <v>18.399999999999999</v>
      </c>
      <c r="F91" s="3">
        <v>7</v>
      </c>
      <c r="H91" s="3">
        <v>6</v>
      </c>
      <c r="I91" s="3">
        <v>2.3E-2</v>
      </c>
      <c r="J91" s="3">
        <v>0.08</v>
      </c>
      <c r="K91" s="3">
        <v>0.247</v>
      </c>
    </row>
    <row r="92" spans="2:11" x14ac:dyDescent="0.25">
      <c r="B92" s="2" t="s">
        <v>2994</v>
      </c>
      <c r="C92" s="2" t="s">
        <v>2995</v>
      </c>
      <c r="D92" s="3">
        <v>0.75</v>
      </c>
      <c r="E92" s="3">
        <v>19.18</v>
      </c>
      <c r="F92" s="3">
        <v>2.9</v>
      </c>
      <c r="G92" s="3">
        <v>16.260000000000002</v>
      </c>
      <c r="H92" s="3">
        <v>1</v>
      </c>
      <c r="I92" s="3">
        <v>0.06</v>
      </c>
      <c r="J92" s="3">
        <v>6.6000000000000003E-2</v>
      </c>
      <c r="K92" s="3">
        <v>0.14399999999999999</v>
      </c>
    </row>
    <row r="93" spans="2:11" x14ac:dyDescent="0.25">
      <c r="B93" s="2" t="s">
        <v>2996</v>
      </c>
      <c r="C93" s="2" t="s">
        <v>2997</v>
      </c>
      <c r="D93" s="3">
        <v>0.4</v>
      </c>
      <c r="E93" s="3">
        <v>13.99</v>
      </c>
      <c r="F93" s="3">
        <v>2.2000000000000002</v>
      </c>
      <c r="G93" s="3">
        <v>11.79</v>
      </c>
      <c r="H93" s="3">
        <v>1</v>
      </c>
      <c r="I93" s="3">
        <v>0.02</v>
      </c>
      <c r="J93" s="3">
        <v>2.1999999999999999E-2</v>
      </c>
      <c r="K93" s="3">
        <v>4.8000000000000001E-2</v>
      </c>
    </row>
    <row r="94" spans="2:11" x14ac:dyDescent="0.25">
      <c r="B94" s="2" t="s">
        <v>2998</v>
      </c>
      <c r="C94" s="2" t="s">
        <v>2999</v>
      </c>
      <c r="D94" s="3">
        <v>0.39</v>
      </c>
      <c r="E94" s="3">
        <v>17.95</v>
      </c>
      <c r="F94" s="3">
        <v>1.8</v>
      </c>
      <c r="G94" s="3">
        <v>16.149999999999999</v>
      </c>
      <c r="H94" s="3">
        <v>1</v>
      </c>
      <c r="I94" s="3">
        <v>0.02</v>
      </c>
      <c r="J94" s="3">
        <v>2.1999999999999999E-2</v>
      </c>
      <c r="K94" s="3">
        <v>4.8000000000000001E-2</v>
      </c>
    </row>
    <row r="95" spans="2:11" x14ac:dyDescent="0.25">
      <c r="B95" s="2" t="s">
        <v>3000</v>
      </c>
      <c r="C95" s="2" t="s">
        <v>3001</v>
      </c>
      <c r="D95" s="3">
        <v>0.38</v>
      </c>
      <c r="E95" s="3">
        <v>22.9</v>
      </c>
      <c r="F95" s="3">
        <v>2.2000000000000002</v>
      </c>
      <c r="G95" s="3">
        <v>20.7</v>
      </c>
      <c r="H95" s="3">
        <v>1</v>
      </c>
      <c r="I95" s="3">
        <v>0.02</v>
      </c>
      <c r="J95" s="3">
        <v>2.1999999999999999E-2</v>
      </c>
      <c r="K95" s="3">
        <v>4.8000000000000001E-2</v>
      </c>
    </row>
    <row r="96" spans="2:11" x14ac:dyDescent="0.25">
      <c r="B96" s="2" t="s">
        <v>3002</v>
      </c>
      <c r="C96" s="2" t="s">
        <v>3003</v>
      </c>
      <c r="D96" s="3">
        <v>0.38</v>
      </c>
      <c r="E96" s="3">
        <v>27.86</v>
      </c>
      <c r="H96" s="3">
        <v>1</v>
      </c>
      <c r="I96" s="3">
        <v>0.02</v>
      </c>
      <c r="J96" s="3">
        <v>2.1999999999999999E-2</v>
      </c>
      <c r="K96" s="3">
        <v>4.7E-2</v>
      </c>
    </row>
    <row r="97" spans="2:11" x14ac:dyDescent="0.25">
      <c r="B97" s="2" t="s">
        <v>3004</v>
      </c>
      <c r="C97" s="2" t="s">
        <v>3005</v>
      </c>
      <c r="D97" s="3">
        <v>3.3</v>
      </c>
      <c r="E97" s="3">
        <v>63.87</v>
      </c>
      <c r="F97" s="3">
        <v>9.8000000000000007</v>
      </c>
      <c r="G97" s="3">
        <v>47.92</v>
      </c>
      <c r="H97" s="3">
        <v>10</v>
      </c>
      <c r="I97" s="3">
        <v>0.14399999999999999</v>
      </c>
      <c r="J97" s="3">
        <v>0.159</v>
      </c>
      <c r="K97" s="3">
        <v>0.34499999999999997</v>
      </c>
    </row>
    <row r="98" spans="2:11" x14ac:dyDescent="0.25">
      <c r="B98" s="2" t="s">
        <v>3006</v>
      </c>
      <c r="C98" s="2" t="s">
        <v>3007</v>
      </c>
      <c r="D98" s="3">
        <v>1.42</v>
      </c>
      <c r="E98" s="3">
        <v>27.57</v>
      </c>
      <c r="F98" s="3">
        <v>4.2</v>
      </c>
      <c r="G98" s="3">
        <v>23.35</v>
      </c>
      <c r="H98" s="3">
        <v>4</v>
      </c>
      <c r="I98" s="3">
        <v>6.2E-2</v>
      </c>
      <c r="J98" s="3">
        <v>6.8000000000000005E-2</v>
      </c>
      <c r="K98" s="3">
        <v>0.14899999999999999</v>
      </c>
    </row>
    <row r="99" spans="2:11" x14ac:dyDescent="0.25">
      <c r="B99" s="2" t="s">
        <v>3008</v>
      </c>
      <c r="C99" s="2" t="s">
        <v>3009</v>
      </c>
      <c r="D99" s="3">
        <v>0.42</v>
      </c>
      <c r="E99" s="3">
        <v>8.51</v>
      </c>
      <c r="F99" s="3">
        <v>1</v>
      </c>
      <c r="G99" s="3">
        <v>7.51</v>
      </c>
      <c r="H99" s="3">
        <v>4</v>
      </c>
      <c r="I99" s="3">
        <v>6.0000000000000001E-3</v>
      </c>
      <c r="J99" s="3">
        <v>8.9999999999999993E-3</v>
      </c>
      <c r="K99" s="3">
        <v>0.02</v>
      </c>
    </row>
    <row r="100" spans="2:11" x14ac:dyDescent="0.25">
      <c r="B100" s="2" t="s">
        <v>3010</v>
      </c>
      <c r="C100" s="2" t="s">
        <v>3011</v>
      </c>
      <c r="D100" s="3">
        <v>0.46</v>
      </c>
      <c r="E100" s="3">
        <v>11.86</v>
      </c>
      <c r="F100" s="3">
        <v>1</v>
      </c>
      <c r="G100" s="3">
        <v>10.86</v>
      </c>
      <c r="H100" s="3">
        <v>4</v>
      </c>
      <c r="I100" s="3">
        <v>1E-3</v>
      </c>
      <c r="J100" s="3">
        <v>2E-3</v>
      </c>
      <c r="K100" s="3">
        <v>4.0000000000000001E-3</v>
      </c>
    </row>
    <row r="101" spans="2:11" x14ac:dyDescent="0.25">
      <c r="B101" s="2" t="s">
        <v>3012</v>
      </c>
      <c r="C101" s="2" t="s">
        <v>3013</v>
      </c>
      <c r="D101" s="3">
        <v>0.4</v>
      </c>
      <c r="E101" s="3">
        <v>11.63</v>
      </c>
      <c r="F101" s="3">
        <v>1.1000000000000001</v>
      </c>
      <c r="H101" s="3">
        <v>4</v>
      </c>
      <c r="I101" s="3">
        <v>0.01</v>
      </c>
      <c r="J101" s="3">
        <v>1.4E-2</v>
      </c>
      <c r="K101" s="3">
        <v>3.1E-2</v>
      </c>
    </row>
    <row r="102" spans="2:11" x14ac:dyDescent="0.25">
      <c r="B102" s="2" t="s">
        <v>3014</v>
      </c>
      <c r="C102" s="2" t="s">
        <v>3015</v>
      </c>
      <c r="D102" s="3">
        <v>0.4</v>
      </c>
      <c r="E102" s="3">
        <v>14.93</v>
      </c>
      <c r="F102" s="3">
        <v>1</v>
      </c>
      <c r="G102" s="3">
        <v>13.93</v>
      </c>
      <c r="H102" s="3">
        <v>6</v>
      </c>
      <c r="I102" s="3">
        <v>0.01</v>
      </c>
      <c r="J102" s="3">
        <v>1.4E-2</v>
      </c>
      <c r="K102" s="3">
        <v>3.1E-2</v>
      </c>
    </row>
    <row r="103" spans="2:11" x14ac:dyDescent="0.25">
      <c r="B103" s="2" t="s">
        <v>3016</v>
      </c>
      <c r="C103" s="2" t="s">
        <v>3017</v>
      </c>
      <c r="D103" s="3">
        <v>0.39</v>
      </c>
      <c r="E103" s="3">
        <v>18.91</v>
      </c>
      <c r="F103" s="3">
        <v>1</v>
      </c>
      <c r="G103" s="3">
        <v>17.91</v>
      </c>
      <c r="H103" s="3">
        <v>6</v>
      </c>
      <c r="I103" s="3">
        <v>0.01</v>
      </c>
      <c r="J103" s="3">
        <v>1.2999999999999999E-2</v>
      </c>
      <c r="K103" s="3">
        <v>3.1E-2</v>
      </c>
    </row>
    <row r="104" spans="2:11" x14ac:dyDescent="0.25">
      <c r="B104" s="2" t="s">
        <v>3018</v>
      </c>
      <c r="C104" s="2" t="s">
        <v>3019</v>
      </c>
      <c r="D104" s="3">
        <v>0.39</v>
      </c>
      <c r="E104" s="3">
        <v>22.89</v>
      </c>
      <c r="F104" s="3">
        <v>1.1000000000000001</v>
      </c>
      <c r="H104" s="3">
        <v>6</v>
      </c>
      <c r="I104" s="3">
        <v>0.01</v>
      </c>
      <c r="J104" s="3">
        <v>1.2999999999999999E-2</v>
      </c>
      <c r="K104" s="3">
        <v>0.03</v>
      </c>
    </row>
    <row r="105" spans="2:11" x14ac:dyDescent="0.25">
      <c r="B105" s="2" t="s">
        <v>3020</v>
      </c>
      <c r="C105" s="2" t="s">
        <v>3021</v>
      </c>
      <c r="D105" s="3">
        <v>0.35</v>
      </c>
      <c r="E105" s="3">
        <v>7.87</v>
      </c>
      <c r="F105" s="3">
        <v>1</v>
      </c>
      <c r="H105" s="3">
        <v>3</v>
      </c>
      <c r="I105" s="3">
        <v>8.9999999999999993E-3</v>
      </c>
      <c r="J105" s="3">
        <v>1.2999999999999999E-2</v>
      </c>
      <c r="K105" s="3">
        <v>2.8000000000000001E-2</v>
      </c>
    </row>
    <row r="106" spans="2:11" x14ac:dyDescent="0.25">
      <c r="B106" s="2" t="s">
        <v>3022</v>
      </c>
      <c r="C106" s="2" t="s">
        <v>3023</v>
      </c>
      <c r="D106" s="3">
        <v>0.51</v>
      </c>
      <c r="E106" s="3">
        <v>13.05</v>
      </c>
      <c r="F106" s="3">
        <v>1</v>
      </c>
      <c r="H106" s="3">
        <v>5</v>
      </c>
      <c r="I106" s="3">
        <v>4.0000000000000001E-3</v>
      </c>
      <c r="J106" s="3">
        <v>5.0000000000000001E-3</v>
      </c>
      <c r="K106" s="3">
        <v>1.0999999999999999E-2</v>
      </c>
    </row>
    <row r="107" spans="2:11" x14ac:dyDescent="0.25">
      <c r="B107" s="2" t="s">
        <v>3024</v>
      </c>
      <c r="C107" s="2" t="s">
        <v>3025</v>
      </c>
      <c r="D107" s="3">
        <v>0.34</v>
      </c>
      <c r="E107" s="3">
        <v>15.14</v>
      </c>
      <c r="F107" s="3">
        <v>1</v>
      </c>
      <c r="H107" s="3">
        <v>6</v>
      </c>
      <c r="I107" s="3">
        <v>8.9999999999999993E-3</v>
      </c>
      <c r="J107" s="3">
        <v>1.2E-2</v>
      </c>
      <c r="K107" s="3">
        <v>2.8000000000000001E-2</v>
      </c>
    </row>
    <row r="108" spans="2:11" x14ac:dyDescent="0.25">
      <c r="B108" s="2" t="s">
        <v>3026</v>
      </c>
      <c r="C108" s="2" t="s">
        <v>3027</v>
      </c>
      <c r="D108" s="3">
        <v>0.34</v>
      </c>
      <c r="E108" s="3">
        <v>19.11</v>
      </c>
      <c r="F108" s="3">
        <v>1</v>
      </c>
      <c r="G108" s="3">
        <v>18.11</v>
      </c>
      <c r="H108" s="3">
        <v>6</v>
      </c>
      <c r="I108" s="3">
        <v>0.01</v>
      </c>
      <c r="J108" s="3">
        <v>1.4E-2</v>
      </c>
      <c r="K108" s="3">
        <v>3.1E-2</v>
      </c>
    </row>
    <row r="109" spans="2:11" x14ac:dyDescent="0.25">
      <c r="B109" s="2" t="s">
        <v>3028</v>
      </c>
      <c r="C109" s="2" t="s">
        <v>3029</v>
      </c>
      <c r="D109" s="3">
        <v>0.33</v>
      </c>
      <c r="E109" s="3">
        <v>22.77</v>
      </c>
      <c r="F109" s="3">
        <v>1</v>
      </c>
      <c r="H109" s="3">
        <v>5</v>
      </c>
      <c r="I109" s="3">
        <v>8.9999999999999993E-3</v>
      </c>
      <c r="J109" s="3">
        <v>1.2E-2</v>
      </c>
      <c r="K109" s="3">
        <v>2.7E-2</v>
      </c>
    </row>
    <row r="110" spans="2:11" x14ac:dyDescent="0.25">
      <c r="B110" s="2" t="s">
        <v>3030</v>
      </c>
      <c r="C110" s="2" t="s">
        <v>3031</v>
      </c>
      <c r="D110" s="3">
        <v>0.88</v>
      </c>
      <c r="E110" s="3">
        <v>10.18</v>
      </c>
      <c r="F110" s="3">
        <v>4.3</v>
      </c>
      <c r="H110" s="3">
        <v>1</v>
      </c>
      <c r="I110" s="3">
        <v>3.7999999999999999E-2</v>
      </c>
      <c r="J110" s="3">
        <v>5.0999999999999997E-2</v>
      </c>
      <c r="K110" s="3">
        <v>0.317</v>
      </c>
    </row>
    <row r="111" spans="2:11" x14ac:dyDescent="0.25">
      <c r="B111" s="2" t="s">
        <v>3032</v>
      </c>
      <c r="C111" s="2" t="s">
        <v>3033</v>
      </c>
      <c r="D111" s="3">
        <v>0.65</v>
      </c>
      <c r="E111" s="3">
        <v>18.75</v>
      </c>
      <c r="F111" s="3">
        <v>2.4</v>
      </c>
      <c r="H111" s="3">
        <v>2</v>
      </c>
      <c r="I111" s="3">
        <v>1.2999999999999999E-2</v>
      </c>
      <c r="J111" s="3">
        <v>1.7999999999999999E-2</v>
      </c>
      <c r="K111" s="3">
        <v>0.11</v>
      </c>
    </row>
    <row r="112" spans="2:11" x14ac:dyDescent="0.25">
      <c r="B112" s="2" t="s">
        <v>3034</v>
      </c>
      <c r="C112" s="2" t="s">
        <v>3035</v>
      </c>
      <c r="D112" s="3">
        <v>14.26</v>
      </c>
      <c r="E112" s="3">
        <v>77.06</v>
      </c>
      <c r="F112" s="3">
        <v>13</v>
      </c>
      <c r="G112" s="3">
        <v>45.61</v>
      </c>
      <c r="H112" s="3">
        <v>298</v>
      </c>
      <c r="I112" s="3">
        <v>0</v>
      </c>
    </row>
    <row r="113" spans="2:11" x14ac:dyDescent="0.25">
      <c r="B113" s="2" t="s">
        <v>3036</v>
      </c>
      <c r="C113" s="2" t="s">
        <v>3037</v>
      </c>
      <c r="D113" s="3">
        <v>0.63</v>
      </c>
      <c r="E113" s="3">
        <v>8.08</v>
      </c>
      <c r="F113" s="3">
        <v>1.1000000000000001</v>
      </c>
      <c r="G113" s="3">
        <v>6.98</v>
      </c>
      <c r="H113" s="3">
        <v>0</v>
      </c>
      <c r="I113" s="3">
        <v>1.4E-2</v>
      </c>
      <c r="J113" s="3">
        <v>1.2999999999999999E-2</v>
      </c>
      <c r="K113" s="3">
        <v>2.4E-2</v>
      </c>
    </row>
    <row r="114" spans="2:11" x14ac:dyDescent="0.25">
      <c r="B114" s="2" t="s">
        <v>3038</v>
      </c>
      <c r="C114" s="2" t="s">
        <v>3039</v>
      </c>
      <c r="D114" s="3">
        <v>0.77</v>
      </c>
      <c r="E114" s="3">
        <v>10.66</v>
      </c>
      <c r="F114" s="3">
        <v>1.6</v>
      </c>
      <c r="G114" s="3">
        <v>6.89</v>
      </c>
      <c r="H114" s="3">
        <v>0</v>
      </c>
      <c r="I114" s="3">
        <v>2.1000000000000001E-2</v>
      </c>
      <c r="J114" s="3">
        <v>0.02</v>
      </c>
      <c r="K114" s="3">
        <v>3.5999999999999997E-2</v>
      </c>
    </row>
    <row r="115" spans="2:11" x14ac:dyDescent="0.25">
      <c r="B115" s="2" t="s">
        <v>3040</v>
      </c>
      <c r="C115" s="2" t="s">
        <v>3041</v>
      </c>
      <c r="D115" s="3">
        <v>0.5</v>
      </c>
      <c r="E115" s="3">
        <v>9.69</v>
      </c>
      <c r="H115" s="3">
        <v>1</v>
      </c>
      <c r="I115" s="3">
        <v>1.4E-2</v>
      </c>
      <c r="J115" s="3">
        <v>1.2999999999999999E-2</v>
      </c>
      <c r="K115" s="3">
        <v>2.4E-2</v>
      </c>
    </row>
    <row r="116" spans="2:11" x14ac:dyDescent="0.25">
      <c r="B116" s="2" t="s">
        <v>3042</v>
      </c>
      <c r="C116" s="2" t="s">
        <v>3043</v>
      </c>
      <c r="D116" s="3">
        <v>0.55000000000000004</v>
      </c>
      <c r="E116" s="3">
        <v>7.5</v>
      </c>
      <c r="F116" s="3">
        <v>1.1000000000000001</v>
      </c>
      <c r="H116" s="3">
        <v>0</v>
      </c>
      <c r="I116" s="3">
        <v>1.4E-2</v>
      </c>
      <c r="J116" s="3">
        <v>1.2999999999999999E-2</v>
      </c>
      <c r="K116" s="3">
        <v>2.4E-2</v>
      </c>
    </row>
    <row r="117" spans="2:11" x14ac:dyDescent="0.25">
      <c r="B117" s="2" t="s">
        <v>3044</v>
      </c>
      <c r="C117" s="2" t="s">
        <v>3045</v>
      </c>
      <c r="D117" s="3">
        <v>0.69</v>
      </c>
      <c r="E117" s="3">
        <v>8.41</v>
      </c>
      <c r="F117" s="3">
        <v>1.1000000000000001</v>
      </c>
      <c r="G117" s="3">
        <v>7.31</v>
      </c>
      <c r="H117" s="3">
        <v>0</v>
      </c>
      <c r="I117" s="3">
        <v>1.4E-2</v>
      </c>
      <c r="J117" s="3">
        <v>1.2999999999999999E-2</v>
      </c>
      <c r="K117" s="3">
        <v>2.4E-2</v>
      </c>
    </row>
    <row r="118" spans="2:11" x14ac:dyDescent="0.25">
      <c r="B118" s="2" t="s">
        <v>3046</v>
      </c>
      <c r="C118" s="2" t="s">
        <v>3047</v>
      </c>
      <c r="D118" s="3">
        <v>0.88</v>
      </c>
      <c r="E118" s="3">
        <v>9.09</v>
      </c>
      <c r="H118" s="3">
        <v>0</v>
      </c>
      <c r="I118" s="3">
        <v>1.4E-2</v>
      </c>
      <c r="J118" s="3">
        <v>1.2999999999999999E-2</v>
      </c>
      <c r="K118" s="3">
        <v>2.4E-2</v>
      </c>
    </row>
    <row r="119" spans="2:11" x14ac:dyDescent="0.25">
      <c r="B119" s="2" t="s">
        <v>3048</v>
      </c>
      <c r="C119" s="2" t="s">
        <v>3049</v>
      </c>
      <c r="D119" s="3">
        <v>0.63</v>
      </c>
      <c r="E119" s="3">
        <v>8.19</v>
      </c>
      <c r="H119" s="3">
        <v>0</v>
      </c>
      <c r="I119" s="3">
        <v>1.4E-2</v>
      </c>
      <c r="J119" s="3">
        <v>1.2999999999999999E-2</v>
      </c>
      <c r="K119" s="3">
        <v>2.4E-2</v>
      </c>
    </row>
    <row r="120" spans="2:11" x14ac:dyDescent="0.25">
      <c r="B120" s="2" t="s">
        <v>3050</v>
      </c>
      <c r="C120" s="2" t="s">
        <v>3051</v>
      </c>
      <c r="D120" s="3">
        <v>0.57999999999999996</v>
      </c>
      <c r="E120" s="3">
        <v>9.15</v>
      </c>
      <c r="F120" s="3">
        <v>0.4</v>
      </c>
      <c r="G120" s="3">
        <v>8.75</v>
      </c>
      <c r="H120" s="3">
        <v>2</v>
      </c>
      <c r="I120" s="3">
        <v>1.4E-2</v>
      </c>
      <c r="J120" s="3">
        <v>1.4E-2</v>
      </c>
      <c r="K120" s="3">
        <v>2.4E-2</v>
      </c>
    </row>
    <row r="121" spans="2:11" x14ac:dyDescent="0.25">
      <c r="B121" s="2" t="s">
        <v>3052</v>
      </c>
      <c r="C121" s="2" t="s">
        <v>3053</v>
      </c>
      <c r="D121" s="3">
        <v>0.7</v>
      </c>
      <c r="E121" s="3">
        <v>9.2100000000000009</v>
      </c>
      <c r="F121" s="3">
        <v>0.4</v>
      </c>
      <c r="G121" s="3">
        <v>8.8000000000000007</v>
      </c>
      <c r="H121" s="3">
        <v>7</v>
      </c>
      <c r="I121" s="3">
        <v>1.2E-2</v>
      </c>
      <c r="J121" s="3">
        <v>1.2E-2</v>
      </c>
      <c r="K121" s="3">
        <v>2.1000000000000001E-2</v>
      </c>
    </row>
    <row r="122" spans="2:11" x14ac:dyDescent="0.25">
      <c r="B122" s="2" t="s">
        <v>3054</v>
      </c>
      <c r="C122" s="2" t="s">
        <v>3055</v>
      </c>
      <c r="D122" s="3">
        <v>0.56000000000000005</v>
      </c>
      <c r="E122" s="3">
        <v>15.44</v>
      </c>
      <c r="F122" s="3">
        <v>0.4</v>
      </c>
      <c r="G122" s="3">
        <v>15.04</v>
      </c>
      <c r="H122" s="3">
        <v>2</v>
      </c>
      <c r="I122" s="3">
        <v>1.4E-2</v>
      </c>
      <c r="J122" s="3">
        <v>1.2999999999999999E-2</v>
      </c>
      <c r="K122" s="3">
        <v>2.4E-2</v>
      </c>
    </row>
    <row r="123" spans="2:11" x14ac:dyDescent="0.25">
      <c r="B123" s="2" t="s">
        <v>3056</v>
      </c>
      <c r="C123" s="2" t="s">
        <v>3057</v>
      </c>
      <c r="D123" s="3">
        <v>0.57999999999999996</v>
      </c>
      <c r="E123" s="3">
        <v>7.93</v>
      </c>
      <c r="F123" s="3">
        <v>0.8</v>
      </c>
      <c r="G123" s="3">
        <v>7.2</v>
      </c>
      <c r="H123" s="3">
        <v>3</v>
      </c>
      <c r="I123" s="3">
        <v>8.9999999999999993E-3</v>
      </c>
      <c r="J123" s="3">
        <v>0.01</v>
      </c>
      <c r="K123" s="3">
        <v>1.7999999999999999E-2</v>
      </c>
    </row>
    <row r="124" spans="2:11" x14ac:dyDescent="0.25">
      <c r="B124" s="2" t="s">
        <v>3058</v>
      </c>
      <c r="C124" s="2" t="s">
        <v>3059</v>
      </c>
      <c r="D124" s="3">
        <v>0.57999999999999996</v>
      </c>
      <c r="E124" s="3">
        <v>11.13</v>
      </c>
      <c r="F124" s="3">
        <v>0.1</v>
      </c>
      <c r="G124" s="3">
        <v>11.03</v>
      </c>
      <c r="H124" s="3">
        <v>2</v>
      </c>
      <c r="I124" s="3">
        <v>1.2E-2</v>
      </c>
      <c r="J124" s="3">
        <v>1.2E-2</v>
      </c>
      <c r="K124" s="3">
        <v>2.1000000000000001E-2</v>
      </c>
    </row>
    <row r="125" spans="2:11" x14ac:dyDescent="0.25">
      <c r="B125" s="2" t="s">
        <v>3060</v>
      </c>
      <c r="C125" s="2" t="s">
        <v>3061</v>
      </c>
      <c r="D125" s="3">
        <v>1.97</v>
      </c>
      <c r="E125" s="3">
        <v>34.56</v>
      </c>
      <c r="F125" s="3">
        <v>0.4</v>
      </c>
      <c r="G125" s="3">
        <v>34.159999999999997</v>
      </c>
      <c r="H125" s="3">
        <v>3</v>
      </c>
      <c r="I125" s="3">
        <v>6.4000000000000001E-2</v>
      </c>
      <c r="J125" s="3">
        <v>6.3E-2</v>
      </c>
      <c r="K125" s="3">
        <v>0.113</v>
      </c>
    </row>
    <row r="126" spans="2:11" x14ac:dyDescent="0.25">
      <c r="B126" s="2" t="s">
        <v>3062</v>
      </c>
      <c r="C126" s="2" t="s">
        <v>3063</v>
      </c>
      <c r="D126" s="3">
        <v>0.55000000000000004</v>
      </c>
      <c r="E126" s="3">
        <v>9.73</v>
      </c>
      <c r="F126" s="3">
        <v>0.1</v>
      </c>
      <c r="G126" s="3">
        <v>9.6300000000000008</v>
      </c>
      <c r="H126" s="3">
        <v>1</v>
      </c>
      <c r="I126" s="3">
        <v>1.9E-2</v>
      </c>
      <c r="J126" s="3">
        <v>1.7999999999999999E-2</v>
      </c>
      <c r="K126" s="3">
        <v>3.2000000000000001E-2</v>
      </c>
    </row>
    <row r="127" spans="2:11" x14ac:dyDescent="0.25">
      <c r="B127" s="2" t="s">
        <v>3064</v>
      </c>
      <c r="C127" s="2" t="s">
        <v>3065</v>
      </c>
      <c r="D127" s="3">
        <v>0.5</v>
      </c>
      <c r="E127" s="3">
        <v>8.69</v>
      </c>
      <c r="F127" s="3">
        <v>0</v>
      </c>
      <c r="G127" s="3">
        <v>8.33</v>
      </c>
      <c r="H127" s="3">
        <v>1</v>
      </c>
      <c r="I127" s="3">
        <v>1.4E-2</v>
      </c>
      <c r="J127" s="3">
        <v>1.2999999999999999E-2</v>
      </c>
      <c r="K127" s="3">
        <v>2.4E-2</v>
      </c>
    </row>
    <row r="128" spans="2:11" x14ac:dyDescent="0.25">
      <c r="B128" s="2" t="s">
        <v>3066</v>
      </c>
      <c r="C128" s="2" t="s">
        <v>3067</v>
      </c>
      <c r="D128" s="3">
        <v>0.5</v>
      </c>
      <c r="E128" s="3">
        <v>9.1999999999999993</v>
      </c>
      <c r="F128" s="3">
        <v>0.1</v>
      </c>
      <c r="G128" s="3">
        <v>9.1</v>
      </c>
      <c r="H128" s="3">
        <v>1</v>
      </c>
      <c r="I128" s="3">
        <v>1.4E-2</v>
      </c>
      <c r="J128" s="3">
        <v>1.2999999999999999E-2</v>
      </c>
      <c r="K128" s="3">
        <v>2.4E-2</v>
      </c>
    </row>
    <row r="129" spans="2:11" x14ac:dyDescent="0.25">
      <c r="B129" s="2" t="s">
        <v>3068</v>
      </c>
      <c r="C129" s="2" t="s">
        <v>3069</v>
      </c>
      <c r="D129" s="3">
        <v>0.81</v>
      </c>
      <c r="E129" s="3">
        <v>13.93</v>
      </c>
      <c r="F129" s="3">
        <v>3.9</v>
      </c>
      <c r="H129" s="3">
        <v>1</v>
      </c>
    </row>
    <row r="130" spans="2:11" x14ac:dyDescent="0.25">
      <c r="B130" s="2" t="s">
        <v>3070</v>
      </c>
      <c r="C130" s="2" t="s">
        <v>3071</v>
      </c>
      <c r="D130" s="3">
        <v>0.37</v>
      </c>
      <c r="E130" s="3">
        <v>14.77</v>
      </c>
      <c r="F130" s="3">
        <v>0.2</v>
      </c>
      <c r="G130" s="3">
        <v>14.2</v>
      </c>
      <c r="H130" s="3">
        <v>5</v>
      </c>
      <c r="I130" s="3">
        <v>2.5000000000000001E-2</v>
      </c>
      <c r="J130" s="3">
        <v>3.0000000000000001E-3</v>
      </c>
      <c r="K130" s="3">
        <v>2.1999999999999999E-2</v>
      </c>
    </row>
    <row r="131" spans="2:11" x14ac:dyDescent="0.25">
      <c r="B131" s="2" t="s">
        <v>3072</v>
      </c>
      <c r="C131" s="2" t="s">
        <v>3073</v>
      </c>
      <c r="D131" s="3">
        <v>0.63</v>
      </c>
      <c r="E131" s="3">
        <v>17.149999999999999</v>
      </c>
      <c r="F131" s="3">
        <v>0.9</v>
      </c>
      <c r="G131" s="3">
        <v>16.25</v>
      </c>
      <c r="H131" s="3">
        <v>2</v>
      </c>
      <c r="I131" s="3">
        <v>0.114</v>
      </c>
      <c r="J131" s="3">
        <v>1.4E-2</v>
      </c>
      <c r="K131" s="3">
        <v>0.10199999999999999</v>
      </c>
    </row>
    <row r="132" spans="2:11" x14ac:dyDescent="0.25">
      <c r="B132" s="2" t="s">
        <v>3074</v>
      </c>
      <c r="C132" s="2" t="s">
        <v>3075</v>
      </c>
      <c r="D132" s="3">
        <v>0.72</v>
      </c>
      <c r="E132" s="3">
        <v>18.100000000000001</v>
      </c>
      <c r="F132" s="3">
        <v>0.9</v>
      </c>
      <c r="G132" s="3">
        <v>15.48</v>
      </c>
      <c r="H132" s="3">
        <v>2</v>
      </c>
      <c r="I132" s="3">
        <v>5.3999999999999999E-2</v>
      </c>
      <c r="J132" s="3">
        <v>7.0000000000000001E-3</v>
      </c>
      <c r="K132" s="3">
        <v>4.8000000000000001E-2</v>
      </c>
    </row>
    <row r="133" spans="2:11" x14ac:dyDescent="0.25">
      <c r="B133" s="2" t="s">
        <v>3076</v>
      </c>
      <c r="C133" s="2" t="s">
        <v>3077</v>
      </c>
      <c r="D133" s="3">
        <v>0.5</v>
      </c>
      <c r="E133" s="3">
        <v>10.3</v>
      </c>
      <c r="F133" s="3">
        <v>0.6</v>
      </c>
      <c r="G133" s="3">
        <v>9.6999999999999993</v>
      </c>
      <c r="H133" s="3">
        <v>6</v>
      </c>
      <c r="I133" s="3">
        <v>3.5000000000000003E-2</v>
      </c>
      <c r="J133" s="3">
        <v>4.0000000000000001E-3</v>
      </c>
      <c r="K133" s="3">
        <v>3.1E-2</v>
      </c>
    </row>
    <row r="134" spans="2:11" x14ac:dyDescent="0.25">
      <c r="B134" s="2" t="s">
        <v>3078</v>
      </c>
      <c r="C134" s="2" t="s">
        <v>3079</v>
      </c>
      <c r="D134" s="3">
        <v>0.48</v>
      </c>
      <c r="E134" s="3">
        <v>19.649999999999999</v>
      </c>
      <c r="F134" s="3">
        <v>0.6</v>
      </c>
      <c r="G134" s="3">
        <v>19.05</v>
      </c>
      <c r="H134" s="3">
        <v>5</v>
      </c>
      <c r="I134" s="3">
        <v>3.3000000000000002E-2</v>
      </c>
      <c r="J134" s="3">
        <v>4.0000000000000001E-3</v>
      </c>
      <c r="K134" s="3">
        <v>0.03</v>
      </c>
    </row>
    <row r="135" spans="2:11" x14ac:dyDescent="0.25">
      <c r="B135" s="2" t="s">
        <v>3080</v>
      </c>
      <c r="C135" s="2" t="s">
        <v>3081</v>
      </c>
      <c r="D135" s="3">
        <v>0.37</v>
      </c>
      <c r="E135" s="3">
        <v>14.77</v>
      </c>
      <c r="F135" s="3">
        <v>0.2</v>
      </c>
      <c r="G135" s="3">
        <v>14.2</v>
      </c>
      <c r="H135" s="3">
        <v>5</v>
      </c>
      <c r="I135" s="3">
        <v>2.5000000000000001E-2</v>
      </c>
      <c r="J135" s="3">
        <v>3.0000000000000001E-3</v>
      </c>
      <c r="K135" s="3">
        <v>2.1999999999999999E-2</v>
      </c>
    </row>
    <row r="136" spans="2:11" x14ac:dyDescent="0.25">
      <c r="B136" s="2" t="s">
        <v>3082</v>
      </c>
      <c r="C136" s="2" t="s">
        <v>3083</v>
      </c>
      <c r="D136" s="3">
        <v>1.9</v>
      </c>
      <c r="E136" s="3">
        <v>11.2</v>
      </c>
    </row>
    <row r="137" spans="2:11" x14ac:dyDescent="0.25">
      <c r="B137" s="2" t="s">
        <v>3084</v>
      </c>
      <c r="C137" s="2" t="s">
        <v>3085</v>
      </c>
      <c r="D137" s="3">
        <v>2.5499999999999998</v>
      </c>
      <c r="E137" s="3">
        <v>14.32</v>
      </c>
      <c r="F137" s="3">
        <v>5.4</v>
      </c>
      <c r="G137" s="3">
        <v>8.92</v>
      </c>
      <c r="H137" s="3">
        <v>2</v>
      </c>
      <c r="I137" s="3">
        <v>0.27200000000000002</v>
      </c>
      <c r="J137" s="3">
        <v>8.6999999999999994E-2</v>
      </c>
      <c r="K137" s="3">
        <v>0.40100000000000002</v>
      </c>
    </row>
    <row r="138" spans="2:11" x14ac:dyDescent="0.25">
      <c r="B138" s="2" t="s">
        <v>3086</v>
      </c>
      <c r="C138" s="2" t="s">
        <v>3087</v>
      </c>
      <c r="D138" s="3">
        <v>0.57999999999999996</v>
      </c>
      <c r="E138" s="3">
        <v>17.36</v>
      </c>
      <c r="F138" s="3">
        <v>5.4</v>
      </c>
      <c r="H138" s="3">
        <v>37</v>
      </c>
      <c r="I138" s="3">
        <v>0.17199999999999999</v>
      </c>
      <c r="J138" s="3">
        <v>5.5E-2</v>
      </c>
      <c r="K138" s="3">
        <v>0.253</v>
      </c>
    </row>
    <row r="139" spans="2:11" x14ac:dyDescent="0.25">
      <c r="B139" s="2" t="s">
        <v>3088</v>
      </c>
      <c r="C139" s="2" t="s">
        <v>3089</v>
      </c>
      <c r="D139" s="3">
        <v>0.32</v>
      </c>
      <c r="E139" s="3">
        <v>9.48</v>
      </c>
      <c r="F139" s="3">
        <v>3.6</v>
      </c>
      <c r="G139" s="3">
        <v>5.88</v>
      </c>
      <c r="H139" s="3">
        <v>4</v>
      </c>
      <c r="I139" s="3">
        <v>0.04</v>
      </c>
      <c r="J139" s="3">
        <v>1.2999999999999999E-2</v>
      </c>
      <c r="K139" s="3">
        <v>5.8999999999999997E-2</v>
      </c>
    </row>
    <row r="140" spans="2:11" x14ac:dyDescent="0.25">
      <c r="B140" s="2" t="s">
        <v>3090</v>
      </c>
      <c r="C140" s="2" t="s">
        <v>3091</v>
      </c>
      <c r="D140" s="3">
        <v>1.72</v>
      </c>
      <c r="E140" s="3">
        <v>23.25</v>
      </c>
      <c r="F140" s="3">
        <v>1.5</v>
      </c>
      <c r="G140" s="3">
        <v>19.079999999999998</v>
      </c>
      <c r="H140" s="3">
        <v>2</v>
      </c>
      <c r="I140" s="3">
        <v>0.19500000000000001</v>
      </c>
      <c r="J140" s="3">
        <v>0.155</v>
      </c>
      <c r="K140" s="3">
        <v>9.4E-2</v>
      </c>
    </row>
    <row r="141" spans="2:11" x14ac:dyDescent="0.25">
      <c r="B141" s="2" t="s">
        <v>3092</v>
      </c>
      <c r="C141" s="2" t="s">
        <v>3093</v>
      </c>
      <c r="D141" s="3">
        <v>0.72</v>
      </c>
      <c r="E141" s="3">
        <v>15.56</v>
      </c>
      <c r="H141" s="3">
        <v>14</v>
      </c>
    </row>
    <row r="142" spans="2:11" x14ac:dyDescent="0.25">
      <c r="B142" s="2" t="s">
        <v>3094</v>
      </c>
      <c r="C142" s="2" t="s">
        <v>3095</v>
      </c>
      <c r="D142" s="3">
        <v>1.2</v>
      </c>
      <c r="E142" s="3">
        <v>20.23</v>
      </c>
      <c r="H142" s="3">
        <v>3</v>
      </c>
    </row>
    <row r="143" spans="2:11" x14ac:dyDescent="0.25">
      <c r="B143" s="2" t="s">
        <v>3096</v>
      </c>
      <c r="C143" s="2" t="s">
        <v>3097</v>
      </c>
      <c r="D143" s="3">
        <v>4.72</v>
      </c>
      <c r="E143" s="3">
        <v>72.52</v>
      </c>
      <c r="F143" s="3">
        <v>6</v>
      </c>
      <c r="H143" s="3">
        <v>5</v>
      </c>
    </row>
    <row r="144" spans="2:11" x14ac:dyDescent="0.25">
      <c r="B144" s="2" t="s">
        <v>3098</v>
      </c>
      <c r="C144" s="2" t="s">
        <v>3099</v>
      </c>
      <c r="D144" s="3">
        <v>1.1399999999999999</v>
      </c>
      <c r="E144" s="3">
        <v>14.66</v>
      </c>
      <c r="F144" s="3">
        <v>3</v>
      </c>
      <c r="G144" s="3">
        <v>8.99</v>
      </c>
      <c r="H144" s="3">
        <v>3</v>
      </c>
      <c r="I144" s="3">
        <v>2.9000000000000001E-2</v>
      </c>
      <c r="J144" s="3">
        <v>4.7E-2</v>
      </c>
      <c r="K144" s="3">
        <v>0.28699999999999998</v>
      </c>
    </row>
    <row r="145" spans="2:11" x14ac:dyDescent="0.25">
      <c r="B145" s="2" t="s">
        <v>3100</v>
      </c>
      <c r="C145" s="2" t="s">
        <v>3101</v>
      </c>
      <c r="D145" s="3">
        <v>1.88</v>
      </c>
      <c r="E145" s="3">
        <v>15.9</v>
      </c>
      <c r="F145" s="3">
        <v>6.5</v>
      </c>
      <c r="G145" s="3">
        <v>9.36</v>
      </c>
      <c r="H145" s="3">
        <v>10</v>
      </c>
      <c r="I145" s="3">
        <v>0.10299999999999999</v>
      </c>
      <c r="J145" s="3">
        <v>0.154</v>
      </c>
      <c r="K145" s="3">
        <v>0.17100000000000001</v>
      </c>
    </row>
    <row r="146" spans="2:11" x14ac:dyDescent="0.25">
      <c r="B146" s="2" t="s">
        <v>3102</v>
      </c>
      <c r="C146" s="2" t="s">
        <v>3103</v>
      </c>
      <c r="D146" s="3">
        <v>1.1000000000000001</v>
      </c>
      <c r="E146" s="3">
        <v>9.32</v>
      </c>
      <c r="F146" s="3">
        <v>2.8</v>
      </c>
      <c r="G146" s="3">
        <v>2.5</v>
      </c>
      <c r="H146" s="3">
        <v>2</v>
      </c>
      <c r="I146" s="3">
        <v>3.9E-2</v>
      </c>
      <c r="J146" s="3">
        <v>1.0999999999999999E-2</v>
      </c>
      <c r="K146" s="3">
        <v>8.8999999999999996E-2</v>
      </c>
    </row>
    <row r="147" spans="2:11" x14ac:dyDescent="0.25">
      <c r="B147" s="2" t="s">
        <v>3104</v>
      </c>
      <c r="C147" s="2" t="s">
        <v>3105</v>
      </c>
      <c r="D147" s="3">
        <v>0.35</v>
      </c>
      <c r="E147" s="3">
        <v>6.9</v>
      </c>
      <c r="F147" s="3">
        <v>0.3</v>
      </c>
      <c r="G147" s="3">
        <v>2.52</v>
      </c>
      <c r="H147" s="3">
        <v>1</v>
      </c>
      <c r="I147" s="3">
        <v>0.04</v>
      </c>
      <c r="J147" s="3">
        <v>6.0000000000000001E-3</v>
      </c>
      <c r="K147" s="3">
        <v>2.1000000000000001E-2</v>
      </c>
    </row>
    <row r="148" spans="2:11" x14ac:dyDescent="0.25">
      <c r="B148" s="2" t="s">
        <v>3106</v>
      </c>
      <c r="C148" s="2" t="s">
        <v>3107</v>
      </c>
      <c r="D148" s="3">
        <v>0.45</v>
      </c>
      <c r="E148" s="3">
        <v>5.62</v>
      </c>
      <c r="F148" s="3">
        <v>0.7</v>
      </c>
      <c r="G148" s="3">
        <v>1.53</v>
      </c>
      <c r="H148" s="3">
        <v>24</v>
      </c>
      <c r="I148" s="3">
        <v>2.7E-2</v>
      </c>
      <c r="J148" s="3">
        <v>6.0000000000000001E-3</v>
      </c>
      <c r="K148" s="3">
        <v>1.7000000000000001E-2</v>
      </c>
    </row>
    <row r="149" spans="2:11" x14ac:dyDescent="0.25">
      <c r="B149" s="2" t="s">
        <v>3108</v>
      </c>
      <c r="C149" s="2" t="s">
        <v>3109</v>
      </c>
      <c r="D149" s="3">
        <v>0.46</v>
      </c>
      <c r="E149" s="3">
        <v>6.5</v>
      </c>
      <c r="F149" s="3">
        <v>0.4</v>
      </c>
      <c r="G149" s="3">
        <v>2.4</v>
      </c>
      <c r="H149" s="3">
        <v>1</v>
      </c>
      <c r="I149" s="3">
        <v>4.2999999999999997E-2</v>
      </c>
      <c r="J149" s="3">
        <v>1.2E-2</v>
      </c>
      <c r="K149" s="3">
        <v>9.7000000000000003E-2</v>
      </c>
    </row>
    <row r="150" spans="2:11" x14ac:dyDescent="0.25">
      <c r="B150" s="2" t="s">
        <v>3110</v>
      </c>
      <c r="C150" s="2" t="s">
        <v>3111</v>
      </c>
      <c r="D150" s="3">
        <v>1.5</v>
      </c>
      <c r="E150" s="3">
        <v>16</v>
      </c>
      <c r="F150" s="3">
        <v>10.6</v>
      </c>
      <c r="G150" s="3">
        <v>4.17</v>
      </c>
      <c r="H150" s="3">
        <v>6</v>
      </c>
      <c r="I150" s="3">
        <v>3.9E-2</v>
      </c>
      <c r="J150" s="3">
        <v>1.0999999999999999E-2</v>
      </c>
      <c r="K150" s="3">
        <v>8.8999999999999996E-2</v>
      </c>
    </row>
    <row r="151" spans="2:11" x14ac:dyDescent="0.25">
      <c r="B151" s="2" t="s">
        <v>3112</v>
      </c>
      <c r="C151" s="2" t="s">
        <v>3113</v>
      </c>
      <c r="D151" s="3">
        <v>0.7</v>
      </c>
      <c r="E151" s="3">
        <v>10.54</v>
      </c>
      <c r="F151" s="3">
        <v>2.8</v>
      </c>
      <c r="G151" s="3">
        <v>1.69</v>
      </c>
      <c r="H151" s="3">
        <v>2</v>
      </c>
      <c r="I151" s="3">
        <v>2.1999999999999999E-2</v>
      </c>
      <c r="J151" s="3">
        <v>1.9E-2</v>
      </c>
      <c r="K151" s="3">
        <v>5.5E-2</v>
      </c>
    </row>
    <row r="152" spans="2:11" x14ac:dyDescent="0.25">
      <c r="B152" s="2" t="s">
        <v>3114</v>
      </c>
      <c r="C152" s="2" t="s">
        <v>3115</v>
      </c>
      <c r="D152" s="3">
        <v>0.42</v>
      </c>
      <c r="E152" s="3">
        <v>8.42</v>
      </c>
      <c r="F152" s="3">
        <v>0.4</v>
      </c>
      <c r="G152" s="3">
        <v>1.69</v>
      </c>
      <c r="H152" s="3">
        <v>2</v>
      </c>
      <c r="I152" s="3">
        <v>8.0000000000000002E-3</v>
      </c>
      <c r="J152" s="3">
        <v>8.0000000000000002E-3</v>
      </c>
      <c r="K152" s="3">
        <v>2.3E-2</v>
      </c>
    </row>
    <row r="153" spans="2:11" x14ac:dyDescent="0.25">
      <c r="B153" s="2" t="s">
        <v>3116</v>
      </c>
      <c r="C153" s="2" t="s">
        <v>3117</v>
      </c>
      <c r="D153" s="3">
        <v>0.25</v>
      </c>
      <c r="E153" s="3">
        <v>6.69</v>
      </c>
      <c r="F153" s="3">
        <v>0.4</v>
      </c>
      <c r="G153" s="3">
        <v>1.37</v>
      </c>
      <c r="H153" s="3">
        <v>16</v>
      </c>
      <c r="I153" s="3">
        <v>2.5999999999999999E-2</v>
      </c>
      <c r="J153" s="3">
        <v>2.1999999999999999E-2</v>
      </c>
      <c r="K153" s="3">
        <v>6.4000000000000001E-2</v>
      </c>
    </row>
    <row r="154" spans="2:11" x14ac:dyDescent="0.25">
      <c r="B154" s="2" t="s">
        <v>3118</v>
      </c>
      <c r="C154" s="2" t="s">
        <v>3119</v>
      </c>
      <c r="D154" s="3">
        <v>2.5</v>
      </c>
      <c r="E154" s="3">
        <v>80</v>
      </c>
      <c r="F154" s="3">
        <v>7.5</v>
      </c>
      <c r="G154" s="3">
        <v>67.5</v>
      </c>
      <c r="H154" s="3">
        <v>3</v>
      </c>
      <c r="I154" s="3">
        <v>0.2</v>
      </c>
      <c r="J154" s="3">
        <v>0.40500000000000003</v>
      </c>
      <c r="K154" s="3">
        <v>1.3</v>
      </c>
    </row>
    <row r="155" spans="2:11" x14ac:dyDescent="0.25">
      <c r="B155" s="2" t="s">
        <v>3120</v>
      </c>
      <c r="C155" s="2" t="s">
        <v>3121</v>
      </c>
      <c r="D155" s="3">
        <v>0.83</v>
      </c>
      <c r="E155" s="3">
        <v>16.53</v>
      </c>
      <c r="F155" s="3">
        <v>1.3</v>
      </c>
      <c r="G155" s="3">
        <v>15.23</v>
      </c>
      <c r="H155" s="3">
        <v>1</v>
      </c>
      <c r="I155" s="3">
        <v>9.9000000000000005E-2</v>
      </c>
      <c r="J155" s="3">
        <v>0.12</v>
      </c>
      <c r="K155" s="3">
        <v>0.13200000000000001</v>
      </c>
    </row>
    <row r="156" spans="2:11" x14ac:dyDescent="0.25">
      <c r="B156" s="2" t="s">
        <v>3122</v>
      </c>
      <c r="C156" s="2" t="s">
        <v>3123</v>
      </c>
      <c r="D156" s="3">
        <v>3.8</v>
      </c>
      <c r="E156" s="3">
        <v>70.7</v>
      </c>
      <c r="F156" s="3">
        <v>4.5999999999999996</v>
      </c>
      <c r="G156" s="3">
        <v>66.099999999999994</v>
      </c>
      <c r="H156" s="3">
        <v>3</v>
      </c>
      <c r="I156" s="3">
        <v>0.27</v>
      </c>
      <c r="J156" s="3">
        <v>0.32800000000000001</v>
      </c>
      <c r="K156" s="3">
        <v>0.36099999999999999</v>
      </c>
    </row>
    <row r="157" spans="2:11" x14ac:dyDescent="0.25">
      <c r="B157" s="2" t="s">
        <v>3124</v>
      </c>
      <c r="C157" s="2" t="s">
        <v>3125</v>
      </c>
      <c r="D157" s="3">
        <v>1.52</v>
      </c>
      <c r="E157" s="3">
        <v>13.02</v>
      </c>
      <c r="F157" s="3">
        <v>5.3</v>
      </c>
      <c r="G157" s="3">
        <v>7.7</v>
      </c>
      <c r="H157" s="3">
        <v>1</v>
      </c>
      <c r="I157" s="3">
        <v>1.0999999999999999E-2</v>
      </c>
      <c r="J157" s="3">
        <v>0.03</v>
      </c>
      <c r="K157" s="3">
        <v>0.17599999999999999</v>
      </c>
    </row>
    <row r="158" spans="2:11" x14ac:dyDescent="0.25">
      <c r="B158" s="2" t="s">
        <v>3126</v>
      </c>
      <c r="C158" s="2" t="s">
        <v>3127</v>
      </c>
      <c r="D158" s="3">
        <v>1.31</v>
      </c>
      <c r="E158" s="3">
        <v>15.14</v>
      </c>
      <c r="F158" s="3">
        <v>1.1000000000000001</v>
      </c>
      <c r="H158" s="3">
        <v>0</v>
      </c>
    </row>
    <row r="159" spans="2:11" x14ac:dyDescent="0.25">
      <c r="B159" s="2" t="s">
        <v>3128</v>
      </c>
      <c r="C159" s="2" t="s">
        <v>3129</v>
      </c>
      <c r="D159" s="3">
        <v>4.9000000000000004</v>
      </c>
      <c r="E159" s="3">
        <v>74</v>
      </c>
      <c r="H159" s="3">
        <v>48</v>
      </c>
    </row>
    <row r="160" spans="2:11" x14ac:dyDescent="0.25">
      <c r="B160" s="2" t="s">
        <v>3130</v>
      </c>
      <c r="C160" s="2" t="s">
        <v>3131</v>
      </c>
      <c r="D160" s="3">
        <v>0.43</v>
      </c>
      <c r="E160" s="3">
        <v>12.14</v>
      </c>
      <c r="F160" s="3">
        <v>1.7</v>
      </c>
      <c r="H160" s="3">
        <v>1</v>
      </c>
      <c r="I160" s="3">
        <v>0.04</v>
      </c>
      <c r="J160" s="3">
        <v>8.0000000000000002E-3</v>
      </c>
      <c r="K160" s="3">
        <v>9.0999999999999998E-2</v>
      </c>
    </row>
    <row r="161" spans="2:11" x14ac:dyDescent="0.25">
      <c r="B161" s="2" t="s">
        <v>3132</v>
      </c>
      <c r="C161" s="2" t="s">
        <v>3133</v>
      </c>
      <c r="D161" s="3">
        <v>0.5</v>
      </c>
      <c r="E161" s="3">
        <v>12.5</v>
      </c>
      <c r="F161" s="3">
        <v>3</v>
      </c>
      <c r="H161" s="3">
        <v>15</v>
      </c>
      <c r="I161" s="3">
        <v>0.13600000000000001</v>
      </c>
      <c r="J161" s="3">
        <v>0.20499999999999999</v>
      </c>
      <c r="K161" s="3">
        <v>7.9000000000000001E-2</v>
      </c>
    </row>
    <row r="162" spans="2:11" x14ac:dyDescent="0.25">
      <c r="B162" s="2" t="s">
        <v>3134</v>
      </c>
      <c r="C162" s="2" t="s">
        <v>3135</v>
      </c>
      <c r="D162" s="3">
        <v>0.82</v>
      </c>
      <c r="E162" s="3">
        <v>14.98</v>
      </c>
      <c r="F162" s="3">
        <v>1.6</v>
      </c>
      <c r="G162" s="3">
        <v>13.66</v>
      </c>
      <c r="H162" s="3">
        <v>1</v>
      </c>
      <c r="I162" s="3">
        <v>9.1999999999999998E-2</v>
      </c>
      <c r="J162" s="3">
        <v>0.14000000000000001</v>
      </c>
      <c r="K162" s="3">
        <v>7.0999999999999994E-2</v>
      </c>
    </row>
    <row r="163" spans="2:11" x14ac:dyDescent="0.25">
      <c r="B163" s="2" t="s">
        <v>3136</v>
      </c>
      <c r="C163" s="2" t="s">
        <v>3137</v>
      </c>
      <c r="D163" s="3">
        <v>0.41</v>
      </c>
      <c r="E163" s="3">
        <v>17.91</v>
      </c>
      <c r="F163" s="3">
        <v>1.8</v>
      </c>
      <c r="H163" s="3">
        <v>7</v>
      </c>
    </row>
    <row r="164" spans="2:11" x14ac:dyDescent="0.25">
      <c r="B164" s="2" t="s">
        <v>3138</v>
      </c>
      <c r="C164" s="2" t="s">
        <v>3139</v>
      </c>
      <c r="D164" s="3">
        <v>2.4500000000000002</v>
      </c>
      <c r="E164" s="3">
        <v>78.58</v>
      </c>
      <c r="F164" s="3">
        <v>2.4</v>
      </c>
      <c r="G164" s="3">
        <v>66.27</v>
      </c>
      <c r="H164" s="3">
        <v>162</v>
      </c>
      <c r="I164" s="3">
        <v>0.28699999999999998</v>
      </c>
      <c r="J164" s="3">
        <v>0.439</v>
      </c>
      <c r="K164" s="3">
        <v>0.222</v>
      </c>
    </row>
    <row r="165" spans="2:11" x14ac:dyDescent="0.25">
      <c r="B165" s="2" t="s">
        <v>3140</v>
      </c>
      <c r="C165" s="2" t="s">
        <v>3141</v>
      </c>
      <c r="D165" s="3">
        <v>0.84</v>
      </c>
      <c r="E165" s="3">
        <v>8.16</v>
      </c>
      <c r="F165" s="3">
        <v>0.9</v>
      </c>
      <c r="G165" s="3">
        <v>7.86</v>
      </c>
      <c r="H165" s="3">
        <v>16</v>
      </c>
      <c r="I165" s="3">
        <v>5.0999999999999997E-2</v>
      </c>
      <c r="J165" s="3">
        <v>3.0000000000000001E-3</v>
      </c>
      <c r="K165" s="3">
        <v>8.1000000000000003E-2</v>
      </c>
    </row>
    <row r="166" spans="2:11" x14ac:dyDescent="0.25">
      <c r="B166" s="2" t="s">
        <v>3142</v>
      </c>
      <c r="C166" s="2" t="s">
        <v>3143</v>
      </c>
      <c r="D166" s="3">
        <v>1.1100000000000001</v>
      </c>
      <c r="E166" s="3">
        <v>6.58</v>
      </c>
      <c r="F166" s="3">
        <v>0.9</v>
      </c>
      <c r="G166" s="3">
        <v>5.69</v>
      </c>
      <c r="H166" s="3">
        <v>9</v>
      </c>
      <c r="I166" s="3">
        <v>2.5000000000000001E-2</v>
      </c>
      <c r="J166" s="3">
        <v>2E-3</v>
      </c>
      <c r="K166" s="3">
        <v>3.9E-2</v>
      </c>
    </row>
    <row r="167" spans="2:11" x14ac:dyDescent="0.25">
      <c r="B167" s="2" t="s">
        <v>3144</v>
      </c>
      <c r="C167" s="2" t="s">
        <v>3145</v>
      </c>
      <c r="D167" s="3">
        <v>0.54</v>
      </c>
      <c r="E167" s="3">
        <v>9.09</v>
      </c>
      <c r="F167" s="3">
        <v>0.8</v>
      </c>
      <c r="G167" s="3">
        <v>8.1199999999999992</v>
      </c>
      <c r="H167" s="3">
        <v>18</v>
      </c>
      <c r="I167" s="3">
        <v>3.7999999999999999E-2</v>
      </c>
      <c r="J167" s="3">
        <v>3.0000000000000001E-3</v>
      </c>
      <c r="K167" s="3">
        <v>5.8999999999999997E-2</v>
      </c>
    </row>
    <row r="168" spans="2:11" x14ac:dyDescent="0.25">
      <c r="B168" s="2" t="s">
        <v>3146</v>
      </c>
      <c r="C168" s="2" t="s">
        <v>3147</v>
      </c>
      <c r="D168" s="3">
        <v>0.84</v>
      </c>
      <c r="E168" s="3">
        <v>7.94</v>
      </c>
      <c r="F168" s="3">
        <v>0.7</v>
      </c>
      <c r="H168" s="3">
        <v>31</v>
      </c>
      <c r="I168" s="3">
        <v>6.4000000000000001E-2</v>
      </c>
      <c r="J168" s="3">
        <v>6.0000000000000001E-3</v>
      </c>
      <c r="K168" s="3">
        <v>9.8000000000000004E-2</v>
      </c>
    </row>
    <row r="169" spans="2:11" x14ac:dyDescent="0.25">
      <c r="B169" s="2" t="s">
        <v>3148</v>
      </c>
      <c r="C169" s="2" t="s">
        <v>3149</v>
      </c>
      <c r="D169" s="3">
        <v>1.44</v>
      </c>
      <c r="E169" s="3">
        <v>9.8000000000000007</v>
      </c>
      <c r="F169" s="3">
        <v>1.7</v>
      </c>
      <c r="G169" s="3">
        <v>8.1</v>
      </c>
      <c r="H169" s="3">
        <v>10</v>
      </c>
      <c r="I169" s="3">
        <v>2.7E-2</v>
      </c>
      <c r="J169" s="3">
        <v>4.1000000000000002E-2</v>
      </c>
      <c r="K169" s="3">
        <v>0.20699999999999999</v>
      </c>
    </row>
    <row r="170" spans="2:11" x14ac:dyDescent="0.25">
      <c r="B170" s="2" t="s">
        <v>3150</v>
      </c>
      <c r="C170" s="2" t="s">
        <v>3151</v>
      </c>
      <c r="D170" s="3">
        <v>1.06</v>
      </c>
      <c r="E170" s="3">
        <v>10.55</v>
      </c>
      <c r="F170" s="3">
        <v>1.7</v>
      </c>
      <c r="G170" s="3">
        <v>7.89</v>
      </c>
      <c r="H170" s="3">
        <v>0</v>
      </c>
      <c r="I170" s="3">
        <v>2.5000000000000001E-2</v>
      </c>
      <c r="J170" s="3">
        <v>8.7999999999999995E-2</v>
      </c>
      <c r="K170" s="3">
        <v>0.113</v>
      </c>
    </row>
    <row r="171" spans="2:11" x14ac:dyDescent="0.25">
      <c r="B171" s="2" t="s">
        <v>3152</v>
      </c>
      <c r="C171" s="2" t="s">
        <v>3153</v>
      </c>
      <c r="D171" s="3">
        <v>0.38</v>
      </c>
      <c r="E171" s="3">
        <v>6.84</v>
      </c>
      <c r="H171" s="3">
        <v>1</v>
      </c>
    </row>
    <row r="172" spans="2:11" x14ac:dyDescent="0.25">
      <c r="B172" s="2" t="s">
        <v>3154</v>
      </c>
      <c r="C172" s="2" t="s">
        <v>3155</v>
      </c>
      <c r="D172" s="3">
        <v>0.84</v>
      </c>
      <c r="E172" s="3">
        <v>6.26</v>
      </c>
      <c r="F172" s="3">
        <v>3.2</v>
      </c>
      <c r="G172" s="3">
        <v>0</v>
      </c>
      <c r="H172" s="3">
        <v>735</v>
      </c>
      <c r="I172" s="3">
        <v>1.415</v>
      </c>
      <c r="J172" s="3">
        <v>7.8879999999999999</v>
      </c>
      <c r="K172" s="3">
        <v>0.91100000000000003</v>
      </c>
    </row>
    <row r="173" spans="2:11" x14ac:dyDescent="0.25">
      <c r="B173" s="2" t="s">
        <v>3156</v>
      </c>
      <c r="C173" s="2" t="s">
        <v>3157</v>
      </c>
      <c r="D173" s="3">
        <v>0.97</v>
      </c>
      <c r="E173" s="3">
        <v>5.61</v>
      </c>
      <c r="F173" s="3">
        <v>2.5</v>
      </c>
      <c r="G173" s="3">
        <v>0</v>
      </c>
      <c r="H173" s="3">
        <v>735</v>
      </c>
      <c r="I173" s="3">
        <v>0.90900000000000003</v>
      </c>
      <c r="J173" s="3">
        <v>5.0709999999999997</v>
      </c>
      <c r="K173" s="3">
        <v>0.58599999999999997</v>
      </c>
    </row>
    <row r="174" spans="2:11" x14ac:dyDescent="0.25">
      <c r="B174" s="2" t="s">
        <v>3158</v>
      </c>
      <c r="C174" s="2" t="s">
        <v>3159</v>
      </c>
      <c r="D174" s="3">
        <v>1.03</v>
      </c>
      <c r="E174" s="3">
        <v>3.84</v>
      </c>
      <c r="F174" s="3">
        <v>3.3</v>
      </c>
      <c r="G174" s="3">
        <v>0.54</v>
      </c>
      <c r="H174" s="3">
        <v>1556</v>
      </c>
      <c r="I174" s="3">
        <v>2.0289999999999999</v>
      </c>
      <c r="J174" s="3">
        <v>11.314</v>
      </c>
      <c r="K174" s="3">
        <v>1.3069999999999999</v>
      </c>
    </row>
    <row r="175" spans="2:11" x14ac:dyDescent="0.25">
      <c r="B175" s="2" t="s">
        <v>3160</v>
      </c>
      <c r="C175" s="2" t="s">
        <v>3161</v>
      </c>
      <c r="D175" s="3">
        <v>0.94</v>
      </c>
      <c r="E175" s="3">
        <v>11.75</v>
      </c>
      <c r="F175" s="3">
        <v>2.4</v>
      </c>
      <c r="G175" s="3">
        <v>9.35</v>
      </c>
      <c r="H175" s="3">
        <v>0</v>
      </c>
      <c r="I175" s="3">
        <v>1.4999999999999999E-2</v>
      </c>
      <c r="J175" s="3">
        <v>2.3E-2</v>
      </c>
      <c r="K175" s="3">
        <v>2.5000000000000001E-2</v>
      </c>
    </row>
    <row r="176" spans="2:11" x14ac:dyDescent="0.25">
      <c r="B176" s="2" t="s">
        <v>3162</v>
      </c>
      <c r="C176" s="2" t="s">
        <v>3163</v>
      </c>
      <c r="D176" s="3">
        <v>1.04</v>
      </c>
      <c r="E176" s="3">
        <v>11.89</v>
      </c>
      <c r="F176" s="3">
        <v>2.5</v>
      </c>
      <c r="H176" s="3">
        <v>0</v>
      </c>
      <c r="I176" s="3">
        <v>3.5000000000000003E-2</v>
      </c>
      <c r="J176" s="3">
        <v>5.5E-2</v>
      </c>
      <c r="K176" s="3">
        <v>0.06</v>
      </c>
    </row>
    <row r="177" spans="2:11" x14ac:dyDescent="0.25">
      <c r="B177" s="2" t="s">
        <v>3164</v>
      </c>
      <c r="C177" s="2" t="s">
        <v>3165</v>
      </c>
      <c r="D177" s="3">
        <v>0.91</v>
      </c>
      <c r="E177" s="3">
        <v>12.54</v>
      </c>
      <c r="F177" s="3">
        <v>2.2000000000000002</v>
      </c>
      <c r="G177" s="3">
        <v>8.5</v>
      </c>
      <c r="H177" s="3">
        <v>1</v>
      </c>
      <c r="I177" s="3">
        <v>1.7000000000000001E-2</v>
      </c>
      <c r="J177" s="3">
        <v>0.03</v>
      </c>
      <c r="K177" s="3">
        <v>3.1E-2</v>
      </c>
    </row>
    <row r="178" spans="2:11" x14ac:dyDescent="0.25">
      <c r="B178" s="2" t="s">
        <v>3166</v>
      </c>
      <c r="C178" s="2" t="s">
        <v>3167</v>
      </c>
      <c r="D178" s="3">
        <v>0.7</v>
      </c>
      <c r="E178" s="3">
        <v>11.54</v>
      </c>
      <c r="F178" s="3">
        <v>2.4</v>
      </c>
      <c r="G178" s="3">
        <v>9.14</v>
      </c>
      <c r="H178" s="3">
        <v>0</v>
      </c>
      <c r="I178" s="3">
        <v>2.5000000000000001E-2</v>
      </c>
      <c r="J178" s="3">
        <v>3.9E-2</v>
      </c>
      <c r="K178" s="3">
        <v>4.2000000000000003E-2</v>
      </c>
    </row>
    <row r="179" spans="2:11" x14ac:dyDescent="0.25">
      <c r="B179" s="2" t="s">
        <v>3168</v>
      </c>
      <c r="C179" s="2" t="s">
        <v>3169</v>
      </c>
      <c r="D179" s="3">
        <v>1.3</v>
      </c>
      <c r="E179" s="3">
        <v>15.5</v>
      </c>
      <c r="F179" s="3">
        <v>4.5</v>
      </c>
      <c r="H179" s="3">
        <v>2</v>
      </c>
      <c r="I179" s="3">
        <v>3.5000000000000003E-2</v>
      </c>
      <c r="J179" s="3">
        <v>5.5E-2</v>
      </c>
      <c r="K179" s="3">
        <v>0.06</v>
      </c>
    </row>
    <row r="180" spans="2:11" x14ac:dyDescent="0.25">
      <c r="B180" s="2" t="s">
        <v>3170</v>
      </c>
      <c r="C180" s="2" t="s">
        <v>3171</v>
      </c>
      <c r="D180" s="3">
        <v>0.7</v>
      </c>
      <c r="E180" s="3">
        <v>10.4</v>
      </c>
      <c r="F180" s="3">
        <v>0.2</v>
      </c>
      <c r="G180" s="3">
        <v>8.4</v>
      </c>
      <c r="H180" s="3">
        <v>1</v>
      </c>
      <c r="I180" s="3">
        <v>2.4E-2</v>
      </c>
      <c r="J180" s="3">
        <v>3.5999999999999997E-2</v>
      </c>
      <c r="K180" s="3">
        <v>0.04</v>
      </c>
    </row>
    <row r="181" spans="2:11" x14ac:dyDescent="0.25">
      <c r="B181" s="2" t="s">
        <v>3172</v>
      </c>
      <c r="C181" s="2" t="s">
        <v>3173</v>
      </c>
      <c r="D181" s="3">
        <v>0.68</v>
      </c>
      <c r="E181" s="3">
        <v>11.01</v>
      </c>
      <c r="F181" s="3">
        <v>0.3</v>
      </c>
      <c r="G181" s="3">
        <v>8.76</v>
      </c>
      <c r="H181" s="3">
        <v>4</v>
      </c>
      <c r="I181" s="3">
        <v>1.7999999999999999E-2</v>
      </c>
      <c r="J181" s="3">
        <v>2.5000000000000001E-2</v>
      </c>
      <c r="K181" s="3">
        <v>3.4000000000000002E-2</v>
      </c>
    </row>
    <row r="182" spans="2:11" x14ac:dyDescent="0.25">
      <c r="B182" s="2" t="s">
        <v>3174</v>
      </c>
      <c r="C182" s="2" t="s">
        <v>3175</v>
      </c>
      <c r="D182" s="3">
        <v>0.68</v>
      </c>
      <c r="E182" s="3">
        <v>11.54</v>
      </c>
      <c r="F182" s="3">
        <v>0.3</v>
      </c>
      <c r="G182" s="3">
        <v>8.31</v>
      </c>
      <c r="H182" s="3">
        <v>2</v>
      </c>
      <c r="I182" s="3">
        <v>1.4E-2</v>
      </c>
      <c r="J182" s="3">
        <v>2.1999999999999999E-2</v>
      </c>
      <c r="K182" s="3">
        <v>0.03</v>
      </c>
    </row>
    <row r="183" spans="2:11" x14ac:dyDescent="0.25">
      <c r="B183" s="2" t="s">
        <v>3176</v>
      </c>
      <c r="C183" s="2" t="s">
        <v>3177</v>
      </c>
      <c r="D183" s="3">
        <v>0.68</v>
      </c>
      <c r="E183" s="3">
        <v>11.27</v>
      </c>
      <c r="F183" s="3">
        <v>0.3</v>
      </c>
      <c r="G183" s="3">
        <v>8.31</v>
      </c>
      <c r="H183" s="3">
        <v>2</v>
      </c>
      <c r="I183" s="3">
        <v>1.4E-2</v>
      </c>
      <c r="J183" s="3">
        <v>2.1999999999999999E-2</v>
      </c>
      <c r="K183" s="3">
        <v>0.03</v>
      </c>
    </row>
    <row r="184" spans="2:11" x14ac:dyDescent="0.25">
      <c r="B184" s="2" t="s">
        <v>3178</v>
      </c>
      <c r="C184" s="2" t="s">
        <v>3179</v>
      </c>
      <c r="D184" s="3">
        <v>0.68</v>
      </c>
      <c r="E184" s="3">
        <v>11.27</v>
      </c>
      <c r="F184" s="3">
        <v>0.3</v>
      </c>
      <c r="G184" s="3">
        <v>8.31</v>
      </c>
      <c r="H184" s="3">
        <v>2</v>
      </c>
      <c r="I184" s="3">
        <v>1.4E-2</v>
      </c>
      <c r="J184" s="3">
        <v>2.1999999999999999E-2</v>
      </c>
      <c r="K184" s="3">
        <v>0.03</v>
      </c>
    </row>
    <row r="185" spans="2:11" x14ac:dyDescent="0.25">
      <c r="B185" s="2" t="s">
        <v>3180</v>
      </c>
      <c r="C185" s="2" t="s">
        <v>3181</v>
      </c>
      <c r="D185" s="3">
        <v>0.6</v>
      </c>
      <c r="E185" s="3">
        <v>8.4700000000000006</v>
      </c>
      <c r="F185" s="3">
        <v>0.2</v>
      </c>
      <c r="G185" s="3">
        <v>7.42</v>
      </c>
      <c r="H185" s="3">
        <v>4</v>
      </c>
      <c r="I185" s="3">
        <v>1.4999999999999999E-2</v>
      </c>
      <c r="J185" s="3">
        <v>1.2E-2</v>
      </c>
      <c r="K185" s="3">
        <v>1.6E-2</v>
      </c>
    </row>
    <row r="186" spans="2:11" x14ac:dyDescent="0.25">
      <c r="B186" s="2" t="s">
        <v>3182</v>
      </c>
      <c r="C186" s="2" t="s">
        <v>3183</v>
      </c>
      <c r="D186" s="3">
        <v>2.4</v>
      </c>
      <c r="E186" s="3">
        <v>33.86</v>
      </c>
      <c r="F186" s="3">
        <v>1</v>
      </c>
      <c r="G186" s="3">
        <v>29.68</v>
      </c>
      <c r="H186" s="3">
        <v>7</v>
      </c>
      <c r="I186" s="3">
        <v>5.8999999999999997E-2</v>
      </c>
      <c r="J186" s="3">
        <v>0.05</v>
      </c>
      <c r="K186" s="3">
        <v>6.3E-2</v>
      </c>
    </row>
    <row r="187" spans="2:11" x14ac:dyDescent="0.25">
      <c r="B187" s="2" t="s">
        <v>3184</v>
      </c>
      <c r="C187" s="2" t="s">
        <v>3185</v>
      </c>
      <c r="D187" s="3">
        <v>2.4</v>
      </c>
      <c r="E187" s="3">
        <v>35.19</v>
      </c>
      <c r="F187" s="3">
        <v>1</v>
      </c>
      <c r="G187" s="3">
        <v>29.68</v>
      </c>
      <c r="H187" s="3">
        <v>7</v>
      </c>
      <c r="I187" s="3">
        <v>5.8999999999999997E-2</v>
      </c>
      <c r="J187" s="3">
        <v>0.05</v>
      </c>
      <c r="K187" s="3">
        <v>6.3E-2</v>
      </c>
    </row>
    <row r="188" spans="2:11" x14ac:dyDescent="0.25">
      <c r="B188" s="2" t="s">
        <v>3186</v>
      </c>
      <c r="C188" s="2" t="s">
        <v>3187</v>
      </c>
      <c r="D188" s="3">
        <v>0.6</v>
      </c>
      <c r="E188" s="3">
        <v>8.8000000000000007</v>
      </c>
      <c r="F188" s="3">
        <v>0.2</v>
      </c>
      <c r="G188" s="3">
        <v>7.42</v>
      </c>
      <c r="H188" s="3">
        <v>4</v>
      </c>
      <c r="I188" s="3">
        <v>1.4999999999999999E-2</v>
      </c>
      <c r="J188" s="3">
        <v>1.2E-2</v>
      </c>
      <c r="K188" s="3">
        <v>1.6E-2</v>
      </c>
    </row>
    <row r="189" spans="2:11" x14ac:dyDescent="0.25">
      <c r="B189" s="2" t="s">
        <v>3188</v>
      </c>
      <c r="C189" s="2" t="s">
        <v>3189</v>
      </c>
      <c r="D189" s="3">
        <v>1.5</v>
      </c>
      <c r="E189" s="3">
        <v>25</v>
      </c>
      <c r="F189" s="3">
        <v>10.6</v>
      </c>
      <c r="H189" s="3">
        <v>3</v>
      </c>
      <c r="I189" s="3">
        <v>2.4E-2</v>
      </c>
      <c r="J189" s="3">
        <v>3.5999999999999997E-2</v>
      </c>
      <c r="K189" s="3">
        <v>0.04</v>
      </c>
    </row>
    <row r="190" spans="2:11" x14ac:dyDescent="0.25">
      <c r="B190" s="2" t="s">
        <v>3190</v>
      </c>
      <c r="C190" s="2" t="s">
        <v>3191</v>
      </c>
      <c r="D190" s="3">
        <v>0.6</v>
      </c>
      <c r="E190" s="3">
        <v>10.28</v>
      </c>
      <c r="F190" s="3">
        <v>0.1</v>
      </c>
      <c r="G190" s="3">
        <v>10.18</v>
      </c>
      <c r="H190" s="3">
        <v>3</v>
      </c>
      <c r="I190" s="3">
        <v>1.0999999999999999E-2</v>
      </c>
      <c r="J190" s="3">
        <v>1.7000000000000001E-2</v>
      </c>
      <c r="K190" s="3">
        <v>1.9E-2</v>
      </c>
    </row>
    <row r="191" spans="2:11" x14ac:dyDescent="0.25">
      <c r="B191" s="2" t="s">
        <v>3192</v>
      </c>
      <c r="C191" s="2" t="s">
        <v>3193</v>
      </c>
      <c r="D191" s="3">
        <v>0.81</v>
      </c>
      <c r="E191" s="3">
        <v>13.34</v>
      </c>
      <c r="F191" s="3">
        <v>1.8</v>
      </c>
      <c r="G191" s="3">
        <v>10.58</v>
      </c>
      <c r="H191" s="3">
        <v>2</v>
      </c>
      <c r="I191" s="3">
        <v>3.9E-2</v>
      </c>
      <c r="J191" s="3">
        <v>0.06</v>
      </c>
      <c r="K191" s="3">
        <v>6.5000000000000002E-2</v>
      </c>
    </row>
    <row r="192" spans="2:11" x14ac:dyDescent="0.25">
      <c r="B192" s="2" t="s">
        <v>3194</v>
      </c>
      <c r="C192" s="2" t="s">
        <v>3195</v>
      </c>
      <c r="D192" s="3">
        <v>0.62</v>
      </c>
      <c r="E192" s="3">
        <v>9.57</v>
      </c>
      <c r="F192" s="3">
        <v>0.7</v>
      </c>
      <c r="G192" s="3">
        <v>8.8699999999999992</v>
      </c>
      <c r="H192" s="3">
        <v>5</v>
      </c>
      <c r="I192" s="3">
        <v>3.0000000000000001E-3</v>
      </c>
      <c r="J192" s="3">
        <v>5.0000000000000001E-3</v>
      </c>
      <c r="K192" s="3">
        <v>5.0000000000000001E-3</v>
      </c>
    </row>
    <row r="193" spans="2:11" x14ac:dyDescent="0.25">
      <c r="B193" s="2" t="s">
        <v>3196</v>
      </c>
      <c r="C193" s="2" t="s">
        <v>3197</v>
      </c>
      <c r="D193" s="3">
        <v>0.45</v>
      </c>
      <c r="E193" s="3">
        <v>16.190000000000001</v>
      </c>
      <c r="F193" s="3">
        <v>0.7</v>
      </c>
      <c r="G193" s="3">
        <v>15.49</v>
      </c>
      <c r="H193" s="3">
        <v>6</v>
      </c>
      <c r="I193" s="3">
        <v>1.2E-2</v>
      </c>
      <c r="J193" s="3">
        <v>1.7999999999999999E-2</v>
      </c>
      <c r="K193" s="3">
        <v>0.02</v>
      </c>
    </row>
    <row r="194" spans="2:11" x14ac:dyDescent="0.25">
      <c r="B194" s="2" t="s">
        <v>3198</v>
      </c>
      <c r="C194" s="2" t="s">
        <v>3199</v>
      </c>
      <c r="D194" s="3">
        <v>0.5</v>
      </c>
      <c r="E194" s="3">
        <v>10.1</v>
      </c>
      <c r="F194" s="3">
        <v>0.2</v>
      </c>
      <c r="G194" s="3">
        <v>9.9</v>
      </c>
      <c r="H194" s="3">
        <v>1</v>
      </c>
      <c r="I194" s="3">
        <v>2.4E-2</v>
      </c>
      <c r="J194" s="3">
        <v>3.5999999999999997E-2</v>
      </c>
      <c r="K194" s="3">
        <v>0.04</v>
      </c>
    </row>
    <row r="195" spans="2:11" x14ac:dyDescent="0.25">
      <c r="B195" s="2" t="s">
        <v>3200</v>
      </c>
      <c r="C195" s="2" t="s">
        <v>3201</v>
      </c>
      <c r="D195" s="3">
        <v>0.5</v>
      </c>
      <c r="E195" s="3">
        <v>12</v>
      </c>
      <c r="F195" s="3">
        <v>0.2</v>
      </c>
      <c r="G195" s="3">
        <v>11.8</v>
      </c>
      <c r="H195" s="3">
        <v>1</v>
      </c>
      <c r="I195" s="3">
        <v>1.2999999999999999E-2</v>
      </c>
      <c r="J195" s="3">
        <v>1.7999999999999999E-2</v>
      </c>
      <c r="K195" s="3">
        <v>2.5000000000000001E-2</v>
      </c>
    </row>
    <row r="196" spans="2:11" x14ac:dyDescent="0.25">
      <c r="B196" s="2" t="s">
        <v>3202</v>
      </c>
      <c r="C196" s="2" t="s">
        <v>3203</v>
      </c>
      <c r="D196" s="3">
        <v>0.47</v>
      </c>
      <c r="E196" s="3">
        <v>10.82</v>
      </c>
      <c r="F196" s="3">
        <v>1.7</v>
      </c>
      <c r="G196" s="3">
        <v>7.82</v>
      </c>
      <c r="H196" s="3">
        <v>8</v>
      </c>
      <c r="I196" s="3">
        <v>8.1000000000000003E-2</v>
      </c>
      <c r="J196" s="3">
        <v>7.1999999999999995E-2</v>
      </c>
      <c r="K196" s="3">
        <v>5.8000000000000003E-2</v>
      </c>
    </row>
    <row r="197" spans="2:11" x14ac:dyDescent="0.25">
      <c r="B197" s="2" t="s">
        <v>3204</v>
      </c>
      <c r="C197" s="2" t="s">
        <v>3205</v>
      </c>
      <c r="D197" s="3">
        <v>0.14000000000000001</v>
      </c>
      <c r="E197" s="3">
        <v>55.83</v>
      </c>
      <c r="F197" s="3">
        <v>1.5</v>
      </c>
      <c r="G197" s="3">
        <v>52.2</v>
      </c>
      <c r="H197" s="3">
        <v>9</v>
      </c>
      <c r="I197" s="3">
        <v>0.26800000000000002</v>
      </c>
      <c r="J197" s="3">
        <v>7.5999999999999998E-2</v>
      </c>
      <c r="K197" s="3">
        <v>9.6000000000000002E-2</v>
      </c>
    </row>
    <row r="198" spans="2:11" x14ac:dyDescent="0.25">
      <c r="B198" s="2" t="s">
        <v>3206</v>
      </c>
      <c r="C198" s="2" t="s">
        <v>3207</v>
      </c>
      <c r="D198" s="3">
        <v>0.17</v>
      </c>
      <c r="E198" s="3">
        <v>14.51</v>
      </c>
      <c r="F198" s="3">
        <v>0.6</v>
      </c>
      <c r="G198" s="3">
        <v>13.91</v>
      </c>
      <c r="H198" s="3">
        <v>5</v>
      </c>
      <c r="I198" s="3">
        <v>4.7E-2</v>
      </c>
      <c r="J198" s="3">
        <v>4.1000000000000002E-2</v>
      </c>
      <c r="K198" s="3">
        <v>3.5000000000000003E-2</v>
      </c>
    </row>
    <row r="199" spans="2:11" x14ac:dyDescent="0.25">
      <c r="B199" s="2" t="s">
        <v>3208</v>
      </c>
      <c r="C199" s="2" t="s">
        <v>3209</v>
      </c>
      <c r="D199" s="3">
        <v>2.2000000000000002</v>
      </c>
      <c r="E199" s="3">
        <v>23.38</v>
      </c>
      <c r="F199" s="3">
        <v>10.4</v>
      </c>
      <c r="G199" s="3">
        <v>11.2</v>
      </c>
      <c r="H199" s="3">
        <v>28</v>
      </c>
      <c r="I199" s="3">
        <v>5.8999999999999997E-2</v>
      </c>
      <c r="J199" s="3">
        <v>8.5999999999999993E-2</v>
      </c>
      <c r="K199" s="3">
        <v>0.41099999999999998</v>
      </c>
    </row>
    <row r="200" spans="2:11" x14ac:dyDescent="0.25">
      <c r="B200" s="2" t="s">
        <v>3210</v>
      </c>
      <c r="C200" s="2" t="s">
        <v>3211</v>
      </c>
      <c r="D200" s="3">
        <v>0.39</v>
      </c>
      <c r="E200" s="3">
        <v>13.6</v>
      </c>
      <c r="F200" s="3">
        <v>0.2</v>
      </c>
      <c r="G200" s="3">
        <v>13.4</v>
      </c>
      <c r="H200" s="3">
        <v>6</v>
      </c>
      <c r="I200" s="3">
        <v>4.0000000000000001E-3</v>
      </c>
      <c r="J200" s="3">
        <v>6.0000000000000001E-3</v>
      </c>
      <c r="K200" s="3">
        <v>2.9000000000000001E-2</v>
      </c>
    </row>
    <row r="201" spans="2:11" x14ac:dyDescent="0.25">
      <c r="B201" s="2" t="s">
        <v>3212</v>
      </c>
      <c r="C201" s="2" t="s">
        <v>3213</v>
      </c>
      <c r="D201" s="3">
        <v>0.67</v>
      </c>
      <c r="E201" s="3">
        <v>14.45</v>
      </c>
      <c r="F201" s="3">
        <v>0.2</v>
      </c>
      <c r="G201" s="3">
        <v>14.25</v>
      </c>
      <c r="H201" s="3">
        <v>6</v>
      </c>
      <c r="I201" s="3">
        <v>1.4999999999999999E-2</v>
      </c>
      <c r="J201" s="3">
        <v>2.1999999999999999E-2</v>
      </c>
      <c r="K201" s="3">
        <v>0.106</v>
      </c>
    </row>
    <row r="202" spans="2:11" x14ac:dyDescent="0.25">
      <c r="B202" s="2" t="s">
        <v>3214</v>
      </c>
      <c r="C202" s="2" t="s">
        <v>3215</v>
      </c>
      <c r="D202" s="3">
        <v>0.91</v>
      </c>
      <c r="E202" s="3">
        <v>9.5399999999999991</v>
      </c>
      <c r="F202" s="3">
        <v>1.5</v>
      </c>
      <c r="G202" s="3">
        <v>8.39</v>
      </c>
      <c r="H202" s="3">
        <v>0</v>
      </c>
      <c r="I202" s="3">
        <v>1.9E-2</v>
      </c>
      <c r="J202" s="3">
        <v>6.7000000000000004E-2</v>
      </c>
      <c r="K202" s="3">
        <v>8.5999999999999993E-2</v>
      </c>
    </row>
    <row r="203" spans="2:11" x14ac:dyDescent="0.25">
      <c r="B203" s="2" t="s">
        <v>3216</v>
      </c>
      <c r="C203" s="2" t="s">
        <v>3217</v>
      </c>
      <c r="D203" s="3">
        <v>0.44</v>
      </c>
      <c r="E203" s="3">
        <v>6.11</v>
      </c>
      <c r="F203" s="3">
        <v>1.3</v>
      </c>
      <c r="G203" s="3">
        <v>4.8099999999999996</v>
      </c>
      <c r="H203" s="3">
        <v>3</v>
      </c>
      <c r="I203" s="3">
        <v>6.0000000000000001E-3</v>
      </c>
      <c r="J203" s="3">
        <v>2.1000000000000001E-2</v>
      </c>
      <c r="K203" s="3">
        <v>2.8000000000000001E-2</v>
      </c>
    </row>
    <row r="204" spans="2:11" x14ac:dyDescent="0.25">
      <c r="B204" s="2" t="s">
        <v>3218</v>
      </c>
      <c r="C204" s="2" t="s">
        <v>3219</v>
      </c>
      <c r="D204" s="3">
        <v>0.63</v>
      </c>
      <c r="E204" s="3">
        <v>11.57</v>
      </c>
      <c r="F204" s="3">
        <v>1.3</v>
      </c>
      <c r="G204" s="3">
        <v>10.27</v>
      </c>
      <c r="H204" s="3">
        <v>4</v>
      </c>
      <c r="I204" s="3">
        <v>4.0000000000000001E-3</v>
      </c>
      <c r="J204" s="3">
        <v>1.2E-2</v>
      </c>
      <c r="K204" s="3">
        <v>1.6E-2</v>
      </c>
    </row>
    <row r="205" spans="2:11" x14ac:dyDescent="0.25">
      <c r="B205" s="2" t="s">
        <v>3220</v>
      </c>
      <c r="C205" s="2" t="s">
        <v>3221</v>
      </c>
      <c r="D205" s="3">
        <v>0.4</v>
      </c>
      <c r="E205" s="3">
        <v>11.1</v>
      </c>
      <c r="F205" s="3">
        <v>1</v>
      </c>
      <c r="H205" s="3">
        <v>5</v>
      </c>
      <c r="I205" s="3">
        <v>1.0999999999999999E-2</v>
      </c>
      <c r="J205" s="3">
        <v>3.5999999999999997E-2</v>
      </c>
      <c r="K205" s="3">
        <v>4.8000000000000001E-2</v>
      </c>
    </row>
    <row r="206" spans="2:11" x14ac:dyDescent="0.25">
      <c r="B206" s="2" t="s">
        <v>3222</v>
      </c>
      <c r="C206" s="2" t="s">
        <v>3223</v>
      </c>
      <c r="D206" s="3">
        <v>0.45</v>
      </c>
      <c r="E206" s="3">
        <v>14.55</v>
      </c>
      <c r="F206" s="3">
        <v>1.3</v>
      </c>
      <c r="G206" s="3">
        <v>13.25</v>
      </c>
      <c r="H206" s="3">
        <v>5</v>
      </c>
      <c r="I206" s="3">
        <v>3.0000000000000001E-3</v>
      </c>
      <c r="J206" s="3">
        <v>1.2E-2</v>
      </c>
      <c r="K206" s="3">
        <v>1.4999999999999999E-2</v>
      </c>
    </row>
    <row r="207" spans="2:11" x14ac:dyDescent="0.25">
      <c r="B207" s="2" t="s">
        <v>3224</v>
      </c>
      <c r="C207" s="2" t="s">
        <v>3225</v>
      </c>
      <c r="D207" s="3">
        <v>0.45</v>
      </c>
      <c r="E207" s="3">
        <v>19.940000000000001</v>
      </c>
      <c r="F207" s="3">
        <v>1.3</v>
      </c>
      <c r="G207" s="3">
        <v>18.64</v>
      </c>
      <c r="H207" s="3">
        <v>6</v>
      </c>
      <c r="I207" s="3">
        <v>0.01</v>
      </c>
      <c r="J207" s="3">
        <v>3.5000000000000003E-2</v>
      </c>
      <c r="K207" s="3">
        <v>4.7E-2</v>
      </c>
    </row>
    <row r="208" spans="2:11" x14ac:dyDescent="0.25">
      <c r="B208" s="2" t="s">
        <v>3226</v>
      </c>
      <c r="C208" s="2" t="s">
        <v>3227</v>
      </c>
      <c r="D208" s="3">
        <v>0.47</v>
      </c>
      <c r="E208" s="3">
        <v>26.06</v>
      </c>
      <c r="F208" s="3">
        <v>1</v>
      </c>
      <c r="H208" s="3">
        <v>8</v>
      </c>
      <c r="I208" s="3">
        <v>3.0000000000000001E-3</v>
      </c>
      <c r="J208" s="3">
        <v>1.0999999999999999E-2</v>
      </c>
      <c r="K208" s="3">
        <v>1.4E-2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H229" s="3"/>
    </row>
    <row r="230" spans="2:11" x14ac:dyDescent="0.25">
      <c r="B230" s="2"/>
      <c r="C230" s="2"/>
      <c r="D230" s="3"/>
      <c r="E230" s="3"/>
      <c r="H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G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G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H241" s="3"/>
    </row>
    <row r="242" spans="2:11" x14ac:dyDescent="0.25">
      <c r="B242" s="2"/>
      <c r="C242" s="2"/>
      <c r="D242" s="3"/>
      <c r="E242" s="3"/>
      <c r="F242" s="3"/>
      <c r="G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G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G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G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G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G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G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G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G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H259" s="3"/>
    </row>
    <row r="260" spans="2:11" x14ac:dyDescent="0.25">
      <c r="B260" s="2"/>
      <c r="C260" s="2"/>
      <c r="D260" s="3"/>
      <c r="E260" s="3"/>
      <c r="F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G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G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F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H264" s="3"/>
    </row>
    <row r="265" spans="2:11" x14ac:dyDescent="0.25">
      <c r="B265" s="2"/>
      <c r="C265" s="2"/>
      <c r="D265" s="3"/>
      <c r="E265" s="3"/>
      <c r="F265" s="3"/>
      <c r="G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G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F267" s="3"/>
      <c r="G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G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F269" s="3"/>
      <c r="G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G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H271" s="3"/>
    </row>
    <row r="272" spans="2:11" x14ac:dyDescent="0.25">
      <c r="B272" s="2"/>
      <c r="C272" s="2"/>
      <c r="D272" s="3"/>
      <c r="E272" s="3"/>
      <c r="H272" s="3"/>
    </row>
    <row r="273" spans="2:11" x14ac:dyDescent="0.25">
      <c r="B273" s="2"/>
      <c r="C273" s="2"/>
      <c r="D273" s="3"/>
      <c r="E273" s="3"/>
      <c r="F273" s="3"/>
      <c r="H273" s="3"/>
      <c r="I273" s="3"/>
      <c r="J273" s="3"/>
      <c r="K273" s="3"/>
    </row>
    <row r="274" spans="2:11" x14ac:dyDescent="0.25">
      <c r="B274" s="2"/>
      <c r="C274" s="2"/>
      <c r="D274" s="3"/>
      <c r="E274" s="3"/>
      <c r="F274" s="3"/>
      <c r="G274" s="3"/>
      <c r="H274" s="3"/>
      <c r="I274" s="3"/>
      <c r="J274" s="3"/>
      <c r="K274" s="3"/>
    </row>
    <row r="275" spans="2:11" x14ac:dyDescent="0.25">
      <c r="B275" s="2"/>
      <c r="C275" s="2"/>
      <c r="D275" s="3"/>
      <c r="E275" s="3"/>
      <c r="F275" s="3"/>
      <c r="G275" s="3"/>
      <c r="H275" s="3"/>
      <c r="I275" s="3"/>
      <c r="J275" s="3"/>
      <c r="K275" s="3"/>
    </row>
    <row r="276" spans="2:11" x14ac:dyDescent="0.25">
      <c r="B276" s="2"/>
      <c r="C276" s="2"/>
      <c r="D276" s="3"/>
      <c r="E276" s="3"/>
      <c r="F276" s="3"/>
      <c r="G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F277" s="3"/>
      <c r="G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F278" s="3"/>
      <c r="G278" s="3"/>
      <c r="H278" s="3"/>
      <c r="I278" s="3"/>
      <c r="J278" s="3"/>
      <c r="K278" s="3"/>
    </row>
    <row r="279" spans="2:11" x14ac:dyDescent="0.25">
      <c r="B279" s="2"/>
      <c r="C279" s="2"/>
      <c r="D279" s="3"/>
      <c r="E279" s="3"/>
      <c r="F279" s="3"/>
      <c r="G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F280" s="3"/>
      <c r="G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F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F282" s="3"/>
      <c r="G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F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F284" s="3"/>
      <c r="G284" s="3"/>
      <c r="H284" s="3"/>
      <c r="I284" s="3"/>
      <c r="J284" s="3"/>
      <c r="K284" s="3"/>
    </row>
    <row r="285" spans="2:11" x14ac:dyDescent="0.25">
      <c r="B285" s="2"/>
      <c r="C285" s="2"/>
      <c r="D285" s="3"/>
      <c r="E285" s="3"/>
      <c r="F285" s="3"/>
      <c r="G285" s="3"/>
      <c r="H285" s="3"/>
      <c r="I285" s="3"/>
      <c r="J285" s="3"/>
      <c r="K285" s="3"/>
    </row>
    <row r="286" spans="2:11" x14ac:dyDescent="0.25">
      <c r="B286" s="2"/>
      <c r="C286" s="2"/>
      <c r="D286" s="3"/>
      <c r="E286" s="3"/>
      <c r="F286" s="3"/>
      <c r="G286" s="3"/>
      <c r="H286" s="3"/>
      <c r="I286" s="3"/>
      <c r="J286" s="3"/>
      <c r="K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F288" s="3"/>
      <c r="G288" s="3"/>
      <c r="H288" s="3"/>
      <c r="I288" s="3"/>
      <c r="J288" s="3"/>
      <c r="K288" s="3"/>
    </row>
    <row r="289" spans="2:11" x14ac:dyDescent="0.25">
      <c r="B289" s="2"/>
      <c r="C289" s="2"/>
      <c r="D289" s="3"/>
      <c r="E289" s="3"/>
      <c r="F289" s="3"/>
      <c r="G289" s="3"/>
      <c r="H289" s="3"/>
      <c r="I289" s="3"/>
      <c r="J289" s="3"/>
      <c r="K289" s="3"/>
    </row>
    <row r="290" spans="2:11" x14ac:dyDescent="0.25">
      <c r="B290" s="2"/>
      <c r="C290" s="2"/>
      <c r="D290" s="3"/>
      <c r="E290" s="3"/>
      <c r="F290" s="3"/>
      <c r="G290" s="3"/>
      <c r="H290" s="3"/>
    </row>
    <row r="291" spans="2:11" x14ac:dyDescent="0.25">
      <c r="B291" s="2"/>
      <c r="C291" s="2"/>
      <c r="D291" s="3"/>
      <c r="E291" s="3"/>
      <c r="F291" s="3"/>
      <c r="G291" s="3"/>
      <c r="H291" s="3"/>
      <c r="I291" s="3"/>
      <c r="J291" s="3"/>
      <c r="K291" s="3"/>
    </row>
    <row r="292" spans="2:11" x14ac:dyDescent="0.25">
      <c r="B292" s="2"/>
      <c r="C292" s="2"/>
      <c r="D292" s="3"/>
      <c r="E292" s="3"/>
      <c r="F292" s="3"/>
      <c r="G292" s="3"/>
      <c r="H292" s="3"/>
      <c r="I292" s="3"/>
      <c r="J292" s="3"/>
      <c r="K292" s="3"/>
    </row>
    <row r="293" spans="2:11" x14ac:dyDescent="0.25">
      <c r="B293" s="2"/>
      <c r="C293" s="2"/>
      <c r="D293" s="3"/>
      <c r="E293" s="3"/>
      <c r="F293" s="3"/>
      <c r="G293" s="3"/>
      <c r="H293" s="3"/>
    </row>
    <row r="294" spans="2:11" x14ac:dyDescent="0.25">
      <c r="B294" s="2"/>
      <c r="C294" s="2"/>
      <c r="D294" s="3"/>
      <c r="E294" s="3"/>
      <c r="F294" s="3"/>
      <c r="G294" s="3"/>
      <c r="H294" s="3"/>
      <c r="I294" s="3"/>
      <c r="J294" s="3"/>
      <c r="K294" s="3"/>
    </row>
    <row r="295" spans="2:11" x14ac:dyDescent="0.25">
      <c r="B295" s="2"/>
      <c r="C295" s="2"/>
      <c r="D295" s="3"/>
      <c r="E295" s="3"/>
      <c r="F295" s="3"/>
      <c r="G295" s="3"/>
      <c r="H295" s="3"/>
      <c r="I295" s="3"/>
      <c r="J295" s="3"/>
      <c r="K295" s="3"/>
    </row>
    <row r="296" spans="2:11" x14ac:dyDescent="0.25">
      <c r="B296" s="2"/>
      <c r="C296" s="2"/>
      <c r="D296" s="3"/>
      <c r="E296" s="3"/>
      <c r="F296" s="3"/>
      <c r="G296" s="3"/>
      <c r="H296" s="3"/>
      <c r="I296" s="3"/>
      <c r="J296" s="3"/>
      <c r="K296" s="3"/>
    </row>
    <row r="297" spans="2:11" x14ac:dyDescent="0.25">
      <c r="B297" s="2"/>
      <c r="C297" s="2"/>
      <c r="D297" s="3"/>
      <c r="E297" s="3"/>
      <c r="F297" s="3"/>
      <c r="G297" s="3"/>
      <c r="H297" s="3"/>
      <c r="I297" s="3"/>
      <c r="J297" s="3"/>
      <c r="K297" s="3"/>
    </row>
    <row r="298" spans="2:11" x14ac:dyDescent="0.25">
      <c r="B298" s="2"/>
      <c r="C298" s="2"/>
      <c r="D298" s="3"/>
      <c r="E298" s="3"/>
      <c r="F298" s="3"/>
      <c r="G298" s="3"/>
      <c r="H298" s="3"/>
      <c r="I298" s="3"/>
      <c r="J298" s="3"/>
      <c r="K298" s="3"/>
    </row>
    <row r="299" spans="2:11" x14ac:dyDescent="0.25">
      <c r="B299" s="2"/>
      <c r="C299" s="2"/>
      <c r="D299" s="3"/>
      <c r="E299" s="3"/>
      <c r="F299" s="3"/>
      <c r="G299" s="3"/>
      <c r="H299" s="3"/>
      <c r="I299" s="3"/>
      <c r="J299" s="3"/>
      <c r="K299" s="3"/>
    </row>
    <row r="300" spans="2:11" x14ac:dyDescent="0.25">
      <c r="B300" s="2"/>
      <c r="C300" s="2"/>
      <c r="D300" s="3"/>
      <c r="E300" s="3"/>
      <c r="F300" s="3"/>
      <c r="G300" s="3"/>
      <c r="H300" s="3"/>
      <c r="I300" s="3"/>
      <c r="J300" s="3"/>
      <c r="K300" s="3"/>
    </row>
    <row r="301" spans="2:11" x14ac:dyDescent="0.25">
      <c r="B301" s="2"/>
      <c r="C301" s="2"/>
      <c r="D301" s="3"/>
      <c r="E301" s="3"/>
      <c r="F301" s="3"/>
      <c r="H301" s="3"/>
      <c r="I301" s="3"/>
      <c r="J301" s="3"/>
      <c r="K301" s="3"/>
    </row>
    <row r="302" spans="2:11" x14ac:dyDescent="0.25">
      <c r="B302" s="2"/>
      <c r="C302" s="2"/>
      <c r="D302" s="3"/>
      <c r="E302" s="3"/>
      <c r="F302" s="3"/>
      <c r="G302" s="3"/>
      <c r="H302" s="3"/>
      <c r="I302" s="3"/>
      <c r="J302" s="3"/>
      <c r="K302" s="3"/>
    </row>
    <row r="303" spans="2:11" x14ac:dyDescent="0.25">
      <c r="B303" s="2"/>
      <c r="C303" s="2"/>
      <c r="D303" s="3"/>
      <c r="E303" s="3"/>
      <c r="H303" s="3"/>
      <c r="I303" s="3"/>
      <c r="J303" s="3"/>
      <c r="K303" s="3"/>
    </row>
    <row r="304" spans="2:11" x14ac:dyDescent="0.25">
      <c r="B304" s="2"/>
      <c r="C304" s="2"/>
      <c r="D304" s="3"/>
      <c r="E304" s="3"/>
      <c r="F304" s="3"/>
      <c r="G304" s="3"/>
      <c r="H304" s="3"/>
      <c r="I304" s="3"/>
      <c r="J304" s="3"/>
      <c r="K304" s="3"/>
    </row>
    <row r="305" spans="2:11" x14ac:dyDescent="0.25">
      <c r="B305" s="2"/>
      <c r="C305" s="2"/>
      <c r="D305" s="3"/>
      <c r="E305" s="3"/>
      <c r="F305" s="3"/>
      <c r="G305" s="3"/>
      <c r="H305" s="3"/>
      <c r="I305" s="3"/>
      <c r="J305" s="3"/>
      <c r="K305" s="3"/>
    </row>
    <row r="306" spans="2:11" x14ac:dyDescent="0.25">
      <c r="B306" s="2"/>
      <c r="C306" s="2"/>
      <c r="D306" s="3"/>
      <c r="E306" s="3"/>
      <c r="F306" s="3"/>
      <c r="G306" s="3"/>
      <c r="H306" s="3"/>
      <c r="I306" s="3"/>
      <c r="J306" s="3"/>
      <c r="K306" s="3"/>
    </row>
    <row r="307" spans="2:11" x14ac:dyDescent="0.25">
      <c r="B307" s="2"/>
      <c r="C307" s="2"/>
      <c r="D307" s="3"/>
      <c r="E307" s="3"/>
      <c r="G307" s="3"/>
      <c r="H307" s="3"/>
      <c r="I307" s="3"/>
      <c r="J307" s="3"/>
      <c r="K307" s="3"/>
    </row>
    <row r="308" spans="2:11" x14ac:dyDescent="0.25">
      <c r="B308" s="2"/>
      <c r="C308" s="2"/>
      <c r="D308" s="3"/>
      <c r="E308" s="3"/>
      <c r="F308" s="3"/>
      <c r="H308" s="3"/>
      <c r="I308" s="3"/>
      <c r="J308" s="3"/>
      <c r="K308" s="3"/>
    </row>
    <row r="309" spans="2:11" x14ac:dyDescent="0.25">
      <c r="B309" s="2"/>
      <c r="C309" s="2"/>
      <c r="D309" s="3"/>
      <c r="E309" s="3"/>
      <c r="F309" s="3"/>
      <c r="G309" s="3"/>
      <c r="H309" s="3"/>
    </row>
    <row r="310" spans="2:11" x14ac:dyDescent="0.25">
      <c r="B310" s="2"/>
      <c r="C310" s="2"/>
      <c r="D310" s="3"/>
      <c r="E310" s="3"/>
      <c r="F310" s="3"/>
      <c r="G310" s="3"/>
      <c r="H310" s="3"/>
    </row>
    <row r="311" spans="2:11" x14ac:dyDescent="0.25">
      <c r="B311" s="2"/>
      <c r="C311" s="2"/>
      <c r="D311" s="3"/>
      <c r="E311" s="3"/>
      <c r="F311" s="3"/>
      <c r="G311" s="3"/>
      <c r="H311" s="3"/>
    </row>
    <row r="312" spans="2:11" x14ac:dyDescent="0.25">
      <c r="B312" s="2"/>
      <c r="C312" s="2"/>
      <c r="D312" s="3"/>
      <c r="E312" s="3"/>
      <c r="F312" s="3"/>
      <c r="G312" s="3"/>
      <c r="H312" s="3"/>
    </row>
    <row r="313" spans="2:11" x14ac:dyDescent="0.25">
      <c r="B313" s="2"/>
      <c r="C313" s="2"/>
      <c r="D313" s="3"/>
      <c r="E313" s="3"/>
      <c r="F313" s="3"/>
      <c r="G313" s="3"/>
      <c r="H313" s="3"/>
      <c r="I313" s="3"/>
      <c r="J313" s="3"/>
      <c r="K313" s="3"/>
    </row>
    <row r="314" spans="2:11" x14ac:dyDescent="0.25">
      <c r="B314" s="2"/>
      <c r="C314" s="2"/>
      <c r="D314" s="3"/>
      <c r="E314" s="3"/>
      <c r="F314" s="3"/>
      <c r="H314" s="3"/>
    </row>
    <row r="315" spans="2:11" x14ac:dyDescent="0.25">
      <c r="B315" s="2"/>
      <c r="C315" s="2"/>
      <c r="D315" s="3"/>
      <c r="E315" s="3"/>
      <c r="F315" s="3"/>
      <c r="G315" s="3"/>
      <c r="H315" s="3"/>
    </row>
    <row r="316" spans="2:11" x14ac:dyDescent="0.25">
      <c r="B316" s="2"/>
      <c r="C316" s="2"/>
      <c r="D316" s="3"/>
      <c r="E316" s="3"/>
      <c r="F316" s="3"/>
      <c r="H316" s="3"/>
    </row>
    <row r="317" spans="2:11" x14ac:dyDescent="0.25">
      <c r="B317" s="2"/>
      <c r="C317" s="2"/>
      <c r="D317" s="3"/>
      <c r="E317" s="3"/>
      <c r="F317" s="3"/>
      <c r="G317" s="3"/>
      <c r="H317" s="3"/>
      <c r="I317" s="3"/>
    </row>
    <row r="318" spans="2:11" x14ac:dyDescent="0.25">
      <c r="B318" s="2"/>
      <c r="C318" s="2"/>
      <c r="D318" s="3"/>
      <c r="E318" s="3"/>
      <c r="F318" s="3"/>
      <c r="G318" s="3"/>
      <c r="H318" s="3"/>
      <c r="I318" s="3"/>
      <c r="J318" s="3"/>
      <c r="K318" s="3"/>
    </row>
    <row r="319" spans="2:11" x14ac:dyDescent="0.25">
      <c r="B319" s="2"/>
      <c r="C319" s="2"/>
      <c r="D319" s="3"/>
      <c r="E319" s="3"/>
      <c r="F319" s="3"/>
      <c r="G319" s="3"/>
      <c r="H319" s="3"/>
      <c r="I319" s="3"/>
    </row>
    <row r="320" spans="2:11" x14ac:dyDescent="0.25">
      <c r="B320" s="2"/>
      <c r="C320" s="2"/>
      <c r="D320" s="3"/>
      <c r="E320" s="3"/>
      <c r="F320" s="3"/>
      <c r="G320" s="3"/>
      <c r="H320" s="3"/>
      <c r="I320" s="3"/>
    </row>
    <row r="321" spans="2:11" x14ac:dyDescent="0.25">
      <c r="B321" s="2"/>
      <c r="C321" s="2"/>
      <c r="D321" s="3"/>
      <c r="E321" s="3"/>
      <c r="G321" s="3"/>
      <c r="H321" s="3"/>
    </row>
    <row r="322" spans="2:11" x14ac:dyDescent="0.25">
      <c r="B322" s="2"/>
      <c r="C322" s="2"/>
      <c r="D322" s="3"/>
      <c r="E322" s="3"/>
      <c r="F322" s="3"/>
      <c r="G322" s="3"/>
      <c r="H322" s="3"/>
    </row>
    <row r="323" spans="2:11" x14ac:dyDescent="0.25">
      <c r="B323" s="2"/>
      <c r="C323" s="2"/>
      <c r="D323" s="3"/>
      <c r="E323" s="3"/>
      <c r="F323" s="3"/>
      <c r="G323" s="3"/>
      <c r="H323" s="3"/>
      <c r="I323" s="3"/>
    </row>
    <row r="324" spans="2:11" x14ac:dyDescent="0.25">
      <c r="B324" s="2"/>
      <c r="C324" s="2"/>
      <c r="D324" s="3"/>
      <c r="E324" s="3"/>
      <c r="F324" s="3"/>
      <c r="G324" s="3"/>
      <c r="H324" s="3"/>
      <c r="I324" s="3"/>
    </row>
    <row r="325" spans="2:11" x14ac:dyDescent="0.25">
      <c r="B325" s="2"/>
      <c r="C325" s="2"/>
      <c r="D325" s="3"/>
      <c r="E325" s="3"/>
      <c r="F325" s="3"/>
      <c r="G325" s="3"/>
      <c r="H325" s="3"/>
    </row>
    <row r="326" spans="2:11" x14ac:dyDescent="0.25">
      <c r="B326" s="2"/>
      <c r="C326" s="2"/>
      <c r="D326" s="3"/>
      <c r="E326" s="3"/>
      <c r="F326" s="3"/>
      <c r="G326" s="3"/>
      <c r="H326" s="3"/>
      <c r="I326" s="3"/>
      <c r="J326" s="3"/>
      <c r="K326" s="3"/>
    </row>
    <row r="327" spans="2:11" x14ac:dyDescent="0.25">
      <c r="B327" s="2"/>
      <c r="C327" s="2"/>
      <c r="D327" s="3"/>
      <c r="E327" s="3"/>
      <c r="F327" s="3"/>
      <c r="G327" s="3"/>
      <c r="H327" s="3"/>
      <c r="I327" s="3"/>
      <c r="J327" s="3"/>
      <c r="K327" s="3"/>
    </row>
    <row r="328" spans="2:11" x14ac:dyDescent="0.25">
      <c r="B328" s="2"/>
      <c r="C328" s="2"/>
      <c r="D328" s="3"/>
      <c r="E328" s="3"/>
      <c r="F328" s="3"/>
      <c r="G328" s="3"/>
      <c r="H328" s="3"/>
      <c r="I328" s="3"/>
      <c r="J328" s="3"/>
      <c r="K328" s="3"/>
    </row>
    <row r="329" spans="2:11" x14ac:dyDescent="0.25">
      <c r="B329" s="2"/>
      <c r="C329" s="2"/>
      <c r="D329" s="3"/>
      <c r="E329" s="3"/>
      <c r="F329" s="3"/>
      <c r="G329" s="3"/>
      <c r="H329" s="3"/>
    </row>
    <row r="330" spans="2:11" x14ac:dyDescent="0.25">
      <c r="B330" s="2"/>
      <c r="C330" s="2"/>
      <c r="D330" s="3"/>
      <c r="E330" s="3"/>
      <c r="F330" s="3"/>
      <c r="G330" s="3"/>
      <c r="H330" s="3"/>
    </row>
    <row r="331" spans="2:11" x14ac:dyDescent="0.25">
      <c r="B331" s="2"/>
      <c r="C331" s="2"/>
      <c r="D331" s="3"/>
      <c r="E331" s="3"/>
      <c r="F331" s="3"/>
      <c r="G331" s="3"/>
      <c r="H331" s="3"/>
    </row>
    <row r="332" spans="2:11" x14ac:dyDescent="0.25">
      <c r="B332" s="2"/>
      <c r="C332" s="2"/>
      <c r="D332" s="3"/>
      <c r="E332" s="3"/>
      <c r="F332" s="3"/>
      <c r="G332" s="3"/>
      <c r="H332" s="3"/>
    </row>
    <row r="333" spans="2:11" x14ac:dyDescent="0.25">
      <c r="B333" s="2"/>
      <c r="C333" s="2"/>
      <c r="D333" s="3"/>
      <c r="E333" s="3"/>
      <c r="F333" s="3"/>
      <c r="G333" s="3"/>
      <c r="H333" s="3"/>
      <c r="I333" s="3"/>
      <c r="J333" s="3"/>
      <c r="K333" s="3"/>
    </row>
    <row r="334" spans="2:11" x14ac:dyDescent="0.25">
      <c r="B334" s="2"/>
      <c r="C334" s="2"/>
      <c r="D334" s="3"/>
      <c r="E334" s="3"/>
      <c r="F334" s="3"/>
      <c r="G334" s="3"/>
      <c r="H334" s="3"/>
      <c r="I334" s="3"/>
      <c r="J334" s="3"/>
      <c r="K334" s="3"/>
    </row>
    <row r="335" spans="2:11" x14ac:dyDescent="0.25">
      <c r="B335" s="2"/>
      <c r="C335" s="2"/>
      <c r="D335" s="3"/>
      <c r="E335" s="3"/>
      <c r="F335" s="3"/>
      <c r="G335" s="3"/>
      <c r="H335" s="3"/>
      <c r="I335" s="3"/>
      <c r="J335" s="3"/>
      <c r="K335" s="3"/>
    </row>
    <row r="336" spans="2:11" x14ac:dyDescent="0.25">
      <c r="B336" s="2"/>
      <c r="C336" s="2"/>
      <c r="D336" s="3"/>
      <c r="E336" s="3"/>
      <c r="F336" s="3"/>
      <c r="G336" s="3"/>
      <c r="H336" s="3"/>
      <c r="I336" s="3"/>
      <c r="J336" s="3"/>
      <c r="K336" s="3"/>
    </row>
    <row r="337" spans="2:11" x14ac:dyDescent="0.25">
      <c r="B337" s="2"/>
      <c r="C337" s="2"/>
      <c r="D337" s="3"/>
      <c r="E337" s="3"/>
      <c r="F337" s="3"/>
      <c r="G337" s="3"/>
      <c r="H337" s="3"/>
      <c r="I337" s="3"/>
      <c r="J337" s="3"/>
      <c r="K337" s="3"/>
    </row>
    <row r="338" spans="2:11" x14ac:dyDescent="0.25">
      <c r="B338" s="2"/>
      <c r="C338" s="2"/>
      <c r="D338" s="3"/>
      <c r="E338" s="3"/>
      <c r="F338" s="3"/>
      <c r="G338" s="3"/>
      <c r="H338" s="3"/>
    </row>
    <row r="339" spans="2:11" x14ac:dyDescent="0.25">
      <c r="B339" s="2"/>
      <c r="C339" s="2"/>
      <c r="D339" s="3"/>
      <c r="E339" s="3"/>
      <c r="F339" s="3"/>
      <c r="G339" s="3"/>
      <c r="H339" s="3"/>
    </row>
    <row r="340" spans="2:11" x14ac:dyDescent="0.25">
      <c r="B340" s="2"/>
      <c r="C340" s="2"/>
      <c r="D340" s="3"/>
      <c r="E340" s="3"/>
      <c r="F340" s="3"/>
      <c r="G340" s="3"/>
      <c r="H340" s="3"/>
    </row>
    <row r="341" spans="2:11" x14ac:dyDescent="0.25">
      <c r="B341" s="2"/>
      <c r="C341" s="2"/>
      <c r="D341" s="3"/>
      <c r="E341" s="3"/>
      <c r="H341" s="3"/>
    </row>
    <row r="342" spans="2:11" x14ac:dyDescent="0.25">
      <c r="B342" s="2"/>
      <c r="C342" s="2"/>
      <c r="D342" s="3"/>
      <c r="E342" s="3"/>
      <c r="F342" s="3"/>
      <c r="G342" s="3"/>
      <c r="H342" s="3"/>
      <c r="I342" s="3"/>
      <c r="J342" s="3"/>
      <c r="K342" s="3"/>
    </row>
    <row r="343" spans="2:11" x14ac:dyDescent="0.25">
      <c r="B343" s="2"/>
      <c r="C343" s="2"/>
      <c r="D343" s="3"/>
      <c r="E343" s="3"/>
      <c r="F343" s="3"/>
      <c r="G343" s="3"/>
      <c r="H343" s="3"/>
    </row>
    <row r="344" spans="2:11" x14ac:dyDescent="0.25">
      <c r="B344" s="2"/>
      <c r="C344" s="2"/>
      <c r="D344" s="3"/>
      <c r="E344" s="3"/>
      <c r="F344" s="3"/>
      <c r="G344" s="3"/>
      <c r="H344" s="3"/>
    </row>
    <row r="345" spans="2:11" x14ac:dyDescent="0.25">
      <c r="B345" s="2"/>
      <c r="C345" s="2"/>
      <c r="D345" s="3"/>
      <c r="E345" s="3"/>
      <c r="F345" s="3"/>
      <c r="G345" s="3"/>
      <c r="H345" s="3"/>
    </row>
    <row r="346" spans="2:11" x14ac:dyDescent="0.25">
      <c r="B346" s="2"/>
      <c r="C346" s="2"/>
      <c r="D346" s="3"/>
      <c r="E346" s="3"/>
      <c r="F346" s="3"/>
      <c r="G346" s="3"/>
      <c r="H346" s="3"/>
    </row>
    <row r="347" spans="2:11" x14ac:dyDescent="0.25">
      <c r="B347" s="2"/>
      <c r="C347" s="2"/>
      <c r="D347" s="3"/>
      <c r="E347" s="3"/>
      <c r="F347" s="3"/>
      <c r="G347" s="3"/>
      <c r="H347" s="3"/>
    </row>
    <row r="348" spans="2:11" x14ac:dyDescent="0.25">
      <c r="B348" s="2"/>
      <c r="C348" s="2"/>
      <c r="D348" s="3"/>
      <c r="E348" s="3"/>
      <c r="F348" s="3"/>
      <c r="G348" s="3"/>
      <c r="H348" s="3"/>
      <c r="I348" s="3"/>
      <c r="J348" s="3"/>
      <c r="K348" s="3"/>
    </row>
    <row r="349" spans="2:11" x14ac:dyDescent="0.25">
      <c r="B349" s="2"/>
      <c r="C349" s="2"/>
      <c r="D349" s="3"/>
      <c r="E349" s="3"/>
      <c r="F349" s="3"/>
      <c r="G349" s="3"/>
      <c r="H349" s="3"/>
      <c r="I349" s="3"/>
    </row>
    <row r="350" spans="2:11" x14ac:dyDescent="0.25">
      <c r="B350" s="2"/>
      <c r="C350" s="2"/>
      <c r="D350" s="3"/>
      <c r="E350" s="3"/>
      <c r="F350" s="3"/>
      <c r="G350" s="3"/>
      <c r="H350" s="3"/>
      <c r="I350" s="3"/>
      <c r="J350" s="3"/>
      <c r="K350" s="3"/>
    </row>
    <row r="351" spans="2:11" x14ac:dyDescent="0.25">
      <c r="B351" s="2"/>
      <c r="C351" s="2"/>
      <c r="D351" s="3"/>
      <c r="E351" s="3"/>
      <c r="F351" s="3"/>
      <c r="G351" s="3"/>
      <c r="H351" s="3"/>
      <c r="I351" s="3"/>
    </row>
    <row r="352" spans="2:11" x14ac:dyDescent="0.25">
      <c r="B352" s="2"/>
      <c r="C352" s="2"/>
      <c r="D352" s="3"/>
      <c r="E352" s="3"/>
      <c r="F352" s="3"/>
      <c r="G352" s="3"/>
      <c r="H352" s="3"/>
      <c r="I352" s="3"/>
    </row>
    <row r="353" spans="2:11" x14ac:dyDescent="0.25">
      <c r="B353" s="2"/>
      <c r="C353" s="2"/>
      <c r="D353" s="3"/>
      <c r="E353" s="3"/>
      <c r="F353" s="3"/>
      <c r="G353" s="3"/>
      <c r="H353" s="3"/>
      <c r="I353" s="3"/>
      <c r="J353" s="3"/>
      <c r="K353" s="3"/>
    </row>
    <row r="354" spans="2:11" x14ac:dyDescent="0.25">
      <c r="B354" s="2"/>
      <c r="C354" s="2"/>
      <c r="D354" s="3"/>
      <c r="E354" s="3"/>
      <c r="F354" s="3"/>
      <c r="G354" s="3"/>
      <c r="H354" s="3"/>
      <c r="I354" s="3"/>
      <c r="J354" s="3"/>
      <c r="K354" s="3"/>
    </row>
    <row r="355" spans="2:11" x14ac:dyDescent="0.25">
      <c r="B355" s="2"/>
      <c r="C355" s="2"/>
      <c r="D355" s="3"/>
      <c r="E355" s="3"/>
      <c r="F355" s="3"/>
      <c r="G355" s="3"/>
      <c r="H355" s="3"/>
      <c r="I355" s="3"/>
      <c r="J355" s="3"/>
      <c r="K355" s="3"/>
    </row>
    <row r="356" spans="2:11" x14ac:dyDescent="0.25">
      <c r="B356" s="2"/>
      <c r="C356" s="2"/>
      <c r="D356" s="3"/>
      <c r="E356" s="3"/>
      <c r="F356" s="3"/>
      <c r="G356" s="3"/>
      <c r="H356" s="3"/>
      <c r="I356" s="3"/>
      <c r="J356" s="3"/>
      <c r="K356" s="3"/>
    </row>
    <row r="357" spans="2:11" x14ac:dyDescent="0.25">
      <c r="B357" s="2"/>
      <c r="C357" s="2"/>
      <c r="D357" s="3"/>
      <c r="E357" s="3"/>
      <c r="F357" s="3"/>
      <c r="G357" s="3"/>
      <c r="H357" s="3"/>
      <c r="I357" s="3"/>
      <c r="J357" s="3"/>
      <c r="K357" s="3"/>
    </row>
    <row r="358" spans="2:11" x14ac:dyDescent="0.25">
      <c r="B358" s="2"/>
      <c r="C358" s="2"/>
      <c r="D358" s="3"/>
      <c r="E358" s="3"/>
      <c r="F358" s="3"/>
      <c r="G358" s="3"/>
      <c r="H358" s="3"/>
      <c r="I358" s="3"/>
      <c r="J358" s="3"/>
      <c r="K358" s="3"/>
    </row>
    <row r="359" spans="2:11" x14ac:dyDescent="0.25">
      <c r="B359" s="2"/>
      <c r="C359" s="2"/>
      <c r="D359" s="3"/>
      <c r="E359" s="3"/>
      <c r="F359" s="3"/>
      <c r="G359" s="3"/>
      <c r="H359" s="3"/>
    </row>
    <row r="360" spans="2:11" x14ac:dyDescent="0.25">
      <c r="B360" s="2"/>
      <c r="C360" s="2"/>
      <c r="D360" s="3"/>
      <c r="E360" s="3"/>
      <c r="F360" s="3"/>
      <c r="G360" s="3"/>
      <c r="H360" s="3"/>
      <c r="I360" s="3"/>
      <c r="J360" s="3"/>
      <c r="K360" s="3"/>
    </row>
    <row r="361" spans="2:11" x14ac:dyDescent="0.25">
      <c r="B361" s="2"/>
      <c r="C361" s="2"/>
      <c r="D361" s="3"/>
      <c r="E361" s="3"/>
      <c r="F361" s="3"/>
      <c r="G361" s="3"/>
      <c r="H361" s="3"/>
      <c r="I361" s="3"/>
      <c r="J361" s="3"/>
      <c r="K361" s="3"/>
    </row>
    <row r="362" spans="2:11" x14ac:dyDescent="0.25">
      <c r="B362" s="2"/>
      <c r="C362" s="2"/>
      <c r="D362" s="3"/>
      <c r="E362" s="3"/>
      <c r="F362" s="3"/>
      <c r="G362" s="3"/>
      <c r="H362" s="3"/>
      <c r="I362" s="3"/>
      <c r="J362" s="3"/>
      <c r="K362" s="3"/>
    </row>
    <row r="363" spans="2:11" x14ac:dyDescent="0.25">
      <c r="B363" s="2"/>
      <c r="C363" s="2"/>
      <c r="D363" s="3"/>
      <c r="E363" s="3"/>
      <c r="G363" s="3"/>
      <c r="H363" s="3"/>
    </row>
    <row r="364" spans="2:11" x14ac:dyDescent="0.25">
      <c r="B364" s="2"/>
      <c r="C364" s="2"/>
      <c r="D364" s="3"/>
      <c r="E364" s="3"/>
      <c r="F364" s="3"/>
      <c r="G364" s="3"/>
      <c r="H364" s="3"/>
      <c r="I364" s="3"/>
      <c r="J364" s="3"/>
      <c r="K364" s="3"/>
    </row>
    <row r="365" spans="2:11" x14ac:dyDescent="0.25">
      <c r="B365" s="2"/>
      <c r="C365" s="2"/>
      <c r="D365" s="3"/>
      <c r="E365" s="3"/>
      <c r="F365" s="3"/>
      <c r="G365" s="3"/>
      <c r="H365" s="3"/>
      <c r="I365" s="3"/>
      <c r="J365" s="3"/>
      <c r="K365" s="3"/>
    </row>
    <row r="366" spans="2:11" x14ac:dyDescent="0.25">
      <c r="B366" s="2"/>
      <c r="C366" s="2"/>
      <c r="D366" s="3"/>
      <c r="E366" s="3"/>
      <c r="F366" s="3"/>
      <c r="G366" s="3"/>
      <c r="H366" s="3"/>
      <c r="I366" s="3"/>
      <c r="J366" s="3"/>
      <c r="K366" s="3"/>
    </row>
    <row r="367" spans="2:11" x14ac:dyDescent="0.25">
      <c r="B367" s="2"/>
      <c r="C367" s="2"/>
      <c r="D367" s="3"/>
      <c r="E367" s="3"/>
      <c r="F367" s="3"/>
      <c r="G367" s="3"/>
      <c r="H367" s="3"/>
      <c r="I367" s="3"/>
      <c r="J367" s="3"/>
      <c r="K367" s="3"/>
    </row>
    <row r="368" spans="2:11" x14ac:dyDescent="0.25">
      <c r="B368" s="2"/>
      <c r="C368" s="2"/>
      <c r="D368" s="3"/>
      <c r="E368" s="3"/>
      <c r="F368" s="3"/>
      <c r="G368" s="3"/>
      <c r="H368" s="3"/>
      <c r="I368" s="3"/>
      <c r="J368" s="3"/>
      <c r="K368" s="3"/>
    </row>
    <row r="369" spans="2:11" x14ac:dyDescent="0.25">
      <c r="B369" s="2"/>
      <c r="C369" s="2"/>
      <c r="D369" s="3"/>
      <c r="E369" s="3"/>
      <c r="F369" s="3"/>
      <c r="G369" s="3"/>
      <c r="H369" s="3"/>
      <c r="I369" s="3"/>
      <c r="J369" s="3"/>
      <c r="K369" s="3"/>
    </row>
    <row r="370" spans="2:11" x14ac:dyDescent="0.25">
      <c r="B370" s="2"/>
      <c r="C370" s="2"/>
      <c r="D370" s="3"/>
      <c r="E370" s="3"/>
      <c r="F370" s="3"/>
      <c r="G370" s="3"/>
      <c r="H370" s="3"/>
      <c r="I370" s="3"/>
      <c r="J370" s="3"/>
      <c r="K370" s="3"/>
    </row>
    <row r="371" spans="2:11" x14ac:dyDescent="0.25">
      <c r="B371" s="2"/>
      <c r="C371" s="2"/>
      <c r="D371" s="3"/>
      <c r="E371" s="3"/>
      <c r="F371" s="3"/>
      <c r="G371" s="3"/>
      <c r="H371" s="3"/>
      <c r="I371" s="3"/>
      <c r="J371" s="3"/>
      <c r="K371" s="3"/>
    </row>
    <row r="372" spans="2:11" x14ac:dyDescent="0.25">
      <c r="B372" s="2"/>
      <c r="C372" s="2"/>
      <c r="D372" s="3"/>
      <c r="E372" s="3"/>
      <c r="F372" s="3"/>
      <c r="G372" s="3"/>
      <c r="H372" s="3"/>
      <c r="I372" s="3"/>
      <c r="J372" s="3"/>
      <c r="K372" s="3"/>
    </row>
    <row r="373" spans="2:11" x14ac:dyDescent="0.25">
      <c r="B373" s="2"/>
      <c r="C373" s="2"/>
      <c r="D373" s="3"/>
      <c r="E373" s="3"/>
      <c r="F373" s="3"/>
      <c r="G373" s="3"/>
      <c r="H373" s="3"/>
      <c r="I373" s="3"/>
      <c r="J373" s="3"/>
      <c r="K373" s="3"/>
    </row>
    <row r="374" spans="2:11" x14ac:dyDescent="0.25">
      <c r="B374" s="2"/>
      <c r="C374" s="2"/>
      <c r="D374" s="3"/>
      <c r="E374" s="3"/>
      <c r="F374" s="3"/>
      <c r="G374" s="3"/>
      <c r="H374" s="3"/>
      <c r="I374" s="3"/>
      <c r="J374" s="3"/>
      <c r="K374" s="3"/>
    </row>
    <row r="375" spans="2:11" x14ac:dyDescent="0.25">
      <c r="B375" s="2"/>
      <c r="C375" s="2"/>
      <c r="D375" s="3"/>
      <c r="E375" s="3"/>
      <c r="F375" s="3"/>
      <c r="G375" s="3"/>
      <c r="H375" s="3"/>
      <c r="I375" s="3"/>
      <c r="J375" s="3"/>
      <c r="K375" s="3"/>
    </row>
    <row r="376" spans="2:11" x14ac:dyDescent="0.25">
      <c r="B376" s="2"/>
      <c r="C376" s="2"/>
      <c r="D376" s="3"/>
      <c r="E376" s="3"/>
      <c r="F376" s="3"/>
      <c r="G376" s="3"/>
      <c r="H376" s="3"/>
      <c r="I376" s="3"/>
      <c r="J376" s="3"/>
      <c r="K376" s="3"/>
    </row>
    <row r="377" spans="2:11" x14ac:dyDescent="0.25">
      <c r="B377" s="2"/>
      <c r="C377" s="2"/>
      <c r="D377" s="3"/>
      <c r="E377" s="3"/>
      <c r="F377" s="3"/>
      <c r="G377" s="3"/>
      <c r="H377" s="3"/>
      <c r="I377" s="3"/>
      <c r="J377" s="3"/>
      <c r="K377" s="3"/>
    </row>
    <row r="378" spans="2:11" x14ac:dyDescent="0.25">
      <c r="B378" s="2"/>
      <c r="C378" s="2"/>
      <c r="D378" s="3"/>
      <c r="E378" s="3"/>
      <c r="F378" s="3"/>
      <c r="H378" s="3"/>
      <c r="I378" s="3"/>
      <c r="J378" s="3"/>
      <c r="K378" s="3"/>
    </row>
    <row r="379" spans="2:11" x14ac:dyDescent="0.25">
      <c r="B379" s="2"/>
      <c r="C379" s="2"/>
      <c r="D379" s="3"/>
      <c r="E379" s="3"/>
      <c r="F379" s="3"/>
      <c r="G379" s="3"/>
      <c r="H379" s="3"/>
      <c r="I379" s="3"/>
      <c r="J379" s="3"/>
      <c r="K379" s="3"/>
    </row>
    <row r="380" spans="2:11" x14ac:dyDescent="0.25">
      <c r="B380" s="2"/>
      <c r="C380" s="2"/>
      <c r="D380" s="3"/>
      <c r="E380" s="3"/>
      <c r="F380" s="3"/>
      <c r="G380" s="3"/>
      <c r="H380" s="3"/>
      <c r="I380" s="3"/>
      <c r="J380" s="3"/>
      <c r="K380" s="3"/>
    </row>
    <row r="381" spans="2:11" x14ac:dyDescent="0.25">
      <c r="B381" s="2"/>
      <c r="C381" s="2"/>
      <c r="D381" s="3"/>
      <c r="E381" s="3"/>
      <c r="F381" s="3"/>
      <c r="G381" s="3"/>
      <c r="H381" s="3"/>
      <c r="I381" s="3"/>
      <c r="J381" s="3"/>
      <c r="K381" s="3"/>
    </row>
    <row r="382" spans="2:11" x14ac:dyDescent="0.25">
      <c r="B382" s="2"/>
      <c r="C382" s="2"/>
      <c r="D382" s="3"/>
      <c r="E382" s="3"/>
      <c r="F382" s="3"/>
      <c r="G382" s="3"/>
      <c r="H382" s="3"/>
      <c r="I382" s="3"/>
      <c r="J382" s="3"/>
      <c r="K382" s="3"/>
    </row>
    <row r="383" spans="2:11" x14ac:dyDescent="0.25">
      <c r="B383" s="2"/>
      <c r="C383" s="2"/>
      <c r="D383" s="3"/>
      <c r="E383" s="3"/>
      <c r="F383" s="3"/>
      <c r="G383" s="3"/>
      <c r="H383" s="3"/>
      <c r="I383" s="3"/>
      <c r="J383" s="3"/>
      <c r="K383" s="3"/>
    </row>
    <row r="384" spans="2:11" x14ac:dyDescent="0.25">
      <c r="B384" s="2"/>
      <c r="C384" s="2"/>
      <c r="D384" s="3"/>
      <c r="E384" s="3"/>
      <c r="F384" s="3"/>
      <c r="G384" s="3"/>
      <c r="H384" s="3"/>
      <c r="I384" s="3"/>
      <c r="J384" s="3"/>
      <c r="K384" s="3"/>
    </row>
    <row r="385" spans="2:11" x14ac:dyDescent="0.25">
      <c r="B385" s="2"/>
      <c r="C385" s="2"/>
      <c r="D385" s="3"/>
      <c r="E385" s="3"/>
      <c r="F385" s="3"/>
      <c r="G385" s="3"/>
      <c r="H385" s="3"/>
      <c r="I385" s="3"/>
      <c r="J385" s="3"/>
      <c r="K385" s="3"/>
    </row>
    <row r="386" spans="2:11" x14ac:dyDescent="0.25">
      <c r="B386" s="2"/>
      <c r="C386" s="2"/>
      <c r="D386" s="3"/>
      <c r="E386" s="3"/>
      <c r="F386" s="3"/>
      <c r="G386" s="3"/>
      <c r="H386" s="3"/>
      <c r="I386" s="3"/>
      <c r="J386" s="3"/>
      <c r="K386" s="3"/>
    </row>
    <row r="387" spans="2:11" x14ac:dyDescent="0.25">
      <c r="B387" s="2"/>
      <c r="C387" s="2"/>
      <c r="D387" s="3"/>
      <c r="E387" s="3"/>
      <c r="F387" s="3"/>
      <c r="G387" s="3"/>
      <c r="H387" s="3"/>
      <c r="I387" s="3"/>
      <c r="J387" s="3"/>
      <c r="K387" s="3"/>
    </row>
    <row r="388" spans="2:11" x14ac:dyDescent="0.25">
      <c r="B388" s="2"/>
      <c r="C388" s="2"/>
      <c r="D388" s="3"/>
      <c r="E388" s="3"/>
      <c r="F388" s="3"/>
      <c r="G388" s="3"/>
      <c r="H388" s="3"/>
      <c r="I388" s="3"/>
      <c r="J388" s="3"/>
      <c r="K388" s="3"/>
    </row>
    <row r="389" spans="2:11" x14ac:dyDescent="0.25">
      <c r="B389" s="2"/>
      <c r="C389" s="2"/>
      <c r="D389" s="3"/>
      <c r="E389" s="3"/>
      <c r="F389" s="3"/>
      <c r="G389" s="3"/>
      <c r="H389" s="3"/>
      <c r="I389" s="3"/>
      <c r="J389" s="3"/>
      <c r="K389" s="3"/>
    </row>
    <row r="390" spans="2:11" x14ac:dyDescent="0.25">
      <c r="B390" s="2"/>
      <c r="C390" s="2"/>
      <c r="D390" s="3"/>
      <c r="E390" s="3"/>
      <c r="F390" s="3"/>
      <c r="G390" s="3"/>
      <c r="H390" s="3"/>
      <c r="I390" s="3"/>
      <c r="J390" s="3"/>
      <c r="K390" s="3"/>
    </row>
    <row r="391" spans="2:11" x14ac:dyDescent="0.25">
      <c r="B391" s="2"/>
      <c r="C391" s="2"/>
      <c r="D391" s="3"/>
      <c r="E391" s="3"/>
      <c r="F391" s="3"/>
      <c r="G391" s="3"/>
      <c r="H391" s="3"/>
      <c r="I391" s="3"/>
      <c r="J391" s="3"/>
      <c r="K391" s="3"/>
    </row>
    <row r="392" spans="2:11" x14ac:dyDescent="0.25">
      <c r="B392" s="2"/>
      <c r="C392" s="2"/>
      <c r="D392" s="3"/>
      <c r="E392" s="3"/>
      <c r="F392" s="3"/>
      <c r="G392" s="3"/>
      <c r="H392" s="3"/>
      <c r="I392" s="3"/>
      <c r="J392" s="3"/>
      <c r="K392" s="3"/>
    </row>
    <row r="393" spans="2:11" x14ac:dyDescent="0.25">
      <c r="B393" s="2"/>
      <c r="C393" s="2"/>
      <c r="D393" s="3"/>
      <c r="E393" s="3"/>
      <c r="F393" s="3"/>
      <c r="G393" s="3"/>
      <c r="H393" s="3"/>
      <c r="I393" s="3"/>
      <c r="J393" s="3"/>
      <c r="K393" s="3"/>
    </row>
    <row r="394" spans="2:11" x14ac:dyDescent="0.25">
      <c r="B394" s="2"/>
      <c r="C394" s="2"/>
      <c r="D394" s="3"/>
      <c r="E394" s="3"/>
      <c r="F394" s="3"/>
      <c r="G394" s="3"/>
      <c r="H394" s="3"/>
      <c r="I394" s="3"/>
      <c r="J394" s="3"/>
      <c r="K394" s="3"/>
    </row>
    <row r="395" spans="2:11" x14ac:dyDescent="0.25">
      <c r="B395" s="2"/>
      <c r="C395" s="2"/>
      <c r="D395" s="3"/>
      <c r="E395" s="3"/>
      <c r="F395" s="3"/>
      <c r="G395" s="3"/>
      <c r="H395" s="3"/>
      <c r="I395" s="3"/>
      <c r="J395" s="3"/>
      <c r="K395" s="3"/>
    </row>
    <row r="396" spans="2:11" x14ac:dyDescent="0.25">
      <c r="B396" s="2"/>
      <c r="C396" s="2"/>
      <c r="D396" s="3"/>
      <c r="E396" s="3"/>
      <c r="F396" s="3"/>
      <c r="G396" s="3"/>
      <c r="H396" s="3"/>
      <c r="I396" s="3"/>
      <c r="J396" s="3"/>
      <c r="K396" s="3"/>
    </row>
    <row r="397" spans="2:11" x14ac:dyDescent="0.25">
      <c r="B397" s="2"/>
      <c r="C397" s="2"/>
      <c r="D397" s="3"/>
      <c r="E397" s="3"/>
      <c r="F397" s="3"/>
      <c r="G397" s="3"/>
      <c r="H397" s="3"/>
      <c r="I397" s="3"/>
      <c r="J397" s="3"/>
      <c r="K397" s="3"/>
    </row>
    <row r="398" spans="2:11" x14ac:dyDescent="0.25">
      <c r="B398" s="2"/>
      <c r="C398" s="2"/>
      <c r="D398" s="3"/>
      <c r="E398" s="3"/>
      <c r="F398" s="3"/>
      <c r="G398" s="3"/>
      <c r="H398" s="3"/>
      <c r="I398" s="3"/>
      <c r="J398" s="3"/>
      <c r="K398" s="3"/>
    </row>
    <row r="399" spans="2:11" x14ac:dyDescent="0.25">
      <c r="B399" s="2"/>
      <c r="C399" s="2"/>
      <c r="D399" s="3"/>
      <c r="E399" s="3"/>
      <c r="F399" s="3"/>
      <c r="G399" s="3"/>
      <c r="H399" s="3"/>
      <c r="I399" s="3"/>
      <c r="J399" s="3"/>
      <c r="K399" s="3"/>
    </row>
    <row r="400" spans="2:11" x14ac:dyDescent="0.25">
      <c r="B400" s="2"/>
      <c r="C400" s="2"/>
      <c r="D400" s="3"/>
      <c r="E400" s="3"/>
      <c r="F400" s="3"/>
      <c r="G400" s="3"/>
      <c r="H400" s="3"/>
      <c r="I400" s="3"/>
      <c r="J400" s="3"/>
      <c r="K400" s="3"/>
    </row>
    <row r="401" spans="2:11" x14ac:dyDescent="0.25">
      <c r="B401" s="2"/>
      <c r="C401" s="2"/>
      <c r="D401" s="3"/>
      <c r="E401" s="3"/>
      <c r="F401" s="3"/>
      <c r="G401" s="3"/>
      <c r="H401" s="3"/>
      <c r="I401" s="3"/>
      <c r="J401" s="3"/>
      <c r="K401" s="3"/>
    </row>
    <row r="402" spans="2:11" x14ac:dyDescent="0.25">
      <c r="B402" s="2"/>
      <c r="C402" s="2"/>
      <c r="D402" s="3"/>
      <c r="E402" s="3"/>
      <c r="F402" s="3"/>
      <c r="G402" s="3"/>
      <c r="H402" s="3"/>
      <c r="I402" s="3"/>
      <c r="J402" s="3"/>
      <c r="K402" s="3"/>
    </row>
    <row r="403" spans="2:11" x14ac:dyDescent="0.25">
      <c r="B403" s="2"/>
      <c r="C403" s="2"/>
      <c r="D403" s="3"/>
      <c r="E403" s="3"/>
      <c r="F403" s="3"/>
      <c r="G403" s="3"/>
      <c r="H403" s="3"/>
      <c r="I403" s="3"/>
      <c r="J403" s="3"/>
      <c r="K403" s="3"/>
    </row>
    <row r="404" spans="2:11" x14ac:dyDescent="0.25">
      <c r="B404" s="2"/>
      <c r="C404" s="2"/>
      <c r="D404" s="3"/>
      <c r="E404" s="3"/>
      <c r="F404" s="3"/>
      <c r="G404" s="3"/>
      <c r="H404" s="3"/>
      <c r="I404" s="3"/>
      <c r="J404" s="3"/>
      <c r="K404" s="3"/>
    </row>
    <row r="405" spans="2:11" x14ac:dyDescent="0.25">
      <c r="B405" s="2"/>
      <c r="C405" s="2"/>
      <c r="D405" s="3"/>
      <c r="E405" s="3"/>
      <c r="F405" s="3"/>
      <c r="G405" s="3"/>
      <c r="H405" s="3"/>
      <c r="I405" s="3"/>
      <c r="J405" s="3"/>
      <c r="K405" s="3"/>
    </row>
    <row r="406" spans="2:11" x14ac:dyDescent="0.25">
      <c r="B406" s="2"/>
      <c r="C406" s="2"/>
      <c r="D406" s="3"/>
      <c r="E406" s="3"/>
      <c r="F406" s="3"/>
      <c r="G406" s="3"/>
      <c r="H406" s="3"/>
      <c r="I406" s="3"/>
      <c r="J406" s="3"/>
      <c r="K406" s="3"/>
    </row>
    <row r="407" spans="2:11" x14ac:dyDescent="0.25">
      <c r="B407" s="2"/>
      <c r="C407" s="2"/>
      <c r="D407" s="3"/>
      <c r="E407" s="3"/>
      <c r="F407" s="3"/>
      <c r="G407" s="3"/>
      <c r="H407" s="3"/>
      <c r="I407" s="3"/>
      <c r="J407" s="3"/>
      <c r="K407" s="3"/>
    </row>
    <row r="408" spans="2:11" x14ac:dyDescent="0.25">
      <c r="B408" s="2"/>
      <c r="C408" s="2"/>
      <c r="D408" s="3"/>
      <c r="E408" s="3"/>
      <c r="F408" s="3"/>
      <c r="G408" s="3"/>
      <c r="H408" s="3"/>
      <c r="I408" s="3"/>
      <c r="J408" s="3"/>
      <c r="K408" s="3"/>
    </row>
    <row r="409" spans="2:11" x14ac:dyDescent="0.25">
      <c r="B409" s="2"/>
      <c r="C409" s="2"/>
      <c r="D409" s="3"/>
      <c r="E409" s="3"/>
      <c r="F409" s="3"/>
      <c r="G409" s="3"/>
      <c r="H409" s="3"/>
      <c r="I409" s="3"/>
      <c r="J409" s="3"/>
      <c r="K409" s="3"/>
    </row>
    <row r="410" spans="2:11" x14ac:dyDescent="0.25">
      <c r="B410" s="2"/>
      <c r="C410" s="2"/>
      <c r="D410" s="3"/>
      <c r="E410" s="3"/>
      <c r="F410" s="3"/>
      <c r="G410" s="3"/>
      <c r="H410" s="3"/>
      <c r="I410" s="3"/>
      <c r="J410" s="3"/>
      <c r="K410" s="3"/>
    </row>
    <row r="411" spans="2:11" x14ac:dyDescent="0.25">
      <c r="B411" s="2"/>
      <c r="C411" s="2"/>
      <c r="D411" s="3"/>
      <c r="E411" s="3"/>
      <c r="F411" s="3"/>
      <c r="G411" s="3"/>
      <c r="H411" s="3"/>
      <c r="I411" s="3"/>
      <c r="J411" s="3"/>
      <c r="K411" s="3"/>
    </row>
    <row r="412" spans="2:11" x14ac:dyDescent="0.25">
      <c r="B412" s="2"/>
      <c r="C412" s="2"/>
      <c r="D412" s="3"/>
      <c r="E412" s="3"/>
      <c r="F412" s="3"/>
      <c r="G412" s="3"/>
      <c r="H412" s="3"/>
      <c r="I412" s="3"/>
      <c r="J412" s="3"/>
      <c r="K412" s="3"/>
    </row>
    <row r="413" spans="2:11" x14ac:dyDescent="0.25">
      <c r="B413" s="2"/>
      <c r="C413" s="2"/>
      <c r="D413" s="3"/>
      <c r="E413" s="3"/>
      <c r="F413" s="3"/>
      <c r="G413" s="3"/>
      <c r="H413" s="3"/>
      <c r="I413" s="3"/>
      <c r="J413" s="3"/>
      <c r="K413" s="3"/>
    </row>
    <row r="414" spans="2:11" x14ac:dyDescent="0.25">
      <c r="B414" s="2"/>
      <c r="C414" s="2"/>
      <c r="D414" s="3"/>
      <c r="E414" s="3"/>
      <c r="F414" s="3"/>
      <c r="G414" s="3"/>
      <c r="H414" s="3"/>
      <c r="I414" s="3"/>
      <c r="J414" s="3"/>
      <c r="K414" s="3"/>
    </row>
    <row r="415" spans="2:11" x14ac:dyDescent="0.25">
      <c r="B415" s="2"/>
      <c r="C415" s="2"/>
      <c r="D415" s="3"/>
      <c r="E415" s="3"/>
      <c r="F415" s="3"/>
      <c r="G415" s="3"/>
      <c r="H415" s="3"/>
      <c r="I415" s="3"/>
      <c r="J415" s="3"/>
      <c r="K415" s="3"/>
    </row>
    <row r="416" spans="2:11" x14ac:dyDescent="0.25">
      <c r="B416" s="2"/>
      <c r="C416" s="2"/>
      <c r="D416" s="3"/>
      <c r="E416" s="3"/>
      <c r="F416" s="3"/>
      <c r="G416" s="3"/>
      <c r="H416" s="3"/>
      <c r="I416" s="3"/>
      <c r="J416" s="3"/>
      <c r="K416" s="3"/>
    </row>
    <row r="417" spans="2:11" x14ac:dyDescent="0.25">
      <c r="B417" s="2"/>
      <c r="C417" s="2"/>
      <c r="D417" s="3"/>
      <c r="E417" s="3"/>
      <c r="F417" s="3"/>
      <c r="G417" s="3"/>
      <c r="H417" s="3"/>
      <c r="I417" s="3"/>
      <c r="J417" s="3"/>
      <c r="K417" s="3"/>
    </row>
    <row r="418" spans="2:11" x14ac:dyDescent="0.25">
      <c r="B418" s="2"/>
      <c r="C418" s="2"/>
      <c r="D418" s="3"/>
      <c r="E418" s="3"/>
      <c r="F418" s="3"/>
      <c r="G418" s="3"/>
      <c r="H418" s="3"/>
      <c r="I418" s="3"/>
      <c r="J418" s="3"/>
      <c r="K418" s="3"/>
    </row>
    <row r="419" spans="2:11" x14ac:dyDescent="0.25">
      <c r="B419" s="2"/>
      <c r="C419" s="2"/>
      <c r="D419" s="3"/>
      <c r="E419" s="3"/>
      <c r="F419" s="3"/>
      <c r="G419" s="3"/>
      <c r="H419" s="3"/>
      <c r="I419" s="3"/>
      <c r="J419" s="3"/>
      <c r="K419" s="3"/>
    </row>
    <row r="420" spans="2:11" x14ac:dyDescent="0.25">
      <c r="B420" s="2"/>
      <c r="C420" s="2"/>
      <c r="D420" s="3"/>
      <c r="E420" s="3"/>
      <c r="F420" s="3"/>
      <c r="G420" s="3"/>
      <c r="H420" s="3"/>
      <c r="I420" s="3"/>
      <c r="J420" s="3"/>
      <c r="K420" s="3"/>
    </row>
    <row r="421" spans="2:11" x14ac:dyDescent="0.25">
      <c r="B421" s="2"/>
      <c r="C421" s="2"/>
      <c r="D421" s="3"/>
      <c r="E421" s="3"/>
      <c r="F421" s="3"/>
      <c r="G421" s="3"/>
      <c r="H421" s="3"/>
      <c r="I421" s="3"/>
      <c r="J421" s="3"/>
      <c r="K421" s="3"/>
    </row>
    <row r="422" spans="2:11" x14ac:dyDescent="0.25">
      <c r="B422" s="2"/>
      <c r="C422" s="2"/>
      <c r="D422" s="3"/>
      <c r="E422" s="3"/>
      <c r="F422" s="3"/>
      <c r="G422" s="3"/>
      <c r="H422" s="3"/>
      <c r="I422" s="3"/>
      <c r="J422" s="3"/>
      <c r="K422" s="3"/>
    </row>
    <row r="423" spans="2:11" x14ac:dyDescent="0.25">
      <c r="B423" s="2"/>
      <c r="C423" s="2"/>
      <c r="D423" s="3"/>
      <c r="E423" s="3"/>
      <c r="F423" s="3"/>
      <c r="G423" s="3"/>
      <c r="H423" s="3"/>
      <c r="I423" s="3"/>
      <c r="J423" s="3"/>
      <c r="K423" s="3"/>
    </row>
    <row r="424" spans="2:11" x14ac:dyDescent="0.25">
      <c r="B424" s="2"/>
      <c r="C424" s="2"/>
      <c r="D424" s="3"/>
      <c r="E424" s="3"/>
      <c r="F424" s="3"/>
      <c r="G424" s="3"/>
      <c r="H424" s="3"/>
      <c r="I424" s="3"/>
      <c r="J424" s="3"/>
      <c r="K424" s="3"/>
    </row>
    <row r="425" spans="2:11" x14ac:dyDescent="0.25">
      <c r="B425" s="2"/>
      <c r="C425" s="2"/>
      <c r="D425" s="3"/>
      <c r="E425" s="3"/>
      <c r="F425" s="3"/>
      <c r="G425" s="3"/>
      <c r="H425" s="3"/>
      <c r="I425" s="3"/>
      <c r="J425" s="3"/>
      <c r="K425" s="3"/>
    </row>
    <row r="426" spans="2:11" x14ac:dyDescent="0.25">
      <c r="B426" s="2"/>
      <c r="C426" s="2"/>
      <c r="D426" s="3"/>
      <c r="E426" s="3"/>
      <c r="F426" s="3"/>
      <c r="G426" s="3"/>
      <c r="H426" s="3"/>
      <c r="J426" s="3"/>
      <c r="K426" s="3"/>
    </row>
    <row r="427" spans="2:11" x14ac:dyDescent="0.25">
      <c r="B427" s="2"/>
      <c r="C427" s="2"/>
      <c r="D427" s="3"/>
      <c r="E427" s="3"/>
      <c r="F427" s="3"/>
      <c r="G427" s="3"/>
      <c r="H427" s="3"/>
      <c r="I427" s="3"/>
      <c r="J427" s="3"/>
      <c r="K427" s="3"/>
    </row>
    <row r="428" spans="2:11" x14ac:dyDescent="0.25">
      <c r="B428" s="2"/>
      <c r="C428" s="2"/>
      <c r="D428" s="3"/>
      <c r="E428" s="3"/>
      <c r="F428" s="3"/>
      <c r="G428" s="3"/>
      <c r="H428" s="3"/>
      <c r="I428" s="3"/>
      <c r="J428" s="3"/>
      <c r="K428" s="3"/>
    </row>
    <row r="429" spans="2:11" x14ac:dyDescent="0.25">
      <c r="B429" s="2"/>
      <c r="C429" s="2"/>
      <c r="D429" s="3"/>
      <c r="E429" s="3"/>
      <c r="F429" s="3"/>
      <c r="G429" s="3"/>
      <c r="H429" s="3"/>
      <c r="I429" s="3"/>
      <c r="J429" s="3"/>
      <c r="K429" s="3"/>
    </row>
    <row r="430" spans="2:11" x14ac:dyDescent="0.25">
      <c r="B430" s="2"/>
      <c r="C430" s="2"/>
      <c r="D430" s="3"/>
      <c r="E430" s="3"/>
      <c r="F430" s="3"/>
      <c r="G430" s="3"/>
      <c r="H430" s="3"/>
      <c r="I430" s="3"/>
      <c r="J430" s="3"/>
      <c r="K430" s="3"/>
    </row>
    <row r="431" spans="2:11" x14ac:dyDescent="0.25">
      <c r="B431" s="2"/>
      <c r="C431" s="2"/>
      <c r="D431" s="3"/>
      <c r="E431" s="3"/>
      <c r="F431" s="3"/>
      <c r="G431" s="3"/>
      <c r="H431" s="3"/>
      <c r="I431" s="3"/>
      <c r="J431" s="3"/>
      <c r="K431" s="3"/>
    </row>
    <row r="432" spans="2:11" x14ac:dyDescent="0.25">
      <c r="B432" s="2"/>
      <c r="C432" s="2"/>
      <c r="D432" s="3"/>
      <c r="E432" s="3"/>
      <c r="F432" s="3"/>
      <c r="G432" s="3"/>
      <c r="H432" s="3"/>
      <c r="I432" s="3"/>
      <c r="J432" s="3"/>
      <c r="K432" s="3"/>
    </row>
    <row r="433" spans="2:11" x14ac:dyDescent="0.25">
      <c r="B433" s="2"/>
      <c r="C433" s="2"/>
      <c r="D433" s="3"/>
      <c r="E433" s="3"/>
      <c r="F433" s="3"/>
      <c r="G433" s="3"/>
      <c r="H433" s="3"/>
      <c r="I433" s="3"/>
      <c r="J433" s="3"/>
      <c r="K433" s="3"/>
    </row>
    <row r="434" spans="2:11" x14ac:dyDescent="0.25">
      <c r="B434" s="2"/>
      <c r="C434" s="2"/>
      <c r="D434" s="3"/>
      <c r="E434" s="3"/>
      <c r="F434" s="3"/>
      <c r="G434" s="3"/>
      <c r="H434" s="3"/>
      <c r="I434" s="3"/>
      <c r="J434" s="3"/>
      <c r="K434" s="3"/>
    </row>
    <row r="435" spans="2:11" x14ac:dyDescent="0.25">
      <c r="B435" s="2"/>
      <c r="C435" s="2"/>
      <c r="D435" s="3"/>
      <c r="E435" s="3"/>
      <c r="F435" s="3"/>
      <c r="G435" s="3"/>
      <c r="H435" s="3"/>
      <c r="I435" s="3"/>
      <c r="J435" s="3"/>
      <c r="K435" s="3"/>
    </row>
    <row r="436" spans="2:11" x14ac:dyDescent="0.25">
      <c r="B436" s="2"/>
      <c r="C436" s="2"/>
      <c r="D436" s="3"/>
      <c r="E436" s="3"/>
      <c r="F436" s="3"/>
      <c r="G436" s="3"/>
      <c r="H436" s="3"/>
      <c r="I436" s="3"/>
      <c r="J436" s="3"/>
      <c r="K436" s="3"/>
    </row>
    <row r="437" spans="2:11" x14ac:dyDescent="0.25">
      <c r="B437" s="2"/>
      <c r="C437" s="2"/>
      <c r="D437" s="3"/>
      <c r="E437" s="3"/>
      <c r="F437" s="3"/>
      <c r="G437" s="3"/>
      <c r="H437" s="3"/>
      <c r="I437" s="3"/>
      <c r="J437" s="3"/>
      <c r="K437" s="3"/>
    </row>
    <row r="438" spans="2:11" x14ac:dyDescent="0.25">
      <c r="B438" s="2"/>
      <c r="C438" s="2"/>
      <c r="D438" s="3"/>
      <c r="E438" s="3"/>
      <c r="F438" s="3"/>
      <c r="G438" s="3"/>
      <c r="H438" s="3"/>
      <c r="I438" s="3"/>
      <c r="J438" s="3"/>
      <c r="K438" s="3"/>
    </row>
    <row r="439" spans="2:11" x14ac:dyDescent="0.25">
      <c r="B439" s="2"/>
      <c r="C439" s="2"/>
      <c r="D439" s="3"/>
      <c r="E439" s="3"/>
      <c r="F439" s="3"/>
      <c r="G439" s="3"/>
      <c r="H439" s="3"/>
      <c r="I439" s="3"/>
      <c r="J439" s="3"/>
      <c r="K439" s="3"/>
    </row>
    <row r="440" spans="2:11" x14ac:dyDescent="0.25">
      <c r="B440" s="2"/>
      <c r="C440" s="2"/>
      <c r="D440" s="3"/>
      <c r="E440" s="3"/>
      <c r="F440" s="3"/>
      <c r="G440" s="3"/>
      <c r="H440" s="3"/>
      <c r="I440" s="3"/>
      <c r="J440" s="3"/>
      <c r="K440" s="3"/>
    </row>
    <row r="441" spans="2:11" x14ac:dyDescent="0.25">
      <c r="B441" s="2"/>
      <c r="C441" s="2"/>
      <c r="D441" s="3"/>
      <c r="E441" s="3"/>
      <c r="F441" s="3"/>
      <c r="G441" s="3"/>
      <c r="H441" s="3"/>
      <c r="I441" s="3"/>
      <c r="J441" s="3"/>
      <c r="K441" s="3"/>
    </row>
    <row r="442" spans="2:11" x14ac:dyDescent="0.25">
      <c r="B442" s="2"/>
      <c r="C442" s="2"/>
      <c r="D442" s="3"/>
      <c r="E442" s="3"/>
      <c r="F442" s="3"/>
      <c r="H442" s="3"/>
      <c r="I442" s="3"/>
      <c r="J442" s="3"/>
      <c r="K442" s="3"/>
    </row>
    <row r="443" spans="2:11" x14ac:dyDescent="0.25">
      <c r="B443" s="2"/>
      <c r="C443" s="2"/>
      <c r="D443" s="3"/>
      <c r="E443" s="3"/>
      <c r="F443" s="3"/>
      <c r="G443" s="3"/>
      <c r="H443" s="3"/>
      <c r="I443" s="3"/>
      <c r="J443" s="3"/>
      <c r="K443" s="3"/>
    </row>
    <row r="444" spans="2:11" x14ac:dyDescent="0.25">
      <c r="B444" s="2"/>
      <c r="C444" s="2"/>
      <c r="D444" s="3"/>
      <c r="E444" s="3"/>
      <c r="F444" s="3"/>
      <c r="G444" s="3"/>
      <c r="H444" s="3"/>
      <c r="I444" s="3"/>
      <c r="J444" s="3"/>
      <c r="K444" s="3"/>
    </row>
    <row r="445" spans="2:11" x14ac:dyDescent="0.25">
      <c r="B445" s="2"/>
      <c r="C445" s="2"/>
      <c r="D445" s="3"/>
      <c r="E445" s="3"/>
      <c r="F445" s="3"/>
      <c r="G445" s="3"/>
      <c r="H445" s="3"/>
      <c r="I445" s="3"/>
      <c r="J445" s="3"/>
      <c r="K445" s="3"/>
    </row>
    <row r="446" spans="2:11" x14ac:dyDescent="0.25">
      <c r="B446" s="2"/>
      <c r="C446" s="2"/>
      <c r="D446" s="3"/>
      <c r="E446" s="3"/>
      <c r="F446" s="3"/>
      <c r="H446" s="3"/>
      <c r="I446" s="3"/>
      <c r="J446" s="3"/>
      <c r="K446" s="3"/>
    </row>
    <row r="447" spans="2:11" x14ac:dyDescent="0.25">
      <c r="B447" s="2"/>
      <c r="C447" s="2"/>
      <c r="D447" s="3"/>
      <c r="E447" s="3"/>
      <c r="F447" s="3"/>
      <c r="G447" s="3"/>
      <c r="H447" s="3"/>
      <c r="I447" s="3"/>
      <c r="J447" s="3"/>
      <c r="K447" s="3"/>
    </row>
    <row r="448" spans="2:11" x14ac:dyDescent="0.25">
      <c r="B448" s="2"/>
      <c r="C448" s="2"/>
      <c r="D448" s="3"/>
      <c r="E448" s="3"/>
      <c r="F448" s="3"/>
      <c r="G448" s="3"/>
      <c r="H448" s="3"/>
      <c r="I448" s="3"/>
      <c r="J448" s="3"/>
      <c r="K448" s="3"/>
    </row>
    <row r="449" spans="2:11" x14ac:dyDescent="0.25">
      <c r="B449" s="2"/>
      <c r="C449" s="2"/>
      <c r="D449" s="3"/>
      <c r="E449" s="3"/>
      <c r="F449" s="3"/>
      <c r="H449" s="3"/>
      <c r="I449" s="3"/>
      <c r="J449" s="3"/>
      <c r="K449" s="3"/>
    </row>
    <row r="450" spans="2:11" x14ac:dyDescent="0.25">
      <c r="B450" s="2"/>
      <c r="C450" s="2"/>
      <c r="D450" s="3"/>
      <c r="E450" s="3"/>
      <c r="F450" s="3"/>
      <c r="G450" s="3"/>
      <c r="H450" s="3"/>
      <c r="I450" s="3"/>
      <c r="J450" s="3"/>
      <c r="K450" s="3"/>
    </row>
    <row r="451" spans="2:11" x14ac:dyDescent="0.25">
      <c r="B451" s="2"/>
      <c r="C451" s="2"/>
      <c r="D451" s="3"/>
      <c r="E451" s="3"/>
      <c r="F451" s="3"/>
      <c r="G451" s="3"/>
      <c r="H451" s="3"/>
      <c r="I451" s="3"/>
      <c r="J451" s="3"/>
      <c r="K451" s="3"/>
    </row>
    <row r="452" spans="2:11" x14ac:dyDescent="0.25">
      <c r="B452" s="2"/>
      <c r="C452" s="2"/>
      <c r="D452" s="3"/>
      <c r="E452" s="3"/>
      <c r="F452" s="3"/>
      <c r="G452" s="3"/>
      <c r="H452" s="3"/>
      <c r="I452" s="3"/>
      <c r="J452" s="3"/>
      <c r="K452" s="3"/>
    </row>
    <row r="453" spans="2:11" x14ac:dyDescent="0.25">
      <c r="B453" s="2"/>
      <c r="C453" s="2"/>
      <c r="D453" s="3"/>
      <c r="E453" s="3"/>
      <c r="F453" s="3"/>
      <c r="G453" s="3"/>
      <c r="H453" s="3"/>
      <c r="I453" s="3"/>
      <c r="J453" s="3"/>
      <c r="K453" s="3"/>
    </row>
    <row r="454" spans="2:11" x14ac:dyDescent="0.25">
      <c r="B454" s="2"/>
      <c r="C454" s="2"/>
      <c r="D454" s="3"/>
      <c r="E454" s="3"/>
      <c r="F454" s="3"/>
      <c r="G454" s="3"/>
      <c r="H454" s="3"/>
      <c r="I454" s="3"/>
      <c r="J454" s="3"/>
      <c r="K454" s="3"/>
    </row>
    <row r="455" spans="2:11" x14ac:dyDescent="0.25">
      <c r="B455" s="2"/>
      <c r="C455" s="2"/>
      <c r="D455" s="3"/>
      <c r="E455" s="3"/>
      <c r="F455" s="3"/>
      <c r="G455" s="3"/>
      <c r="H455" s="3"/>
      <c r="I455" s="3"/>
      <c r="J455" s="3"/>
      <c r="K455" s="3"/>
    </row>
    <row r="456" spans="2:11" x14ac:dyDescent="0.25">
      <c r="B456" s="2"/>
      <c r="C456" s="2"/>
      <c r="D456" s="3"/>
      <c r="E456" s="3"/>
      <c r="F456" s="3"/>
      <c r="G456" s="3"/>
      <c r="H456" s="3"/>
      <c r="I456" s="3"/>
      <c r="J456" s="3"/>
      <c r="K456" s="3"/>
    </row>
    <row r="457" spans="2:11" x14ac:dyDescent="0.25">
      <c r="B457" s="2"/>
      <c r="C457" s="2"/>
      <c r="D457" s="3"/>
      <c r="E457" s="3"/>
      <c r="F457" s="3"/>
      <c r="G457" s="3"/>
      <c r="H457" s="3"/>
      <c r="I457" s="3"/>
      <c r="J457" s="3"/>
      <c r="K457" s="3"/>
    </row>
    <row r="458" spans="2:11" x14ac:dyDescent="0.25">
      <c r="B458" s="2"/>
      <c r="C458" s="2"/>
      <c r="D458" s="3"/>
      <c r="E458" s="3"/>
      <c r="F458" s="3"/>
      <c r="G458" s="3"/>
      <c r="H458" s="3"/>
      <c r="I458" s="3"/>
      <c r="J458" s="3"/>
      <c r="K458" s="3"/>
    </row>
    <row r="459" spans="2:11" x14ac:dyDescent="0.25">
      <c r="B459" s="2"/>
      <c r="C459" s="2"/>
      <c r="D459" s="3"/>
      <c r="E459" s="3"/>
      <c r="F459" s="3"/>
      <c r="G459" s="3"/>
      <c r="H459" s="3"/>
      <c r="I459" s="3"/>
      <c r="J459" s="3"/>
      <c r="K459" s="3"/>
    </row>
    <row r="460" spans="2:11" x14ac:dyDescent="0.25">
      <c r="B460" s="2"/>
      <c r="C460" s="2"/>
      <c r="D460" s="3"/>
      <c r="E460" s="3"/>
      <c r="F460" s="3"/>
      <c r="G460" s="3"/>
      <c r="H460" s="3"/>
      <c r="I460" s="3"/>
      <c r="J460" s="3"/>
      <c r="K460" s="3"/>
    </row>
    <row r="461" spans="2:11" x14ac:dyDescent="0.25">
      <c r="B461" s="2"/>
      <c r="C461" s="2"/>
      <c r="D461" s="3"/>
      <c r="E461" s="3"/>
      <c r="F461" s="3"/>
      <c r="G461" s="3"/>
      <c r="H461" s="3"/>
      <c r="I461" s="3"/>
      <c r="J461" s="3"/>
      <c r="K461" s="3"/>
    </row>
    <row r="462" spans="2:11" x14ac:dyDescent="0.25">
      <c r="B462" s="2"/>
      <c r="C462" s="2"/>
      <c r="D462" s="3"/>
      <c r="E462" s="3"/>
      <c r="F462" s="3"/>
      <c r="H462" s="3"/>
      <c r="I462" s="3"/>
      <c r="J462" s="3"/>
      <c r="K462" s="3"/>
    </row>
    <row r="463" spans="2:11" x14ac:dyDescent="0.25">
      <c r="B463" s="2"/>
      <c r="C463" s="2"/>
      <c r="D463" s="3"/>
      <c r="E463" s="3"/>
      <c r="F463" s="3"/>
      <c r="H463" s="3"/>
      <c r="I463" s="3"/>
      <c r="J463" s="3"/>
      <c r="K463" s="3"/>
    </row>
    <row r="464" spans="2:11" x14ac:dyDescent="0.25">
      <c r="B464" s="2"/>
      <c r="C464" s="2"/>
      <c r="D464" s="3"/>
      <c r="E464" s="3"/>
      <c r="F464" s="3"/>
      <c r="G464" s="3"/>
      <c r="H464" s="3"/>
      <c r="I464" s="3"/>
      <c r="J464" s="3"/>
      <c r="K464" s="3"/>
    </row>
    <row r="465" spans="2:11" x14ac:dyDescent="0.25">
      <c r="B465" s="2"/>
      <c r="C465" s="2"/>
      <c r="D465" s="3"/>
      <c r="E465" s="3"/>
      <c r="F465" s="3"/>
      <c r="G465" s="3"/>
      <c r="H465" s="3"/>
      <c r="I465" s="3"/>
      <c r="J465" s="3"/>
      <c r="K465" s="3"/>
    </row>
    <row r="466" spans="2:11" x14ac:dyDescent="0.25">
      <c r="B466" s="2"/>
      <c r="C466" s="2"/>
      <c r="D466" s="3"/>
      <c r="E466" s="3"/>
      <c r="F466" s="3"/>
      <c r="H466" s="3"/>
      <c r="I466" s="3"/>
      <c r="J466" s="3"/>
      <c r="K466" s="3"/>
    </row>
    <row r="467" spans="2:11" x14ac:dyDescent="0.25">
      <c r="B467" s="2"/>
      <c r="C467" s="2"/>
      <c r="D467" s="3"/>
      <c r="E467" s="3"/>
      <c r="F467" s="3"/>
      <c r="H467" s="3"/>
      <c r="I467" s="3"/>
      <c r="J467" s="3"/>
      <c r="K467" s="3"/>
    </row>
    <row r="468" spans="2:11" x14ac:dyDescent="0.25">
      <c r="B468" s="2"/>
      <c r="C468" s="2"/>
      <c r="D468" s="3"/>
      <c r="E468" s="3"/>
      <c r="F468" s="3"/>
      <c r="G468" s="3"/>
      <c r="H468" s="3"/>
      <c r="I468" s="3"/>
      <c r="J468" s="3"/>
      <c r="K468" s="3"/>
    </row>
    <row r="469" spans="2:11" x14ac:dyDescent="0.25">
      <c r="B469" s="2"/>
      <c r="C469" s="2"/>
      <c r="D469" s="3"/>
      <c r="E469" s="3"/>
      <c r="F469" s="3"/>
      <c r="G469" s="3"/>
      <c r="H469" s="3"/>
      <c r="I469" s="3"/>
      <c r="J469" s="3"/>
      <c r="K469" s="3"/>
    </row>
    <row r="470" spans="2:11" x14ac:dyDescent="0.25">
      <c r="B470" s="2"/>
      <c r="C470" s="2"/>
      <c r="D470" s="3"/>
      <c r="E470" s="3"/>
      <c r="F470" s="3"/>
      <c r="H470" s="3"/>
      <c r="I470" s="3"/>
      <c r="J470" s="3"/>
      <c r="K470" s="3"/>
    </row>
    <row r="471" spans="2:11" x14ac:dyDescent="0.25">
      <c r="B471" s="2"/>
      <c r="C471" s="2"/>
      <c r="D471" s="3"/>
      <c r="E471" s="3"/>
      <c r="F471" s="3"/>
      <c r="G471" s="3"/>
      <c r="H471" s="3"/>
      <c r="I471" s="3"/>
      <c r="J471" s="3"/>
      <c r="K471" s="3"/>
    </row>
    <row r="472" spans="2:11" x14ac:dyDescent="0.25">
      <c r="B472" s="2"/>
      <c r="C472" s="2"/>
      <c r="D472" s="3"/>
      <c r="E472" s="3"/>
      <c r="F472" s="3"/>
      <c r="H472" s="3"/>
      <c r="I472" s="3"/>
      <c r="J472" s="3"/>
      <c r="K472" s="3"/>
    </row>
    <row r="473" spans="2:11" x14ac:dyDescent="0.25">
      <c r="B473" s="2"/>
      <c r="C473" s="2"/>
      <c r="D473" s="3"/>
      <c r="E473" s="3"/>
      <c r="F473" s="3"/>
      <c r="H473" s="3"/>
      <c r="I473" s="3"/>
      <c r="J473" s="3"/>
      <c r="K473" s="3"/>
    </row>
    <row r="474" spans="2:11" x14ac:dyDescent="0.25">
      <c r="B474" s="2"/>
      <c r="C474" s="2"/>
      <c r="D474" s="3"/>
      <c r="E474" s="3"/>
      <c r="F474" s="3"/>
      <c r="H474" s="3"/>
      <c r="I474" s="3"/>
      <c r="J474" s="3"/>
      <c r="K474" s="3"/>
    </row>
    <row r="475" spans="2:11" x14ac:dyDescent="0.25">
      <c r="B475" s="2"/>
      <c r="C475" s="2"/>
      <c r="D475" s="3"/>
      <c r="E475" s="3"/>
      <c r="F475" s="3"/>
      <c r="H475" s="3"/>
      <c r="I475" s="3"/>
      <c r="J475" s="3"/>
      <c r="K475" s="3"/>
    </row>
    <row r="476" spans="2:11" x14ac:dyDescent="0.25">
      <c r="B476" s="2"/>
      <c r="C476" s="2"/>
      <c r="D476" s="3"/>
      <c r="E476" s="3"/>
      <c r="F476" s="3"/>
      <c r="H476" s="3"/>
      <c r="I476" s="3"/>
      <c r="J476" s="3"/>
      <c r="K476" s="3"/>
    </row>
    <row r="477" spans="2:11" x14ac:dyDescent="0.25">
      <c r="B477" s="2"/>
      <c r="C477" s="2"/>
      <c r="D477" s="3"/>
      <c r="E477" s="3"/>
      <c r="F477" s="3"/>
      <c r="H477" s="3"/>
      <c r="I477" s="3"/>
      <c r="J477" s="3"/>
      <c r="K477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FA55-5BE6-5B45-811A-0D3ACA882FFE}">
  <sheetPr codeName="Sheet12"/>
  <dimension ref="A1:K210"/>
  <sheetViews>
    <sheetView topLeftCell="A172" workbookViewId="0">
      <selection activeCell="E205" sqref="E205"/>
    </sheetView>
  </sheetViews>
  <sheetFormatPr defaultColWidth="11" defaultRowHeight="15.75" x14ac:dyDescent="0.25"/>
  <cols>
    <col min="3" max="3" width="56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10000</v>
      </c>
      <c r="C3" s="10" t="str" cm="1">
        <f t="array" ref="C3">INDEX($B$11:$K$208, $A$3, C1)</f>
        <v>PORK,FRSH,COMP OF FAT,W/ ADDED SOLN,CKD</v>
      </c>
      <c r="D3" s="10" cm="1">
        <f t="array" ref="D3">INDEX($B$11:$K$74, $A$3, D1)</f>
        <v>10.06</v>
      </c>
      <c r="E3" s="10" cm="1">
        <f t="array" ref="E3">INDEX($B$11:$K$74, $A$3, E1)</f>
        <v>0.32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125</v>
      </c>
      <c r="I3" s="10" cm="1">
        <f t="array" ref="I3">INDEX($B$11:$K$74, $A$3, I1)</f>
        <v>21.382000000000001</v>
      </c>
      <c r="J3" s="10" cm="1">
        <f t="array" ref="J3">INDEX($B$11:$K$74, $A$3, J1)</f>
        <v>24.9</v>
      </c>
      <c r="K3" s="10" cm="1">
        <f t="array" ref="K3">INDEX($B$11:$K$74, $A$3, K1)</f>
        <v>8.49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0.64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49.8</v>
      </c>
      <c r="K6" s="10">
        <f>A7*K3</f>
        <v>16.98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3228</v>
      </c>
      <c r="C11" s="2" t="s">
        <v>3229</v>
      </c>
      <c r="D11" s="3">
        <v>10.06</v>
      </c>
      <c r="E11" s="3">
        <v>0.32</v>
      </c>
      <c r="F11" s="3">
        <v>0</v>
      </c>
      <c r="G11" s="3">
        <v>0</v>
      </c>
      <c r="H11" s="3">
        <v>125</v>
      </c>
      <c r="I11" s="3">
        <v>21.382000000000001</v>
      </c>
      <c r="J11" s="3">
        <v>24.9</v>
      </c>
      <c r="K11" s="3">
        <v>8.49</v>
      </c>
    </row>
    <row r="12" spans="1:11" x14ac:dyDescent="0.25">
      <c r="B12" s="2" t="s">
        <v>3230</v>
      </c>
      <c r="C12" s="2" t="s">
        <v>3231</v>
      </c>
      <c r="D12" s="3">
        <v>13.91</v>
      </c>
      <c r="E12" s="3">
        <v>0</v>
      </c>
      <c r="F12" s="3">
        <v>0</v>
      </c>
      <c r="G12" s="3">
        <v>0</v>
      </c>
      <c r="H12" s="3">
        <v>42</v>
      </c>
      <c r="I12" s="3">
        <v>12.44</v>
      </c>
      <c r="J12" s="3">
        <v>15.93</v>
      </c>
      <c r="K12" s="3">
        <v>3.8</v>
      </c>
    </row>
    <row r="13" spans="1:11" x14ac:dyDescent="0.25">
      <c r="B13" s="2" t="s">
        <v>3232</v>
      </c>
      <c r="C13" s="2" t="s">
        <v>3233</v>
      </c>
      <c r="D13" s="3">
        <v>21.2</v>
      </c>
      <c r="E13" s="3">
        <v>0</v>
      </c>
      <c r="F13" s="3">
        <v>0</v>
      </c>
      <c r="G13" s="3">
        <v>0</v>
      </c>
      <c r="H13" s="3">
        <v>59</v>
      </c>
      <c r="I13" s="3">
        <v>1.625</v>
      </c>
      <c r="J13" s="3">
        <v>2.0630000000000002</v>
      </c>
      <c r="K13" s="3">
        <v>0.51900000000000002</v>
      </c>
    </row>
    <row r="14" spans="1:11" x14ac:dyDescent="0.25">
      <c r="B14" s="2" t="s">
        <v>3234</v>
      </c>
      <c r="C14" s="2" t="s">
        <v>3235</v>
      </c>
      <c r="D14" s="3">
        <v>18.22</v>
      </c>
      <c r="E14" s="3">
        <v>0</v>
      </c>
      <c r="F14" s="3">
        <v>0</v>
      </c>
      <c r="G14" s="3">
        <v>0</v>
      </c>
      <c r="H14" s="3">
        <v>57</v>
      </c>
      <c r="I14" s="3">
        <v>4.9180000000000001</v>
      </c>
      <c r="J14" s="3">
        <v>6.1020000000000003</v>
      </c>
      <c r="K14" s="3">
        <v>1.726</v>
      </c>
    </row>
    <row r="15" spans="1:11" x14ac:dyDescent="0.25">
      <c r="B15" s="2" t="s">
        <v>3236</v>
      </c>
      <c r="C15" s="2" t="s">
        <v>3237</v>
      </c>
      <c r="D15" s="3">
        <v>2.92</v>
      </c>
      <c r="E15" s="3">
        <v>0</v>
      </c>
      <c r="F15" s="3">
        <v>0</v>
      </c>
      <c r="G15" s="3">
        <v>0</v>
      </c>
      <c r="H15" s="3">
        <v>11</v>
      </c>
      <c r="I15" s="3">
        <v>32.21</v>
      </c>
      <c r="J15" s="3">
        <v>41.95</v>
      </c>
      <c r="K15" s="3">
        <v>10.35</v>
      </c>
    </row>
    <row r="16" spans="1:11" x14ac:dyDescent="0.25">
      <c r="B16" s="2" t="s">
        <v>3238</v>
      </c>
      <c r="C16" s="2" t="s">
        <v>3239</v>
      </c>
      <c r="D16" s="3">
        <v>9.34</v>
      </c>
      <c r="E16" s="3">
        <v>0</v>
      </c>
      <c r="F16" s="3">
        <v>0</v>
      </c>
      <c r="G16" s="3">
        <v>0</v>
      </c>
      <c r="H16" s="3">
        <v>32</v>
      </c>
      <c r="I16" s="3">
        <v>19.329999999999998</v>
      </c>
      <c r="J16" s="3">
        <v>24.7</v>
      </c>
      <c r="K16" s="3">
        <v>5.65</v>
      </c>
    </row>
    <row r="17" spans="2:11" x14ac:dyDescent="0.25">
      <c r="B17" s="2" t="s">
        <v>3240</v>
      </c>
      <c r="C17" s="2" t="s">
        <v>3241</v>
      </c>
      <c r="D17" s="3">
        <v>9.25</v>
      </c>
      <c r="E17" s="3">
        <v>0</v>
      </c>
      <c r="F17" s="3">
        <v>0</v>
      </c>
      <c r="G17" s="3">
        <v>0</v>
      </c>
      <c r="H17" s="3">
        <v>47</v>
      </c>
      <c r="I17" s="3">
        <v>21.978999999999999</v>
      </c>
      <c r="J17" s="3">
        <v>28.041</v>
      </c>
      <c r="K17" s="3">
        <v>13.186</v>
      </c>
    </row>
    <row r="18" spans="2:11" x14ac:dyDescent="0.25">
      <c r="B18" s="2" t="s">
        <v>3242</v>
      </c>
      <c r="C18" s="2" t="s">
        <v>3243</v>
      </c>
      <c r="D18" s="3">
        <v>7.06</v>
      </c>
      <c r="E18" s="3">
        <v>0</v>
      </c>
      <c r="F18" s="3">
        <v>0</v>
      </c>
      <c r="G18" s="3">
        <v>0</v>
      </c>
      <c r="H18" s="3">
        <v>56</v>
      </c>
      <c r="I18" s="3">
        <v>23.856000000000002</v>
      </c>
      <c r="J18" s="3">
        <v>28.986999999999998</v>
      </c>
      <c r="K18" s="3">
        <v>11.538</v>
      </c>
    </row>
    <row r="19" spans="2:11" x14ac:dyDescent="0.25">
      <c r="B19" s="2" t="s">
        <v>3244</v>
      </c>
      <c r="C19" s="2" t="s">
        <v>3245</v>
      </c>
      <c r="D19" s="3">
        <v>17.43</v>
      </c>
      <c r="E19" s="3">
        <v>0</v>
      </c>
      <c r="F19" s="3">
        <v>0</v>
      </c>
      <c r="H19" s="3">
        <v>47</v>
      </c>
      <c r="I19" s="3">
        <v>6.54</v>
      </c>
      <c r="J19" s="3">
        <v>8.3800000000000008</v>
      </c>
      <c r="K19" s="3">
        <v>2.0099999999999998</v>
      </c>
    </row>
    <row r="20" spans="2:11" x14ac:dyDescent="0.25">
      <c r="B20" s="2" t="s">
        <v>3246</v>
      </c>
      <c r="C20" s="2" t="s">
        <v>3247</v>
      </c>
      <c r="D20" s="3">
        <v>26.83</v>
      </c>
      <c r="E20" s="3">
        <v>0</v>
      </c>
      <c r="F20" s="3">
        <v>0</v>
      </c>
      <c r="G20" s="3">
        <v>0</v>
      </c>
      <c r="H20" s="3">
        <v>60</v>
      </c>
      <c r="I20" s="3">
        <v>6.47</v>
      </c>
      <c r="J20" s="3">
        <v>7.88</v>
      </c>
      <c r="K20" s="3">
        <v>1.68</v>
      </c>
    </row>
    <row r="21" spans="2:11" x14ac:dyDescent="0.25">
      <c r="B21" s="2" t="s">
        <v>3248</v>
      </c>
      <c r="C21" s="2" t="s">
        <v>3249</v>
      </c>
      <c r="D21" s="3">
        <v>20.48</v>
      </c>
      <c r="E21" s="3">
        <v>0</v>
      </c>
      <c r="F21" s="3">
        <v>0</v>
      </c>
      <c r="G21" s="3">
        <v>0</v>
      </c>
      <c r="H21" s="3">
        <v>55</v>
      </c>
      <c r="I21" s="3">
        <v>1.87</v>
      </c>
      <c r="J21" s="3">
        <v>2.44</v>
      </c>
      <c r="K21" s="3">
        <v>0.57999999999999996</v>
      </c>
    </row>
    <row r="22" spans="2:11" x14ac:dyDescent="0.25">
      <c r="B22" s="2" t="s">
        <v>3250</v>
      </c>
      <c r="C22" s="2" t="s">
        <v>3251</v>
      </c>
      <c r="D22" s="3">
        <v>29.41</v>
      </c>
      <c r="E22" s="3">
        <v>0</v>
      </c>
      <c r="F22" s="3">
        <v>0</v>
      </c>
      <c r="G22" s="3">
        <v>0</v>
      </c>
      <c r="H22" s="3">
        <v>64</v>
      </c>
      <c r="I22" s="3">
        <v>3.3</v>
      </c>
      <c r="J22" s="3">
        <v>4.45</v>
      </c>
      <c r="K22" s="3">
        <v>0.85</v>
      </c>
    </row>
    <row r="23" spans="2:11" x14ac:dyDescent="0.25">
      <c r="B23" s="2" t="s">
        <v>3252</v>
      </c>
      <c r="C23" s="2" t="s">
        <v>3253</v>
      </c>
      <c r="D23" s="3">
        <v>20.27</v>
      </c>
      <c r="E23" s="3">
        <v>0</v>
      </c>
      <c r="F23" s="3">
        <v>0</v>
      </c>
      <c r="G23" s="3">
        <v>0</v>
      </c>
      <c r="H23" s="3">
        <v>73</v>
      </c>
      <c r="I23" s="3">
        <v>3.5259999999999998</v>
      </c>
      <c r="J23" s="3">
        <v>4.4450000000000003</v>
      </c>
      <c r="K23" s="3">
        <v>2.1560000000000001</v>
      </c>
    </row>
    <row r="24" spans="2:11" x14ac:dyDescent="0.25">
      <c r="B24" s="2" t="s">
        <v>3254</v>
      </c>
      <c r="C24" s="2" t="s">
        <v>3255</v>
      </c>
      <c r="D24" s="3">
        <v>27.03</v>
      </c>
      <c r="E24" s="3">
        <v>0</v>
      </c>
      <c r="F24" s="3">
        <v>0</v>
      </c>
      <c r="G24" s="3">
        <v>0</v>
      </c>
      <c r="H24" s="3">
        <v>77</v>
      </c>
      <c r="I24" s="3">
        <v>3.3690000000000002</v>
      </c>
      <c r="J24" s="3">
        <v>4.3220000000000001</v>
      </c>
      <c r="K24" s="3">
        <v>2.198</v>
      </c>
    </row>
    <row r="25" spans="2:11" x14ac:dyDescent="0.25">
      <c r="B25" s="2" t="s">
        <v>3256</v>
      </c>
      <c r="C25" s="2" t="s">
        <v>3257</v>
      </c>
      <c r="D25" s="3">
        <v>21.81</v>
      </c>
      <c r="E25" s="3">
        <v>0</v>
      </c>
      <c r="F25" s="3">
        <v>0</v>
      </c>
      <c r="G25" s="3">
        <v>0</v>
      </c>
      <c r="H25" s="3">
        <v>76</v>
      </c>
      <c r="I25" s="3">
        <v>0.94699999999999995</v>
      </c>
      <c r="J25" s="3">
        <v>1.1479999999999999</v>
      </c>
      <c r="K25" s="3">
        <v>0.61499999999999999</v>
      </c>
    </row>
    <row r="26" spans="2:11" x14ac:dyDescent="0.25">
      <c r="B26" s="2" t="s">
        <v>3258</v>
      </c>
      <c r="C26" s="2" t="s">
        <v>3259</v>
      </c>
      <c r="D26" s="3">
        <v>28.86</v>
      </c>
      <c r="E26" s="3">
        <v>0</v>
      </c>
      <c r="F26" s="3">
        <v>0</v>
      </c>
      <c r="G26" s="3">
        <v>0</v>
      </c>
      <c r="H26" s="3">
        <v>80</v>
      </c>
      <c r="I26" s="3">
        <v>1.4510000000000001</v>
      </c>
      <c r="J26" s="3">
        <v>1.8779999999999999</v>
      </c>
      <c r="K26" s="3">
        <v>1.0660000000000001</v>
      </c>
    </row>
    <row r="27" spans="2:11" x14ac:dyDescent="0.25">
      <c r="B27" s="2" t="s">
        <v>3260</v>
      </c>
      <c r="C27" s="2" t="s">
        <v>3261</v>
      </c>
      <c r="D27" s="3">
        <v>19.87</v>
      </c>
      <c r="E27" s="3">
        <v>0</v>
      </c>
      <c r="F27" s="3">
        <v>0</v>
      </c>
      <c r="G27" s="3">
        <v>0</v>
      </c>
      <c r="H27" s="3">
        <v>84</v>
      </c>
      <c r="I27" s="3">
        <v>3.9420000000000002</v>
      </c>
      <c r="J27" s="3">
        <v>5.0670000000000002</v>
      </c>
      <c r="K27" s="3">
        <v>2.4119999999999999</v>
      </c>
    </row>
    <row r="28" spans="2:11" x14ac:dyDescent="0.25">
      <c r="B28" s="2" t="s">
        <v>3262</v>
      </c>
      <c r="C28" s="2" t="s">
        <v>3263</v>
      </c>
      <c r="D28" s="3">
        <v>25.96</v>
      </c>
      <c r="E28" s="3">
        <v>0</v>
      </c>
      <c r="F28" s="3">
        <v>0</v>
      </c>
      <c r="G28" s="3">
        <v>0</v>
      </c>
      <c r="H28" s="3">
        <v>81</v>
      </c>
      <c r="I28" s="3">
        <v>4.609</v>
      </c>
      <c r="J28" s="3">
        <v>5.819</v>
      </c>
      <c r="K28" s="3">
        <v>2.44</v>
      </c>
    </row>
    <row r="29" spans="2:11" x14ac:dyDescent="0.25">
      <c r="B29" s="2" t="s">
        <v>3264</v>
      </c>
      <c r="C29" s="2" t="s">
        <v>3265</v>
      </c>
      <c r="D29" s="3">
        <v>21.66</v>
      </c>
      <c r="E29" s="3">
        <v>0</v>
      </c>
      <c r="F29" s="3">
        <v>0</v>
      </c>
      <c r="G29" s="3">
        <v>0</v>
      </c>
      <c r="H29" s="3">
        <v>90</v>
      </c>
      <c r="I29" s="3">
        <v>0.91700000000000004</v>
      </c>
      <c r="J29" s="3">
        <v>1.214</v>
      </c>
      <c r="K29" s="3">
        <v>0.60499999999999998</v>
      </c>
    </row>
    <row r="30" spans="2:11" x14ac:dyDescent="0.25">
      <c r="B30" s="2" t="s">
        <v>3266</v>
      </c>
      <c r="C30" s="2" t="s">
        <v>3267</v>
      </c>
      <c r="D30" s="3">
        <v>28.69</v>
      </c>
      <c r="E30" s="3">
        <v>0</v>
      </c>
      <c r="F30" s="3">
        <v>0</v>
      </c>
      <c r="G30" s="3">
        <v>0</v>
      </c>
      <c r="H30" s="3">
        <v>84</v>
      </c>
      <c r="I30" s="3">
        <v>1.837</v>
      </c>
      <c r="J30" s="3">
        <v>2.4820000000000002</v>
      </c>
      <c r="K30" s="3">
        <v>1.1299999999999999</v>
      </c>
    </row>
    <row r="31" spans="2:11" x14ac:dyDescent="0.25">
      <c r="B31" s="2" t="s">
        <v>3268</v>
      </c>
      <c r="C31" s="2" t="s">
        <v>3269</v>
      </c>
      <c r="D31" s="3">
        <v>19.739999999999998</v>
      </c>
      <c r="E31" s="3">
        <v>0</v>
      </c>
      <c r="F31" s="3">
        <v>0</v>
      </c>
      <c r="G31" s="3">
        <v>0</v>
      </c>
      <c r="H31" s="3">
        <v>50</v>
      </c>
      <c r="I31" s="3">
        <v>4.3600000000000003</v>
      </c>
      <c r="J31" s="3">
        <v>5.61</v>
      </c>
      <c r="K31" s="3">
        <v>1.34</v>
      </c>
    </row>
    <row r="32" spans="2:11" x14ac:dyDescent="0.25">
      <c r="B32" s="2" t="s">
        <v>3270</v>
      </c>
      <c r="C32" s="2" t="s">
        <v>3271</v>
      </c>
      <c r="D32" s="3">
        <v>27.23</v>
      </c>
      <c r="E32" s="3">
        <v>0</v>
      </c>
      <c r="F32" s="3">
        <v>0</v>
      </c>
      <c r="G32" s="3">
        <v>0</v>
      </c>
      <c r="H32" s="3">
        <v>48</v>
      </c>
      <c r="I32" s="3">
        <v>5.1100000000000003</v>
      </c>
      <c r="J32" s="3">
        <v>6.06</v>
      </c>
      <c r="K32" s="3">
        <v>1.17</v>
      </c>
    </row>
    <row r="33" spans="2:11" x14ac:dyDescent="0.25">
      <c r="B33" s="2" t="s">
        <v>3272</v>
      </c>
      <c r="C33" s="2" t="s">
        <v>3273</v>
      </c>
      <c r="D33" s="3">
        <v>27.32</v>
      </c>
      <c r="E33" s="3">
        <v>0</v>
      </c>
      <c r="F33" s="3">
        <v>0</v>
      </c>
      <c r="G33" s="3">
        <v>0</v>
      </c>
      <c r="H33" s="3">
        <v>62</v>
      </c>
      <c r="I33" s="3">
        <v>5.23</v>
      </c>
      <c r="J33" s="3">
        <v>6.19</v>
      </c>
      <c r="K33" s="3">
        <v>1.2</v>
      </c>
    </row>
    <row r="34" spans="2:11" x14ac:dyDescent="0.25">
      <c r="B34" s="2" t="s">
        <v>3274</v>
      </c>
      <c r="C34" s="2" t="s">
        <v>3275</v>
      </c>
      <c r="D34" s="3">
        <v>27.09</v>
      </c>
      <c r="E34" s="3">
        <v>0</v>
      </c>
      <c r="F34" s="3">
        <v>0</v>
      </c>
      <c r="G34" s="3">
        <v>0</v>
      </c>
      <c r="H34" s="3">
        <v>59</v>
      </c>
      <c r="I34" s="3">
        <v>5.37</v>
      </c>
      <c r="J34" s="3">
        <v>6.51</v>
      </c>
      <c r="K34" s="3">
        <v>1.21</v>
      </c>
    </row>
    <row r="35" spans="2:11" x14ac:dyDescent="0.25">
      <c r="B35" s="2" t="s">
        <v>3276</v>
      </c>
      <c r="C35" s="2" t="s">
        <v>3277</v>
      </c>
      <c r="D35" s="3">
        <v>21.43</v>
      </c>
      <c r="E35" s="3">
        <v>0</v>
      </c>
      <c r="F35" s="3">
        <v>0</v>
      </c>
      <c r="G35" s="3">
        <v>0</v>
      </c>
      <c r="H35" s="3">
        <v>52</v>
      </c>
      <c r="I35" s="3">
        <v>1.95</v>
      </c>
      <c r="J35" s="3">
        <v>2.56</v>
      </c>
      <c r="K35" s="3">
        <v>0.61</v>
      </c>
    </row>
    <row r="36" spans="2:11" x14ac:dyDescent="0.25">
      <c r="B36" s="2" t="s">
        <v>3278</v>
      </c>
      <c r="C36" s="2" t="s">
        <v>3279</v>
      </c>
      <c r="D36" s="3">
        <v>28.57</v>
      </c>
      <c r="E36" s="3">
        <v>0</v>
      </c>
      <c r="F36" s="3">
        <v>0</v>
      </c>
      <c r="G36" s="3">
        <v>0</v>
      </c>
      <c r="H36" s="3">
        <v>50</v>
      </c>
      <c r="I36" s="3">
        <v>3.38</v>
      </c>
      <c r="J36" s="3">
        <v>4.16</v>
      </c>
      <c r="K36" s="3">
        <v>0.7</v>
      </c>
    </row>
    <row r="37" spans="2:11" x14ac:dyDescent="0.25">
      <c r="B37" s="2" t="s">
        <v>3280</v>
      </c>
      <c r="C37" s="2" t="s">
        <v>3281</v>
      </c>
      <c r="D37" s="3">
        <v>28.57</v>
      </c>
      <c r="E37" s="3">
        <v>0</v>
      </c>
      <c r="F37" s="3">
        <v>0</v>
      </c>
      <c r="G37" s="3">
        <v>0</v>
      </c>
      <c r="H37" s="3">
        <v>64</v>
      </c>
      <c r="I37" s="3">
        <v>3.64</v>
      </c>
      <c r="J37" s="3">
        <v>4.45</v>
      </c>
      <c r="K37" s="3">
        <v>0.77</v>
      </c>
    </row>
    <row r="38" spans="2:11" x14ac:dyDescent="0.25">
      <c r="B38" s="2" t="s">
        <v>3282</v>
      </c>
      <c r="C38" s="2" t="s">
        <v>3283</v>
      </c>
      <c r="D38" s="3">
        <v>28.62</v>
      </c>
      <c r="E38" s="3">
        <v>0</v>
      </c>
      <c r="F38" s="3">
        <v>0</v>
      </c>
      <c r="G38" s="3">
        <v>0</v>
      </c>
      <c r="H38" s="3">
        <v>58</v>
      </c>
      <c r="I38" s="3">
        <v>3.51</v>
      </c>
      <c r="J38" s="3">
        <v>4.32</v>
      </c>
      <c r="K38" s="3">
        <v>0.76</v>
      </c>
    </row>
    <row r="39" spans="2:11" x14ac:dyDescent="0.25">
      <c r="B39" s="2" t="s">
        <v>3284</v>
      </c>
      <c r="C39" s="2" t="s">
        <v>3285</v>
      </c>
      <c r="D39" s="3">
        <v>19.559999999999999</v>
      </c>
      <c r="E39" s="3">
        <v>0</v>
      </c>
      <c r="F39" s="3">
        <v>0</v>
      </c>
      <c r="G39" s="3">
        <v>0</v>
      </c>
      <c r="H39" s="3">
        <v>69</v>
      </c>
      <c r="I39" s="3">
        <v>4.2699999999999996</v>
      </c>
      <c r="J39" s="3">
        <v>4.9130000000000003</v>
      </c>
      <c r="K39" s="3">
        <v>1.9410000000000001</v>
      </c>
    </row>
    <row r="40" spans="2:11" x14ac:dyDescent="0.25">
      <c r="B40" s="2" t="s">
        <v>3286</v>
      </c>
      <c r="C40" s="2" t="s">
        <v>3287</v>
      </c>
      <c r="D40" s="3">
        <v>26.54</v>
      </c>
      <c r="E40" s="3">
        <v>0</v>
      </c>
      <c r="F40" s="3">
        <v>0</v>
      </c>
      <c r="G40" s="3">
        <v>0</v>
      </c>
      <c r="H40" s="3">
        <v>69</v>
      </c>
      <c r="I40" s="3">
        <v>4.4870000000000001</v>
      </c>
      <c r="J40" s="3">
        <v>5.0670000000000002</v>
      </c>
      <c r="K40" s="3">
        <v>1.948</v>
      </c>
    </row>
    <row r="41" spans="2:11" x14ac:dyDescent="0.25">
      <c r="B41" s="2" t="s">
        <v>3288</v>
      </c>
      <c r="C41" s="2" t="s">
        <v>3289</v>
      </c>
      <c r="D41" s="3">
        <v>23.72</v>
      </c>
      <c r="E41" s="3">
        <v>0</v>
      </c>
      <c r="F41" s="3">
        <v>0</v>
      </c>
      <c r="G41" s="3">
        <v>0</v>
      </c>
      <c r="H41" s="3">
        <v>74</v>
      </c>
      <c r="I41" s="3">
        <v>4.3390000000000004</v>
      </c>
      <c r="J41" s="3">
        <v>4.8869999999999996</v>
      </c>
      <c r="K41" s="3">
        <v>1.8939999999999999</v>
      </c>
    </row>
    <row r="42" spans="2:11" x14ac:dyDescent="0.25">
      <c r="B42" s="2" t="s">
        <v>3290</v>
      </c>
      <c r="C42" s="2" t="s">
        <v>3291</v>
      </c>
      <c r="D42" s="3">
        <v>24.29</v>
      </c>
      <c r="E42" s="3">
        <v>0</v>
      </c>
      <c r="F42" s="3">
        <v>0</v>
      </c>
      <c r="G42" s="3">
        <v>0</v>
      </c>
      <c r="H42" s="3">
        <v>76</v>
      </c>
      <c r="I42" s="3">
        <v>5.9</v>
      </c>
      <c r="J42" s="3">
        <v>6.6840000000000002</v>
      </c>
      <c r="K42" s="3">
        <v>2.4649999999999999</v>
      </c>
    </row>
    <row r="43" spans="2:11" x14ac:dyDescent="0.25">
      <c r="B43" s="2" t="s">
        <v>3292</v>
      </c>
      <c r="C43" s="2" t="s">
        <v>3293</v>
      </c>
      <c r="D43" s="3">
        <v>21.22</v>
      </c>
      <c r="E43" s="3">
        <v>0</v>
      </c>
      <c r="F43" s="3">
        <v>0</v>
      </c>
      <c r="G43" s="3">
        <v>0</v>
      </c>
      <c r="H43" s="3">
        <v>73</v>
      </c>
      <c r="I43" s="3">
        <v>1.974</v>
      </c>
      <c r="J43" s="3">
        <v>2.3010000000000002</v>
      </c>
      <c r="K43" s="3">
        <v>0.80500000000000005</v>
      </c>
    </row>
    <row r="44" spans="2:11" x14ac:dyDescent="0.25">
      <c r="B44" s="2" t="s">
        <v>3294</v>
      </c>
      <c r="C44" s="2" t="s">
        <v>3295</v>
      </c>
      <c r="D44" s="3">
        <v>28.02</v>
      </c>
      <c r="E44" s="3">
        <v>0</v>
      </c>
      <c r="F44" s="3">
        <v>0</v>
      </c>
      <c r="G44" s="3">
        <v>0</v>
      </c>
      <c r="H44" s="3">
        <v>70</v>
      </c>
      <c r="I44" s="3">
        <v>2.59</v>
      </c>
      <c r="J44" s="3">
        <v>5.819</v>
      </c>
      <c r="K44" s="3">
        <v>1.093</v>
      </c>
    </row>
    <row r="45" spans="2:11" x14ac:dyDescent="0.25">
      <c r="B45" s="2" t="s">
        <v>3296</v>
      </c>
      <c r="C45" s="2" t="s">
        <v>3297</v>
      </c>
      <c r="D45" s="3">
        <v>24.99</v>
      </c>
      <c r="E45" s="3">
        <v>0</v>
      </c>
      <c r="F45" s="3">
        <v>0</v>
      </c>
      <c r="G45" s="3">
        <v>0</v>
      </c>
      <c r="H45" s="3">
        <v>76</v>
      </c>
      <c r="I45" s="3">
        <v>2.3220000000000001</v>
      </c>
      <c r="J45" s="3">
        <v>2.7069999999999999</v>
      </c>
      <c r="K45" s="3">
        <v>0.94699999999999995</v>
      </c>
    </row>
    <row r="46" spans="2:11" x14ac:dyDescent="0.25">
      <c r="B46" s="2" t="s">
        <v>3298</v>
      </c>
      <c r="C46" s="2" t="s">
        <v>3299</v>
      </c>
      <c r="D46" s="3">
        <v>25.7</v>
      </c>
      <c r="E46" s="3">
        <v>0</v>
      </c>
      <c r="F46" s="3">
        <v>0</v>
      </c>
      <c r="G46" s="3">
        <v>0</v>
      </c>
      <c r="H46" s="3">
        <v>78</v>
      </c>
      <c r="I46" s="3">
        <v>3.9340000000000002</v>
      </c>
      <c r="J46" s="3">
        <v>4.5720000000000001</v>
      </c>
      <c r="K46" s="3">
        <v>1.524</v>
      </c>
    </row>
    <row r="47" spans="2:11" x14ac:dyDescent="0.25">
      <c r="B47" s="2" t="s">
        <v>3300</v>
      </c>
      <c r="C47" s="2" t="s">
        <v>3301</v>
      </c>
      <c r="D47" s="3">
        <v>20.71</v>
      </c>
      <c r="E47" s="3">
        <v>0</v>
      </c>
      <c r="F47" s="3">
        <v>0</v>
      </c>
      <c r="G47" s="3">
        <v>0</v>
      </c>
      <c r="H47" s="3">
        <v>55</v>
      </c>
      <c r="I47" s="3">
        <v>2.9929999999999999</v>
      </c>
      <c r="J47" s="3">
        <v>3.548</v>
      </c>
      <c r="K47" s="3">
        <v>1.19</v>
      </c>
    </row>
    <row r="48" spans="2:11" x14ac:dyDescent="0.25">
      <c r="B48" s="2" t="s">
        <v>3302</v>
      </c>
      <c r="C48" s="2" t="s">
        <v>3303</v>
      </c>
      <c r="D48" s="3">
        <v>28.21</v>
      </c>
      <c r="E48" s="3">
        <v>0</v>
      </c>
      <c r="F48" s="3">
        <v>0</v>
      </c>
      <c r="G48" s="3">
        <v>0</v>
      </c>
      <c r="H48" s="3">
        <v>73</v>
      </c>
      <c r="I48" s="3">
        <v>4.9340000000000002</v>
      </c>
      <c r="J48" s="3">
        <v>5.5570000000000004</v>
      </c>
      <c r="K48" s="3">
        <v>2.1549999999999998</v>
      </c>
    </row>
    <row r="49" spans="2:11" x14ac:dyDescent="0.25">
      <c r="B49" s="2" t="s">
        <v>3304</v>
      </c>
      <c r="C49" s="2" t="s">
        <v>3305</v>
      </c>
      <c r="D49" s="3">
        <v>25.61</v>
      </c>
      <c r="E49" s="3">
        <v>0</v>
      </c>
      <c r="F49" s="3">
        <v>0</v>
      </c>
      <c r="G49" s="3">
        <v>0</v>
      </c>
      <c r="H49" s="3">
        <v>55</v>
      </c>
      <c r="I49" s="3">
        <v>3.5179999999999998</v>
      </c>
      <c r="J49" s="3">
        <v>4.22</v>
      </c>
      <c r="K49" s="3">
        <v>1.359</v>
      </c>
    </row>
    <row r="50" spans="2:11" x14ac:dyDescent="0.25">
      <c r="B50" s="2" t="s">
        <v>3306</v>
      </c>
      <c r="C50" s="2" t="s">
        <v>3307</v>
      </c>
      <c r="D50" s="3">
        <v>27.01</v>
      </c>
      <c r="E50" s="3">
        <v>0</v>
      </c>
      <c r="F50" s="3">
        <v>0</v>
      </c>
      <c r="G50" s="3">
        <v>0</v>
      </c>
      <c r="H50" s="3">
        <v>83</v>
      </c>
      <c r="I50" s="3">
        <v>4.859</v>
      </c>
      <c r="J50" s="3">
        <v>5.4779999999999998</v>
      </c>
      <c r="K50" s="3">
        <v>2.073</v>
      </c>
    </row>
    <row r="51" spans="2:11" x14ac:dyDescent="0.25">
      <c r="B51" s="2" t="s">
        <v>3308</v>
      </c>
      <c r="C51" s="2" t="s">
        <v>3309</v>
      </c>
      <c r="D51" s="3">
        <v>21.99</v>
      </c>
      <c r="E51" s="3">
        <v>0</v>
      </c>
      <c r="F51" s="3">
        <v>0</v>
      </c>
      <c r="G51" s="3">
        <v>0</v>
      </c>
      <c r="H51" s="3">
        <v>58</v>
      </c>
      <c r="I51" s="3">
        <v>1.0980000000000001</v>
      </c>
      <c r="J51" s="3">
        <v>1.3460000000000001</v>
      </c>
      <c r="K51" s="3">
        <v>0.41499999999999998</v>
      </c>
    </row>
    <row r="52" spans="2:11" x14ac:dyDescent="0.25">
      <c r="B52" s="2" t="s">
        <v>3310</v>
      </c>
      <c r="C52" s="2" t="s">
        <v>3311</v>
      </c>
      <c r="D52" s="3">
        <v>30.2</v>
      </c>
      <c r="E52" s="3">
        <v>0</v>
      </c>
      <c r="F52" s="3">
        <v>0</v>
      </c>
      <c r="G52" s="3">
        <v>0</v>
      </c>
      <c r="H52" s="3">
        <v>75</v>
      </c>
      <c r="I52" s="3">
        <v>2.6709999999999998</v>
      </c>
      <c r="J52" s="3">
        <v>3.1139999999999999</v>
      </c>
      <c r="K52" s="3">
        <v>1.089</v>
      </c>
    </row>
    <row r="53" spans="2:11" x14ac:dyDescent="0.25">
      <c r="B53" s="2" t="s">
        <v>3312</v>
      </c>
      <c r="C53" s="2" t="s">
        <v>3313</v>
      </c>
      <c r="D53" s="3">
        <v>26.76</v>
      </c>
      <c r="E53" s="3">
        <v>0</v>
      </c>
      <c r="F53" s="3">
        <v>0</v>
      </c>
      <c r="G53" s="3">
        <v>0</v>
      </c>
      <c r="H53" s="3">
        <v>56</v>
      </c>
      <c r="I53" s="3">
        <v>2.1560000000000001</v>
      </c>
      <c r="J53" s="3">
        <v>2.6429999999999998</v>
      </c>
      <c r="K53" s="3">
        <v>0.81599999999999995</v>
      </c>
    </row>
    <row r="54" spans="2:11" x14ac:dyDescent="0.25">
      <c r="B54" s="2" t="s">
        <v>3314</v>
      </c>
      <c r="C54" s="2" t="s">
        <v>3315</v>
      </c>
      <c r="D54" s="3">
        <v>28.58</v>
      </c>
      <c r="E54" s="3">
        <v>0</v>
      </c>
      <c r="F54" s="3">
        <v>0</v>
      </c>
      <c r="G54" s="3">
        <v>0</v>
      </c>
      <c r="H54" s="3">
        <v>86</v>
      </c>
      <c r="I54" s="3">
        <v>2.9319999999999999</v>
      </c>
      <c r="J54" s="3">
        <v>3.3980000000000001</v>
      </c>
      <c r="K54" s="3">
        <v>1.1619999999999999</v>
      </c>
    </row>
    <row r="55" spans="2:11" x14ac:dyDescent="0.25">
      <c r="B55" s="2" t="s">
        <v>3316</v>
      </c>
      <c r="C55" s="2" t="s">
        <v>3317</v>
      </c>
      <c r="D55" s="3">
        <v>20.28</v>
      </c>
      <c r="E55" s="3">
        <v>0</v>
      </c>
      <c r="F55" s="3">
        <v>0</v>
      </c>
      <c r="G55" s="3">
        <v>0</v>
      </c>
      <c r="H55" s="3">
        <v>56</v>
      </c>
      <c r="I55" s="3">
        <v>2.3650000000000002</v>
      </c>
      <c r="J55" s="3">
        <v>2.7559999999999998</v>
      </c>
      <c r="K55" s="3">
        <v>0.96399999999999997</v>
      </c>
    </row>
    <row r="56" spans="2:11" x14ac:dyDescent="0.25">
      <c r="B56" s="2" t="s">
        <v>3318</v>
      </c>
      <c r="C56" s="2" t="s">
        <v>3319</v>
      </c>
      <c r="D56" s="3">
        <v>26.66</v>
      </c>
      <c r="E56" s="3">
        <v>0</v>
      </c>
      <c r="F56" s="3">
        <v>0</v>
      </c>
      <c r="G56" s="3">
        <v>0</v>
      </c>
      <c r="H56" s="3">
        <v>70</v>
      </c>
      <c r="I56" s="3">
        <v>5.4349999999999996</v>
      </c>
      <c r="J56" s="3">
        <v>6.0880000000000001</v>
      </c>
      <c r="K56" s="3">
        <v>2.3969999999999998</v>
      </c>
    </row>
    <row r="57" spans="2:11" x14ac:dyDescent="0.25">
      <c r="B57" s="2" t="s">
        <v>3320</v>
      </c>
      <c r="C57" s="2" t="s">
        <v>3321</v>
      </c>
      <c r="D57" s="3">
        <v>24.42</v>
      </c>
      <c r="E57" s="3">
        <v>0</v>
      </c>
      <c r="F57" s="3">
        <v>0</v>
      </c>
      <c r="G57" s="3">
        <v>0</v>
      </c>
      <c r="H57" s="3">
        <v>55</v>
      </c>
      <c r="I57" s="3">
        <v>4.4859999999999998</v>
      </c>
      <c r="J57" s="3">
        <v>5.41</v>
      </c>
      <c r="K57" s="3">
        <v>1.593</v>
      </c>
    </row>
    <row r="58" spans="2:11" x14ac:dyDescent="0.25">
      <c r="B58" s="2" t="s">
        <v>3322</v>
      </c>
      <c r="C58" s="2" t="s">
        <v>3323</v>
      </c>
      <c r="D58" s="3">
        <v>26.99</v>
      </c>
      <c r="E58" s="3">
        <v>0</v>
      </c>
      <c r="F58" s="3">
        <v>0</v>
      </c>
      <c r="G58" s="3">
        <v>0</v>
      </c>
      <c r="H58" s="3">
        <v>91</v>
      </c>
      <c r="I58" s="3">
        <v>5.4420000000000002</v>
      </c>
      <c r="J58" s="3">
        <v>6.1829999999999998</v>
      </c>
      <c r="K58" s="3">
        <v>2.4740000000000002</v>
      </c>
    </row>
    <row r="59" spans="2:11" x14ac:dyDescent="0.25">
      <c r="B59" s="2" t="s">
        <v>3324</v>
      </c>
      <c r="C59" s="2" t="s">
        <v>3325</v>
      </c>
      <c r="D59" s="3">
        <v>21.79</v>
      </c>
      <c r="E59" s="3">
        <v>0</v>
      </c>
      <c r="F59" s="3">
        <v>0</v>
      </c>
      <c r="G59" s="3">
        <v>0</v>
      </c>
      <c r="H59" s="3">
        <v>60</v>
      </c>
      <c r="I59" s="3">
        <v>1.617</v>
      </c>
      <c r="J59" s="3">
        <v>1.9990000000000001</v>
      </c>
      <c r="K59" s="3">
        <v>0.52400000000000002</v>
      </c>
    </row>
    <row r="60" spans="2:11" x14ac:dyDescent="0.25">
      <c r="B60" s="2" t="s">
        <v>3326</v>
      </c>
      <c r="C60" s="2" t="s">
        <v>3327</v>
      </c>
      <c r="D60" s="3">
        <v>29.03</v>
      </c>
      <c r="E60" s="3">
        <v>0</v>
      </c>
      <c r="F60" s="3">
        <v>0</v>
      </c>
      <c r="G60" s="3">
        <v>0</v>
      </c>
      <c r="H60" s="3">
        <v>72</v>
      </c>
      <c r="I60" s="3">
        <v>2.3889999999999998</v>
      </c>
      <c r="J60" s="3">
        <v>5.3680000000000003</v>
      </c>
      <c r="K60" s="3">
        <v>1.0089999999999999</v>
      </c>
    </row>
    <row r="61" spans="2:11" x14ac:dyDescent="0.25">
      <c r="B61" s="2" t="s">
        <v>3328</v>
      </c>
      <c r="C61" s="2" t="s">
        <v>3329</v>
      </c>
      <c r="D61" s="3">
        <v>25.79</v>
      </c>
      <c r="E61" s="3">
        <v>0</v>
      </c>
      <c r="F61" s="3">
        <v>0</v>
      </c>
      <c r="G61" s="3">
        <v>0</v>
      </c>
      <c r="H61" s="3">
        <v>57</v>
      </c>
      <c r="I61" s="3">
        <v>2.8159999999999998</v>
      </c>
      <c r="J61" s="3">
        <v>3.4820000000000002</v>
      </c>
      <c r="K61" s="3">
        <v>0.91300000000000003</v>
      </c>
    </row>
    <row r="62" spans="2:11" x14ac:dyDescent="0.25">
      <c r="B62" s="2" t="s">
        <v>3330</v>
      </c>
      <c r="C62" s="2" t="s">
        <v>3331</v>
      </c>
      <c r="D62" s="3">
        <v>28.82</v>
      </c>
      <c r="E62" s="3">
        <v>0</v>
      </c>
      <c r="F62" s="3">
        <v>0</v>
      </c>
      <c r="G62" s="3">
        <v>0</v>
      </c>
      <c r="H62" s="3">
        <v>95</v>
      </c>
      <c r="I62" s="3">
        <v>3.254</v>
      </c>
      <c r="J62" s="3">
        <v>3.83</v>
      </c>
      <c r="K62" s="3">
        <v>1.4530000000000001</v>
      </c>
    </row>
    <row r="63" spans="2:11" x14ac:dyDescent="0.25">
      <c r="B63" s="2" t="s">
        <v>3332</v>
      </c>
      <c r="C63" s="2" t="s">
        <v>3333</v>
      </c>
      <c r="D63" s="3">
        <v>20.48</v>
      </c>
      <c r="E63" s="3">
        <v>0</v>
      </c>
      <c r="F63" s="3">
        <v>0</v>
      </c>
      <c r="G63" s="3">
        <v>0</v>
      </c>
      <c r="H63" s="3">
        <v>57</v>
      </c>
      <c r="I63" s="3">
        <v>1.851</v>
      </c>
      <c r="J63" s="3">
        <v>2.157</v>
      </c>
      <c r="K63" s="3">
        <v>0.754</v>
      </c>
    </row>
    <row r="64" spans="2:11" x14ac:dyDescent="0.25">
      <c r="B64" s="2" t="s">
        <v>3334</v>
      </c>
      <c r="C64" s="2" t="s">
        <v>3335</v>
      </c>
      <c r="D64" s="3">
        <v>28.81</v>
      </c>
      <c r="E64" s="3">
        <v>0</v>
      </c>
      <c r="F64" s="3">
        <v>0</v>
      </c>
      <c r="G64" s="3">
        <v>0</v>
      </c>
      <c r="H64" s="3">
        <v>58</v>
      </c>
      <c r="I64" s="3">
        <v>4.2939999999999996</v>
      </c>
      <c r="J64" s="3">
        <v>5.18</v>
      </c>
      <c r="K64" s="3">
        <v>2.16</v>
      </c>
    </row>
    <row r="65" spans="2:11" x14ac:dyDescent="0.25">
      <c r="B65" s="2" t="s">
        <v>3336</v>
      </c>
      <c r="C65" s="2" t="s">
        <v>3337</v>
      </c>
      <c r="D65" s="3">
        <v>26.96</v>
      </c>
      <c r="E65" s="3">
        <v>0</v>
      </c>
      <c r="F65" s="3">
        <v>0</v>
      </c>
      <c r="G65" s="3">
        <v>0</v>
      </c>
      <c r="H65" s="3">
        <v>86</v>
      </c>
      <c r="I65" s="3">
        <v>4.0449999999999999</v>
      </c>
      <c r="J65" s="3">
        <v>4.8419999999999996</v>
      </c>
      <c r="K65" s="3">
        <v>1.9079999999999999</v>
      </c>
    </row>
    <row r="66" spans="2:11" x14ac:dyDescent="0.25">
      <c r="B66" s="2" t="s">
        <v>3338</v>
      </c>
      <c r="C66" s="2" t="s">
        <v>3339</v>
      </c>
      <c r="D66" s="3">
        <v>26.64</v>
      </c>
      <c r="E66" s="3">
        <v>0</v>
      </c>
      <c r="F66" s="3">
        <v>0</v>
      </c>
      <c r="G66" s="3">
        <v>0</v>
      </c>
      <c r="H66" s="3">
        <v>57</v>
      </c>
      <c r="I66" s="3">
        <v>4.1130000000000004</v>
      </c>
      <c r="J66" s="3">
        <v>5.0419999999999998</v>
      </c>
      <c r="K66" s="3">
        <v>1.4990000000000001</v>
      </c>
    </row>
    <row r="67" spans="2:11" x14ac:dyDescent="0.25">
      <c r="B67" s="2" t="s">
        <v>3340</v>
      </c>
      <c r="C67" s="2" t="s">
        <v>3341</v>
      </c>
      <c r="D67" s="3">
        <v>21.65</v>
      </c>
      <c r="E67" s="3">
        <v>0</v>
      </c>
      <c r="F67" s="3">
        <v>0</v>
      </c>
      <c r="G67" s="3">
        <v>0</v>
      </c>
      <c r="H67" s="3">
        <v>59</v>
      </c>
      <c r="J67" s="3">
        <v>1.5369999999999999</v>
      </c>
      <c r="K67" s="3">
        <v>0.42399999999999999</v>
      </c>
    </row>
    <row r="68" spans="2:11" x14ac:dyDescent="0.25">
      <c r="B68" s="2" t="s">
        <v>3342</v>
      </c>
      <c r="C68" s="2" t="s">
        <v>3343</v>
      </c>
      <c r="D68" s="3">
        <v>31</v>
      </c>
      <c r="E68" s="3">
        <v>0</v>
      </c>
      <c r="F68" s="3">
        <v>0</v>
      </c>
      <c r="G68" s="3">
        <v>0</v>
      </c>
      <c r="H68" s="3">
        <v>58</v>
      </c>
      <c r="I68" s="3">
        <v>2.327</v>
      </c>
      <c r="J68" s="3">
        <v>2.7850000000000001</v>
      </c>
      <c r="K68" s="3">
        <v>1.2170000000000001</v>
      </c>
    </row>
    <row r="69" spans="2:11" x14ac:dyDescent="0.25">
      <c r="B69" s="2" t="s">
        <v>3344</v>
      </c>
      <c r="C69" s="2" t="s">
        <v>3345</v>
      </c>
      <c r="D69" s="3">
        <v>29.29</v>
      </c>
      <c r="E69" s="3">
        <v>0</v>
      </c>
      <c r="F69" s="3">
        <v>0</v>
      </c>
      <c r="G69" s="3">
        <v>0</v>
      </c>
      <c r="H69" s="3">
        <v>89</v>
      </c>
      <c r="I69" s="3">
        <v>1.718</v>
      </c>
      <c r="J69" s="3">
        <v>2.0070000000000001</v>
      </c>
      <c r="K69" s="3">
        <v>0.77700000000000002</v>
      </c>
    </row>
    <row r="70" spans="2:11" x14ac:dyDescent="0.25">
      <c r="B70" s="2" t="s">
        <v>3346</v>
      </c>
      <c r="C70" s="2" t="s">
        <v>3347</v>
      </c>
      <c r="D70" s="3">
        <v>27.78</v>
      </c>
      <c r="E70" s="3">
        <v>0</v>
      </c>
      <c r="F70" s="3">
        <v>0</v>
      </c>
      <c r="G70" s="3">
        <v>0</v>
      </c>
      <c r="H70" s="3">
        <v>59</v>
      </c>
      <c r="I70" s="3">
        <v>2.871</v>
      </c>
      <c r="J70" s="3">
        <v>3.6120000000000001</v>
      </c>
      <c r="K70" s="3">
        <v>0.997</v>
      </c>
    </row>
    <row r="71" spans="2:11" x14ac:dyDescent="0.25">
      <c r="B71" s="2" t="s">
        <v>3348</v>
      </c>
      <c r="C71" s="2" t="s">
        <v>3349</v>
      </c>
      <c r="D71" s="3">
        <v>20.95</v>
      </c>
      <c r="E71" s="3">
        <v>0</v>
      </c>
      <c r="F71" s="3">
        <v>0</v>
      </c>
      <c r="G71" s="3">
        <v>0</v>
      </c>
      <c r="H71" s="3">
        <v>53</v>
      </c>
      <c r="I71" s="3">
        <v>0.69799999999999995</v>
      </c>
      <c r="J71" s="3">
        <v>0.79200000000000004</v>
      </c>
      <c r="K71" s="3">
        <v>0.36699999999999999</v>
      </c>
    </row>
    <row r="72" spans="2:11" x14ac:dyDescent="0.25">
      <c r="B72" s="2" t="s">
        <v>3350</v>
      </c>
      <c r="C72" s="2" t="s">
        <v>3351</v>
      </c>
      <c r="D72" s="3">
        <v>26.17</v>
      </c>
      <c r="E72" s="3">
        <v>0</v>
      </c>
      <c r="F72" s="3">
        <v>0</v>
      </c>
      <c r="G72" s="3">
        <v>0</v>
      </c>
      <c r="H72" s="3">
        <v>57</v>
      </c>
      <c r="I72" s="3">
        <v>1.198</v>
      </c>
      <c r="J72" s="3">
        <v>1.3340000000000001</v>
      </c>
      <c r="K72" s="3">
        <v>0.50600000000000001</v>
      </c>
    </row>
    <row r="73" spans="2:11" x14ac:dyDescent="0.25">
      <c r="B73" s="2" t="s">
        <v>3352</v>
      </c>
      <c r="C73" s="2" t="s">
        <v>3353</v>
      </c>
      <c r="D73" s="3">
        <v>21.55</v>
      </c>
      <c r="E73" s="3">
        <v>0</v>
      </c>
      <c r="F73" s="3">
        <v>0</v>
      </c>
      <c r="G73" s="3">
        <v>0</v>
      </c>
      <c r="H73" s="3">
        <v>48</v>
      </c>
      <c r="I73" s="3">
        <v>2.4500000000000002</v>
      </c>
      <c r="J73" s="3">
        <v>2.9849999999999999</v>
      </c>
      <c r="K73" s="3">
        <v>0.878</v>
      </c>
    </row>
    <row r="74" spans="2:11" x14ac:dyDescent="0.25">
      <c r="B74" s="2" t="s">
        <v>3354</v>
      </c>
      <c r="C74" s="2" t="s">
        <v>3355</v>
      </c>
      <c r="D74" s="3">
        <v>29.2</v>
      </c>
      <c r="E74" s="3">
        <v>0</v>
      </c>
      <c r="F74" s="3">
        <v>0</v>
      </c>
      <c r="G74" s="3">
        <v>0</v>
      </c>
      <c r="H74" s="3">
        <v>66</v>
      </c>
      <c r="I74" s="3">
        <v>3.218</v>
      </c>
      <c r="J74" s="3">
        <v>3.625</v>
      </c>
      <c r="K74" s="3">
        <v>1.29</v>
      </c>
    </row>
    <row r="75" spans="2:11" x14ac:dyDescent="0.25">
      <c r="B75" s="2" t="s">
        <v>3356</v>
      </c>
      <c r="C75" s="2" t="s">
        <v>3357</v>
      </c>
      <c r="D75" s="3">
        <v>26.62</v>
      </c>
      <c r="E75" s="3">
        <v>0</v>
      </c>
      <c r="F75" s="3">
        <v>0</v>
      </c>
      <c r="G75" s="3">
        <v>0</v>
      </c>
      <c r="H75" s="3">
        <v>44</v>
      </c>
      <c r="I75" s="3">
        <v>3.1640000000000001</v>
      </c>
      <c r="J75" s="3">
        <v>3.9039999999999999</v>
      </c>
      <c r="K75" s="3">
        <v>1.048</v>
      </c>
    </row>
    <row r="76" spans="2:11" x14ac:dyDescent="0.25">
      <c r="B76" s="2" t="s">
        <v>3358</v>
      </c>
      <c r="C76" s="2" t="s">
        <v>3359</v>
      </c>
      <c r="D76" s="3">
        <v>26.45</v>
      </c>
      <c r="E76" s="3">
        <v>0</v>
      </c>
      <c r="F76" s="3">
        <v>0</v>
      </c>
      <c r="G76" s="3">
        <v>0</v>
      </c>
      <c r="H76" s="3">
        <v>46</v>
      </c>
      <c r="I76" s="3">
        <v>2.839</v>
      </c>
      <c r="J76" s="3">
        <v>3.5169999999999999</v>
      </c>
      <c r="K76" s="3">
        <v>0.999</v>
      </c>
    </row>
    <row r="77" spans="2:11" x14ac:dyDescent="0.25">
      <c r="B77" s="2" t="s">
        <v>3360</v>
      </c>
      <c r="C77" s="2" t="s">
        <v>3361</v>
      </c>
      <c r="D77" s="3">
        <v>22.41</v>
      </c>
      <c r="E77" s="3">
        <v>0</v>
      </c>
      <c r="F77" s="3">
        <v>0</v>
      </c>
      <c r="G77" s="3">
        <v>0</v>
      </c>
      <c r="H77" s="3">
        <v>49</v>
      </c>
      <c r="I77" s="3">
        <v>1.208</v>
      </c>
      <c r="J77" s="3">
        <v>1.546</v>
      </c>
      <c r="K77" s="3">
        <v>0.36599999999999999</v>
      </c>
    </row>
    <row r="78" spans="2:11" x14ac:dyDescent="0.25">
      <c r="B78" s="2" t="s">
        <v>3362</v>
      </c>
      <c r="C78" s="2" t="s">
        <v>3363</v>
      </c>
      <c r="D78" s="3">
        <v>30.54</v>
      </c>
      <c r="E78" s="3">
        <v>0</v>
      </c>
      <c r="F78" s="3">
        <v>0</v>
      </c>
      <c r="G78" s="3">
        <v>0</v>
      </c>
      <c r="H78" s="3">
        <v>67</v>
      </c>
      <c r="I78" s="3">
        <v>1.657</v>
      </c>
      <c r="J78" s="3">
        <v>1.9339999999999999</v>
      </c>
      <c r="K78" s="3">
        <v>0.55100000000000005</v>
      </c>
    </row>
    <row r="79" spans="2:11" x14ac:dyDescent="0.25">
      <c r="B79" s="2" t="s">
        <v>3364</v>
      </c>
      <c r="C79" s="2" t="s">
        <v>3365</v>
      </c>
      <c r="D79" s="3">
        <v>27.58</v>
      </c>
      <c r="E79" s="3">
        <v>0</v>
      </c>
      <c r="F79" s="3">
        <v>0</v>
      </c>
      <c r="G79" s="3">
        <v>0</v>
      </c>
      <c r="H79" s="3">
        <v>45</v>
      </c>
      <c r="I79" s="3">
        <v>2.077</v>
      </c>
      <c r="J79" s="3">
        <v>2.6509999999999998</v>
      </c>
      <c r="K79" s="3">
        <v>0.60499999999999998</v>
      </c>
    </row>
    <row r="80" spans="2:11" x14ac:dyDescent="0.25">
      <c r="B80" s="2" t="s">
        <v>3366</v>
      </c>
      <c r="C80" s="2" t="s">
        <v>3367</v>
      </c>
      <c r="D80" s="3">
        <v>27.23</v>
      </c>
      <c r="E80" s="3">
        <v>0</v>
      </c>
      <c r="F80" s="3">
        <v>0</v>
      </c>
      <c r="G80" s="3">
        <v>0</v>
      </c>
      <c r="H80" s="3">
        <v>47</v>
      </c>
      <c r="I80" s="3">
        <v>1.927</v>
      </c>
      <c r="J80" s="3">
        <v>2.464</v>
      </c>
      <c r="K80" s="3">
        <v>0.63100000000000001</v>
      </c>
    </row>
    <row r="81" spans="2:11" x14ac:dyDescent="0.25">
      <c r="B81" s="2" t="s">
        <v>3368</v>
      </c>
      <c r="C81" s="2" t="s">
        <v>3369</v>
      </c>
      <c r="D81" s="3">
        <v>17.18</v>
      </c>
      <c r="E81" s="3">
        <v>0</v>
      </c>
      <c r="F81" s="3">
        <v>0</v>
      </c>
      <c r="G81" s="3">
        <v>0</v>
      </c>
      <c r="H81" s="3">
        <v>65</v>
      </c>
      <c r="I81" s="3">
        <v>6.24</v>
      </c>
      <c r="J81" s="3">
        <v>8.01</v>
      </c>
      <c r="K81" s="3">
        <v>1.92</v>
      </c>
    </row>
    <row r="82" spans="2:11" x14ac:dyDescent="0.25">
      <c r="B82" s="2" t="s">
        <v>3370</v>
      </c>
      <c r="C82" s="2" t="s">
        <v>3371</v>
      </c>
      <c r="D82" s="3">
        <v>23.28</v>
      </c>
      <c r="E82" s="3">
        <v>0</v>
      </c>
      <c r="F82" s="3">
        <v>0</v>
      </c>
      <c r="G82" s="3">
        <v>0</v>
      </c>
      <c r="H82" s="3">
        <v>68</v>
      </c>
      <c r="I82" s="3">
        <v>7.86</v>
      </c>
      <c r="J82" s="3">
        <v>9.4700000000000006</v>
      </c>
      <c r="K82" s="3">
        <v>2.0499999999999998</v>
      </c>
    </row>
    <row r="83" spans="2:11" x14ac:dyDescent="0.25">
      <c r="B83" s="2" t="s">
        <v>3372</v>
      </c>
      <c r="C83" s="2" t="s">
        <v>3373</v>
      </c>
      <c r="D83" s="3">
        <v>19.55</v>
      </c>
      <c r="E83" s="3">
        <v>0</v>
      </c>
      <c r="F83" s="3">
        <v>0</v>
      </c>
      <c r="H83" s="3">
        <v>76</v>
      </c>
      <c r="I83" s="3">
        <v>2.4700000000000002</v>
      </c>
      <c r="J83" s="3">
        <v>3.23</v>
      </c>
      <c r="K83" s="3">
        <v>0.77</v>
      </c>
    </row>
    <row r="84" spans="2:11" x14ac:dyDescent="0.25">
      <c r="B84" s="2" t="s">
        <v>3374</v>
      </c>
      <c r="C84" s="2" t="s">
        <v>3375</v>
      </c>
      <c r="D84" s="3">
        <v>25.33</v>
      </c>
      <c r="E84" s="3">
        <v>0</v>
      </c>
      <c r="F84" s="3">
        <v>0</v>
      </c>
      <c r="G84" s="3">
        <v>0</v>
      </c>
      <c r="H84" s="3">
        <v>75</v>
      </c>
      <c r="I84" s="3">
        <v>4.79</v>
      </c>
      <c r="J84" s="3">
        <v>6.17</v>
      </c>
      <c r="K84" s="3">
        <v>1.25</v>
      </c>
    </row>
    <row r="85" spans="2:11" x14ac:dyDescent="0.25">
      <c r="B85" s="2" t="s">
        <v>3376</v>
      </c>
      <c r="C85" s="2" t="s">
        <v>3377</v>
      </c>
      <c r="D85" s="3">
        <v>18.71</v>
      </c>
      <c r="E85" s="3">
        <v>0</v>
      </c>
      <c r="F85" s="3">
        <v>0</v>
      </c>
      <c r="G85" s="3">
        <v>0</v>
      </c>
      <c r="H85" s="3">
        <v>84</v>
      </c>
      <c r="I85" s="3">
        <v>4.1399999999999997</v>
      </c>
      <c r="J85" s="3">
        <v>5.367</v>
      </c>
      <c r="K85" s="3">
        <v>2.4740000000000002</v>
      </c>
    </row>
    <row r="86" spans="2:11" x14ac:dyDescent="0.25">
      <c r="B86" s="2" t="s">
        <v>3378</v>
      </c>
      <c r="C86" s="2" t="s">
        <v>3379</v>
      </c>
      <c r="D86" s="3">
        <v>24.88</v>
      </c>
      <c r="E86" s="3">
        <v>0</v>
      </c>
      <c r="F86" s="3">
        <v>0</v>
      </c>
      <c r="G86" s="3">
        <v>0</v>
      </c>
      <c r="H86" s="3">
        <v>96</v>
      </c>
      <c r="I86" s="3">
        <v>4.8540000000000001</v>
      </c>
      <c r="J86" s="3">
        <v>6.173</v>
      </c>
      <c r="K86" s="3">
        <v>2.7829999999999999</v>
      </c>
    </row>
    <row r="87" spans="2:11" x14ac:dyDescent="0.25">
      <c r="B87" s="2" t="s">
        <v>3380</v>
      </c>
      <c r="C87" s="2" t="s">
        <v>3381</v>
      </c>
      <c r="D87" s="3">
        <v>23.47</v>
      </c>
      <c r="E87" s="3">
        <v>0</v>
      </c>
      <c r="F87" s="3">
        <v>0</v>
      </c>
      <c r="H87" s="3">
        <v>70</v>
      </c>
      <c r="I87" s="3">
        <v>8.7799999999999994</v>
      </c>
      <c r="J87" s="3">
        <v>10.72</v>
      </c>
      <c r="K87" s="3">
        <v>2.35</v>
      </c>
    </row>
    <row r="88" spans="2:11" x14ac:dyDescent="0.25">
      <c r="B88" s="2" t="s">
        <v>3382</v>
      </c>
      <c r="C88" s="2" t="s">
        <v>3383</v>
      </c>
      <c r="D88" s="3">
        <v>20.260000000000002</v>
      </c>
      <c r="E88" s="3">
        <v>0</v>
      </c>
      <c r="F88" s="3">
        <v>0</v>
      </c>
      <c r="G88" s="3">
        <v>0</v>
      </c>
      <c r="H88" s="3">
        <v>90</v>
      </c>
      <c r="I88" s="3">
        <v>1.206</v>
      </c>
      <c r="J88" s="3">
        <v>1.6379999999999999</v>
      </c>
      <c r="K88" s="3">
        <v>0.71199999999999997</v>
      </c>
    </row>
    <row r="89" spans="2:11" x14ac:dyDescent="0.25">
      <c r="B89" s="2" t="s">
        <v>3384</v>
      </c>
      <c r="C89" s="2" t="s">
        <v>3385</v>
      </c>
      <c r="D89" s="3">
        <v>26.76</v>
      </c>
      <c r="E89" s="3">
        <v>0</v>
      </c>
      <c r="F89" s="3">
        <v>0</v>
      </c>
      <c r="G89" s="3">
        <v>0</v>
      </c>
      <c r="H89" s="3">
        <v>100</v>
      </c>
      <c r="I89" s="3">
        <v>2.85</v>
      </c>
      <c r="J89" s="3">
        <v>3.7669999999999999</v>
      </c>
      <c r="K89" s="3">
        <v>1.859</v>
      </c>
    </row>
    <row r="90" spans="2:11" x14ac:dyDescent="0.25">
      <c r="B90" s="2" t="s">
        <v>3386</v>
      </c>
      <c r="C90" s="2" t="s">
        <v>3387</v>
      </c>
      <c r="D90" s="3">
        <v>26.68</v>
      </c>
      <c r="E90" s="3">
        <v>0</v>
      </c>
      <c r="F90" s="3">
        <v>0</v>
      </c>
      <c r="H90" s="3">
        <v>80</v>
      </c>
      <c r="I90" s="3">
        <v>4.3</v>
      </c>
      <c r="J90" s="3">
        <v>5.98</v>
      </c>
      <c r="K90" s="3">
        <v>1.2</v>
      </c>
    </row>
    <row r="91" spans="2:11" x14ac:dyDescent="0.25">
      <c r="B91" s="2" t="s">
        <v>3388</v>
      </c>
      <c r="C91" s="2" t="s">
        <v>3389</v>
      </c>
      <c r="D91" s="3">
        <v>17.420000000000002</v>
      </c>
      <c r="E91" s="3">
        <v>0</v>
      </c>
      <c r="F91" s="3">
        <v>0</v>
      </c>
      <c r="G91" s="3">
        <v>0</v>
      </c>
      <c r="H91" s="3">
        <v>61</v>
      </c>
      <c r="I91" s="3">
        <v>4.3479999999999999</v>
      </c>
      <c r="J91" s="3">
        <v>5.2060000000000004</v>
      </c>
      <c r="K91" s="3">
        <v>1.597</v>
      </c>
    </row>
    <row r="92" spans="2:11" x14ac:dyDescent="0.25">
      <c r="B92" s="2" t="s">
        <v>3390</v>
      </c>
      <c r="C92" s="2" t="s">
        <v>3391</v>
      </c>
      <c r="D92" s="3">
        <v>25.07</v>
      </c>
      <c r="E92" s="3">
        <v>0</v>
      </c>
      <c r="F92" s="3">
        <v>0</v>
      </c>
      <c r="G92" s="3">
        <v>0</v>
      </c>
      <c r="H92" s="3">
        <v>58</v>
      </c>
      <c r="I92" s="3">
        <v>6.5839999999999996</v>
      </c>
      <c r="J92" s="3">
        <v>7.9870000000000001</v>
      </c>
      <c r="K92" s="3">
        <v>2.0720000000000001</v>
      </c>
    </row>
    <row r="93" spans="2:11" x14ac:dyDescent="0.25">
      <c r="B93" s="2" t="s">
        <v>3392</v>
      </c>
      <c r="C93" s="2" t="s">
        <v>3393</v>
      </c>
      <c r="D93" s="3">
        <v>25.58</v>
      </c>
      <c r="E93" s="3">
        <v>0</v>
      </c>
      <c r="F93" s="3">
        <v>0</v>
      </c>
      <c r="G93" s="3">
        <v>0</v>
      </c>
      <c r="H93" s="3">
        <v>69</v>
      </c>
      <c r="I93" s="3">
        <v>5.95</v>
      </c>
      <c r="J93" s="3">
        <v>7.42</v>
      </c>
      <c r="K93" s="3">
        <v>1.46</v>
      </c>
    </row>
    <row r="94" spans="2:11" x14ac:dyDescent="0.25">
      <c r="B94" s="2" t="s">
        <v>3394</v>
      </c>
      <c r="C94" s="2" t="s">
        <v>3395</v>
      </c>
      <c r="D94" s="3">
        <v>23.11</v>
      </c>
      <c r="E94" s="3">
        <v>0</v>
      </c>
      <c r="F94" s="3">
        <v>0</v>
      </c>
      <c r="G94" s="3">
        <v>0</v>
      </c>
      <c r="H94" s="3">
        <v>67</v>
      </c>
      <c r="I94" s="3">
        <v>6.97</v>
      </c>
      <c r="J94" s="3">
        <v>8.27</v>
      </c>
      <c r="K94" s="3">
        <v>1.76</v>
      </c>
    </row>
    <row r="95" spans="2:11" x14ac:dyDescent="0.25">
      <c r="B95" s="2" t="s">
        <v>3396</v>
      </c>
      <c r="C95" s="2" t="s">
        <v>3397</v>
      </c>
      <c r="D95" s="3">
        <v>18.73</v>
      </c>
      <c r="E95" s="3">
        <v>0</v>
      </c>
      <c r="F95" s="3">
        <v>0</v>
      </c>
      <c r="G95" s="3">
        <v>0</v>
      </c>
      <c r="H95" s="3">
        <v>65</v>
      </c>
      <c r="I95" s="3">
        <v>1.998</v>
      </c>
      <c r="J95" s="3">
        <v>2.484</v>
      </c>
      <c r="K95" s="3">
        <v>0.62</v>
      </c>
    </row>
    <row r="96" spans="2:11" x14ac:dyDescent="0.25">
      <c r="B96" s="2" t="s">
        <v>3398</v>
      </c>
      <c r="C96" s="2" t="s">
        <v>3399</v>
      </c>
      <c r="D96" s="3">
        <v>26.57</v>
      </c>
      <c r="E96" s="3">
        <v>0</v>
      </c>
      <c r="F96" s="3">
        <v>0</v>
      </c>
      <c r="G96" s="3">
        <v>0</v>
      </c>
      <c r="H96" s="3">
        <v>60</v>
      </c>
      <c r="I96" s="3">
        <v>5.0229999999999997</v>
      </c>
      <c r="J96" s="3">
        <v>6.1989999999999998</v>
      </c>
      <c r="K96" s="3">
        <v>1.4019999999999999</v>
      </c>
    </row>
    <row r="97" spans="2:11" x14ac:dyDescent="0.25">
      <c r="B97" s="2" t="s">
        <v>3400</v>
      </c>
      <c r="C97" s="2" t="s">
        <v>3401</v>
      </c>
      <c r="D97" s="3">
        <v>26.74</v>
      </c>
      <c r="E97" s="3">
        <v>0</v>
      </c>
      <c r="F97" s="3">
        <v>0</v>
      </c>
      <c r="G97" s="3">
        <v>0</v>
      </c>
      <c r="H97" s="3">
        <v>74</v>
      </c>
      <c r="I97" s="3">
        <v>4.45</v>
      </c>
      <c r="J97" s="3">
        <v>5.64</v>
      </c>
      <c r="K97" s="3">
        <v>1.08</v>
      </c>
    </row>
    <row r="98" spans="2:11" x14ac:dyDescent="0.25">
      <c r="B98" s="2" t="s">
        <v>3402</v>
      </c>
      <c r="C98" s="2" t="s">
        <v>3403</v>
      </c>
      <c r="D98" s="3">
        <v>24.21</v>
      </c>
      <c r="E98" s="3">
        <v>0</v>
      </c>
      <c r="F98" s="3">
        <v>0</v>
      </c>
      <c r="G98" s="3">
        <v>0</v>
      </c>
      <c r="H98" s="3">
        <v>88</v>
      </c>
      <c r="I98" s="3">
        <v>5.19</v>
      </c>
      <c r="J98" s="3">
        <v>6.34</v>
      </c>
      <c r="K98" s="3">
        <v>1.29</v>
      </c>
    </row>
    <row r="99" spans="2:11" x14ac:dyDescent="0.25">
      <c r="B99" s="2" t="s">
        <v>3404</v>
      </c>
      <c r="C99" s="2" t="s">
        <v>3405</v>
      </c>
      <c r="D99" s="3">
        <v>15.47</v>
      </c>
      <c r="E99" s="3">
        <v>0</v>
      </c>
      <c r="F99" s="3">
        <v>0</v>
      </c>
      <c r="G99" s="3">
        <v>0</v>
      </c>
      <c r="H99" s="3">
        <v>81</v>
      </c>
      <c r="I99" s="3">
        <v>7.5289999999999999</v>
      </c>
      <c r="J99" s="3">
        <v>8.5419999999999998</v>
      </c>
      <c r="K99" s="3">
        <v>3.9529999999999998</v>
      </c>
    </row>
    <row r="100" spans="2:11" x14ac:dyDescent="0.25">
      <c r="B100" s="2" t="s">
        <v>3406</v>
      </c>
      <c r="C100" s="2" t="s">
        <v>3407</v>
      </c>
      <c r="D100" s="3">
        <v>29.06</v>
      </c>
      <c r="E100" s="3">
        <v>0</v>
      </c>
      <c r="F100" s="3">
        <v>0</v>
      </c>
      <c r="G100" s="3">
        <v>0</v>
      </c>
      <c r="H100" s="3">
        <v>93</v>
      </c>
      <c r="I100" s="3">
        <v>11.12</v>
      </c>
      <c r="J100" s="3">
        <v>13.48</v>
      </c>
      <c r="K100" s="3">
        <v>2.73</v>
      </c>
    </row>
    <row r="101" spans="2:11" x14ac:dyDescent="0.25">
      <c r="B101" s="2" t="s">
        <v>3408</v>
      </c>
      <c r="C101" s="2" t="s">
        <v>3409</v>
      </c>
      <c r="D101" s="3">
        <v>27.51</v>
      </c>
      <c r="E101" s="3">
        <v>0</v>
      </c>
      <c r="F101" s="3">
        <v>0</v>
      </c>
      <c r="G101" s="3">
        <v>0</v>
      </c>
      <c r="H101" s="3">
        <v>55</v>
      </c>
      <c r="I101" s="3">
        <v>3.0920000000000001</v>
      </c>
      <c r="J101" s="3">
        <v>3.9079999999999999</v>
      </c>
      <c r="K101" s="3">
        <v>0.86299999999999999</v>
      </c>
    </row>
    <row r="102" spans="2:11" x14ac:dyDescent="0.25">
      <c r="B102" s="2" t="s">
        <v>3410</v>
      </c>
      <c r="C102" s="2" t="s">
        <v>3411</v>
      </c>
      <c r="D102" s="3">
        <v>23.75</v>
      </c>
      <c r="E102" s="3">
        <v>0</v>
      </c>
      <c r="F102" s="3">
        <v>0</v>
      </c>
      <c r="G102" s="3">
        <v>0</v>
      </c>
      <c r="H102" s="3">
        <v>87</v>
      </c>
      <c r="I102" s="3">
        <v>0.80100000000000005</v>
      </c>
      <c r="J102" s="3">
        <v>0.95799999999999996</v>
      </c>
      <c r="K102" s="3">
        <v>0.28699999999999998</v>
      </c>
    </row>
    <row r="103" spans="2:11" x14ac:dyDescent="0.25">
      <c r="B103" s="2" t="s">
        <v>3412</v>
      </c>
      <c r="C103" s="2" t="s">
        <v>3413</v>
      </c>
      <c r="D103" s="3">
        <v>10.28</v>
      </c>
      <c r="E103" s="3">
        <v>0</v>
      </c>
      <c r="F103" s="3">
        <v>0</v>
      </c>
      <c r="H103" s="3">
        <v>120</v>
      </c>
      <c r="I103" s="3">
        <v>2.0790000000000002</v>
      </c>
      <c r="J103" s="3">
        <v>1.659</v>
      </c>
      <c r="K103" s="3">
        <v>1.429</v>
      </c>
    </row>
    <row r="104" spans="2:11" x14ac:dyDescent="0.25">
      <c r="B104" s="2" t="s">
        <v>3414</v>
      </c>
      <c r="C104" s="2" t="s">
        <v>3415</v>
      </c>
      <c r="D104" s="3">
        <v>12.14</v>
      </c>
      <c r="E104" s="3">
        <v>0</v>
      </c>
      <c r="F104" s="3">
        <v>0</v>
      </c>
      <c r="H104" s="3">
        <v>91</v>
      </c>
      <c r="I104" s="3">
        <v>2.15</v>
      </c>
      <c r="J104" s="3">
        <v>1.72</v>
      </c>
      <c r="K104" s="3">
        <v>1.47</v>
      </c>
    </row>
    <row r="105" spans="2:11" x14ac:dyDescent="0.25">
      <c r="B105" s="2" t="s">
        <v>3416</v>
      </c>
      <c r="C105" s="2" t="s">
        <v>3417</v>
      </c>
      <c r="D105" s="3">
        <v>7.64</v>
      </c>
      <c r="E105" s="3">
        <v>0</v>
      </c>
      <c r="F105" s="3">
        <v>0</v>
      </c>
      <c r="G105" s="3">
        <v>0</v>
      </c>
      <c r="H105" s="3">
        <v>24</v>
      </c>
      <c r="I105" s="3">
        <v>7.6189999999999998</v>
      </c>
      <c r="J105" s="3">
        <v>5.367</v>
      </c>
      <c r="K105" s="3">
        <v>0.996</v>
      </c>
    </row>
    <row r="106" spans="2:11" x14ac:dyDescent="0.25">
      <c r="B106" s="2" t="s">
        <v>3418</v>
      </c>
      <c r="C106" s="2" t="s">
        <v>3419</v>
      </c>
      <c r="D106" s="3">
        <v>12.49</v>
      </c>
      <c r="E106" s="3">
        <v>0</v>
      </c>
      <c r="F106" s="3">
        <v>0</v>
      </c>
      <c r="G106" s="3">
        <v>0</v>
      </c>
      <c r="H106" s="3">
        <v>18</v>
      </c>
      <c r="I106" s="3">
        <v>9.52</v>
      </c>
      <c r="J106" s="3">
        <v>7.0730000000000004</v>
      </c>
      <c r="K106" s="3">
        <v>1.2170000000000001</v>
      </c>
    </row>
    <row r="107" spans="2:11" x14ac:dyDescent="0.25">
      <c r="B107" s="2" t="s">
        <v>3420</v>
      </c>
      <c r="C107" s="2" t="s">
        <v>3421</v>
      </c>
      <c r="D107" s="3">
        <v>22.45</v>
      </c>
      <c r="E107" s="3">
        <v>0.6</v>
      </c>
      <c r="F107" s="3">
        <v>0</v>
      </c>
      <c r="H107" s="3">
        <v>191</v>
      </c>
      <c r="I107" s="3">
        <v>5.39</v>
      </c>
      <c r="J107" s="3">
        <v>6.86</v>
      </c>
      <c r="K107" s="3">
        <v>1.61</v>
      </c>
    </row>
    <row r="108" spans="2:11" x14ac:dyDescent="0.25">
      <c r="B108" s="2" t="s">
        <v>3422</v>
      </c>
      <c r="C108" s="2" t="s">
        <v>3423</v>
      </c>
      <c r="D108" s="3">
        <v>15.95</v>
      </c>
      <c r="E108" s="3">
        <v>0.2</v>
      </c>
      <c r="F108" s="3">
        <v>0</v>
      </c>
      <c r="H108" s="3">
        <v>167</v>
      </c>
      <c r="I108" s="3">
        <v>3.86</v>
      </c>
      <c r="J108" s="3">
        <v>4.91</v>
      </c>
      <c r="K108" s="3">
        <v>1.1499999999999999</v>
      </c>
    </row>
    <row r="109" spans="2:11" x14ac:dyDescent="0.25">
      <c r="B109" s="2" t="s">
        <v>3424</v>
      </c>
      <c r="C109" s="2" t="s">
        <v>3425</v>
      </c>
      <c r="D109" s="3">
        <v>23.16</v>
      </c>
      <c r="E109" s="3">
        <v>0</v>
      </c>
      <c r="F109" s="3">
        <v>0</v>
      </c>
      <c r="G109" s="3">
        <v>0</v>
      </c>
      <c r="H109" s="3">
        <v>132</v>
      </c>
      <c r="I109" s="3">
        <v>3.57</v>
      </c>
      <c r="J109" s="3">
        <v>6.2889999999999997</v>
      </c>
      <c r="K109" s="3">
        <v>1.0920000000000001</v>
      </c>
    </row>
    <row r="110" spans="2:11" x14ac:dyDescent="0.25">
      <c r="B110" s="2" t="s">
        <v>3426</v>
      </c>
      <c r="C110" s="2" t="s">
        <v>3427</v>
      </c>
      <c r="D110" s="3">
        <v>17.27</v>
      </c>
      <c r="E110" s="3">
        <v>1.33</v>
      </c>
      <c r="F110" s="3">
        <v>0</v>
      </c>
      <c r="G110" s="3">
        <v>0</v>
      </c>
      <c r="H110" s="3">
        <v>56</v>
      </c>
      <c r="I110" s="3">
        <v>1.1599999999999999</v>
      </c>
      <c r="J110" s="3">
        <v>1.02</v>
      </c>
      <c r="K110" s="3">
        <v>1.1200000000000001</v>
      </c>
    </row>
    <row r="111" spans="2:11" x14ac:dyDescent="0.25">
      <c r="B111" s="2" t="s">
        <v>3428</v>
      </c>
      <c r="C111" s="2" t="s">
        <v>3429</v>
      </c>
      <c r="D111" s="3">
        <v>23.6</v>
      </c>
      <c r="E111" s="3">
        <v>0.4</v>
      </c>
      <c r="F111" s="3">
        <v>0</v>
      </c>
      <c r="H111" s="3">
        <v>35</v>
      </c>
      <c r="I111" s="3">
        <v>1.34</v>
      </c>
      <c r="J111" s="3">
        <v>1.18</v>
      </c>
      <c r="K111" s="3">
        <v>1.3</v>
      </c>
    </row>
    <row r="112" spans="2:11" x14ac:dyDescent="0.25">
      <c r="B112" s="2" t="s">
        <v>3430</v>
      </c>
      <c r="C112" s="2" t="s">
        <v>3431</v>
      </c>
      <c r="D112" s="3">
        <v>6.38</v>
      </c>
      <c r="E112" s="3">
        <v>0</v>
      </c>
      <c r="F112" s="3">
        <v>0</v>
      </c>
      <c r="G112" s="3">
        <v>0</v>
      </c>
      <c r="H112" s="3">
        <v>25</v>
      </c>
      <c r="I112" s="3">
        <v>25.26</v>
      </c>
      <c r="J112" s="3">
        <v>32.89</v>
      </c>
      <c r="K112" s="3">
        <v>8.11</v>
      </c>
    </row>
    <row r="113" spans="2:11" x14ac:dyDescent="0.25">
      <c r="B113" s="2" t="s">
        <v>3432</v>
      </c>
      <c r="C113" s="2" t="s">
        <v>3433</v>
      </c>
      <c r="D113" s="3">
        <v>16.46</v>
      </c>
      <c r="E113" s="3">
        <v>0</v>
      </c>
      <c r="F113" s="3">
        <v>0</v>
      </c>
      <c r="H113" s="3">
        <v>121</v>
      </c>
      <c r="I113" s="3">
        <v>1.04</v>
      </c>
      <c r="J113" s="3">
        <v>1.07</v>
      </c>
      <c r="K113" s="3">
        <v>0.26</v>
      </c>
    </row>
    <row r="114" spans="2:11" x14ac:dyDescent="0.25">
      <c r="B114" s="2" t="s">
        <v>3434</v>
      </c>
      <c r="C114" s="2" t="s">
        <v>3435</v>
      </c>
      <c r="D114" s="3">
        <v>25.4</v>
      </c>
      <c r="E114" s="3">
        <v>0</v>
      </c>
      <c r="F114" s="3">
        <v>0</v>
      </c>
      <c r="H114" s="3">
        <v>80</v>
      </c>
      <c r="I114" s="3">
        <v>1.51</v>
      </c>
      <c r="J114" s="3">
        <v>1.55</v>
      </c>
      <c r="K114" s="3">
        <v>0.38</v>
      </c>
    </row>
    <row r="115" spans="2:11" x14ac:dyDescent="0.25">
      <c r="B115" s="2" t="s">
        <v>3436</v>
      </c>
      <c r="C115" s="2" t="s">
        <v>3437</v>
      </c>
      <c r="D115" s="3">
        <v>1.76</v>
      </c>
      <c r="E115" s="3">
        <v>0</v>
      </c>
      <c r="F115" s="3">
        <v>0</v>
      </c>
      <c r="H115" s="3">
        <v>5</v>
      </c>
      <c r="I115" s="3">
        <v>45.23</v>
      </c>
      <c r="J115" s="3">
        <v>37.22</v>
      </c>
      <c r="K115" s="3">
        <v>7.28</v>
      </c>
    </row>
    <row r="116" spans="2:11" x14ac:dyDescent="0.25">
      <c r="B116" s="2" t="s">
        <v>3438</v>
      </c>
      <c r="C116" s="2" t="s">
        <v>3439</v>
      </c>
      <c r="D116" s="3">
        <v>21.39</v>
      </c>
      <c r="E116" s="3">
        <v>2.4700000000000002</v>
      </c>
      <c r="F116" s="3">
        <v>0</v>
      </c>
      <c r="H116" s="3">
        <v>87</v>
      </c>
      <c r="I116" s="3">
        <v>1.17</v>
      </c>
      <c r="J116" s="3">
        <v>0.52</v>
      </c>
      <c r="K116" s="3">
        <v>0.87</v>
      </c>
    </row>
    <row r="117" spans="2:11" x14ac:dyDescent="0.25">
      <c r="B117" s="2" t="s">
        <v>3440</v>
      </c>
      <c r="C117" s="2" t="s">
        <v>3441</v>
      </c>
      <c r="D117" s="3">
        <v>26.02</v>
      </c>
      <c r="E117" s="3">
        <v>3.76</v>
      </c>
      <c r="F117" s="3">
        <v>0</v>
      </c>
      <c r="H117" s="3">
        <v>49</v>
      </c>
      <c r="I117" s="3">
        <v>1.41</v>
      </c>
      <c r="J117" s="3">
        <v>0.63</v>
      </c>
      <c r="K117" s="3">
        <v>1.05</v>
      </c>
    </row>
    <row r="118" spans="2:11" x14ac:dyDescent="0.25">
      <c r="B118" s="2" t="s">
        <v>3442</v>
      </c>
      <c r="C118" s="2" t="s">
        <v>3443</v>
      </c>
      <c r="D118" s="3">
        <v>14.08</v>
      </c>
      <c r="E118" s="3">
        <v>0</v>
      </c>
      <c r="F118" s="3">
        <v>0</v>
      </c>
      <c r="H118" s="3">
        <v>153</v>
      </c>
      <c r="I118" s="3">
        <v>0.96</v>
      </c>
      <c r="J118" s="3">
        <v>0.61</v>
      </c>
      <c r="K118" s="3">
        <v>0.34</v>
      </c>
    </row>
    <row r="119" spans="2:11" x14ac:dyDescent="0.25">
      <c r="B119" s="2" t="s">
        <v>3444</v>
      </c>
      <c r="C119" s="2" t="s">
        <v>3445</v>
      </c>
      <c r="D119" s="3">
        <v>16.600000000000001</v>
      </c>
      <c r="E119" s="3">
        <v>0</v>
      </c>
      <c r="F119" s="3">
        <v>0</v>
      </c>
      <c r="H119" s="3">
        <v>81</v>
      </c>
      <c r="I119" s="3">
        <v>1.0900000000000001</v>
      </c>
      <c r="J119" s="3">
        <v>0.7</v>
      </c>
      <c r="K119" s="3">
        <v>0.38</v>
      </c>
    </row>
    <row r="120" spans="2:11" x14ac:dyDescent="0.25">
      <c r="B120" s="2" t="s">
        <v>3446</v>
      </c>
      <c r="C120" s="2" t="s">
        <v>3447</v>
      </c>
      <c r="D120" s="3">
        <v>15.03</v>
      </c>
      <c r="E120" s="3">
        <v>0</v>
      </c>
      <c r="F120" s="3">
        <v>0</v>
      </c>
      <c r="H120" s="3">
        <v>50</v>
      </c>
      <c r="I120" s="3">
        <v>9.82</v>
      </c>
      <c r="J120" s="3">
        <v>12.26</v>
      </c>
      <c r="K120" s="3">
        <v>2.44</v>
      </c>
    </row>
    <row r="121" spans="2:11" x14ac:dyDescent="0.25">
      <c r="B121" s="2" t="s">
        <v>3448</v>
      </c>
      <c r="C121" s="2" t="s">
        <v>3449</v>
      </c>
      <c r="D121" s="3">
        <v>18.559999999999999</v>
      </c>
      <c r="E121" s="3">
        <v>0</v>
      </c>
      <c r="F121" s="3">
        <v>0</v>
      </c>
      <c r="H121" s="3">
        <v>44</v>
      </c>
      <c r="I121" s="3">
        <v>4.58</v>
      </c>
      <c r="J121" s="3">
        <v>4.5999999999999996</v>
      </c>
      <c r="K121" s="3">
        <v>2.48</v>
      </c>
    </row>
    <row r="122" spans="2:11" x14ac:dyDescent="0.25">
      <c r="B122" s="2" t="s">
        <v>3450</v>
      </c>
      <c r="C122" s="2" t="s">
        <v>3451</v>
      </c>
      <c r="D122" s="3">
        <v>28.5</v>
      </c>
      <c r="E122" s="3">
        <v>0</v>
      </c>
      <c r="F122" s="3">
        <v>0</v>
      </c>
      <c r="H122" s="3">
        <v>42</v>
      </c>
      <c r="I122" s="3">
        <v>3.73</v>
      </c>
      <c r="J122" s="3">
        <v>3.75</v>
      </c>
      <c r="K122" s="3">
        <v>2.0299999999999998</v>
      </c>
    </row>
    <row r="123" spans="2:11" x14ac:dyDescent="0.25">
      <c r="B123" s="2" t="s">
        <v>3452</v>
      </c>
      <c r="C123" s="2" t="s">
        <v>3453</v>
      </c>
      <c r="D123" s="3">
        <v>17.86</v>
      </c>
      <c r="E123" s="3">
        <v>0</v>
      </c>
      <c r="F123" s="3">
        <v>0</v>
      </c>
      <c r="H123" s="3">
        <v>98</v>
      </c>
      <c r="I123" s="3">
        <v>0.86</v>
      </c>
      <c r="J123" s="3">
        <v>0.69</v>
      </c>
      <c r="K123" s="3">
        <v>0.19</v>
      </c>
    </row>
    <row r="124" spans="2:11" x14ac:dyDescent="0.25">
      <c r="B124" s="2" t="s">
        <v>3454</v>
      </c>
      <c r="C124" s="2" t="s">
        <v>3455</v>
      </c>
      <c r="D124" s="3">
        <v>28.2</v>
      </c>
      <c r="E124" s="3">
        <v>0</v>
      </c>
      <c r="F124" s="3">
        <v>0</v>
      </c>
      <c r="H124" s="3">
        <v>107</v>
      </c>
      <c r="I124" s="3">
        <v>1.06</v>
      </c>
      <c r="J124" s="3">
        <v>0.86</v>
      </c>
      <c r="K124" s="3">
        <v>0.23</v>
      </c>
    </row>
    <row r="125" spans="2:11" x14ac:dyDescent="0.25">
      <c r="B125" s="2" t="s">
        <v>3456</v>
      </c>
      <c r="C125" s="2" t="s">
        <v>3457</v>
      </c>
      <c r="D125" s="3">
        <v>16.850000000000001</v>
      </c>
      <c r="E125" s="3">
        <v>0</v>
      </c>
      <c r="F125" s="3">
        <v>0</v>
      </c>
      <c r="G125" s="3">
        <v>0</v>
      </c>
      <c r="H125" s="3">
        <v>75</v>
      </c>
      <c r="I125" s="3">
        <v>4.0250000000000004</v>
      </c>
      <c r="J125" s="3">
        <v>3.59</v>
      </c>
      <c r="K125" s="3">
        <v>0.89200000000000002</v>
      </c>
    </row>
    <row r="126" spans="2:11" x14ac:dyDescent="0.25">
      <c r="B126" s="2" t="s">
        <v>3458</v>
      </c>
      <c r="C126" s="2" t="s">
        <v>3459</v>
      </c>
      <c r="D126" s="3">
        <v>26.38</v>
      </c>
      <c r="E126" s="3">
        <v>0</v>
      </c>
      <c r="F126" s="3">
        <v>0</v>
      </c>
      <c r="G126" s="3">
        <v>0</v>
      </c>
      <c r="H126" s="3">
        <v>88</v>
      </c>
      <c r="I126" s="3">
        <v>2.5569999999999999</v>
      </c>
      <c r="J126" s="3">
        <v>5.7439999999999998</v>
      </c>
      <c r="K126" s="3">
        <v>1.079</v>
      </c>
    </row>
    <row r="127" spans="2:11" x14ac:dyDescent="0.25">
      <c r="B127" s="2" t="s">
        <v>3460</v>
      </c>
      <c r="C127" s="2" t="s">
        <v>3461</v>
      </c>
      <c r="D127" s="3">
        <v>16.3</v>
      </c>
      <c r="E127" s="3">
        <v>0</v>
      </c>
      <c r="F127" s="3">
        <v>0</v>
      </c>
      <c r="G127" s="3">
        <v>0</v>
      </c>
      <c r="H127" s="3">
        <v>110</v>
      </c>
      <c r="I127" s="3">
        <v>5.96</v>
      </c>
      <c r="J127" s="3">
        <v>8.1300000000000008</v>
      </c>
      <c r="K127" s="3">
        <v>1.78</v>
      </c>
    </row>
    <row r="128" spans="2:11" x14ac:dyDescent="0.25">
      <c r="B128" s="2" t="s">
        <v>3462</v>
      </c>
      <c r="C128" s="2" t="s">
        <v>3463</v>
      </c>
      <c r="D128" s="3">
        <v>24.1</v>
      </c>
      <c r="E128" s="3">
        <v>0</v>
      </c>
      <c r="F128" s="3">
        <v>0</v>
      </c>
      <c r="H128" s="3">
        <v>109</v>
      </c>
      <c r="I128" s="3">
        <v>6.4489999999999998</v>
      </c>
      <c r="J128" s="3">
        <v>8.7590000000000003</v>
      </c>
      <c r="K128" s="3">
        <v>1.93</v>
      </c>
    </row>
    <row r="129" spans="2:11" x14ac:dyDescent="0.25">
      <c r="B129" s="2" t="s">
        <v>3464</v>
      </c>
      <c r="C129" s="2" t="s">
        <v>3465</v>
      </c>
      <c r="D129" s="3">
        <v>12.62</v>
      </c>
      <c r="E129" s="3">
        <v>1.28</v>
      </c>
      <c r="F129" s="3">
        <v>0</v>
      </c>
      <c r="G129" s="3">
        <v>1</v>
      </c>
      <c r="H129" s="3">
        <v>662</v>
      </c>
      <c r="I129" s="3">
        <v>13.295999999999999</v>
      </c>
      <c r="J129" s="3">
        <v>17.439</v>
      </c>
      <c r="K129" s="3">
        <v>6.4539999999999997</v>
      </c>
    </row>
    <row r="130" spans="2:11" x14ac:dyDescent="0.25">
      <c r="B130" s="2" t="s">
        <v>3466</v>
      </c>
      <c r="C130" s="2" t="s">
        <v>3467</v>
      </c>
      <c r="D130" s="3">
        <v>11.74</v>
      </c>
      <c r="E130" s="3">
        <v>0.7</v>
      </c>
      <c r="F130" s="3">
        <v>0</v>
      </c>
      <c r="H130" s="3">
        <v>987</v>
      </c>
      <c r="I130" s="3">
        <v>12.91</v>
      </c>
      <c r="J130" s="3">
        <v>16.79</v>
      </c>
      <c r="K130" s="3">
        <v>5.55</v>
      </c>
    </row>
    <row r="131" spans="2:11" x14ac:dyDescent="0.25">
      <c r="B131" s="2" t="s">
        <v>3468</v>
      </c>
      <c r="C131" s="2" t="s">
        <v>3469</v>
      </c>
      <c r="D131" s="3">
        <v>20.309999999999999</v>
      </c>
      <c r="E131" s="3">
        <v>1.34</v>
      </c>
      <c r="F131" s="3">
        <v>0</v>
      </c>
      <c r="G131" s="3">
        <v>0.9</v>
      </c>
      <c r="H131" s="3">
        <v>751</v>
      </c>
      <c r="I131" s="3">
        <v>0.9</v>
      </c>
      <c r="J131" s="3">
        <v>1.0900000000000001</v>
      </c>
      <c r="K131" s="3">
        <v>0.46700000000000003</v>
      </c>
    </row>
    <row r="132" spans="2:11" x14ac:dyDescent="0.25">
      <c r="B132" s="2" t="s">
        <v>3470</v>
      </c>
      <c r="C132" s="2" t="s">
        <v>3471</v>
      </c>
      <c r="D132" s="3">
        <v>11.63</v>
      </c>
      <c r="E132" s="3">
        <v>0.01</v>
      </c>
      <c r="F132" s="3">
        <v>0</v>
      </c>
      <c r="G132" s="3">
        <v>0</v>
      </c>
      <c r="H132" s="3">
        <v>946</v>
      </c>
      <c r="I132" s="3">
        <v>2.9449999999999998</v>
      </c>
      <c r="J132" s="3">
        <v>5.6769999999999996</v>
      </c>
      <c r="K132" s="3">
        <v>0.78400000000000003</v>
      </c>
    </row>
    <row r="133" spans="2:11" x14ac:dyDescent="0.25">
      <c r="B133" s="2" t="s">
        <v>3472</v>
      </c>
      <c r="C133" s="2" t="s">
        <v>3473</v>
      </c>
      <c r="D133" s="3">
        <v>20.93</v>
      </c>
      <c r="E133" s="3">
        <v>1.5</v>
      </c>
      <c r="F133" s="3">
        <v>0</v>
      </c>
      <c r="G133" s="3">
        <v>0</v>
      </c>
      <c r="H133" s="3">
        <v>1203</v>
      </c>
      <c r="I133" s="3">
        <v>1.81</v>
      </c>
      <c r="J133" s="3">
        <v>2.62</v>
      </c>
      <c r="K133" s="3">
        <v>0.54</v>
      </c>
    </row>
    <row r="134" spans="2:11" x14ac:dyDescent="0.25">
      <c r="B134" s="2" t="s">
        <v>3474</v>
      </c>
      <c r="C134" s="2" t="s">
        <v>3475</v>
      </c>
      <c r="D134" s="3">
        <v>22.62</v>
      </c>
      <c r="E134" s="3">
        <v>0</v>
      </c>
      <c r="F134" s="3">
        <v>0</v>
      </c>
      <c r="G134" s="3">
        <v>0</v>
      </c>
      <c r="H134" s="3">
        <v>1500</v>
      </c>
      <c r="I134" s="3">
        <v>3.12</v>
      </c>
      <c r="J134" s="3">
        <v>4.4400000000000004</v>
      </c>
      <c r="K134" s="3">
        <v>1.41</v>
      </c>
    </row>
    <row r="135" spans="2:11" x14ac:dyDescent="0.25">
      <c r="B135" s="2" t="s">
        <v>3476</v>
      </c>
      <c r="C135" s="2" t="s">
        <v>3477</v>
      </c>
      <c r="D135" s="3">
        <v>18.489999999999998</v>
      </c>
      <c r="E135" s="3">
        <v>0</v>
      </c>
      <c r="F135" s="3">
        <v>0</v>
      </c>
      <c r="G135" s="3">
        <v>0</v>
      </c>
      <c r="H135" s="3">
        <v>1255</v>
      </c>
      <c r="I135" s="3">
        <v>1.51</v>
      </c>
      <c r="J135" s="3">
        <v>2.21</v>
      </c>
      <c r="K135" s="3">
        <v>0.39</v>
      </c>
    </row>
    <row r="136" spans="2:11" x14ac:dyDescent="0.25">
      <c r="B136" s="2" t="s">
        <v>3478</v>
      </c>
      <c r="C136" s="2" t="s">
        <v>3479</v>
      </c>
      <c r="D136" s="3">
        <v>21.16</v>
      </c>
      <c r="E136" s="3">
        <v>0.52</v>
      </c>
      <c r="F136" s="3">
        <v>0</v>
      </c>
      <c r="H136" s="3">
        <v>1135</v>
      </c>
      <c r="I136" s="3">
        <v>1.6</v>
      </c>
      <c r="J136" s="3">
        <v>2.4900000000000002</v>
      </c>
      <c r="K136" s="3">
        <v>0.44</v>
      </c>
    </row>
    <row r="137" spans="2:11" x14ac:dyDescent="0.25">
      <c r="B137" s="2" t="s">
        <v>3480</v>
      </c>
      <c r="C137" s="2" t="s">
        <v>3481</v>
      </c>
      <c r="D137" s="3">
        <v>20.53</v>
      </c>
      <c r="E137" s="3">
        <v>0.42</v>
      </c>
      <c r="F137" s="3">
        <v>0</v>
      </c>
      <c r="H137" s="3">
        <v>941</v>
      </c>
      <c r="I137" s="3">
        <v>5.04</v>
      </c>
      <c r="J137" s="3">
        <v>7.07</v>
      </c>
      <c r="K137" s="3">
        <v>1.78</v>
      </c>
    </row>
    <row r="138" spans="2:11" x14ac:dyDescent="0.25">
      <c r="B138" s="2" t="s">
        <v>3482</v>
      </c>
      <c r="C138" s="2" t="s">
        <v>3483</v>
      </c>
      <c r="D138" s="3">
        <v>27.8</v>
      </c>
      <c r="E138" s="3">
        <v>0.3</v>
      </c>
      <c r="F138" s="3">
        <v>0</v>
      </c>
      <c r="G138" s="3">
        <v>0</v>
      </c>
      <c r="H138" s="3">
        <v>2695</v>
      </c>
      <c r="I138" s="3">
        <v>2.78</v>
      </c>
      <c r="J138" s="3">
        <v>3.8210000000000002</v>
      </c>
      <c r="K138" s="3">
        <v>0.97</v>
      </c>
    </row>
    <row r="139" spans="2:11" x14ac:dyDescent="0.25">
      <c r="B139" s="2" t="s">
        <v>3484</v>
      </c>
      <c r="C139" s="2" t="s">
        <v>3485</v>
      </c>
      <c r="D139" s="3">
        <v>20.170000000000002</v>
      </c>
      <c r="E139" s="3">
        <v>0.05</v>
      </c>
      <c r="F139" s="3">
        <v>0</v>
      </c>
      <c r="H139" s="3">
        <v>1386</v>
      </c>
      <c r="I139" s="3">
        <v>4.5720000000000001</v>
      </c>
      <c r="J139" s="3">
        <v>6.0919999999999996</v>
      </c>
      <c r="K139" s="3">
        <v>1.411</v>
      </c>
    </row>
    <row r="140" spans="2:11" x14ac:dyDescent="0.25">
      <c r="B140" s="2" t="s">
        <v>3486</v>
      </c>
      <c r="C140" s="2" t="s">
        <v>3487</v>
      </c>
      <c r="D140" s="3">
        <v>12.78</v>
      </c>
      <c r="E140" s="3">
        <v>1.69</v>
      </c>
      <c r="F140" s="3">
        <v>0</v>
      </c>
      <c r="H140" s="3">
        <v>1088</v>
      </c>
      <c r="I140" s="3">
        <v>10.130000000000001</v>
      </c>
      <c r="J140" s="3">
        <v>13.26</v>
      </c>
      <c r="K140" s="3">
        <v>3.04</v>
      </c>
    </row>
    <row r="141" spans="2:11" x14ac:dyDescent="0.25">
      <c r="B141" s="2" t="s">
        <v>3488</v>
      </c>
      <c r="C141" s="2" t="s">
        <v>3489</v>
      </c>
      <c r="D141" s="3">
        <v>19.559999999999999</v>
      </c>
      <c r="E141" s="3">
        <v>0</v>
      </c>
      <c r="F141" s="3">
        <v>0</v>
      </c>
      <c r="H141" s="3">
        <v>1269</v>
      </c>
      <c r="I141" s="3">
        <v>1.44</v>
      </c>
      <c r="J141" s="3">
        <v>1.96</v>
      </c>
      <c r="K141" s="3">
        <v>0.47</v>
      </c>
    </row>
    <row r="142" spans="2:11" x14ac:dyDescent="0.25">
      <c r="B142" s="2" t="s">
        <v>3490</v>
      </c>
      <c r="C142" s="2" t="s">
        <v>3491</v>
      </c>
      <c r="D142" s="3">
        <v>18.489999999999998</v>
      </c>
      <c r="E142" s="3">
        <v>0.06</v>
      </c>
      <c r="F142" s="3">
        <v>0</v>
      </c>
      <c r="G142" s="3">
        <v>0</v>
      </c>
      <c r="H142" s="3">
        <v>1284</v>
      </c>
      <c r="I142" s="3">
        <v>6.62</v>
      </c>
      <c r="J142" s="3">
        <v>8.6999999999999993</v>
      </c>
      <c r="K142" s="3">
        <v>1.64</v>
      </c>
    </row>
    <row r="143" spans="2:11" x14ac:dyDescent="0.25">
      <c r="B143" s="2" t="s">
        <v>3492</v>
      </c>
      <c r="C143" s="2" t="s">
        <v>3493</v>
      </c>
      <c r="D143" s="3">
        <v>22.32</v>
      </c>
      <c r="E143" s="3">
        <v>0.05</v>
      </c>
      <c r="F143" s="3">
        <v>0</v>
      </c>
      <c r="G143" s="3">
        <v>0</v>
      </c>
      <c r="H143" s="3">
        <v>1516</v>
      </c>
      <c r="I143" s="3">
        <v>1.92</v>
      </c>
      <c r="J143" s="3">
        <v>2.62</v>
      </c>
      <c r="K143" s="3">
        <v>0.66</v>
      </c>
    </row>
    <row r="144" spans="2:11" x14ac:dyDescent="0.25">
      <c r="B144" s="2" t="s">
        <v>3494</v>
      </c>
      <c r="C144" s="2" t="s">
        <v>3495</v>
      </c>
      <c r="D144" s="3">
        <v>25.05</v>
      </c>
      <c r="E144" s="3">
        <v>0</v>
      </c>
      <c r="F144" s="3">
        <v>0</v>
      </c>
      <c r="G144" s="3">
        <v>0</v>
      </c>
      <c r="H144" s="3">
        <v>1327</v>
      </c>
      <c r="I144" s="3">
        <v>1.84</v>
      </c>
      <c r="J144" s="3">
        <v>2.5299999999999998</v>
      </c>
      <c r="K144" s="3">
        <v>0.63</v>
      </c>
    </row>
    <row r="145" spans="2:11" x14ac:dyDescent="0.25">
      <c r="B145" s="2" t="s">
        <v>3496</v>
      </c>
      <c r="C145" s="2" t="s">
        <v>3497</v>
      </c>
      <c r="D145" s="3">
        <v>19.399999999999999</v>
      </c>
      <c r="E145" s="3">
        <v>0.59</v>
      </c>
      <c r="F145" s="3">
        <v>0</v>
      </c>
      <c r="G145" s="3">
        <v>0</v>
      </c>
      <c r="H145" s="3">
        <v>213</v>
      </c>
      <c r="I145" s="3">
        <v>4.2249999999999996</v>
      </c>
      <c r="J145" s="3">
        <v>5.9349999999999996</v>
      </c>
      <c r="K145" s="3">
        <v>1.79</v>
      </c>
    </row>
    <row r="146" spans="2:11" x14ac:dyDescent="0.25">
      <c r="B146" s="2" t="s">
        <v>3498</v>
      </c>
      <c r="C146" s="2" t="s">
        <v>3499</v>
      </c>
      <c r="D146" s="3">
        <v>30.02</v>
      </c>
      <c r="E146" s="3">
        <v>0</v>
      </c>
      <c r="F146" s="3">
        <v>0</v>
      </c>
      <c r="G146" s="3">
        <v>0</v>
      </c>
      <c r="H146" s="3">
        <v>91</v>
      </c>
      <c r="I146" s="3">
        <v>1.6579999999999999</v>
      </c>
      <c r="J146" s="3">
        <v>2.0019999999999998</v>
      </c>
      <c r="K146" s="3">
        <v>0.60599999999999998</v>
      </c>
    </row>
    <row r="147" spans="2:11" x14ac:dyDescent="0.25">
      <c r="B147" s="2" t="s">
        <v>3500</v>
      </c>
      <c r="C147" s="2" t="s">
        <v>3501</v>
      </c>
      <c r="D147" s="3">
        <v>21.14</v>
      </c>
      <c r="E147" s="3">
        <v>0</v>
      </c>
      <c r="F147" s="3">
        <v>0</v>
      </c>
      <c r="G147" s="3">
        <v>0</v>
      </c>
      <c r="H147" s="3">
        <v>82</v>
      </c>
      <c r="I147" s="3">
        <v>4.4130000000000003</v>
      </c>
      <c r="J147" s="3">
        <v>5.3490000000000002</v>
      </c>
      <c r="K147" s="3">
        <v>2.0499999999999998</v>
      </c>
    </row>
    <row r="148" spans="2:11" x14ac:dyDescent="0.25">
      <c r="B148" s="2" t="s">
        <v>3502</v>
      </c>
      <c r="C148" s="2" t="s">
        <v>3503</v>
      </c>
      <c r="D148" s="3">
        <v>5.05</v>
      </c>
      <c r="E148" s="3">
        <v>0</v>
      </c>
      <c r="F148" s="3">
        <v>0</v>
      </c>
      <c r="G148" s="3">
        <v>0</v>
      </c>
      <c r="H148" s="3">
        <v>2684</v>
      </c>
      <c r="I148" s="3">
        <v>29.38</v>
      </c>
      <c r="J148" s="3">
        <v>37.94</v>
      </c>
      <c r="K148" s="3">
        <v>9.4</v>
      </c>
    </row>
    <row r="149" spans="2:11" x14ac:dyDescent="0.25">
      <c r="B149" s="2" t="s">
        <v>3504</v>
      </c>
      <c r="C149" s="2" t="s">
        <v>3505</v>
      </c>
      <c r="D149" s="3">
        <v>5.68</v>
      </c>
      <c r="E149" s="3">
        <v>0.09</v>
      </c>
      <c r="F149" s="3">
        <v>0</v>
      </c>
      <c r="G149" s="3">
        <v>0</v>
      </c>
      <c r="H149" s="3">
        <v>505</v>
      </c>
      <c r="I149" s="3">
        <v>22.52</v>
      </c>
      <c r="J149" s="3">
        <v>29.47</v>
      </c>
      <c r="K149" s="3">
        <v>6.53</v>
      </c>
    </row>
    <row r="150" spans="2:11" x14ac:dyDescent="0.25">
      <c r="B150" s="2" t="s">
        <v>3506</v>
      </c>
      <c r="C150" s="2" t="s">
        <v>3507</v>
      </c>
      <c r="D150" s="3">
        <v>7.64</v>
      </c>
      <c r="E150" s="3">
        <v>0</v>
      </c>
      <c r="F150" s="3">
        <v>0</v>
      </c>
      <c r="H150" s="3">
        <v>624</v>
      </c>
      <c r="I150" s="3">
        <v>22.69</v>
      </c>
      <c r="J150" s="3">
        <v>29.69</v>
      </c>
      <c r="K150" s="3">
        <v>6.58</v>
      </c>
    </row>
    <row r="151" spans="2:11" x14ac:dyDescent="0.25">
      <c r="B151" s="2" t="s">
        <v>3508</v>
      </c>
      <c r="C151" s="2" t="s">
        <v>3509</v>
      </c>
      <c r="D151" s="3">
        <v>20.43</v>
      </c>
      <c r="E151" s="3">
        <v>0</v>
      </c>
      <c r="F151" s="3">
        <v>0</v>
      </c>
      <c r="G151" s="3">
        <v>0</v>
      </c>
      <c r="H151" s="3">
        <v>1072</v>
      </c>
      <c r="I151" s="3">
        <v>7.67</v>
      </c>
      <c r="J151" s="3">
        <v>10.14</v>
      </c>
      <c r="K151" s="3">
        <v>2.3199999999999998</v>
      </c>
    </row>
    <row r="152" spans="2:11" x14ac:dyDescent="0.25">
      <c r="B152" s="2" t="s">
        <v>3510</v>
      </c>
      <c r="C152" s="2" t="s">
        <v>3511</v>
      </c>
      <c r="D152" s="3">
        <v>24.94</v>
      </c>
      <c r="E152" s="3">
        <v>0</v>
      </c>
      <c r="F152" s="3">
        <v>0</v>
      </c>
      <c r="G152" s="3">
        <v>0</v>
      </c>
      <c r="H152" s="3">
        <v>1231</v>
      </c>
      <c r="I152" s="3">
        <v>2.36</v>
      </c>
      <c r="J152" s="3">
        <v>3.23</v>
      </c>
      <c r="K152" s="3">
        <v>0.81</v>
      </c>
    </row>
    <row r="153" spans="2:11" x14ac:dyDescent="0.25">
      <c r="B153" s="2" t="s">
        <v>3512</v>
      </c>
      <c r="C153" s="2" t="s">
        <v>3513</v>
      </c>
      <c r="D153" s="3">
        <v>16.47</v>
      </c>
      <c r="E153" s="3">
        <v>0</v>
      </c>
      <c r="F153" s="3">
        <v>0</v>
      </c>
      <c r="H153" s="3">
        <v>1250</v>
      </c>
      <c r="I153" s="3">
        <v>7.9390000000000001</v>
      </c>
      <c r="J153" s="3">
        <v>9.7550000000000008</v>
      </c>
      <c r="K153" s="3">
        <v>2.3340000000000001</v>
      </c>
    </row>
    <row r="154" spans="2:11" x14ac:dyDescent="0.25">
      <c r="B154" s="2" t="s">
        <v>3514</v>
      </c>
      <c r="C154" s="2" t="s">
        <v>3515</v>
      </c>
      <c r="D154" s="3">
        <v>17.28</v>
      </c>
      <c r="E154" s="3">
        <v>0.37</v>
      </c>
      <c r="F154" s="3">
        <v>0</v>
      </c>
      <c r="H154" s="3">
        <v>973</v>
      </c>
      <c r="I154" s="3">
        <v>8.3800000000000008</v>
      </c>
      <c r="J154" s="3">
        <v>11.03</v>
      </c>
      <c r="K154" s="3">
        <v>2.5099999999999998</v>
      </c>
    </row>
    <row r="155" spans="2:11" x14ac:dyDescent="0.25">
      <c r="B155" s="2" t="s">
        <v>3516</v>
      </c>
      <c r="C155" s="2" t="s">
        <v>3517</v>
      </c>
      <c r="D155" s="3">
        <v>21.94</v>
      </c>
      <c r="E155" s="3">
        <v>0</v>
      </c>
      <c r="F155" s="3">
        <v>0</v>
      </c>
      <c r="G155" s="3">
        <v>0</v>
      </c>
      <c r="H155" s="3">
        <v>73</v>
      </c>
      <c r="I155" s="3">
        <v>4.343</v>
      </c>
      <c r="J155" s="3">
        <v>8.0050000000000008</v>
      </c>
      <c r="K155" s="3">
        <v>1.54</v>
      </c>
    </row>
    <row r="156" spans="2:11" x14ac:dyDescent="0.25">
      <c r="B156" s="2" t="s">
        <v>3518</v>
      </c>
      <c r="C156" s="2" t="s">
        <v>3519</v>
      </c>
      <c r="D156" s="3">
        <v>17.75</v>
      </c>
      <c r="E156" s="3">
        <v>0</v>
      </c>
      <c r="F156" s="3">
        <v>0</v>
      </c>
      <c r="H156" s="3">
        <v>63</v>
      </c>
      <c r="I156" s="3">
        <v>11.64</v>
      </c>
      <c r="J156" s="3">
        <v>15.8</v>
      </c>
      <c r="K156" s="3">
        <v>3.68</v>
      </c>
    </row>
    <row r="157" spans="2:11" x14ac:dyDescent="0.25">
      <c r="B157" s="2" t="s">
        <v>3520</v>
      </c>
      <c r="C157" s="2" t="s">
        <v>3521</v>
      </c>
      <c r="D157" s="3">
        <v>17</v>
      </c>
      <c r="E157" s="3">
        <v>0</v>
      </c>
      <c r="F157" s="3">
        <v>0</v>
      </c>
      <c r="H157" s="3">
        <v>25</v>
      </c>
      <c r="I157" s="3">
        <v>12.45</v>
      </c>
      <c r="J157" s="3">
        <v>16.89</v>
      </c>
      <c r="K157" s="3">
        <v>3.94</v>
      </c>
    </row>
    <row r="158" spans="2:11" x14ac:dyDescent="0.25">
      <c r="B158" s="2" t="s">
        <v>3522</v>
      </c>
      <c r="C158" s="2" t="s">
        <v>3523</v>
      </c>
      <c r="D158" s="3">
        <v>29.56</v>
      </c>
      <c r="E158" s="3">
        <v>0</v>
      </c>
      <c r="F158" s="3">
        <v>0</v>
      </c>
      <c r="G158" s="3">
        <v>0</v>
      </c>
      <c r="H158" s="3">
        <v>99</v>
      </c>
      <c r="I158" s="3">
        <v>2.597</v>
      </c>
      <c r="J158" s="3">
        <v>3.028</v>
      </c>
      <c r="K158" s="3">
        <v>1.0589999999999999</v>
      </c>
    </row>
    <row r="159" spans="2:11" x14ac:dyDescent="0.25">
      <c r="B159" s="2" t="s">
        <v>3524</v>
      </c>
      <c r="C159" s="2" t="s">
        <v>3525</v>
      </c>
      <c r="D159" s="3">
        <v>28.84</v>
      </c>
      <c r="E159" s="3">
        <v>0</v>
      </c>
      <c r="F159" s="3">
        <v>0</v>
      </c>
      <c r="G159" s="3">
        <v>0</v>
      </c>
      <c r="H159" s="3">
        <v>88</v>
      </c>
      <c r="I159" s="3">
        <v>2.5630000000000002</v>
      </c>
      <c r="J159" s="3">
        <v>5.7590000000000003</v>
      </c>
      <c r="K159" s="3">
        <v>1.4079999999999999</v>
      </c>
    </row>
    <row r="160" spans="2:11" x14ac:dyDescent="0.25">
      <c r="B160" s="2" t="s">
        <v>3526</v>
      </c>
      <c r="C160" s="2" t="s">
        <v>3527</v>
      </c>
      <c r="D160" s="3">
        <v>25.02</v>
      </c>
      <c r="E160" s="3">
        <v>0</v>
      </c>
      <c r="F160" s="3">
        <v>0</v>
      </c>
      <c r="G160" s="3">
        <v>0</v>
      </c>
      <c r="H160" s="3">
        <v>85</v>
      </c>
      <c r="I160" s="3">
        <v>4.266</v>
      </c>
      <c r="J160" s="3">
        <v>9.4659999999999993</v>
      </c>
      <c r="K160" s="3">
        <v>2.83</v>
      </c>
    </row>
    <row r="161" spans="2:11" x14ac:dyDescent="0.25">
      <c r="B161" s="2" t="s">
        <v>3528</v>
      </c>
      <c r="C161" s="2" t="s">
        <v>3529</v>
      </c>
      <c r="D161" s="3">
        <v>27.63</v>
      </c>
      <c r="E161" s="3">
        <v>0</v>
      </c>
      <c r="F161" s="3">
        <v>0</v>
      </c>
      <c r="G161" s="3">
        <v>0</v>
      </c>
      <c r="H161" s="3">
        <v>94</v>
      </c>
      <c r="I161" s="3">
        <v>4.867</v>
      </c>
      <c r="J161" s="3">
        <v>5.4779999999999998</v>
      </c>
      <c r="K161" s="3">
        <v>2.1269999999999998</v>
      </c>
    </row>
    <row r="162" spans="2:11" x14ac:dyDescent="0.25">
      <c r="B162" s="2" t="s">
        <v>3530</v>
      </c>
      <c r="C162" s="2" t="s">
        <v>3531</v>
      </c>
      <c r="D162" s="3">
        <v>26.81</v>
      </c>
      <c r="E162" s="3">
        <v>0</v>
      </c>
      <c r="F162" s="3">
        <v>0</v>
      </c>
      <c r="G162" s="3">
        <v>0</v>
      </c>
      <c r="H162" s="3">
        <v>84</v>
      </c>
      <c r="I162" s="3">
        <v>5.056</v>
      </c>
      <c r="J162" s="3">
        <v>5.68</v>
      </c>
      <c r="K162" s="3">
        <v>2.218</v>
      </c>
    </row>
    <row r="163" spans="2:11" x14ac:dyDescent="0.25">
      <c r="B163" s="2" t="s">
        <v>3532</v>
      </c>
      <c r="C163" s="2" t="s">
        <v>3533</v>
      </c>
      <c r="D163" s="3">
        <v>30.46</v>
      </c>
      <c r="E163" s="3">
        <v>0</v>
      </c>
      <c r="F163" s="3">
        <v>0</v>
      </c>
      <c r="G163" s="3">
        <v>0</v>
      </c>
      <c r="H163" s="3">
        <v>87</v>
      </c>
      <c r="I163" s="3">
        <v>1.784</v>
      </c>
      <c r="J163" s="3">
        <v>2.113</v>
      </c>
      <c r="K163" s="3">
        <v>0.67900000000000005</v>
      </c>
    </row>
    <row r="164" spans="2:11" x14ac:dyDescent="0.25">
      <c r="B164" s="2" t="s">
        <v>3534</v>
      </c>
      <c r="C164" s="2" t="s">
        <v>3535</v>
      </c>
      <c r="D164" s="3">
        <v>18.260000000000002</v>
      </c>
      <c r="E164" s="3">
        <v>2.2799999999999998</v>
      </c>
      <c r="F164" s="3">
        <v>0</v>
      </c>
      <c r="G164" s="3">
        <v>0</v>
      </c>
      <c r="H164" s="3">
        <v>1278</v>
      </c>
      <c r="I164" s="3">
        <v>2.7</v>
      </c>
      <c r="J164" s="3">
        <v>3.94</v>
      </c>
      <c r="K164" s="3">
        <v>0.93</v>
      </c>
    </row>
    <row r="165" spans="2:11" x14ac:dyDescent="0.25">
      <c r="B165" s="2" t="s">
        <v>3536</v>
      </c>
      <c r="C165" s="2" t="s">
        <v>3537</v>
      </c>
      <c r="D165" s="3">
        <v>21.97</v>
      </c>
      <c r="E165" s="3">
        <v>0.5</v>
      </c>
      <c r="F165" s="3">
        <v>0</v>
      </c>
      <c r="G165" s="3">
        <v>0</v>
      </c>
      <c r="H165" s="3">
        <v>1385</v>
      </c>
      <c r="I165" s="3">
        <v>2.61</v>
      </c>
      <c r="J165" s="3">
        <v>3.74</v>
      </c>
      <c r="K165" s="3">
        <v>1.07</v>
      </c>
    </row>
    <row r="166" spans="2:11" x14ac:dyDescent="0.25">
      <c r="B166" s="2" t="s">
        <v>3538</v>
      </c>
      <c r="C166" s="2" t="s">
        <v>3539</v>
      </c>
      <c r="D166" s="3">
        <v>17.97</v>
      </c>
      <c r="E166" s="3">
        <v>0</v>
      </c>
      <c r="F166" s="3">
        <v>0</v>
      </c>
      <c r="G166" s="3">
        <v>0</v>
      </c>
      <c r="H166" s="3">
        <v>1276</v>
      </c>
      <c r="I166" s="3">
        <v>2.4500000000000002</v>
      </c>
      <c r="J166" s="3">
        <v>3.57</v>
      </c>
      <c r="K166" s="3">
        <v>0.76</v>
      </c>
    </row>
    <row r="167" spans="2:11" x14ac:dyDescent="0.25">
      <c r="B167" s="2" t="s">
        <v>3540</v>
      </c>
      <c r="C167" s="2" t="s">
        <v>3541</v>
      </c>
      <c r="D167" s="3">
        <v>20.94</v>
      </c>
      <c r="E167" s="3">
        <v>0.49</v>
      </c>
      <c r="F167" s="3">
        <v>0</v>
      </c>
      <c r="G167" s="3">
        <v>0</v>
      </c>
      <c r="H167" s="3">
        <v>1068</v>
      </c>
      <c r="I167" s="3">
        <v>2.81</v>
      </c>
      <c r="J167" s="3">
        <v>4.0599999999999996</v>
      </c>
      <c r="K167" s="3">
        <v>0.9</v>
      </c>
    </row>
    <row r="168" spans="2:11" x14ac:dyDescent="0.25">
      <c r="B168" s="2" t="s">
        <v>3542</v>
      </c>
      <c r="C168" s="2" t="s">
        <v>3543</v>
      </c>
      <c r="D168" s="3">
        <v>29.36</v>
      </c>
      <c r="E168" s="3">
        <v>0</v>
      </c>
      <c r="F168" s="3">
        <v>0</v>
      </c>
      <c r="G168" s="3">
        <v>0</v>
      </c>
      <c r="H168" s="3">
        <v>86</v>
      </c>
      <c r="I168" s="3">
        <v>3.0579999999999998</v>
      </c>
      <c r="J168" s="3">
        <v>3.4910000000000001</v>
      </c>
      <c r="K168" s="3">
        <v>1.278</v>
      </c>
    </row>
    <row r="169" spans="2:11" x14ac:dyDescent="0.25">
      <c r="B169" s="2" t="s">
        <v>3544</v>
      </c>
      <c r="C169" s="2" t="s">
        <v>3545</v>
      </c>
      <c r="D169" s="3">
        <v>18.95</v>
      </c>
      <c r="E169" s="3">
        <v>0</v>
      </c>
      <c r="F169" s="3">
        <v>0</v>
      </c>
      <c r="H169" s="3">
        <v>55</v>
      </c>
      <c r="I169" s="3">
        <v>5.28</v>
      </c>
      <c r="J169" s="3">
        <v>6.63</v>
      </c>
      <c r="K169" s="3">
        <v>1.55</v>
      </c>
    </row>
    <row r="170" spans="2:11" x14ac:dyDescent="0.25">
      <c r="B170" s="2" t="s">
        <v>3546</v>
      </c>
      <c r="C170" s="2" t="s">
        <v>3547</v>
      </c>
      <c r="D170" s="3">
        <v>26.36</v>
      </c>
      <c r="E170" s="3">
        <v>0</v>
      </c>
      <c r="F170" s="3">
        <v>0</v>
      </c>
      <c r="G170" s="3">
        <v>0</v>
      </c>
      <c r="H170" s="3">
        <v>57</v>
      </c>
      <c r="I170" s="3">
        <v>4.8929999999999998</v>
      </c>
      <c r="J170" s="3">
        <v>5.976</v>
      </c>
      <c r="K170" s="3">
        <v>1.5189999999999999</v>
      </c>
    </row>
    <row r="171" spans="2:11" x14ac:dyDescent="0.25">
      <c r="B171" s="2" t="s">
        <v>3548</v>
      </c>
      <c r="C171" s="2" t="s">
        <v>3549</v>
      </c>
      <c r="D171" s="3">
        <v>26.68</v>
      </c>
      <c r="E171" s="3">
        <v>0</v>
      </c>
      <c r="F171" s="3">
        <v>0</v>
      </c>
      <c r="G171" s="3">
        <v>0</v>
      </c>
      <c r="H171" s="3">
        <v>86</v>
      </c>
      <c r="I171" s="3">
        <v>4.8899999999999997</v>
      </c>
      <c r="J171" s="3">
        <v>5.9320000000000004</v>
      </c>
      <c r="K171" s="3">
        <v>2.198</v>
      </c>
    </row>
    <row r="172" spans="2:11" x14ac:dyDescent="0.25">
      <c r="B172" s="2" t="s">
        <v>3550</v>
      </c>
      <c r="C172" s="2" t="s">
        <v>3551</v>
      </c>
      <c r="D172" s="3">
        <v>19.07</v>
      </c>
      <c r="E172" s="3">
        <v>0</v>
      </c>
      <c r="F172" s="3">
        <v>0</v>
      </c>
      <c r="G172" s="3">
        <v>0</v>
      </c>
      <c r="H172" s="3">
        <v>87</v>
      </c>
      <c r="I172" s="3">
        <v>5.7830000000000004</v>
      </c>
      <c r="J172" s="3">
        <v>6.8609999999999998</v>
      </c>
      <c r="K172" s="3">
        <v>2.6760000000000002</v>
      </c>
    </row>
    <row r="173" spans="2:11" x14ac:dyDescent="0.25">
      <c r="B173" s="2" t="s">
        <v>3552</v>
      </c>
      <c r="C173" s="2" t="s">
        <v>3553</v>
      </c>
      <c r="D173" s="3">
        <v>23.01</v>
      </c>
      <c r="E173" s="3">
        <v>0</v>
      </c>
      <c r="F173" s="3">
        <v>0</v>
      </c>
      <c r="G173" s="3">
        <v>0</v>
      </c>
      <c r="H173" s="3">
        <v>94</v>
      </c>
      <c r="I173" s="3">
        <v>7.8</v>
      </c>
      <c r="J173" s="3">
        <v>9.2899999999999991</v>
      </c>
      <c r="K173" s="3">
        <v>3.5289999999999999</v>
      </c>
    </row>
    <row r="174" spans="2:11" x14ac:dyDescent="0.25">
      <c r="B174" s="2" t="s">
        <v>3554</v>
      </c>
      <c r="C174" s="2" t="s">
        <v>3555</v>
      </c>
      <c r="D174" s="3">
        <v>19.899999999999999</v>
      </c>
      <c r="E174" s="3">
        <v>0</v>
      </c>
      <c r="F174" s="3">
        <v>0</v>
      </c>
      <c r="G174" s="3">
        <v>0</v>
      </c>
      <c r="H174" s="3">
        <v>42</v>
      </c>
      <c r="I174" s="3">
        <v>4.8600000000000003</v>
      </c>
      <c r="J174" s="3">
        <v>6.25</v>
      </c>
      <c r="K174" s="3">
        <v>1.5</v>
      </c>
    </row>
    <row r="175" spans="2:11" x14ac:dyDescent="0.25">
      <c r="B175" s="2" t="s">
        <v>3556</v>
      </c>
      <c r="C175" s="2" t="s">
        <v>3557</v>
      </c>
      <c r="D175" s="3">
        <v>26.29</v>
      </c>
      <c r="E175" s="3">
        <v>0</v>
      </c>
      <c r="F175" s="3">
        <v>0</v>
      </c>
      <c r="H175" s="3">
        <v>40</v>
      </c>
      <c r="I175" s="3">
        <v>6.12</v>
      </c>
      <c r="J175" s="3">
        <v>7.21</v>
      </c>
      <c r="K175" s="3">
        <v>1.32</v>
      </c>
    </row>
    <row r="176" spans="2:11" x14ac:dyDescent="0.25">
      <c r="B176" s="2" t="s">
        <v>3558</v>
      </c>
      <c r="C176" s="2" t="s">
        <v>3559</v>
      </c>
      <c r="D176" s="3">
        <v>27.63</v>
      </c>
      <c r="E176" s="3">
        <v>0</v>
      </c>
      <c r="F176" s="3">
        <v>0</v>
      </c>
      <c r="H176" s="3">
        <v>62</v>
      </c>
      <c r="I176" s="3">
        <v>5.79</v>
      </c>
      <c r="J176" s="3">
        <v>7.01</v>
      </c>
      <c r="K176" s="3">
        <v>1.24</v>
      </c>
    </row>
    <row r="177" spans="2:11" x14ac:dyDescent="0.25">
      <c r="B177" s="2" t="s">
        <v>3560</v>
      </c>
      <c r="C177" s="2" t="s">
        <v>3561</v>
      </c>
      <c r="D177" s="3">
        <v>25.82</v>
      </c>
      <c r="E177" s="3">
        <v>0</v>
      </c>
      <c r="F177" s="3">
        <v>0</v>
      </c>
      <c r="G177" s="3">
        <v>0</v>
      </c>
      <c r="H177" s="3">
        <v>50</v>
      </c>
      <c r="I177" s="3">
        <v>6.72</v>
      </c>
      <c r="J177" s="3">
        <v>7.96</v>
      </c>
      <c r="K177" s="3">
        <v>2.08</v>
      </c>
    </row>
    <row r="178" spans="2:11" x14ac:dyDescent="0.25">
      <c r="B178" s="2" t="s">
        <v>3562</v>
      </c>
      <c r="C178" s="2" t="s">
        <v>3563</v>
      </c>
      <c r="D178" s="3">
        <v>26.99</v>
      </c>
      <c r="E178" s="3">
        <v>0</v>
      </c>
      <c r="F178" s="3">
        <v>0</v>
      </c>
      <c r="H178" s="3">
        <v>48</v>
      </c>
      <c r="I178" s="3">
        <v>5.35</v>
      </c>
      <c r="J178" s="3">
        <v>6.68</v>
      </c>
      <c r="K178" s="3">
        <v>1.3</v>
      </c>
    </row>
    <row r="179" spans="2:11" x14ac:dyDescent="0.25">
      <c r="B179" s="2" t="s">
        <v>3564</v>
      </c>
      <c r="C179" s="2" t="s">
        <v>3565</v>
      </c>
      <c r="D179" s="3">
        <v>21.8</v>
      </c>
      <c r="E179" s="3">
        <v>0</v>
      </c>
      <c r="F179" s="3">
        <v>0</v>
      </c>
      <c r="G179" s="3">
        <v>0</v>
      </c>
      <c r="H179" s="3">
        <v>45</v>
      </c>
      <c r="I179" s="3">
        <v>2.2400000000000002</v>
      </c>
      <c r="J179" s="3">
        <v>2.93</v>
      </c>
      <c r="K179" s="3">
        <v>0.7</v>
      </c>
    </row>
    <row r="180" spans="2:11" x14ac:dyDescent="0.25">
      <c r="B180" s="2" t="s">
        <v>3566</v>
      </c>
      <c r="C180" s="2" t="s">
        <v>3567</v>
      </c>
      <c r="D180" s="3">
        <v>27.95</v>
      </c>
      <c r="E180" s="3">
        <v>0</v>
      </c>
      <c r="F180" s="3">
        <v>0</v>
      </c>
      <c r="G180" s="3">
        <v>0</v>
      </c>
      <c r="H180" s="3">
        <v>41</v>
      </c>
      <c r="I180" s="3">
        <v>3.96</v>
      </c>
      <c r="J180" s="3">
        <v>4.8499999999999996</v>
      </c>
      <c r="K180" s="3">
        <v>0.73</v>
      </c>
    </row>
    <row r="181" spans="2:11" x14ac:dyDescent="0.25">
      <c r="B181" s="2" t="s">
        <v>3568</v>
      </c>
      <c r="C181" s="2" t="s">
        <v>3569</v>
      </c>
      <c r="D181" s="3">
        <v>29.46</v>
      </c>
      <c r="E181" s="3">
        <v>0</v>
      </c>
      <c r="F181" s="3">
        <v>0</v>
      </c>
      <c r="H181" s="3">
        <v>65</v>
      </c>
      <c r="I181" s="3">
        <v>3.57</v>
      </c>
      <c r="J181" s="3">
        <v>4.5999999999999996</v>
      </c>
      <c r="K181" s="3">
        <v>0.64</v>
      </c>
    </row>
    <row r="182" spans="2:11" x14ac:dyDescent="0.25">
      <c r="B182" s="2" t="s">
        <v>3570</v>
      </c>
      <c r="C182" s="2" t="s">
        <v>3571</v>
      </c>
      <c r="D182" s="3">
        <v>27.68</v>
      </c>
      <c r="E182" s="3">
        <v>0</v>
      </c>
      <c r="F182" s="3">
        <v>0</v>
      </c>
      <c r="G182" s="3">
        <v>0</v>
      </c>
      <c r="H182" s="3">
        <v>52</v>
      </c>
      <c r="I182" s="3">
        <v>4.3</v>
      </c>
      <c r="J182" s="3">
        <v>5.31</v>
      </c>
      <c r="K182" s="3">
        <v>1.49</v>
      </c>
    </row>
    <row r="183" spans="2:11" x14ac:dyDescent="0.25">
      <c r="B183" s="2" t="s">
        <v>3572</v>
      </c>
      <c r="C183" s="2" t="s">
        <v>3573</v>
      </c>
      <c r="D183" s="3">
        <v>28.81</v>
      </c>
      <c r="E183" s="3">
        <v>0</v>
      </c>
      <c r="F183" s="3">
        <v>0</v>
      </c>
      <c r="H183" s="3">
        <v>50</v>
      </c>
      <c r="I183" s="3">
        <v>3.54</v>
      </c>
      <c r="J183" s="3">
        <v>4.49</v>
      </c>
      <c r="K183" s="3">
        <v>0.85</v>
      </c>
    </row>
    <row r="184" spans="2:11" x14ac:dyDescent="0.25">
      <c r="B184" s="2" t="s">
        <v>3574</v>
      </c>
      <c r="C184" s="2" t="s">
        <v>3575</v>
      </c>
      <c r="D184" s="3">
        <v>19.34</v>
      </c>
      <c r="E184" s="3">
        <v>0</v>
      </c>
      <c r="F184" s="3">
        <v>0</v>
      </c>
      <c r="G184" s="3">
        <v>0</v>
      </c>
      <c r="H184" s="3">
        <v>63</v>
      </c>
      <c r="I184" s="3">
        <v>2.37</v>
      </c>
      <c r="J184" s="3">
        <v>2.762</v>
      </c>
      <c r="K184" s="3">
        <v>0.96599999999999997</v>
      </c>
    </row>
    <row r="185" spans="2:11" x14ac:dyDescent="0.25">
      <c r="B185" s="2" t="s">
        <v>3576</v>
      </c>
      <c r="C185" s="2" t="s">
        <v>3577</v>
      </c>
      <c r="D185" s="3">
        <v>26.49</v>
      </c>
      <c r="E185" s="3">
        <v>0</v>
      </c>
      <c r="F185" s="3">
        <v>0</v>
      </c>
      <c r="G185" s="3">
        <v>0</v>
      </c>
      <c r="H185" s="3">
        <v>58</v>
      </c>
      <c r="I185" s="3">
        <v>6.3019999999999996</v>
      </c>
      <c r="J185" s="3">
        <v>7.6539999999999999</v>
      </c>
      <c r="K185" s="3">
        <v>2.1379999999999999</v>
      </c>
    </row>
    <row r="186" spans="2:11" x14ac:dyDescent="0.25">
      <c r="B186" s="2" t="s">
        <v>3578</v>
      </c>
      <c r="C186" s="2" t="s">
        <v>3579</v>
      </c>
      <c r="D186" s="3">
        <v>21.75</v>
      </c>
      <c r="E186" s="3">
        <v>0</v>
      </c>
      <c r="F186" s="3">
        <v>0</v>
      </c>
      <c r="G186" s="3">
        <v>0</v>
      </c>
      <c r="H186" s="3">
        <v>52</v>
      </c>
      <c r="I186" s="3">
        <v>10.689</v>
      </c>
      <c r="J186" s="3">
        <v>12.824999999999999</v>
      </c>
      <c r="K186" s="3">
        <v>2.972</v>
      </c>
    </row>
    <row r="187" spans="2:11" x14ac:dyDescent="0.25">
      <c r="B187" s="2" t="s">
        <v>3580</v>
      </c>
      <c r="C187" s="2" t="s">
        <v>3581</v>
      </c>
      <c r="D187" s="3">
        <v>20.76</v>
      </c>
      <c r="E187" s="3">
        <v>0</v>
      </c>
      <c r="F187" s="3">
        <v>0</v>
      </c>
      <c r="G187" s="3">
        <v>0</v>
      </c>
      <c r="H187" s="3">
        <v>67</v>
      </c>
      <c r="I187" s="3">
        <v>2.012</v>
      </c>
      <c r="J187" s="3">
        <v>2.4769999999999999</v>
      </c>
      <c r="K187" s="3">
        <v>0.64500000000000002</v>
      </c>
    </row>
    <row r="188" spans="2:11" x14ac:dyDescent="0.25">
      <c r="B188" s="2" t="s">
        <v>3582</v>
      </c>
      <c r="C188" s="2" t="s">
        <v>3583</v>
      </c>
      <c r="D188" s="3">
        <v>27.74</v>
      </c>
      <c r="E188" s="3">
        <v>0</v>
      </c>
      <c r="F188" s="3">
        <v>0</v>
      </c>
      <c r="G188" s="3">
        <v>0</v>
      </c>
      <c r="H188" s="3">
        <v>60</v>
      </c>
      <c r="I188" s="3">
        <v>5.0860000000000003</v>
      </c>
      <c r="J188" s="3">
        <v>6.26</v>
      </c>
      <c r="K188" s="3">
        <v>1.629</v>
      </c>
    </row>
    <row r="189" spans="2:11" x14ac:dyDescent="0.25">
      <c r="B189" s="2" t="s">
        <v>3584</v>
      </c>
      <c r="C189" s="2" t="s">
        <v>3585</v>
      </c>
      <c r="D189" s="3">
        <v>29.2</v>
      </c>
      <c r="E189" s="3">
        <v>0</v>
      </c>
      <c r="F189" s="3">
        <v>0</v>
      </c>
      <c r="G189" s="3">
        <v>0</v>
      </c>
      <c r="H189" s="3">
        <v>91</v>
      </c>
      <c r="I189" s="3">
        <v>3.766</v>
      </c>
      <c r="J189" s="3">
        <v>4.3760000000000003</v>
      </c>
      <c r="K189" s="3">
        <v>1.458</v>
      </c>
    </row>
    <row r="190" spans="2:11" x14ac:dyDescent="0.25">
      <c r="B190" s="2" t="s">
        <v>3586</v>
      </c>
      <c r="C190" s="2" t="s">
        <v>3587</v>
      </c>
      <c r="D190" s="3">
        <v>22.49</v>
      </c>
      <c r="E190" s="3">
        <v>0</v>
      </c>
      <c r="F190" s="3">
        <v>0</v>
      </c>
      <c r="G190" s="3">
        <v>0</v>
      </c>
      <c r="H190" s="3">
        <v>63</v>
      </c>
      <c r="I190" s="3">
        <v>1.393</v>
      </c>
      <c r="J190" s="3">
        <v>1.722</v>
      </c>
      <c r="K190" s="3">
        <v>0.70799999999999996</v>
      </c>
    </row>
    <row r="191" spans="2:11" x14ac:dyDescent="0.25">
      <c r="B191" s="2" t="s">
        <v>3588</v>
      </c>
      <c r="C191" s="2" t="s">
        <v>3589</v>
      </c>
      <c r="D191" s="3">
        <v>28.41</v>
      </c>
      <c r="E191" s="3">
        <v>0</v>
      </c>
      <c r="F191" s="3">
        <v>0</v>
      </c>
      <c r="G191" s="3">
        <v>0</v>
      </c>
      <c r="H191" s="3">
        <v>56</v>
      </c>
      <c r="I191" s="3">
        <v>1.87</v>
      </c>
      <c r="J191" s="3">
        <v>2.246</v>
      </c>
      <c r="K191" s="3">
        <v>0.96299999999999997</v>
      </c>
    </row>
    <row r="192" spans="2:11" x14ac:dyDescent="0.25">
      <c r="B192" s="2" t="s">
        <v>3590</v>
      </c>
      <c r="C192" s="2" t="s">
        <v>3591</v>
      </c>
      <c r="D192" s="3">
        <v>28.19</v>
      </c>
      <c r="E192" s="3">
        <v>0</v>
      </c>
      <c r="F192" s="3">
        <v>0</v>
      </c>
      <c r="G192" s="3">
        <v>0</v>
      </c>
      <c r="H192" s="3">
        <v>65</v>
      </c>
      <c r="I192" s="3">
        <v>1.7849999999999999</v>
      </c>
      <c r="J192" s="3">
        <v>2.1059999999999999</v>
      </c>
      <c r="K192" s="3">
        <v>0.82199999999999995</v>
      </c>
    </row>
    <row r="193" spans="2:11" x14ac:dyDescent="0.25">
      <c r="B193" s="2" t="s">
        <v>3592</v>
      </c>
      <c r="C193" s="2" t="s">
        <v>3593</v>
      </c>
      <c r="D193" s="3">
        <v>29.62</v>
      </c>
      <c r="E193" s="3">
        <v>0</v>
      </c>
      <c r="F193" s="3">
        <v>0</v>
      </c>
      <c r="G193" s="3">
        <v>0</v>
      </c>
      <c r="H193" s="3">
        <v>66</v>
      </c>
      <c r="I193" s="3">
        <v>2.528</v>
      </c>
      <c r="J193" s="3">
        <v>3.0680000000000001</v>
      </c>
      <c r="K193" s="3">
        <v>1.198</v>
      </c>
    </row>
    <row r="194" spans="2:11" x14ac:dyDescent="0.25">
      <c r="B194" s="2" t="s">
        <v>3594</v>
      </c>
      <c r="C194" s="2" t="s">
        <v>3595</v>
      </c>
      <c r="D194" s="3">
        <v>22.81</v>
      </c>
      <c r="E194" s="3">
        <v>0</v>
      </c>
      <c r="F194" s="3">
        <v>0</v>
      </c>
      <c r="G194" s="3">
        <v>0</v>
      </c>
      <c r="H194" s="3">
        <v>63</v>
      </c>
      <c r="I194" s="3">
        <v>0.90600000000000003</v>
      </c>
      <c r="J194" s="3">
        <v>1.099</v>
      </c>
      <c r="K194" s="3">
        <v>0.41299999999999998</v>
      </c>
    </row>
    <row r="195" spans="2:11" x14ac:dyDescent="0.25">
      <c r="B195" s="2" t="s">
        <v>3596</v>
      </c>
      <c r="C195" s="2" t="s">
        <v>3597</v>
      </c>
      <c r="D195" s="3">
        <v>28.75</v>
      </c>
      <c r="E195" s="3">
        <v>0</v>
      </c>
      <c r="F195" s="3">
        <v>0</v>
      </c>
      <c r="G195" s="3">
        <v>0</v>
      </c>
      <c r="H195" s="3">
        <v>56</v>
      </c>
      <c r="I195" s="3">
        <v>1.5169999999999999</v>
      </c>
      <c r="J195" s="3">
        <v>1.8160000000000001</v>
      </c>
      <c r="K195" s="3">
        <v>0.79400000000000004</v>
      </c>
    </row>
    <row r="196" spans="2:11" x14ac:dyDescent="0.25">
      <c r="B196" s="2" t="s">
        <v>3598</v>
      </c>
      <c r="C196" s="2" t="s">
        <v>3599</v>
      </c>
      <c r="D196" s="3">
        <v>28.6</v>
      </c>
      <c r="E196" s="3">
        <v>0</v>
      </c>
      <c r="F196" s="3">
        <v>0</v>
      </c>
      <c r="G196" s="3">
        <v>0</v>
      </c>
      <c r="H196" s="3">
        <v>66</v>
      </c>
      <c r="I196" s="3">
        <v>1.357</v>
      </c>
      <c r="J196" s="3">
        <v>1.585</v>
      </c>
      <c r="K196" s="3">
        <v>0.61399999999999999</v>
      </c>
    </row>
    <row r="197" spans="2:11" x14ac:dyDescent="0.25">
      <c r="B197" s="2" t="s">
        <v>3600</v>
      </c>
      <c r="C197" s="2" t="s">
        <v>3601</v>
      </c>
      <c r="D197" s="3">
        <v>30.39</v>
      </c>
      <c r="E197" s="3">
        <v>0</v>
      </c>
      <c r="F197" s="3">
        <v>0</v>
      </c>
      <c r="G197" s="3">
        <v>0</v>
      </c>
      <c r="H197" s="3">
        <v>66</v>
      </c>
      <c r="I197" s="3">
        <v>1.798</v>
      </c>
      <c r="J197" s="3">
        <v>2.181</v>
      </c>
      <c r="K197" s="3">
        <v>0.84399999999999997</v>
      </c>
    </row>
    <row r="198" spans="2:11" x14ac:dyDescent="0.25">
      <c r="B198" s="2" t="s">
        <v>3602</v>
      </c>
      <c r="C198" s="2" t="s">
        <v>3603</v>
      </c>
      <c r="D198" s="3">
        <v>20.65</v>
      </c>
      <c r="E198" s="3">
        <v>0</v>
      </c>
      <c r="F198" s="3">
        <v>0</v>
      </c>
      <c r="G198" s="3">
        <v>0</v>
      </c>
      <c r="H198" s="3">
        <v>52</v>
      </c>
      <c r="I198" s="3">
        <v>1.181</v>
      </c>
      <c r="J198" s="3">
        <v>1.355</v>
      </c>
      <c r="K198" s="3">
        <v>0.56200000000000006</v>
      </c>
    </row>
    <row r="199" spans="2:11" x14ac:dyDescent="0.25">
      <c r="B199" s="2" t="s">
        <v>3604</v>
      </c>
      <c r="C199" s="2" t="s">
        <v>3605</v>
      </c>
      <c r="D199" s="3">
        <v>16.88</v>
      </c>
      <c r="E199" s="3">
        <v>0</v>
      </c>
      <c r="F199" s="3">
        <v>0</v>
      </c>
      <c r="H199" s="3">
        <v>56</v>
      </c>
      <c r="I199" s="3">
        <v>7.87</v>
      </c>
      <c r="J199" s="3">
        <v>9.44</v>
      </c>
      <c r="K199" s="3">
        <v>1.91</v>
      </c>
    </row>
    <row r="200" spans="2:11" x14ac:dyDescent="0.25">
      <c r="B200" s="2" t="s">
        <v>3606</v>
      </c>
      <c r="C200" s="2" t="s">
        <v>3607</v>
      </c>
      <c r="D200" s="3">
        <v>25.69</v>
      </c>
      <c r="E200" s="3">
        <v>0</v>
      </c>
      <c r="F200" s="3">
        <v>0</v>
      </c>
      <c r="G200" s="3">
        <v>0</v>
      </c>
      <c r="H200" s="3">
        <v>73</v>
      </c>
      <c r="I200" s="3">
        <v>7.72</v>
      </c>
      <c r="J200" s="3">
        <v>9.25</v>
      </c>
      <c r="K200" s="3">
        <v>1.87</v>
      </c>
    </row>
    <row r="201" spans="2:11" x14ac:dyDescent="0.25">
      <c r="B201" s="2" t="s">
        <v>3608</v>
      </c>
      <c r="C201" s="2" t="s">
        <v>3609</v>
      </c>
      <c r="D201" s="3">
        <v>29.86</v>
      </c>
      <c r="E201" s="3">
        <v>0</v>
      </c>
      <c r="F201" s="3">
        <v>0</v>
      </c>
      <c r="H201" s="3">
        <v>64</v>
      </c>
      <c r="I201" s="3">
        <v>2.93</v>
      </c>
      <c r="J201" s="3">
        <v>3.34</v>
      </c>
      <c r="K201" s="3">
        <v>0.74</v>
      </c>
    </row>
    <row r="202" spans="2:11" x14ac:dyDescent="0.25">
      <c r="B202" s="2" t="s">
        <v>3610</v>
      </c>
      <c r="C202" s="2" t="s">
        <v>3611</v>
      </c>
      <c r="D202" s="3">
        <v>26.04</v>
      </c>
      <c r="E202" s="3">
        <v>0</v>
      </c>
      <c r="F202" s="3">
        <v>0</v>
      </c>
      <c r="G202" s="3">
        <v>0</v>
      </c>
      <c r="H202" s="3">
        <v>57</v>
      </c>
      <c r="I202" s="3">
        <v>1.3580000000000001</v>
      </c>
      <c r="J202" s="3">
        <v>1.5209999999999999</v>
      </c>
      <c r="K202" s="3">
        <v>0.56899999999999995</v>
      </c>
    </row>
    <row r="203" spans="2:11" x14ac:dyDescent="0.25">
      <c r="B203" s="2" t="s">
        <v>3612</v>
      </c>
      <c r="C203" s="2" t="s">
        <v>3613</v>
      </c>
      <c r="D203" s="3">
        <v>30.42</v>
      </c>
      <c r="E203" s="3">
        <v>0</v>
      </c>
      <c r="F203" s="3">
        <v>0</v>
      </c>
      <c r="H203" s="3">
        <v>65</v>
      </c>
      <c r="I203" s="3">
        <v>2.2400000000000002</v>
      </c>
      <c r="J203" s="3">
        <v>2.58</v>
      </c>
      <c r="K203" s="3">
        <v>0.56000000000000005</v>
      </c>
    </row>
    <row r="204" spans="2:11" x14ac:dyDescent="0.25">
      <c r="B204" s="2" t="s">
        <v>3614</v>
      </c>
      <c r="C204" s="2" t="s">
        <v>3615</v>
      </c>
      <c r="D204" s="3">
        <v>21.34</v>
      </c>
      <c r="E204" s="3">
        <v>0</v>
      </c>
      <c r="F204" s="3">
        <v>0</v>
      </c>
      <c r="G204" s="3">
        <v>0</v>
      </c>
      <c r="H204" s="3">
        <v>47</v>
      </c>
      <c r="I204" s="3">
        <v>1.5980000000000001</v>
      </c>
      <c r="J204" s="3">
        <v>1.861</v>
      </c>
      <c r="K204" s="3">
        <v>0.65100000000000002</v>
      </c>
    </row>
    <row r="205" spans="2:11" x14ac:dyDescent="0.25">
      <c r="B205" s="2" t="s">
        <v>3616</v>
      </c>
      <c r="C205" s="2" t="s">
        <v>3617</v>
      </c>
      <c r="D205" s="3">
        <v>22.39</v>
      </c>
      <c r="E205" s="3">
        <v>0</v>
      </c>
      <c r="F205" s="3">
        <v>0</v>
      </c>
      <c r="G205" s="3">
        <v>0</v>
      </c>
      <c r="H205" s="3">
        <v>49</v>
      </c>
      <c r="I205" s="3">
        <v>1.248</v>
      </c>
      <c r="J205" s="3">
        <v>1.595</v>
      </c>
      <c r="K205" s="3">
        <v>0.40899999999999997</v>
      </c>
    </row>
    <row r="206" spans="2:11" x14ac:dyDescent="0.25">
      <c r="B206" s="2" t="s">
        <v>3618</v>
      </c>
      <c r="C206" s="2" t="s">
        <v>3619</v>
      </c>
      <c r="D206" s="3">
        <v>20.079999999999998</v>
      </c>
      <c r="E206" s="3">
        <v>0</v>
      </c>
      <c r="F206" s="3">
        <v>0</v>
      </c>
      <c r="G206" s="3">
        <v>0</v>
      </c>
      <c r="H206" s="3">
        <v>54</v>
      </c>
      <c r="I206" s="3">
        <v>3.1059999999999999</v>
      </c>
      <c r="J206" s="3">
        <v>3.7679999999999998</v>
      </c>
      <c r="K206" s="3">
        <v>1.1220000000000001</v>
      </c>
    </row>
    <row r="207" spans="2:11" x14ac:dyDescent="0.25">
      <c r="B207" s="2" t="s">
        <v>3620</v>
      </c>
      <c r="C207" s="2" t="s">
        <v>3621</v>
      </c>
      <c r="D207" s="3">
        <v>26.07</v>
      </c>
      <c r="E207" s="3">
        <v>0</v>
      </c>
      <c r="F207" s="3">
        <v>0</v>
      </c>
      <c r="G207" s="3">
        <v>0</v>
      </c>
      <c r="H207" s="3">
        <v>55</v>
      </c>
      <c r="I207" s="3">
        <v>4.7030000000000003</v>
      </c>
      <c r="J207" s="3">
        <v>5.758</v>
      </c>
      <c r="K207" s="3">
        <v>1.367</v>
      </c>
    </row>
    <row r="208" spans="2:11" x14ac:dyDescent="0.25">
      <c r="B208" s="2" t="s">
        <v>3622</v>
      </c>
      <c r="C208" s="2" t="s">
        <v>3623</v>
      </c>
      <c r="D208" s="3">
        <v>21.23</v>
      </c>
      <c r="E208" s="3">
        <v>0</v>
      </c>
      <c r="F208" s="3">
        <v>0</v>
      </c>
      <c r="H208" s="3">
        <v>54</v>
      </c>
      <c r="I208" s="3">
        <v>2.0299999999999998</v>
      </c>
      <c r="J208" s="3">
        <v>2.66</v>
      </c>
      <c r="K208" s="3">
        <v>0.63</v>
      </c>
    </row>
    <row r="209" spans="2:11" x14ac:dyDescent="0.25">
      <c r="B209" s="2"/>
      <c r="C209" s="2"/>
      <c r="D209" s="3"/>
      <c r="E209" s="3"/>
      <c r="F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11A7-1BC0-3649-ACF9-34BFF5A8F6E0}">
  <sheetPr codeName="Sheet13"/>
  <dimension ref="A1:K310"/>
  <sheetViews>
    <sheetView workbookViewId="0">
      <selection activeCell="S51" sqref="S51"/>
    </sheetView>
  </sheetViews>
  <sheetFormatPr defaultColWidth="11" defaultRowHeight="15.75" x14ac:dyDescent="0.25"/>
  <cols>
    <col min="3" max="3" width="53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11001</v>
      </c>
      <c r="C3" s="10" t="str" cm="1">
        <f t="array" ref="C3">INDEX($B$11:$K$208, $A$3, C1)</f>
        <v>ALFALFA SEEDS,SPROUTED,RAW</v>
      </c>
      <c r="D3" s="10" cm="1">
        <f t="array" ref="D3">INDEX($B$11:$K$74, $A$3, D1)</f>
        <v>3.99</v>
      </c>
      <c r="E3" s="10" cm="1">
        <f t="array" ref="E3">INDEX($B$11:$K$74, $A$3, E1)</f>
        <v>2.1</v>
      </c>
      <c r="F3" s="10" cm="1">
        <f t="array" ref="F3">INDEX($B$11:$K$74, $A$3, F1)</f>
        <v>1.9</v>
      </c>
      <c r="G3" s="10" cm="1">
        <f t="array" ref="G3">INDEX($B$11:$K$74, $A$3, G1)</f>
        <v>0.2</v>
      </c>
      <c r="H3" s="10" cm="1">
        <f t="array" ref="H3">INDEX($B$11:$K$74, $A$3, H1)</f>
        <v>6</v>
      </c>
      <c r="I3" s="10" cm="1">
        <f t="array" ref="I3">INDEX($B$11:$K$74, $A$3, I1)</f>
        <v>6.9000000000000006E-2</v>
      </c>
      <c r="J3" s="10" cm="1">
        <f t="array" ref="J3">INDEX($B$11:$K$74, $A$3, J1)</f>
        <v>5.6000000000000001E-2</v>
      </c>
      <c r="K3" s="10" cm="1">
        <f t="array" ref="K3">INDEX($B$11:$K$74, $A$3, K1)</f>
        <v>0.40899999999999997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4.2</v>
      </c>
      <c r="F6" s="10">
        <f>A6*F3</f>
        <v>0</v>
      </c>
      <c r="G6" s="10">
        <f>A7*G3</f>
        <v>0.4</v>
      </c>
      <c r="H6" s="12">
        <f>A6*H3</f>
        <v>0</v>
      </c>
      <c r="I6" s="12">
        <f>A6*I3</f>
        <v>0</v>
      </c>
      <c r="J6" s="12">
        <f>A7*J3</f>
        <v>0.112</v>
      </c>
      <c r="K6" s="10">
        <f>A7*K3</f>
        <v>0.81799999999999995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3624</v>
      </c>
      <c r="C11" s="2" t="s">
        <v>3625</v>
      </c>
      <c r="D11" s="3">
        <v>3.99</v>
      </c>
      <c r="E11" s="3">
        <v>2.1</v>
      </c>
      <c r="F11" s="3">
        <v>1.9</v>
      </c>
      <c r="G11" s="3">
        <v>0.2</v>
      </c>
      <c r="H11" s="3">
        <v>6</v>
      </c>
      <c r="I11" s="3">
        <v>6.9000000000000006E-2</v>
      </c>
      <c r="J11" s="3">
        <v>5.6000000000000001E-2</v>
      </c>
      <c r="K11" s="3">
        <v>0.40899999999999997</v>
      </c>
    </row>
    <row r="12" spans="1:11" x14ac:dyDescent="0.25">
      <c r="B12" s="2" t="s">
        <v>3626</v>
      </c>
      <c r="C12" s="2" t="s">
        <v>3627</v>
      </c>
      <c r="D12" s="3">
        <v>2.46</v>
      </c>
      <c r="E12" s="3">
        <v>4.0199999999999996</v>
      </c>
      <c r="H12" s="3">
        <v>20</v>
      </c>
      <c r="I12" s="3">
        <v>9.0999999999999998E-2</v>
      </c>
      <c r="J12" s="3">
        <v>7.5999999999999998E-2</v>
      </c>
      <c r="K12" s="3">
        <v>0.14699999999999999</v>
      </c>
    </row>
    <row r="13" spans="1:11" x14ac:dyDescent="0.25">
      <c r="B13" s="2" t="s">
        <v>3628</v>
      </c>
      <c r="C13" s="2" t="s">
        <v>3629</v>
      </c>
      <c r="D13" s="3">
        <v>2.11</v>
      </c>
      <c r="E13" s="3">
        <v>4.1100000000000003</v>
      </c>
      <c r="H13" s="3">
        <v>21</v>
      </c>
      <c r="I13" s="3">
        <v>0.05</v>
      </c>
      <c r="J13" s="3">
        <v>4.1000000000000002E-2</v>
      </c>
      <c r="K13" s="3">
        <v>0.08</v>
      </c>
    </row>
    <row r="14" spans="1:11" x14ac:dyDescent="0.25">
      <c r="B14" s="2" t="s">
        <v>3630</v>
      </c>
      <c r="C14" s="2" t="s">
        <v>3631</v>
      </c>
      <c r="D14" s="3">
        <v>5.33</v>
      </c>
      <c r="E14" s="3">
        <v>20.23</v>
      </c>
      <c r="H14" s="3">
        <v>22</v>
      </c>
    </row>
    <row r="15" spans="1:11" x14ac:dyDescent="0.25">
      <c r="B15" s="2" t="s">
        <v>3632</v>
      </c>
      <c r="C15" s="2" t="s">
        <v>3633</v>
      </c>
      <c r="D15" s="3">
        <v>4.49</v>
      </c>
      <c r="E15" s="3">
        <v>16.14</v>
      </c>
      <c r="H15" s="3">
        <v>18</v>
      </c>
    </row>
    <row r="16" spans="1:11" x14ac:dyDescent="0.25">
      <c r="B16" s="2" t="s">
        <v>3634</v>
      </c>
      <c r="C16" s="2" t="s">
        <v>3635</v>
      </c>
      <c r="D16" s="3">
        <v>3.27</v>
      </c>
      <c r="E16" s="3">
        <v>10.51</v>
      </c>
      <c r="F16" s="3">
        <v>5.4</v>
      </c>
      <c r="G16" s="3">
        <v>0.99</v>
      </c>
      <c r="H16" s="3">
        <v>94</v>
      </c>
      <c r="I16" s="3">
        <v>3.5999999999999997E-2</v>
      </c>
      <c r="J16" s="3">
        <v>5.0000000000000001E-3</v>
      </c>
      <c r="K16" s="3">
        <v>6.4000000000000001E-2</v>
      </c>
    </row>
    <row r="17" spans="2:11" x14ac:dyDescent="0.25">
      <c r="B17" s="2" t="s">
        <v>3636</v>
      </c>
      <c r="C17" s="2" t="s">
        <v>3637</v>
      </c>
      <c r="D17" s="3">
        <v>2.89</v>
      </c>
      <c r="E17" s="3">
        <v>11.95</v>
      </c>
      <c r="F17" s="3">
        <v>5.7</v>
      </c>
      <c r="G17" s="3">
        <v>0.99</v>
      </c>
      <c r="H17" s="3">
        <v>60</v>
      </c>
      <c r="I17" s="3">
        <v>7.9000000000000001E-2</v>
      </c>
      <c r="J17" s="3">
        <v>1.0999999999999999E-2</v>
      </c>
      <c r="K17" s="3">
        <v>0.14499999999999999</v>
      </c>
    </row>
    <row r="18" spans="2:11" x14ac:dyDescent="0.25">
      <c r="B18" s="2" t="s">
        <v>3638</v>
      </c>
      <c r="C18" s="2" t="s">
        <v>3639</v>
      </c>
      <c r="D18" s="3">
        <v>2.63</v>
      </c>
      <c r="E18" s="3">
        <v>7.75</v>
      </c>
      <c r="F18" s="3">
        <v>3.9</v>
      </c>
      <c r="H18" s="3">
        <v>47</v>
      </c>
      <c r="I18" s="3">
        <v>9.9000000000000005E-2</v>
      </c>
      <c r="J18" s="3">
        <v>1.2E-2</v>
      </c>
      <c r="K18" s="3">
        <v>0.17899999999999999</v>
      </c>
    </row>
    <row r="19" spans="2:11" x14ac:dyDescent="0.25">
      <c r="B19" s="2" t="s">
        <v>3640</v>
      </c>
      <c r="C19" s="2" t="s">
        <v>3641</v>
      </c>
      <c r="D19" s="3">
        <v>3.11</v>
      </c>
      <c r="E19" s="3">
        <v>9.18</v>
      </c>
      <c r="F19" s="3">
        <v>4.5999999999999996</v>
      </c>
      <c r="G19" s="3">
        <v>0.84</v>
      </c>
      <c r="H19" s="3">
        <v>53</v>
      </c>
      <c r="I19" s="3">
        <v>0.11899999999999999</v>
      </c>
      <c r="J19" s="3">
        <v>1.4999999999999999E-2</v>
      </c>
      <c r="K19" s="3">
        <v>0.216</v>
      </c>
    </row>
    <row r="20" spans="2:11" x14ac:dyDescent="0.25">
      <c r="B20" s="2" t="s">
        <v>3642</v>
      </c>
      <c r="C20" s="2" t="s">
        <v>3643</v>
      </c>
      <c r="D20" s="3">
        <v>2.2000000000000002</v>
      </c>
      <c r="E20" s="3">
        <v>3.88</v>
      </c>
      <c r="F20" s="3">
        <v>2.1</v>
      </c>
      <c r="G20" s="3">
        <v>1.88</v>
      </c>
      <c r="H20" s="3">
        <v>2</v>
      </c>
      <c r="I20" s="3">
        <v>0.04</v>
      </c>
      <c r="J20" s="3">
        <v>0</v>
      </c>
      <c r="K20" s="3">
        <v>0.05</v>
      </c>
    </row>
    <row r="21" spans="2:11" x14ac:dyDescent="0.25">
      <c r="B21" s="2" t="s">
        <v>3644</v>
      </c>
      <c r="C21" s="2" t="s">
        <v>3645</v>
      </c>
      <c r="D21" s="3">
        <v>2.4</v>
      </c>
      <c r="E21" s="3">
        <v>4.1100000000000003</v>
      </c>
      <c r="F21" s="3">
        <v>2</v>
      </c>
      <c r="G21" s="3">
        <v>1.3</v>
      </c>
      <c r="H21" s="3">
        <v>14</v>
      </c>
      <c r="I21" s="3">
        <v>4.8000000000000001E-2</v>
      </c>
      <c r="J21" s="3">
        <v>0</v>
      </c>
      <c r="K21" s="3">
        <v>0.105</v>
      </c>
    </row>
    <row r="22" spans="2:11" x14ac:dyDescent="0.25">
      <c r="B22" s="2" t="s">
        <v>3646</v>
      </c>
      <c r="C22" s="2" t="s">
        <v>3647</v>
      </c>
      <c r="D22" s="3">
        <v>1.8</v>
      </c>
      <c r="E22" s="3">
        <v>2.48</v>
      </c>
      <c r="F22" s="3">
        <v>1</v>
      </c>
      <c r="H22" s="3">
        <v>284</v>
      </c>
      <c r="I22" s="3">
        <v>4.3999999999999997E-2</v>
      </c>
      <c r="J22" s="3">
        <v>6.0000000000000001E-3</v>
      </c>
      <c r="K22" s="3">
        <v>8.5000000000000006E-2</v>
      </c>
    </row>
    <row r="23" spans="2:11" x14ac:dyDescent="0.25">
      <c r="B23" s="2" t="s">
        <v>3648</v>
      </c>
      <c r="C23" s="2" t="s">
        <v>3649</v>
      </c>
      <c r="D23" s="3">
        <v>2.14</v>
      </c>
      <c r="E23" s="3">
        <v>2.46</v>
      </c>
      <c r="F23" s="3">
        <v>1.6</v>
      </c>
      <c r="G23" s="3">
        <v>1.06</v>
      </c>
      <c r="H23" s="3">
        <v>287</v>
      </c>
      <c r="I23" s="3">
        <v>0.14699999999999999</v>
      </c>
      <c r="J23" s="3">
        <v>2.1000000000000001E-2</v>
      </c>
      <c r="K23" s="3">
        <v>0.28399999999999997</v>
      </c>
    </row>
    <row r="24" spans="2:11" x14ac:dyDescent="0.25">
      <c r="B24" s="2" t="s">
        <v>3650</v>
      </c>
      <c r="C24" s="2" t="s">
        <v>3651</v>
      </c>
      <c r="D24" s="3">
        <v>3.23</v>
      </c>
      <c r="E24" s="3">
        <v>4.0999999999999996</v>
      </c>
      <c r="F24" s="3">
        <v>1.9</v>
      </c>
      <c r="H24" s="3">
        <v>8</v>
      </c>
      <c r="I24" s="3">
        <v>5.1999999999999998E-2</v>
      </c>
      <c r="J24" s="3">
        <v>7.0000000000000001E-3</v>
      </c>
      <c r="K24" s="3">
        <v>0.10100000000000001</v>
      </c>
    </row>
    <row r="25" spans="2:11" x14ac:dyDescent="0.25">
      <c r="B25" s="2" t="s">
        <v>3652</v>
      </c>
      <c r="C25" s="2" t="s">
        <v>3653</v>
      </c>
      <c r="D25" s="3">
        <v>2.95</v>
      </c>
      <c r="E25" s="3">
        <v>1.92</v>
      </c>
      <c r="F25" s="3">
        <v>1.6</v>
      </c>
      <c r="G25" s="3">
        <v>0.32</v>
      </c>
      <c r="H25" s="3">
        <v>3</v>
      </c>
      <c r="I25" s="3">
        <v>9.6000000000000002E-2</v>
      </c>
      <c r="J25" s="3">
        <v>1.2999999999999999E-2</v>
      </c>
      <c r="K25" s="3">
        <v>0.185</v>
      </c>
    </row>
    <row r="26" spans="2:11" x14ac:dyDescent="0.25">
      <c r="B26" s="2" t="s">
        <v>3654</v>
      </c>
      <c r="C26" s="2" t="s">
        <v>3655</v>
      </c>
      <c r="D26" s="3">
        <v>5.3</v>
      </c>
      <c r="E26" s="3">
        <v>3.29</v>
      </c>
      <c r="H26" s="3">
        <v>11</v>
      </c>
    </row>
    <row r="27" spans="2:11" x14ac:dyDescent="0.25">
      <c r="B27" s="2" t="s">
        <v>3656</v>
      </c>
      <c r="C27" s="2" t="s">
        <v>3657</v>
      </c>
      <c r="D27" s="3">
        <v>3.6</v>
      </c>
      <c r="E27" s="3">
        <v>6.68</v>
      </c>
      <c r="F27" s="3">
        <v>1.9</v>
      </c>
      <c r="G27" s="3">
        <v>1.04</v>
      </c>
      <c r="H27" s="3">
        <v>13</v>
      </c>
      <c r="I27" s="3">
        <v>3.2000000000000001E-2</v>
      </c>
      <c r="J27" s="3">
        <v>5.0000000000000001E-3</v>
      </c>
      <c r="K27" s="3">
        <v>8.3000000000000004E-2</v>
      </c>
    </row>
    <row r="28" spans="2:11" x14ac:dyDescent="0.25">
      <c r="B28" s="2" t="s">
        <v>3658</v>
      </c>
      <c r="C28" s="2" t="s">
        <v>3659</v>
      </c>
      <c r="D28" s="3">
        <v>1</v>
      </c>
      <c r="E28" s="3">
        <v>3.7</v>
      </c>
      <c r="F28" s="3">
        <v>2.8</v>
      </c>
      <c r="H28" s="3">
        <v>5</v>
      </c>
    </row>
    <row r="29" spans="2:11" x14ac:dyDescent="0.25">
      <c r="B29" s="2" t="s">
        <v>3660</v>
      </c>
      <c r="C29" s="2" t="s">
        <v>3661</v>
      </c>
      <c r="D29" s="3">
        <v>0.84</v>
      </c>
      <c r="E29" s="3">
        <v>4.32</v>
      </c>
      <c r="F29" s="3">
        <v>2</v>
      </c>
      <c r="G29" s="3">
        <v>1.95</v>
      </c>
      <c r="H29" s="3">
        <v>6</v>
      </c>
      <c r="I29" s="3">
        <v>1.4E-2</v>
      </c>
      <c r="J29" s="3">
        <v>3.3000000000000002E-2</v>
      </c>
      <c r="K29" s="3">
        <v>7.8E-2</v>
      </c>
    </row>
    <row r="30" spans="2:11" x14ac:dyDescent="0.25">
      <c r="B30" s="2" t="s">
        <v>3662</v>
      </c>
      <c r="C30" s="2" t="s">
        <v>3663</v>
      </c>
      <c r="D30" s="3">
        <v>2.6</v>
      </c>
      <c r="E30" s="3">
        <v>5.2</v>
      </c>
      <c r="F30" s="3">
        <v>2.2000000000000002</v>
      </c>
      <c r="G30" s="3">
        <v>3</v>
      </c>
      <c r="H30" s="3">
        <v>4</v>
      </c>
      <c r="I30" s="3">
        <v>6.9000000000000006E-2</v>
      </c>
      <c r="J30" s="3">
        <v>7.0000000000000001E-3</v>
      </c>
      <c r="K30" s="3">
        <v>0.13400000000000001</v>
      </c>
    </row>
    <row r="31" spans="2:11" x14ac:dyDescent="0.25">
      <c r="B31" s="2" t="s">
        <v>3664</v>
      </c>
      <c r="C31" s="2" t="s">
        <v>3665</v>
      </c>
      <c r="D31" s="3">
        <v>1.53</v>
      </c>
      <c r="E31" s="3">
        <v>1.92</v>
      </c>
      <c r="F31" s="3">
        <v>1</v>
      </c>
      <c r="H31" s="3">
        <v>4</v>
      </c>
      <c r="I31" s="3">
        <v>5.0999999999999997E-2</v>
      </c>
      <c r="J31" s="3">
        <v>5.0000000000000001E-3</v>
      </c>
      <c r="K31" s="3">
        <v>9.8000000000000004E-2</v>
      </c>
    </row>
    <row r="32" spans="2:11" x14ac:dyDescent="0.25">
      <c r="B32" s="2" t="s">
        <v>3666</v>
      </c>
      <c r="C32" s="2" t="s">
        <v>3667</v>
      </c>
      <c r="D32" s="3">
        <v>1.72</v>
      </c>
      <c r="E32" s="3">
        <v>3.22</v>
      </c>
      <c r="F32" s="3">
        <v>1.4</v>
      </c>
      <c r="G32" s="3">
        <v>1.89</v>
      </c>
      <c r="H32" s="3">
        <v>7</v>
      </c>
      <c r="I32" s="3">
        <v>9.1999999999999998E-2</v>
      </c>
      <c r="J32" s="3">
        <v>8.9999999999999993E-3</v>
      </c>
      <c r="K32" s="3">
        <v>0.17799999999999999</v>
      </c>
    </row>
    <row r="33" spans="2:11" x14ac:dyDescent="0.25">
      <c r="B33" s="2" t="s">
        <v>3668</v>
      </c>
      <c r="C33" s="2" t="s">
        <v>3669</v>
      </c>
      <c r="D33" s="3">
        <v>4.2</v>
      </c>
      <c r="E33" s="3">
        <v>4.0999999999999996</v>
      </c>
      <c r="H33" s="3">
        <v>6</v>
      </c>
      <c r="I33" s="3">
        <v>7.1999999999999995E-2</v>
      </c>
      <c r="J33" s="3">
        <v>3.9E-2</v>
      </c>
      <c r="K33" s="3">
        <v>0.27600000000000002</v>
      </c>
    </row>
    <row r="34" spans="2:11" x14ac:dyDescent="0.25">
      <c r="B34" s="2" t="s">
        <v>3670</v>
      </c>
      <c r="C34" s="2" t="s">
        <v>3671</v>
      </c>
      <c r="D34" s="3">
        <v>4.83</v>
      </c>
      <c r="E34" s="3">
        <v>4.72</v>
      </c>
      <c r="H34" s="3">
        <v>7</v>
      </c>
      <c r="I34" s="3">
        <v>8.3000000000000004E-2</v>
      </c>
      <c r="J34" s="3">
        <v>4.4999999999999998E-2</v>
      </c>
      <c r="K34" s="3">
        <v>0.318</v>
      </c>
    </row>
    <row r="35" spans="2:11" x14ac:dyDescent="0.25">
      <c r="B35" s="2" t="s">
        <v>3672</v>
      </c>
      <c r="C35" s="2" t="s">
        <v>3673</v>
      </c>
      <c r="D35" s="3">
        <v>6.84</v>
      </c>
      <c r="E35" s="3">
        <v>20.170000000000002</v>
      </c>
      <c r="F35" s="3">
        <v>4.9000000000000004</v>
      </c>
      <c r="G35" s="3">
        <v>1.48</v>
      </c>
      <c r="H35" s="3">
        <v>8</v>
      </c>
      <c r="I35" s="3">
        <v>0.19800000000000001</v>
      </c>
      <c r="J35" s="3">
        <v>0.05</v>
      </c>
      <c r="K35" s="3">
        <v>0.41899999999999998</v>
      </c>
    </row>
    <row r="36" spans="2:11" x14ac:dyDescent="0.25">
      <c r="B36" s="2" t="s">
        <v>3674</v>
      </c>
      <c r="C36" s="2" t="s">
        <v>3675</v>
      </c>
      <c r="D36" s="3">
        <v>6.81</v>
      </c>
      <c r="E36" s="3">
        <v>23.64</v>
      </c>
      <c r="F36" s="3">
        <v>5.4</v>
      </c>
      <c r="G36" s="3">
        <v>1.63</v>
      </c>
      <c r="H36" s="3">
        <v>17</v>
      </c>
      <c r="I36" s="3">
        <v>7.2999999999999995E-2</v>
      </c>
      <c r="J36" s="3">
        <v>1.9E-2</v>
      </c>
      <c r="K36" s="3">
        <v>0.154</v>
      </c>
    </row>
    <row r="37" spans="2:11" x14ac:dyDescent="0.25">
      <c r="B37" s="2" t="s">
        <v>3676</v>
      </c>
      <c r="C37" s="2" t="s">
        <v>3677</v>
      </c>
      <c r="D37" s="3">
        <v>4.07</v>
      </c>
      <c r="E37" s="3">
        <v>13.33</v>
      </c>
      <c r="F37" s="3">
        <v>3.6</v>
      </c>
      <c r="H37" s="3">
        <v>252</v>
      </c>
      <c r="I37" s="3">
        <v>6.6000000000000003E-2</v>
      </c>
      <c r="J37" s="3">
        <v>1.6E-2</v>
      </c>
      <c r="K37" s="3">
        <v>0.13900000000000001</v>
      </c>
    </row>
    <row r="38" spans="2:11" x14ac:dyDescent="0.25">
      <c r="B38" s="2" t="s">
        <v>3678</v>
      </c>
      <c r="C38" s="2" t="s">
        <v>3679</v>
      </c>
      <c r="D38" s="3">
        <v>6.4</v>
      </c>
      <c r="E38" s="3">
        <v>19.829999999999998</v>
      </c>
      <c r="F38" s="3">
        <v>5.5</v>
      </c>
      <c r="G38" s="3">
        <v>1.39</v>
      </c>
      <c r="H38" s="3">
        <v>58</v>
      </c>
      <c r="I38" s="3">
        <v>8.1000000000000003E-2</v>
      </c>
      <c r="J38" s="3">
        <v>2.1000000000000001E-2</v>
      </c>
      <c r="K38" s="3">
        <v>0.17199999999999999</v>
      </c>
    </row>
    <row r="39" spans="2:11" x14ac:dyDescent="0.25">
      <c r="B39" s="2" t="s">
        <v>3680</v>
      </c>
      <c r="C39" s="2" t="s">
        <v>3681</v>
      </c>
      <c r="D39" s="3">
        <v>6.07</v>
      </c>
      <c r="E39" s="3">
        <v>19.32</v>
      </c>
      <c r="F39" s="3">
        <v>5.3</v>
      </c>
      <c r="G39" s="3">
        <v>1.34</v>
      </c>
      <c r="H39" s="3">
        <v>69</v>
      </c>
      <c r="I39" s="3">
        <v>7.6999999999999999E-2</v>
      </c>
      <c r="J39" s="3">
        <v>0.02</v>
      </c>
      <c r="K39" s="3">
        <v>0.16300000000000001</v>
      </c>
    </row>
    <row r="40" spans="2:11" x14ac:dyDescent="0.25">
      <c r="B40" s="2" t="s">
        <v>3682</v>
      </c>
      <c r="C40" s="2" t="s">
        <v>3683</v>
      </c>
      <c r="D40" s="3">
        <v>7.59</v>
      </c>
      <c r="E40" s="3">
        <v>25.14</v>
      </c>
      <c r="F40" s="3">
        <v>6</v>
      </c>
      <c r="H40" s="3">
        <v>52</v>
      </c>
      <c r="I40" s="3">
        <v>0.10199999999999999</v>
      </c>
      <c r="J40" s="3">
        <v>2.5999999999999999E-2</v>
      </c>
      <c r="K40" s="3">
        <v>0.216</v>
      </c>
    </row>
    <row r="41" spans="2:11" x14ac:dyDescent="0.25">
      <c r="B41" s="2" t="s">
        <v>3684</v>
      </c>
      <c r="C41" s="2" t="s">
        <v>3685</v>
      </c>
      <c r="D41" s="3">
        <v>6.65</v>
      </c>
      <c r="E41" s="3">
        <v>19.45</v>
      </c>
      <c r="F41" s="3">
        <v>4.8</v>
      </c>
      <c r="G41" s="3">
        <v>1.37</v>
      </c>
      <c r="H41" s="3">
        <v>29</v>
      </c>
      <c r="I41" s="3">
        <v>6.8000000000000005E-2</v>
      </c>
      <c r="J41" s="3">
        <v>1.7000000000000001E-2</v>
      </c>
      <c r="K41" s="3">
        <v>0.14499999999999999</v>
      </c>
    </row>
    <row r="42" spans="2:11" x14ac:dyDescent="0.25">
      <c r="B42" s="2" t="s">
        <v>3686</v>
      </c>
      <c r="C42" s="2" t="s">
        <v>3687</v>
      </c>
      <c r="D42" s="3">
        <v>3.04</v>
      </c>
      <c r="E42" s="3">
        <v>5.94</v>
      </c>
      <c r="F42" s="3">
        <v>1.8</v>
      </c>
      <c r="G42" s="3">
        <v>4.13</v>
      </c>
      <c r="H42" s="3">
        <v>6</v>
      </c>
      <c r="I42" s="3">
        <v>4.5999999999999999E-2</v>
      </c>
      <c r="J42" s="3">
        <v>2.1999999999999999E-2</v>
      </c>
      <c r="K42" s="3">
        <v>5.8000000000000003E-2</v>
      </c>
    </row>
    <row r="43" spans="2:11" x14ac:dyDescent="0.25">
      <c r="B43" s="2" t="s">
        <v>3688</v>
      </c>
      <c r="C43" s="2" t="s">
        <v>3689</v>
      </c>
      <c r="D43" s="3">
        <v>2.0299999999999998</v>
      </c>
      <c r="E43" s="3">
        <v>4.1900000000000004</v>
      </c>
      <c r="F43" s="3">
        <v>0.8</v>
      </c>
      <c r="G43" s="3">
        <v>2.84</v>
      </c>
      <c r="H43" s="3">
        <v>10</v>
      </c>
      <c r="I43" s="3">
        <v>2.5000000000000001E-2</v>
      </c>
      <c r="J43" s="3">
        <v>1.2E-2</v>
      </c>
      <c r="K43" s="3">
        <v>3.2000000000000001E-2</v>
      </c>
    </row>
    <row r="44" spans="2:11" x14ac:dyDescent="0.25">
      <c r="B44" s="2" t="s">
        <v>3690</v>
      </c>
      <c r="C44" s="2" t="s">
        <v>3691</v>
      </c>
      <c r="D44" s="3">
        <v>4.3</v>
      </c>
      <c r="E44" s="3">
        <v>10.59</v>
      </c>
      <c r="F44" s="3">
        <v>1.9</v>
      </c>
      <c r="H44" s="3">
        <v>9</v>
      </c>
      <c r="I44" s="3">
        <v>3.9E-2</v>
      </c>
      <c r="J44" s="3">
        <v>5.6000000000000001E-2</v>
      </c>
      <c r="K44" s="3">
        <v>6.8000000000000005E-2</v>
      </c>
    </row>
    <row r="45" spans="2:11" x14ac:dyDescent="0.25">
      <c r="B45" s="2" t="s">
        <v>3692</v>
      </c>
      <c r="C45" s="2" t="s">
        <v>3693</v>
      </c>
      <c r="D45" s="3">
        <v>6.15</v>
      </c>
      <c r="E45" s="3">
        <v>13.05</v>
      </c>
      <c r="H45" s="3">
        <v>13</v>
      </c>
      <c r="I45" s="3">
        <v>8.5000000000000006E-2</v>
      </c>
      <c r="J45" s="3">
        <v>5.1999999999999998E-2</v>
      </c>
      <c r="K45" s="3">
        <v>0.40699999999999997</v>
      </c>
    </row>
    <row r="46" spans="2:11" x14ac:dyDescent="0.25">
      <c r="B46" s="2" t="s">
        <v>3694</v>
      </c>
      <c r="C46" s="2" t="s">
        <v>3695</v>
      </c>
      <c r="D46" s="3">
        <v>7.07</v>
      </c>
      <c r="E46" s="3">
        <v>15.01</v>
      </c>
      <c r="H46" s="3">
        <v>14</v>
      </c>
      <c r="I46" s="3">
        <v>9.8000000000000004E-2</v>
      </c>
      <c r="J46" s="3">
        <v>0.06</v>
      </c>
      <c r="K46" s="3">
        <v>0.46800000000000003</v>
      </c>
    </row>
    <row r="47" spans="2:11" x14ac:dyDescent="0.25">
      <c r="B47" s="2" t="s">
        <v>3696</v>
      </c>
      <c r="C47" s="2" t="s">
        <v>3697</v>
      </c>
      <c r="D47" s="3">
        <v>9.8000000000000007</v>
      </c>
      <c r="E47" s="3">
        <v>32.5</v>
      </c>
      <c r="F47" s="3">
        <v>5.7</v>
      </c>
      <c r="H47" s="3">
        <v>92</v>
      </c>
      <c r="I47" s="3">
        <v>6.0999999999999999E-2</v>
      </c>
      <c r="J47" s="3">
        <v>3.6999999999999998E-2</v>
      </c>
      <c r="K47" s="3">
        <v>0.29099999999999998</v>
      </c>
    </row>
    <row r="48" spans="2:11" x14ac:dyDescent="0.25">
      <c r="B48" s="2" t="s">
        <v>3698</v>
      </c>
      <c r="C48" s="2" t="s">
        <v>3699</v>
      </c>
      <c r="D48" s="3">
        <v>9.31</v>
      </c>
      <c r="E48" s="3">
        <v>30.87</v>
      </c>
      <c r="F48" s="3">
        <v>5.4</v>
      </c>
      <c r="H48" s="3">
        <v>83</v>
      </c>
      <c r="I48" s="3">
        <v>5.8000000000000003E-2</v>
      </c>
      <c r="J48" s="3">
        <v>3.5000000000000003E-2</v>
      </c>
      <c r="K48" s="3">
        <v>0.27600000000000002</v>
      </c>
    </row>
    <row r="49" spans="2:11" x14ac:dyDescent="0.25">
      <c r="B49" s="2" t="s">
        <v>3700</v>
      </c>
      <c r="C49" s="2" t="s">
        <v>3701</v>
      </c>
      <c r="D49" s="3">
        <v>1.76</v>
      </c>
      <c r="E49" s="3">
        <v>6.19</v>
      </c>
      <c r="F49" s="3">
        <v>3.4</v>
      </c>
      <c r="G49" s="3">
        <v>0.63</v>
      </c>
      <c r="H49" s="3">
        <v>334</v>
      </c>
      <c r="I49" s="3">
        <v>2.3E-2</v>
      </c>
      <c r="J49" s="3">
        <v>1.4E-2</v>
      </c>
      <c r="K49" s="3">
        <v>0.11</v>
      </c>
    </row>
    <row r="50" spans="2:11" x14ac:dyDescent="0.25">
      <c r="B50" s="2" t="s">
        <v>3702</v>
      </c>
      <c r="C50" s="2" t="s">
        <v>3703</v>
      </c>
      <c r="D50" s="3">
        <v>1.83</v>
      </c>
      <c r="E50" s="3">
        <v>6.97</v>
      </c>
      <c r="F50" s="3">
        <v>2.7</v>
      </c>
      <c r="G50" s="3">
        <v>3.26</v>
      </c>
      <c r="H50" s="3">
        <v>6</v>
      </c>
      <c r="I50" s="3">
        <v>0.05</v>
      </c>
      <c r="J50" s="3">
        <v>0.01</v>
      </c>
      <c r="K50" s="3">
        <v>0.113</v>
      </c>
    </row>
    <row r="51" spans="2:11" x14ac:dyDescent="0.25">
      <c r="B51" s="2" t="s">
        <v>3704</v>
      </c>
      <c r="C51" s="2" t="s">
        <v>3705</v>
      </c>
      <c r="D51" s="3">
        <v>1.89</v>
      </c>
      <c r="E51" s="3">
        <v>7.88</v>
      </c>
      <c r="F51" s="3">
        <v>3.2</v>
      </c>
      <c r="G51" s="3">
        <v>3.63</v>
      </c>
      <c r="H51" s="3">
        <v>1</v>
      </c>
      <c r="I51" s="3">
        <v>6.4000000000000001E-2</v>
      </c>
      <c r="J51" s="3">
        <v>1.0999999999999999E-2</v>
      </c>
      <c r="K51" s="3">
        <v>0.14499999999999999</v>
      </c>
    </row>
    <row r="52" spans="2:11" x14ac:dyDescent="0.25">
      <c r="B52" s="2" t="s">
        <v>3706</v>
      </c>
      <c r="C52" s="2" t="s">
        <v>3707</v>
      </c>
      <c r="D52" s="3">
        <v>0.72</v>
      </c>
      <c r="E52" s="3">
        <v>3.27</v>
      </c>
      <c r="F52" s="3">
        <v>1.5</v>
      </c>
      <c r="G52" s="3">
        <v>1.25</v>
      </c>
      <c r="H52" s="3">
        <v>192</v>
      </c>
      <c r="I52" s="3">
        <v>0.04</v>
      </c>
      <c r="J52" s="3">
        <v>7.0000000000000001E-3</v>
      </c>
      <c r="K52" s="3">
        <v>0.09</v>
      </c>
    </row>
    <row r="53" spans="2:11" x14ac:dyDescent="0.25">
      <c r="B53" s="2" t="s">
        <v>3708</v>
      </c>
      <c r="C53" s="2" t="s">
        <v>3709</v>
      </c>
      <c r="D53" s="3">
        <v>1.05</v>
      </c>
      <c r="E53" s="3">
        <v>4.1900000000000004</v>
      </c>
      <c r="F53" s="3">
        <v>1.9</v>
      </c>
      <c r="G53" s="3">
        <v>1.44</v>
      </c>
      <c r="H53" s="3">
        <v>268</v>
      </c>
      <c r="I53" s="3">
        <v>9.2999999999999999E-2</v>
      </c>
      <c r="J53" s="3">
        <v>1.7000000000000001E-2</v>
      </c>
      <c r="K53" s="3">
        <v>0.21099999999999999</v>
      </c>
    </row>
    <row r="54" spans="2:11" x14ac:dyDescent="0.25">
      <c r="B54" s="2" t="s">
        <v>3710</v>
      </c>
      <c r="C54" s="2" t="s">
        <v>3711</v>
      </c>
      <c r="D54" s="3">
        <v>0.83</v>
      </c>
      <c r="E54" s="3">
        <v>3.49</v>
      </c>
      <c r="F54" s="3">
        <v>1.5</v>
      </c>
      <c r="H54" s="3">
        <v>373</v>
      </c>
      <c r="I54" s="3">
        <v>4.4999999999999998E-2</v>
      </c>
      <c r="J54" s="3">
        <v>8.0000000000000002E-3</v>
      </c>
      <c r="K54" s="3">
        <v>0.10199999999999999</v>
      </c>
    </row>
    <row r="55" spans="2:11" x14ac:dyDescent="0.25">
      <c r="B55" s="2" t="s">
        <v>3712</v>
      </c>
      <c r="C55" s="2" t="s">
        <v>3713</v>
      </c>
      <c r="D55" s="3">
        <v>1.79</v>
      </c>
      <c r="E55" s="3">
        <v>7.54</v>
      </c>
      <c r="F55" s="3">
        <v>2.6</v>
      </c>
      <c r="G55" s="3">
        <v>2.21</v>
      </c>
      <c r="H55" s="3">
        <v>3</v>
      </c>
      <c r="I55" s="3">
        <v>4.7E-2</v>
      </c>
      <c r="J55" s="3">
        <v>8.0000000000000002E-3</v>
      </c>
      <c r="K55" s="3">
        <v>0.108</v>
      </c>
    </row>
    <row r="56" spans="2:11" x14ac:dyDescent="0.25">
      <c r="B56" s="2" t="s">
        <v>3714</v>
      </c>
      <c r="C56" s="2" t="s">
        <v>3715</v>
      </c>
      <c r="D56" s="3">
        <v>1.49</v>
      </c>
      <c r="E56" s="3">
        <v>6.45</v>
      </c>
      <c r="F56" s="3">
        <v>3</v>
      </c>
      <c r="G56" s="3">
        <v>1.88</v>
      </c>
      <c r="H56" s="3">
        <v>1</v>
      </c>
      <c r="I56" s="3">
        <v>4.3999999999999997E-2</v>
      </c>
      <c r="J56" s="3">
        <v>8.0000000000000002E-3</v>
      </c>
      <c r="K56" s="3">
        <v>8.3000000000000004E-2</v>
      </c>
    </row>
    <row r="57" spans="2:11" x14ac:dyDescent="0.25">
      <c r="B57" s="2" t="s">
        <v>3716</v>
      </c>
      <c r="C57" s="2" t="s">
        <v>3717</v>
      </c>
      <c r="D57" s="3">
        <v>1.98</v>
      </c>
      <c r="E57" s="3">
        <v>6.98</v>
      </c>
      <c r="F57" s="3">
        <v>3.4</v>
      </c>
      <c r="G57" s="3">
        <v>2.6</v>
      </c>
      <c r="H57" s="3">
        <v>3</v>
      </c>
      <c r="I57" s="3">
        <v>4.7E-2</v>
      </c>
      <c r="J57" s="3">
        <v>8.0000000000000002E-3</v>
      </c>
      <c r="K57" s="3">
        <v>0.108</v>
      </c>
    </row>
    <row r="58" spans="2:11" x14ac:dyDescent="0.25">
      <c r="B58" s="2" t="s">
        <v>3718</v>
      </c>
      <c r="C58" s="2" t="s">
        <v>3719</v>
      </c>
      <c r="D58" s="3">
        <v>2.31</v>
      </c>
      <c r="E58" s="3">
        <v>6.41</v>
      </c>
      <c r="F58" s="3">
        <v>3.4</v>
      </c>
      <c r="G58" s="3">
        <v>3.22</v>
      </c>
      <c r="H58" s="3">
        <v>3</v>
      </c>
    </row>
    <row r="59" spans="2:11" x14ac:dyDescent="0.25">
      <c r="B59" s="2" t="s">
        <v>3720</v>
      </c>
      <c r="C59" s="2" t="s">
        <v>3721</v>
      </c>
      <c r="D59" s="3">
        <v>1.61</v>
      </c>
      <c r="E59" s="3">
        <v>9.56</v>
      </c>
      <c r="F59" s="3">
        <v>2.8</v>
      </c>
      <c r="G59" s="3">
        <v>6.76</v>
      </c>
      <c r="H59" s="3">
        <v>78</v>
      </c>
      <c r="I59" s="3">
        <v>2.7E-2</v>
      </c>
      <c r="J59" s="3">
        <v>3.2000000000000001E-2</v>
      </c>
      <c r="K59" s="3">
        <v>0.06</v>
      </c>
    </row>
    <row r="60" spans="2:11" x14ac:dyDescent="0.25">
      <c r="B60" s="2" t="s">
        <v>3722</v>
      </c>
      <c r="C60" s="2" t="s">
        <v>3723</v>
      </c>
      <c r="D60" s="3">
        <v>1.68</v>
      </c>
      <c r="E60" s="3">
        <v>9.9600000000000009</v>
      </c>
      <c r="F60" s="3">
        <v>2</v>
      </c>
      <c r="G60" s="3">
        <v>7.96</v>
      </c>
      <c r="H60" s="3">
        <v>77</v>
      </c>
      <c r="I60" s="3">
        <v>2.8000000000000001E-2</v>
      </c>
      <c r="J60" s="3">
        <v>3.5000000000000003E-2</v>
      </c>
      <c r="K60" s="3">
        <v>6.4000000000000001E-2</v>
      </c>
    </row>
    <row r="61" spans="2:11" x14ac:dyDescent="0.25">
      <c r="B61" s="2" t="s">
        <v>3724</v>
      </c>
      <c r="C61" s="2" t="s">
        <v>3725</v>
      </c>
      <c r="D61" s="3">
        <v>0.73</v>
      </c>
      <c r="E61" s="3">
        <v>7.14</v>
      </c>
      <c r="F61" s="3">
        <v>1.2</v>
      </c>
      <c r="G61" s="3">
        <v>6.53</v>
      </c>
      <c r="H61" s="3">
        <v>143</v>
      </c>
      <c r="I61" s="3">
        <v>1.0999999999999999E-2</v>
      </c>
      <c r="J61" s="3">
        <v>1.2999999999999999E-2</v>
      </c>
      <c r="K61" s="3">
        <v>2.5000000000000001E-2</v>
      </c>
    </row>
    <row r="62" spans="2:11" x14ac:dyDescent="0.25">
      <c r="B62" s="2" t="s">
        <v>3726</v>
      </c>
      <c r="C62" s="2" t="s">
        <v>3727</v>
      </c>
      <c r="D62" s="3">
        <v>0.91</v>
      </c>
      <c r="E62" s="3">
        <v>7.21</v>
      </c>
      <c r="F62" s="3">
        <v>1.8</v>
      </c>
      <c r="G62" s="3">
        <v>5.51</v>
      </c>
      <c r="H62" s="3">
        <v>194</v>
      </c>
      <c r="I62" s="3">
        <v>2.1999999999999999E-2</v>
      </c>
      <c r="J62" s="3">
        <v>2.7E-2</v>
      </c>
      <c r="K62" s="3">
        <v>4.9000000000000002E-2</v>
      </c>
    </row>
    <row r="63" spans="2:11" x14ac:dyDescent="0.25">
      <c r="B63" s="2" t="s">
        <v>3728</v>
      </c>
      <c r="C63" s="2" t="s">
        <v>3729</v>
      </c>
      <c r="D63" s="3">
        <v>2.2000000000000002</v>
      </c>
      <c r="E63" s="3">
        <v>4.33</v>
      </c>
      <c r="F63" s="3">
        <v>3.7</v>
      </c>
      <c r="G63" s="3">
        <v>0.5</v>
      </c>
      <c r="H63" s="3">
        <v>226</v>
      </c>
      <c r="I63" s="3">
        <v>0.02</v>
      </c>
      <c r="J63" s="3">
        <v>2.5999999999999999E-2</v>
      </c>
      <c r="K63" s="3">
        <v>4.5999999999999999E-2</v>
      </c>
    </row>
    <row r="64" spans="2:11" x14ac:dyDescent="0.25">
      <c r="B64" s="2" t="s">
        <v>3730</v>
      </c>
      <c r="C64" s="2" t="s">
        <v>3731</v>
      </c>
      <c r="D64" s="3">
        <v>2.57</v>
      </c>
      <c r="E64" s="3">
        <v>5.46</v>
      </c>
      <c r="F64" s="3">
        <v>2.9</v>
      </c>
      <c r="G64" s="3">
        <v>0.6</v>
      </c>
      <c r="H64" s="3">
        <v>241</v>
      </c>
      <c r="I64" s="3">
        <v>3.1E-2</v>
      </c>
      <c r="J64" s="3">
        <v>3.7999999999999999E-2</v>
      </c>
      <c r="K64" s="3">
        <v>7.0000000000000007E-2</v>
      </c>
    </row>
    <row r="65" spans="2:11" x14ac:dyDescent="0.25">
      <c r="B65" s="2" t="s">
        <v>3732</v>
      </c>
      <c r="C65" s="2" t="s">
        <v>3733</v>
      </c>
      <c r="D65" s="3">
        <v>5.6</v>
      </c>
      <c r="E65" s="3">
        <v>11.7</v>
      </c>
      <c r="F65" s="3">
        <v>4.2</v>
      </c>
      <c r="H65" s="3">
        <v>50</v>
      </c>
      <c r="I65" s="3">
        <v>0.13800000000000001</v>
      </c>
      <c r="J65" s="3">
        <v>1.7000000000000001E-2</v>
      </c>
      <c r="K65" s="3">
        <v>0.31</v>
      </c>
    </row>
    <row r="66" spans="2:11" x14ac:dyDescent="0.25">
      <c r="B66" s="2" t="s">
        <v>3734</v>
      </c>
      <c r="C66" s="2" t="s">
        <v>3735</v>
      </c>
      <c r="D66" s="3">
        <v>4.8</v>
      </c>
      <c r="E66" s="3">
        <v>10.1</v>
      </c>
      <c r="F66" s="3">
        <v>3.6</v>
      </c>
      <c r="H66" s="3">
        <v>41</v>
      </c>
      <c r="I66" s="3">
        <v>0.14199999999999999</v>
      </c>
      <c r="J66" s="3">
        <v>0.02</v>
      </c>
      <c r="K66" s="3">
        <v>0.30299999999999999</v>
      </c>
    </row>
    <row r="67" spans="2:11" x14ac:dyDescent="0.25">
      <c r="B67" s="2" t="s">
        <v>3736</v>
      </c>
      <c r="C67" s="2" t="s">
        <v>3737</v>
      </c>
      <c r="D67" s="3">
        <v>2.82</v>
      </c>
      <c r="E67" s="3">
        <v>6.64</v>
      </c>
      <c r="F67" s="3">
        <v>2.6</v>
      </c>
      <c r="G67" s="3">
        <v>1.7</v>
      </c>
      <c r="H67" s="3">
        <v>33</v>
      </c>
      <c r="I67" s="3">
        <v>3.9E-2</v>
      </c>
      <c r="J67" s="3">
        <v>1.0999999999999999E-2</v>
      </c>
      <c r="K67" s="3">
        <v>3.7999999999999999E-2</v>
      </c>
    </row>
    <row r="68" spans="2:11" x14ac:dyDescent="0.25">
      <c r="B68" s="2" t="s">
        <v>3738</v>
      </c>
      <c r="C68" s="2" t="s">
        <v>3739</v>
      </c>
      <c r="D68" s="3">
        <v>2.38</v>
      </c>
      <c r="E68" s="3">
        <v>7.18</v>
      </c>
      <c r="F68" s="3">
        <v>3.3</v>
      </c>
      <c r="G68" s="3">
        <v>1.39</v>
      </c>
      <c r="H68" s="3">
        <v>41</v>
      </c>
      <c r="I68" s="3">
        <v>7.9000000000000001E-2</v>
      </c>
      <c r="J68" s="3">
        <v>0.04</v>
      </c>
      <c r="K68" s="3">
        <v>0.17</v>
      </c>
    </row>
    <row r="69" spans="2:11" x14ac:dyDescent="0.25">
      <c r="B69" s="2" t="s">
        <v>3740</v>
      </c>
      <c r="C69" s="2" t="s">
        <v>3741</v>
      </c>
      <c r="D69" s="3">
        <v>2.81</v>
      </c>
      <c r="E69" s="3">
        <v>4.78</v>
      </c>
      <c r="F69" s="3">
        <v>3</v>
      </c>
      <c r="G69" s="3">
        <v>1.35</v>
      </c>
      <c r="H69" s="3">
        <v>24</v>
      </c>
      <c r="I69" s="3">
        <v>4.3999999999999997E-2</v>
      </c>
      <c r="J69" s="3">
        <v>0.02</v>
      </c>
      <c r="K69" s="3">
        <v>0.13600000000000001</v>
      </c>
    </row>
    <row r="70" spans="2:11" x14ac:dyDescent="0.25">
      <c r="B70" s="2" t="s">
        <v>3742</v>
      </c>
      <c r="C70" s="2" t="s">
        <v>3743</v>
      </c>
      <c r="D70" s="3">
        <v>3.1</v>
      </c>
      <c r="E70" s="3">
        <v>5.35</v>
      </c>
      <c r="F70" s="3">
        <v>3</v>
      </c>
      <c r="G70" s="3">
        <v>1.47</v>
      </c>
      <c r="H70" s="3">
        <v>11</v>
      </c>
      <c r="I70" s="3">
        <v>1.7999999999999999E-2</v>
      </c>
      <c r="J70" s="3">
        <v>8.0000000000000002E-3</v>
      </c>
      <c r="K70" s="3">
        <v>5.5E-2</v>
      </c>
    </row>
    <row r="71" spans="2:11" x14ac:dyDescent="0.25">
      <c r="B71" s="2" t="s">
        <v>3744</v>
      </c>
      <c r="C71" s="2" t="s">
        <v>3745</v>
      </c>
      <c r="D71" s="3">
        <v>3.06</v>
      </c>
      <c r="E71" s="3">
        <v>5.35</v>
      </c>
      <c r="F71" s="3">
        <v>3</v>
      </c>
      <c r="G71" s="3">
        <v>1.47</v>
      </c>
      <c r="H71" s="3">
        <v>17</v>
      </c>
      <c r="I71" s="3">
        <v>5.1999999999999998E-2</v>
      </c>
      <c r="J71" s="3">
        <v>2.4E-2</v>
      </c>
      <c r="K71" s="3">
        <v>0.16200000000000001</v>
      </c>
    </row>
    <row r="72" spans="2:11" x14ac:dyDescent="0.25">
      <c r="B72" s="2" t="s">
        <v>3746</v>
      </c>
      <c r="C72" s="2" t="s">
        <v>3747</v>
      </c>
      <c r="D72" s="3">
        <v>3.1</v>
      </c>
      <c r="E72" s="3">
        <v>5.36</v>
      </c>
      <c r="F72" s="3">
        <v>3</v>
      </c>
      <c r="G72" s="3">
        <v>1.47</v>
      </c>
      <c r="H72" s="3">
        <v>24</v>
      </c>
      <c r="I72" s="3">
        <v>1.7999999999999999E-2</v>
      </c>
      <c r="J72" s="3">
        <v>8.0000000000000002E-3</v>
      </c>
      <c r="K72" s="3">
        <v>5.5E-2</v>
      </c>
    </row>
    <row r="73" spans="2:11" x14ac:dyDescent="0.25">
      <c r="B73" s="2" t="s">
        <v>3748</v>
      </c>
      <c r="C73" s="2" t="s">
        <v>3749</v>
      </c>
      <c r="D73" s="3">
        <v>3.17</v>
      </c>
      <c r="E73" s="3">
        <v>2.85</v>
      </c>
      <c r="F73" s="3">
        <v>2.7</v>
      </c>
      <c r="G73" s="3">
        <v>0.38</v>
      </c>
      <c r="H73" s="3">
        <v>33</v>
      </c>
      <c r="I73" s="3">
        <v>0.05</v>
      </c>
      <c r="J73" s="3">
        <v>2.5999999999999999E-2</v>
      </c>
      <c r="K73" s="3">
        <v>0.13</v>
      </c>
    </row>
    <row r="74" spans="2:11" x14ac:dyDescent="0.25">
      <c r="B74" s="2" t="s">
        <v>3750</v>
      </c>
      <c r="C74" s="2" t="s">
        <v>3751</v>
      </c>
      <c r="D74" s="3">
        <v>3.83</v>
      </c>
      <c r="E74" s="3">
        <v>3.12</v>
      </c>
      <c r="F74" s="3">
        <v>2.8</v>
      </c>
      <c r="G74" s="3">
        <v>0.62</v>
      </c>
      <c r="H74" s="3">
        <v>56</v>
      </c>
      <c r="I74" s="3">
        <v>5.7000000000000002E-2</v>
      </c>
      <c r="J74" s="3">
        <v>0.03</v>
      </c>
      <c r="K74" s="3">
        <v>0.15</v>
      </c>
    </row>
    <row r="75" spans="2:11" x14ac:dyDescent="0.25">
      <c r="B75" s="2" t="s">
        <v>3752</v>
      </c>
      <c r="C75" s="2" t="s">
        <v>3753</v>
      </c>
      <c r="D75" s="3">
        <v>3.38</v>
      </c>
      <c r="E75" s="3">
        <v>8.9499999999999993</v>
      </c>
      <c r="F75" s="3">
        <v>3.8</v>
      </c>
      <c r="G75" s="3">
        <v>2.2000000000000002</v>
      </c>
      <c r="H75" s="3">
        <v>25</v>
      </c>
      <c r="I75" s="3">
        <v>6.2E-2</v>
      </c>
      <c r="J75" s="3">
        <v>2.3E-2</v>
      </c>
      <c r="K75" s="3">
        <v>0.153</v>
      </c>
    </row>
    <row r="76" spans="2:11" x14ac:dyDescent="0.25">
      <c r="B76" s="2" t="s">
        <v>3754</v>
      </c>
      <c r="C76" s="2" t="s">
        <v>3755</v>
      </c>
      <c r="D76" s="3">
        <v>2.5499999999999998</v>
      </c>
      <c r="E76" s="3">
        <v>7.1</v>
      </c>
      <c r="F76" s="3">
        <v>2.6</v>
      </c>
      <c r="G76" s="3">
        <v>1.74</v>
      </c>
      <c r="H76" s="3">
        <v>21</v>
      </c>
      <c r="I76" s="3">
        <v>0.10199999999999999</v>
      </c>
      <c r="J76" s="3">
        <v>3.7999999999999999E-2</v>
      </c>
      <c r="K76" s="3">
        <v>0.255</v>
      </c>
    </row>
    <row r="77" spans="2:11" x14ac:dyDescent="0.25">
      <c r="B77" s="2" t="s">
        <v>3756</v>
      </c>
      <c r="C77" s="2" t="s">
        <v>3757</v>
      </c>
      <c r="D77" s="3">
        <v>3.78</v>
      </c>
      <c r="E77" s="3">
        <v>7.86</v>
      </c>
      <c r="F77" s="3">
        <v>3.8</v>
      </c>
      <c r="H77" s="3">
        <v>10</v>
      </c>
      <c r="I77" s="3">
        <v>8.4000000000000005E-2</v>
      </c>
      <c r="J77" s="3">
        <v>3.1E-2</v>
      </c>
      <c r="K77" s="3">
        <v>0.20699999999999999</v>
      </c>
    </row>
    <row r="78" spans="2:11" x14ac:dyDescent="0.25">
      <c r="B78" s="2" t="s">
        <v>3758</v>
      </c>
      <c r="C78" s="2" t="s">
        <v>3759</v>
      </c>
      <c r="D78" s="3">
        <v>3.64</v>
      </c>
      <c r="E78" s="3">
        <v>8.32</v>
      </c>
      <c r="F78" s="3">
        <v>4.0999999999999996</v>
      </c>
      <c r="G78" s="3">
        <v>2.08</v>
      </c>
      <c r="H78" s="3">
        <v>15</v>
      </c>
      <c r="I78" s="3">
        <v>8.1000000000000003E-2</v>
      </c>
      <c r="J78" s="3">
        <v>0.03</v>
      </c>
      <c r="K78" s="3">
        <v>0.2</v>
      </c>
    </row>
    <row r="79" spans="2:11" x14ac:dyDescent="0.25">
      <c r="B79" s="2" t="s">
        <v>3760</v>
      </c>
      <c r="C79" s="2" t="s">
        <v>3761</v>
      </c>
      <c r="D79" s="3">
        <v>1.53</v>
      </c>
      <c r="E79" s="3">
        <v>17.34</v>
      </c>
      <c r="F79" s="3">
        <v>3.3</v>
      </c>
      <c r="G79" s="3">
        <v>2.9</v>
      </c>
      <c r="H79" s="3">
        <v>5</v>
      </c>
      <c r="I79" s="3">
        <v>2.5000000000000001E-2</v>
      </c>
      <c r="J79" s="3">
        <v>3.6999999999999998E-2</v>
      </c>
      <c r="K79" s="3">
        <v>5.8999999999999997E-2</v>
      </c>
    </row>
    <row r="80" spans="2:11" x14ac:dyDescent="0.25">
      <c r="B80" s="2" t="s">
        <v>3762</v>
      </c>
      <c r="C80" s="2" t="s">
        <v>3763</v>
      </c>
      <c r="D80" s="3">
        <v>2.09</v>
      </c>
      <c r="E80" s="3">
        <v>21.15</v>
      </c>
      <c r="F80" s="3">
        <v>1.8</v>
      </c>
      <c r="G80" s="3">
        <v>3.55</v>
      </c>
      <c r="H80" s="3">
        <v>4</v>
      </c>
      <c r="I80" s="3">
        <v>2.3E-2</v>
      </c>
      <c r="J80" s="3">
        <v>3.5000000000000003E-2</v>
      </c>
      <c r="K80" s="3">
        <v>5.5E-2</v>
      </c>
    </row>
    <row r="81" spans="2:11" x14ac:dyDescent="0.25">
      <c r="B81" s="2" t="s">
        <v>3764</v>
      </c>
      <c r="C81" s="2" t="s">
        <v>3765</v>
      </c>
      <c r="D81" s="3">
        <v>0.39</v>
      </c>
      <c r="E81" s="3">
        <v>3.61</v>
      </c>
      <c r="H81" s="3">
        <v>7</v>
      </c>
    </row>
    <row r="82" spans="2:11" x14ac:dyDescent="0.25">
      <c r="B82" s="2" t="s">
        <v>3766</v>
      </c>
      <c r="C82" s="2" t="s">
        <v>3767</v>
      </c>
      <c r="D82" s="3">
        <v>0.23</v>
      </c>
      <c r="E82" s="3">
        <v>2.16</v>
      </c>
      <c r="H82" s="3">
        <v>4</v>
      </c>
    </row>
    <row r="83" spans="2:11" x14ac:dyDescent="0.25">
      <c r="B83" s="2" t="s">
        <v>3768</v>
      </c>
      <c r="C83" s="2" t="s">
        <v>3769</v>
      </c>
      <c r="D83" s="3">
        <v>0.11</v>
      </c>
      <c r="E83" s="3">
        <v>0.38</v>
      </c>
      <c r="H83" s="3">
        <v>4</v>
      </c>
    </row>
    <row r="84" spans="2:11" x14ac:dyDescent="0.25">
      <c r="B84" s="2" t="s">
        <v>3770</v>
      </c>
      <c r="C84" s="2" t="s">
        <v>3771</v>
      </c>
      <c r="D84" s="3">
        <v>1.28</v>
      </c>
      <c r="E84" s="3">
        <v>5.8</v>
      </c>
      <c r="F84" s="3">
        <v>2.5</v>
      </c>
      <c r="G84" s="3">
        <v>3.2</v>
      </c>
      <c r="H84" s="3">
        <v>18</v>
      </c>
      <c r="I84" s="3">
        <v>3.4000000000000002E-2</v>
      </c>
      <c r="J84" s="3">
        <v>1.7000000000000001E-2</v>
      </c>
      <c r="K84" s="3">
        <v>1.7000000000000001E-2</v>
      </c>
    </row>
    <row r="85" spans="2:11" x14ac:dyDescent="0.25">
      <c r="B85" s="2" t="s">
        <v>3772</v>
      </c>
      <c r="C85" s="2" t="s">
        <v>3773</v>
      </c>
      <c r="D85" s="3">
        <v>1.27</v>
      </c>
      <c r="E85" s="3">
        <v>5.51</v>
      </c>
      <c r="F85" s="3">
        <v>1.9</v>
      </c>
      <c r="G85" s="3">
        <v>2.79</v>
      </c>
      <c r="H85" s="3">
        <v>8</v>
      </c>
      <c r="I85" s="3">
        <v>0</v>
      </c>
      <c r="J85" s="3">
        <v>1.9E-2</v>
      </c>
      <c r="K85" s="3">
        <v>2.3E-2</v>
      </c>
    </row>
    <row r="86" spans="2:11" x14ac:dyDescent="0.25">
      <c r="B86" s="2" t="s">
        <v>3774</v>
      </c>
      <c r="C86" s="2" t="s">
        <v>3775</v>
      </c>
      <c r="D86" s="3">
        <v>1.43</v>
      </c>
      <c r="E86" s="3">
        <v>7.37</v>
      </c>
      <c r="F86" s="3">
        <v>2.1</v>
      </c>
      <c r="G86" s="3">
        <v>3.83</v>
      </c>
      <c r="H86" s="3">
        <v>27</v>
      </c>
      <c r="I86" s="3">
        <v>2.1000000000000001E-2</v>
      </c>
      <c r="J86" s="3">
        <v>1.2E-2</v>
      </c>
      <c r="K86" s="3">
        <v>0.08</v>
      </c>
    </row>
    <row r="87" spans="2:11" x14ac:dyDescent="0.25">
      <c r="B87" s="2" t="s">
        <v>3776</v>
      </c>
      <c r="C87" s="2" t="s">
        <v>3777</v>
      </c>
      <c r="D87" s="3">
        <v>1.51</v>
      </c>
      <c r="E87" s="3">
        <v>6.94</v>
      </c>
      <c r="F87" s="3">
        <v>2.6</v>
      </c>
      <c r="G87" s="3">
        <v>3.32</v>
      </c>
      <c r="H87" s="3">
        <v>28</v>
      </c>
      <c r="I87" s="3">
        <v>1.0999999999999999E-2</v>
      </c>
      <c r="J87" s="3">
        <v>7.0000000000000001E-3</v>
      </c>
      <c r="K87" s="3">
        <v>4.2999999999999997E-2</v>
      </c>
    </row>
    <row r="88" spans="2:11" x14ac:dyDescent="0.25">
      <c r="B88" s="2" t="s">
        <v>3778</v>
      </c>
      <c r="C88" s="2" t="s">
        <v>3779</v>
      </c>
      <c r="D88" s="3">
        <v>2</v>
      </c>
      <c r="E88" s="3">
        <v>6.1</v>
      </c>
      <c r="F88" s="3">
        <v>3.1</v>
      </c>
      <c r="G88" s="3">
        <v>2.27</v>
      </c>
      <c r="H88" s="3">
        <v>28</v>
      </c>
      <c r="I88" s="3">
        <v>1.2999999999999999E-2</v>
      </c>
      <c r="J88" s="3">
        <v>7.0000000000000001E-3</v>
      </c>
      <c r="K88" s="3">
        <v>4.9000000000000002E-2</v>
      </c>
    </row>
    <row r="89" spans="2:11" x14ac:dyDescent="0.25">
      <c r="B89" s="2" t="s">
        <v>3780</v>
      </c>
      <c r="C89" s="2" t="s">
        <v>3781</v>
      </c>
      <c r="D89" s="3">
        <v>1.8</v>
      </c>
      <c r="E89" s="3">
        <v>5.41</v>
      </c>
      <c r="F89" s="3">
        <v>2.8</v>
      </c>
      <c r="H89" s="3">
        <v>24</v>
      </c>
      <c r="I89" s="3">
        <v>1.2E-2</v>
      </c>
      <c r="J89" s="3">
        <v>7.0000000000000001E-3</v>
      </c>
      <c r="K89" s="3">
        <v>4.2999999999999997E-2</v>
      </c>
    </row>
    <row r="90" spans="2:11" x14ac:dyDescent="0.25">
      <c r="B90" s="2" t="s">
        <v>3782</v>
      </c>
      <c r="C90" s="2" t="s">
        <v>3783</v>
      </c>
      <c r="D90" s="3">
        <v>1.5</v>
      </c>
      <c r="E90" s="3">
        <v>2.1800000000000002</v>
      </c>
      <c r="F90" s="3">
        <v>1</v>
      </c>
      <c r="G90" s="3">
        <v>1.18</v>
      </c>
      <c r="H90" s="3">
        <v>65</v>
      </c>
      <c r="I90" s="3">
        <v>2.7E-2</v>
      </c>
      <c r="J90" s="3">
        <v>1.4999999999999999E-2</v>
      </c>
      <c r="K90" s="3">
        <v>9.6000000000000002E-2</v>
      </c>
    </row>
    <row r="91" spans="2:11" x14ac:dyDescent="0.25">
      <c r="B91" s="2" t="s">
        <v>3784</v>
      </c>
      <c r="C91" s="2" t="s">
        <v>3785</v>
      </c>
      <c r="D91" s="3">
        <v>1.56</v>
      </c>
      <c r="E91" s="3">
        <v>1.78</v>
      </c>
      <c r="F91" s="3">
        <v>1</v>
      </c>
      <c r="G91" s="3">
        <v>0.83</v>
      </c>
      <c r="H91" s="3">
        <v>34</v>
      </c>
      <c r="I91" s="3">
        <v>2.1000000000000001E-2</v>
      </c>
      <c r="J91" s="3">
        <v>1.2E-2</v>
      </c>
      <c r="K91" s="3">
        <v>7.6999999999999999E-2</v>
      </c>
    </row>
    <row r="92" spans="2:11" x14ac:dyDescent="0.25">
      <c r="B92" s="2" t="s">
        <v>3786</v>
      </c>
      <c r="C92" s="2" t="s">
        <v>3787</v>
      </c>
      <c r="D92" s="3">
        <v>1.1000000000000001</v>
      </c>
      <c r="E92" s="3">
        <v>2.4</v>
      </c>
      <c r="F92" s="3">
        <v>1.6</v>
      </c>
      <c r="G92" s="3">
        <v>1.06</v>
      </c>
      <c r="H92" s="3">
        <v>498</v>
      </c>
      <c r="I92" s="3">
        <v>6.7000000000000004E-2</v>
      </c>
      <c r="J92" s="3">
        <v>3.6999999999999998E-2</v>
      </c>
      <c r="K92" s="3">
        <v>0.24099999999999999</v>
      </c>
    </row>
    <row r="93" spans="2:11" x14ac:dyDescent="0.25">
      <c r="B93" s="2" t="s">
        <v>3788</v>
      </c>
      <c r="C93" s="2" t="s">
        <v>3789</v>
      </c>
      <c r="D93" s="3">
        <v>1.2</v>
      </c>
      <c r="E93" s="3">
        <v>3.23</v>
      </c>
      <c r="F93" s="3">
        <v>1.2</v>
      </c>
      <c r="G93" s="3">
        <v>1.41</v>
      </c>
      <c r="H93" s="3">
        <v>9</v>
      </c>
      <c r="I93" s="3">
        <v>4.2999999999999997E-2</v>
      </c>
      <c r="J93" s="3">
        <v>2.3E-2</v>
      </c>
      <c r="K93" s="3">
        <v>7.1999999999999995E-2</v>
      </c>
    </row>
    <row r="94" spans="2:11" x14ac:dyDescent="0.25">
      <c r="B94" s="2" t="s">
        <v>3790</v>
      </c>
      <c r="C94" s="2" t="s">
        <v>3791</v>
      </c>
      <c r="D94" s="3">
        <v>1.5</v>
      </c>
      <c r="E94" s="3">
        <v>2.41</v>
      </c>
      <c r="F94" s="3">
        <v>1.7</v>
      </c>
      <c r="H94" s="3">
        <v>9</v>
      </c>
      <c r="I94" s="3">
        <v>3.5999999999999997E-2</v>
      </c>
      <c r="J94" s="3">
        <v>0.02</v>
      </c>
      <c r="K94" s="3">
        <v>6.0999999999999999E-2</v>
      </c>
    </row>
    <row r="95" spans="2:11" x14ac:dyDescent="0.25">
      <c r="B95" s="2" t="s">
        <v>3792</v>
      </c>
      <c r="C95" s="2" t="s">
        <v>3793</v>
      </c>
      <c r="D95" s="3">
        <v>0.7</v>
      </c>
      <c r="E95" s="3">
        <v>4.07</v>
      </c>
      <c r="F95" s="3">
        <v>1.6</v>
      </c>
      <c r="H95" s="3">
        <v>170</v>
      </c>
      <c r="I95" s="3">
        <v>1.0999999999999999E-2</v>
      </c>
      <c r="J95" s="3">
        <v>1.7999999999999999E-2</v>
      </c>
      <c r="K95" s="3">
        <v>4.1000000000000002E-2</v>
      </c>
    </row>
    <row r="96" spans="2:11" x14ac:dyDescent="0.25">
      <c r="B96" s="2" t="s">
        <v>3794</v>
      </c>
      <c r="C96" s="2" t="s">
        <v>3795</v>
      </c>
      <c r="D96" s="3">
        <v>0.76</v>
      </c>
      <c r="E96" s="3">
        <v>5.33</v>
      </c>
      <c r="F96" s="3">
        <v>1.7</v>
      </c>
      <c r="H96" s="3">
        <v>176</v>
      </c>
      <c r="I96" s="3">
        <v>1.2E-2</v>
      </c>
      <c r="J96" s="3">
        <v>0.02</v>
      </c>
      <c r="K96" s="3">
        <v>4.3999999999999997E-2</v>
      </c>
    </row>
    <row r="97" spans="2:11" x14ac:dyDescent="0.25">
      <c r="B97" s="2" t="s">
        <v>3796</v>
      </c>
      <c r="C97" s="2" t="s">
        <v>3797</v>
      </c>
      <c r="D97" s="3">
        <v>0.93</v>
      </c>
      <c r="E97" s="3">
        <v>9.58</v>
      </c>
      <c r="F97" s="3">
        <v>2.8</v>
      </c>
      <c r="G97" s="3">
        <v>4.74</v>
      </c>
      <c r="H97" s="3">
        <v>69</v>
      </c>
      <c r="I97" s="3">
        <v>3.6999999999999998E-2</v>
      </c>
      <c r="J97" s="3">
        <v>1.4E-2</v>
      </c>
      <c r="K97" s="3">
        <v>0.11700000000000001</v>
      </c>
    </row>
    <row r="98" spans="2:11" x14ac:dyDescent="0.25">
      <c r="B98" s="2" t="s">
        <v>3798</v>
      </c>
      <c r="C98" s="2" t="s">
        <v>3799</v>
      </c>
      <c r="D98" s="3">
        <v>0.76</v>
      </c>
      <c r="E98" s="3">
        <v>8.2200000000000006</v>
      </c>
      <c r="F98" s="3">
        <v>3</v>
      </c>
      <c r="G98" s="3">
        <v>3.45</v>
      </c>
      <c r="H98" s="3">
        <v>58</v>
      </c>
      <c r="I98" s="3">
        <v>0.03</v>
      </c>
      <c r="J98" s="3">
        <v>6.0000000000000001E-3</v>
      </c>
      <c r="K98" s="3">
        <v>8.8999999999999996E-2</v>
      </c>
    </row>
    <row r="99" spans="2:11" x14ac:dyDescent="0.25">
      <c r="B99" s="2" t="s">
        <v>3800</v>
      </c>
      <c r="C99" s="2" t="s">
        <v>3801</v>
      </c>
      <c r="D99" s="3">
        <v>0.57999999999999996</v>
      </c>
      <c r="E99" s="3">
        <v>5.37</v>
      </c>
      <c r="F99" s="3">
        <v>1.8</v>
      </c>
      <c r="G99" s="3">
        <v>2.46</v>
      </c>
      <c r="H99" s="3">
        <v>240</v>
      </c>
      <c r="I99" s="3">
        <v>2.5000000000000001E-2</v>
      </c>
      <c r="J99" s="3">
        <v>6.0000000000000001E-3</v>
      </c>
      <c r="K99" s="3">
        <v>6.5000000000000002E-2</v>
      </c>
    </row>
    <row r="100" spans="2:11" x14ac:dyDescent="0.25">
      <c r="B100" s="2" t="s">
        <v>3802</v>
      </c>
      <c r="C100" s="2" t="s">
        <v>3803</v>
      </c>
      <c r="D100" s="3">
        <v>0.64</v>
      </c>
      <c r="E100" s="3">
        <v>5.54</v>
      </c>
      <c r="F100" s="3">
        <v>1.5</v>
      </c>
      <c r="G100" s="3">
        <v>2.48</v>
      </c>
      <c r="H100" s="3">
        <v>242</v>
      </c>
      <c r="I100" s="3">
        <v>3.5999999999999997E-2</v>
      </c>
      <c r="J100" s="3">
        <v>8.9999999999999993E-3</v>
      </c>
      <c r="K100" s="3">
        <v>9.1999999999999998E-2</v>
      </c>
    </row>
    <row r="101" spans="2:11" x14ac:dyDescent="0.25">
      <c r="B101" s="2" t="s">
        <v>3804</v>
      </c>
      <c r="C101" s="2" t="s">
        <v>3805</v>
      </c>
      <c r="D101" s="3">
        <v>0.78</v>
      </c>
      <c r="E101" s="3">
        <v>7.9</v>
      </c>
      <c r="F101" s="3">
        <v>3.3</v>
      </c>
      <c r="G101" s="3">
        <v>4.76</v>
      </c>
      <c r="H101" s="3">
        <v>68</v>
      </c>
      <c r="I101" s="3">
        <v>4.7E-2</v>
      </c>
      <c r="J101" s="3">
        <v>1.4E-2</v>
      </c>
      <c r="K101" s="3">
        <v>0.26300000000000001</v>
      </c>
    </row>
    <row r="102" spans="2:11" x14ac:dyDescent="0.25">
      <c r="B102" s="2" t="s">
        <v>3806</v>
      </c>
      <c r="C102" s="2" t="s">
        <v>3807</v>
      </c>
      <c r="D102" s="3">
        <v>0.57999999999999996</v>
      </c>
      <c r="E102" s="3">
        <v>7.73</v>
      </c>
      <c r="F102" s="3">
        <v>3.3</v>
      </c>
      <c r="G102" s="3">
        <v>4.08</v>
      </c>
      <c r="H102" s="3">
        <v>59</v>
      </c>
      <c r="I102" s="3">
        <v>0.12</v>
      </c>
      <c r="J102" s="3">
        <v>3.1E-2</v>
      </c>
      <c r="K102" s="3">
        <v>0.33400000000000002</v>
      </c>
    </row>
    <row r="103" spans="2:11" x14ac:dyDescent="0.25">
      <c r="B103" s="2" t="s">
        <v>3808</v>
      </c>
      <c r="C103" s="2" t="s">
        <v>3809</v>
      </c>
      <c r="D103" s="3">
        <v>1.36</v>
      </c>
      <c r="E103" s="3">
        <v>38.06</v>
      </c>
      <c r="F103" s="3">
        <v>1.8</v>
      </c>
      <c r="G103" s="3">
        <v>1.7</v>
      </c>
      <c r="H103" s="3">
        <v>14</v>
      </c>
      <c r="I103" s="3">
        <v>7.3999999999999996E-2</v>
      </c>
      <c r="J103" s="3">
        <v>7.4999999999999997E-2</v>
      </c>
      <c r="K103" s="3">
        <v>4.8000000000000001E-2</v>
      </c>
    </row>
    <row r="104" spans="2:11" x14ac:dyDescent="0.25">
      <c r="B104" s="2" t="s">
        <v>3810</v>
      </c>
      <c r="C104" s="2" t="s">
        <v>3811</v>
      </c>
      <c r="D104" s="3">
        <v>1.92</v>
      </c>
      <c r="E104" s="3">
        <v>4.97</v>
      </c>
      <c r="F104" s="3">
        <v>2</v>
      </c>
      <c r="G104" s="3">
        <v>1.91</v>
      </c>
      <c r="H104" s="3">
        <v>30</v>
      </c>
      <c r="I104" s="3">
        <v>0.13</v>
      </c>
      <c r="J104" s="3">
        <v>3.4000000000000002E-2</v>
      </c>
      <c r="K104" s="3">
        <v>3.1E-2</v>
      </c>
    </row>
    <row r="105" spans="2:11" x14ac:dyDescent="0.25">
      <c r="B105" s="2" t="s">
        <v>3812</v>
      </c>
      <c r="C105" s="2" t="s">
        <v>3813</v>
      </c>
      <c r="D105" s="3">
        <v>1.84</v>
      </c>
      <c r="E105" s="3">
        <v>4.1100000000000003</v>
      </c>
      <c r="F105" s="3">
        <v>2.2999999999999998</v>
      </c>
      <c r="G105" s="3">
        <v>2.08</v>
      </c>
      <c r="H105" s="3">
        <v>15</v>
      </c>
      <c r="I105" s="3">
        <v>7.0000000000000007E-2</v>
      </c>
      <c r="J105" s="3">
        <v>3.2000000000000001E-2</v>
      </c>
      <c r="K105" s="3">
        <v>0.217</v>
      </c>
    </row>
    <row r="106" spans="2:11" x14ac:dyDescent="0.25">
      <c r="B106" s="2" t="s">
        <v>3814</v>
      </c>
      <c r="C106" s="2" t="s">
        <v>3815</v>
      </c>
      <c r="D106" s="3">
        <v>2.0099999999999998</v>
      </c>
      <c r="E106" s="3">
        <v>4.68</v>
      </c>
      <c r="F106" s="3">
        <v>2.2999999999999998</v>
      </c>
      <c r="G106" s="3">
        <v>2.2200000000000002</v>
      </c>
      <c r="H106" s="3">
        <v>24</v>
      </c>
      <c r="I106" s="3">
        <v>4.1000000000000002E-2</v>
      </c>
      <c r="J106" s="3">
        <v>1.9E-2</v>
      </c>
      <c r="K106" s="3">
        <v>0.128</v>
      </c>
    </row>
    <row r="107" spans="2:11" x14ac:dyDescent="0.25">
      <c r="B107" s="2" t="s">
        <v>3816</v>
      </c>
      <c r="C107" s="2" t="s">
        <v>3817</v>
      </c>
      <c r="D107" s="3">
        <v>1.61</v>
      </c>
      <c r="E107" s="3">
        <v>3.75</v>
      </c>
      <c r="F107" s="3">
        <v>2.7</v>
      </c>
      <c r="G107" s="3">
        <v>1.05</v>
      </c>
      <c r="H107" s="3">
        <v>18</v>
      </c>
      <c r="I107" s="3">
        <v>3.4000000000000002E-2</v>
      </c>
      <c r="J107" s="3">
        <v>1.4999999999999999E-2</v>
      </c>
      <c r="K107" s="3">
        <v>0.105</v>
      </c>
    </row>
    <row r="108" spans="2:11" x14ac:dyDescent="0.25">
      <c r="B108" s="2" t="s">
        <v>3818</v>
      </c>
      <c r="C108" s="2" t="s">
        <v>3819</v>
      </c>
      <c r="D108" s="3">
        <v>1.5</v>
      </c>
      <c r="E108" s="3">
        <v>9.1999999999999993</v>
      </c>
      <c r="F108" s="3">
        <v>1.8</v>
      </c>
      <c r="G108" s="3">
        <v>1.6</v>
      </c>
      <c r="H108" s="3">
        <v>100</v>
      </c>
      <c r="I108" s="3">
        <v>7.9000000000000001E-2</v>
      </c>
      <c r="J108" s="3">
        <v>5.8000000000000003E-2</v>
      </c>
      <c r="K108" s="3">
        <v>0.14799999999999999</v>
      </c>
    </row>
    <row r="109" spans="2:11" x14ac:dyDescent="0.25">
      <c r="B109" s="2" t="s">
        <v>3820</v>
      </c>
      <c r="C109" s="2" t="s">
        <v>3821</v>
      </c>
      <c r="D109" s="3">
        <v>0.96</v>
      </c>
      <c r="E109" s="3">
        <v>5.9</v>
      </c>
      <c r="F109" s="3">
        <v>1.2</v>
      </c>
      <c r="H109" s="3">
        <v>61</v>
      </c>
    </row>
    <row r="110" spans="2:11" x14ac:dyDescent="0.25">
      <c r="B110" s="2" t="s">
        <v>3822</v>
      </c>
      <c r="C110" s="2" t="s">
        <v>3823</v>
      </c>
      <c r="D110" s="3">
        <v>0.69</v>
      </c>
      <c r="E110" s="3">
        <v>2.97</v>
      </c>
      <c r="F110" s="3">
        <v>1.6</v>
      </c>
      <c r="G110" s="3">
        <v>1.34</v>
      </c>
      <c r="H110" s="3">
        <v>80</v>
      </c>
      <c r="I110" s="3">
        <v>4.2000000000000003E-2</v>
      </c>
      <c r="J110" s="3">
        <v>3.2000000000000001E-2</v>
      </c>
      <c r="K110" s="3">
        <v>7.9000000000000001E-2</v>
      </c>
    </row>
    <row r="111" spans="2:11" x14ac:dyDescent="0.25">
      <c r="B111" s="2" t="s">
        <v>3824</v>
      </c>
      <c r="C111" s="2" t="s">
        <v>3825</v>
      </c>
      <c r="D111" s="3">
        <v>0.83</v>
      </c>
      <c r="E111" s="3">
        <v>4</v>
      </c>
      <c r="F111" s="3">
        <v>1.6</v>
      </c>
      <c r="G111" s="3">
        <v>2.37</v>
      </c>
      <c r="H111" s="3">
        <v>91</v>
      </c>
      <c r="I111" s="3">
        <v>0.04</v>
      </c>
      <c r="J111" s="3">
        <v>0.03</v>
      </c>
      <c r="K111" s="3">
        <v>7.4999999999999997E-2</v>
      </c>
    </row>
    <row r="112" spans="2:11" x14ac:dyDescent="0.25">
      <c r="B112" s="2" t="s">
        <v>3826</v>
      </c>
      <c r="C112" s="2" t="s">
        <v>3827</v>
      </c>
      <c r="D112" s="3">
        <v>0.85</v>
      </c>
      <c r="E112" s="3">
        <v>3.65</v>
      </c>
      <c r="F112" s="3">
        <v>1.7</v>
      </c>
      <c r="H112" s="3">
        <v>11</v>
      </c>
    </row>
    <row r="113" spans="2:11" x14ac:dyDescent="0.25">
      <c r="B113" s="2" t="s">
        <v>3828</v>
      </c>
      <c r="C113" s="2" t="s">
        <v>3829</v>
      </c>
      <c r="D113" s="3">
        <v>1.8</v>
      </c>
      <c r="E113" s="3">
        <v>3.74</v>
      </c>
      <c r="F113" s="3">
        <v>1.6</v>
      </c>
      <c r="G113" s="3">
        <v>1.1000000000000001</v>
      </c>
      <c r="H113" s="3">
        <v>213</v>
      </c>
      <c r="I113" s="3">
        <v>0.03</v>
      </c>
      <c r="J113" s="3">
        <v>0.04</v>
      </c>
      <c r="K113" s="3">
        <v>7.0000000000000007E-2</v>
      </c>
    </row>
    <row r="114" spans="2:11" x14ac:dyDescent="0.25">
      <c r="B114" s="2" t="s">
        <v>3830</v>
      </c>
      <c r="C114" s="2" t="s">
        <v>3831</v>
      </c>
      <c r="D114" s="3">
        <v>1.88</v>
      </c>
      <c r="E114" s="3">
        <v>4.13</v>
      </c>
      <c r="F114" s="3">
        <v>2.1</v>
      </c>
      <c r="G114" s="3">
        <v>1.1000000000000001</v>
      </c>
      <c r="H114" s="3">
        <v>179</v>
      </c>
      <c r="I114" s="3">
        <v>1.2E-2</v>
      </c>
      <c r="J114" s="3">
        <v>1.6E-2</v>
      </c>
      <c r="K114" s="3">
        <v>2.8000000000000001E-2</v>
      </c>
    </row>
    <row r="115" spans="2:11" x14ac:dyDescent="0.25">
      <c r="B115" s="2" t="s">
        <v>3832</v>
      </c>
      <c r="C115" s="2" t="s">
        <v>3833</v>
      </c>
      <c r="D115" s="3">
        <v>0.82</v>
      </c>
      <c r="E115" s="3">
        <v>4.51</v>
      </c>
      <c r="F115" s="3">
        <v>1.7</v>
      </c>
      <c r="G115" s="3">
        <v>1.66</v>
      </c>
      <c r="H115" s="3">
        <v>2</v>
      </c>
      <c r="I115" s="3">
        <v>2.8000000000000001E-2</v>
      </c>
      <c r="J115" s="3">
        <v>0.01</v>
      </c>
      <c r="K115" s="3">
        <v>5.7000000000000002E-2</v>
      </c>
    </row>
    <row r="116" spans="2:11" x14ac:dyDescent="0.25">
      <c r="B116" s="2" t="s">
        <v>3834</v>
      </c>
      <c r="C116" s="2" t="s">
        <v>3835</v>
      </c>
      <c r="D116" s="3">
        <v>0.62</v>
      </c>
      <c r="E116" s="3">
        <v>5.09</v>
      </c>
      <c r="F116" s="3">
        <v>2.8</v>
      </c>
      <c r="G116" s="3">
        <v>1.89</v>
      </c>
      <c r="H116" s="3">
        <v>1</v>
      </c>
      <c r="I116" s="3">
        <v>0</v>
      </c>
      <c r="J116" s="3">
        <v>0</v>
      </c>
      <c r="K116" s="3">
        <v>0</v>
      </c>
    </row>
    <row r="117" spans="2:11" x14ac:dyDescent="0.25">
      <c r="B117" s="2" t="s">
        <v>3836</v>
      </c>
      <c r="C117" s="2" t="s">
        <v>3837</v>
      </c>
      <c r="D117" s="3">
        <v>0.9</v>
      </c>
      <c r="E117" s="3">
        <v>4</v>
      </c>
      <c r="F117" s="3">
        <v>3.1</v>
      </c>
      <c r="H117" s="3">
        <v>2</v>
      </c>
      <c r="I117" s="3">
        <v>2.4E-2</v>
      </c>
      <c r="J117" s="3">
        <v>2E-3</v>
      </c>
      <c r="K117" s="3">
        <v>4.3999999999999997E-2</v>
      </c>
    </row>
    <row r="118" spans="2:11" x14ac:dyDescent="0.25">
      <c r="B118" s="2" t="s">
        <v>3838</v>
      </c>
      <c r="C118" s="2" t="s">
        <v>3839</v>
      </c>
      <c r="D118" s="3">
        <v>1.7</v>
      </c>
      <c r="E118" s="3">
        <v>4.7</v>
      </c>
      <c r="F118" s="3">
        <v>4</v>
      </c>
      <c r="G118" s="3">
        <v>0.7</v>
      </c>
      <c r="H118" s="3">
        <v>45</v>
      </c>
      <c r="I118" s="3">
        <v>7.2999999999999995E-2</v>
      </c>
      <c r="J118" s="3">
        <v>6.0000000000000001E-3</v>
      </c>
      <c r="K118" s="3">
        <v>0.13100000000000001</v>
      </c>
    </row>
    <row r="119" spans="2:11" x14ac:dyDescent="0.25">
      <c r="B119" s="2" t="s">
        <v>3840</v>
      </c>
      <c r="C119" s="2" t="s">
        <v>3841</v>
      </c>
      <c r="D119" s="3">
        <v>1.4</v>
      </c>
      <c r="E119" s="3">
        <v>17.510000000000002</v>
      </c>
      <c r="F119" s="3">
        <v>1.5</v>
      </c>
      <c r="G119" s="3">
        <v>8.73</v>
      </c>
      <c r="H119" s="3">
        <v>50</v>
      </c>
      <c r="I119" s="3">
        <v>4.8000000000000001E-2</v>
      </c>
      <c r="J119" s="3">
        <v>4.0000000000000001E-3</v>
      </c>
      <c r="K119" s="3">
        <v>8.6999999999999994E-2</v>
      </c>
    </row>
    <row r="120" spans="2:11" x14ac:dyDescent="0.25">
      <c r="B120" s="2" t="s">
        <v>3842</v>
      </c>
      <c r="C120" s="2" t="s">
        <v>3843</v>
      </c>
      <c r="D120" s="3">
        <v>3.27</v>
      </c>
      <c r="E120" s="3">
        <v>4.3499999999999996</v>
      </c>
      <c r="F120" s="3">
        <v>2.5</v>
      </c>
      <c r="G120" s="3">
        <v>1.85</v>
      </c>
      <c r="H120" s="3">
        <v>3</v>
      </c>
      <c r="I120" s="3">
        <v>0.14599999999999999</v>
      </c>
      <c r="J120" s="3">
        <v>9.5000000000000001E-2</v>
      </c>
      <c r="K120" s="3">
        <v>0.26700000000000002</v>
      </c>
    </row>
    <row r="121" spans="2:11" x14ac:dyDescent="0.25">
      <c r="B121" s="2" t="s">
        <v>3844</v>
      </c>
      <c r="C121" s="2" t="s">
        <v>3845</v>
      </c>
      <c r="D121" s="3">
        <v>3.36</v>
      </c>
      <c r="E121" s="3">
        <v>3.02</v>
      </c>
      <c r="F121" s="3">
        <v>3</v>
      </c>
      <c r="H121" s="3">
        <v>118</v>
      </c>
    </row>
    <row r="122" spans="2:11" x14ac:dyDescent="0.25">
      <c r="B122" s="2" t="s">
        <v>3846</v>
      </c>
      <c r="C122" s="2" t="s">
        <v>3847</v>
      </c>
      <c r="D122" s="3">
        <v>1.64</v>
      </c>
      <c r="E122" s="3">
        <v>4.3099999999999996</v>
      </c>
      <c r="F122" s="3">
        <v>2.2999999999999998</v>
      </c>
      <c r="G122" s="3">
        <v>2.0099999999999998</v>
      </c>
      <c r="H122" s="3">
        <v>53</v>
      </c>
      <c r="I122" s="3">
        <v>2.1999999999999999E-2</v>
      </c>
      <c r="J122" s="3">
        <v>2E-3</v>
      </c>
      <c r="K122" s="3">
        <v>3.9E-2</v>
      </c>
    </row>
    <row r="123" spans="2:11" x14ac:dyDescent="0.25">
      <c r="B123" s="2" t="s">
        <v>3848</v>
      </c>
      <c r="C123" s="2" t="s">
        <v>3849</v>
      </c>
      <c r="D123" s="3">
        <v>3.02</v>
      </c>
      <c r="E123" s="3">
        <v>5.42</v>
      </c>
      <c r="F123" s="3">
        <v>4</v>
      </c>
      <c r="G123" s="3">
        <v>0.46</v>
      </c>
      <c r="H123" s="3">
        <v>17</v>
      </c>
      <c r="I123" s="3">
        <v>5.5E-2</v>
      </c>
      <c r="J123" s="3">
        <v>0.03</v>
      </c>
      <c r="K123" s="3">
        <v>0.20100000000000001</v>
      </c>
    </row>
    <row r="124" spans="2:11" x14ac:dyDescent="0.25">
      <c r="B124" s="2" t="s">
        <v>3850</v>
      </c>
      <c r="C124" s="2" t="s">
        <v>3851</v>
      </c>
      <c r="D124" s="3">
        <v>2.71</v>
      </c>
      <c r="E124" s="3">
        <v>5.65</v>
      </c>
      <c r="F124" s="3">
        <v>4</v>
      </c>
      <c r="G124" s="3">
        <v>0.4</v>
      </c>
      <c r="H124" s="3">
        <v>15</v>
      </c>
      <c r="I124" s="3">
        <v>4.7E-2</v>
      </c>
      <c r="J124" s="3">
        <v>2.5999999999999999E-2</v>
      </c>
      <c r="K124" s="3">
        <v>0.17299999999999999</v>
      </c>
    </row>
    <row r="125" spans="2:11" x14ac:dyDescent="0.25">
      <c r="B125" s="2" t="s">
        <v>3852</v>
      </c>
      <c r="C125" s="2" t="s">
        <v>3853</v>
      </c>
      <c r="D125" s="3">
        <v>2.69</v>
      </c>
      <c r="E125" s="3">
        <v>6.46</v>
      </c>
      <c r="F125" s="3">
        <v>3.6</v>
      </c>
      <c r="H125" s="3">
        <v>48</v>
      </c>
      <c r="I125" s="3">
        <v>4.8000000000000001E-2</v>
      </c>
      <c r="J125" s="3">
        <v>2.7E-2</v>
      </c>
      <c r="K125" s="3">
        <v>0.17799999999999999</v>
      </c>
    </row>
    <row r="126" spans="2:11" x14ac:dyDescent="0.25">
      <c r="B126" s="2" t="s">
        <v>3854</v>
      </c>
      <c r="C126" s="2" t="s">
        <v>3855</v>
      </c>
      <c r="D126" s="3">
        <v>2.97</v>
      </c>
      <c r="E126" s="3">
        <v>7.1</v>
      </c>
      <c r="F126" s="3">
        <v>2.8</v>
      </c>
      <c r="G126" s="3">
        <v>0.56999999999999995</v>
      </c>
      <c r="H126" s="3">
        <v>50</v>
      </c>
      <c r="I126" s="3">
        <v>0.06</v>
      </c>
      <c r="J126" s="3">
        <v>0.02</v>
      </c>
      <c r="K126" s="3">
        <v>0.21</v>
      </c>
    </row>
    <row r="127" spans="2:11" x14ac:dyDescent="0.25">
      <c r="B127" s="2" t="s">
        <v>3856</v>
      </c>
      <c r="C127" s="2" t="s">
        <v>3857</v>
      </c>
      <c r="D127" s="3">
        <v>2.13</v>
      </c>
      <c r="E127" s="3">
        <v>3.67</v>
      </c>
      <c r="F127" s="3">
        <v>2.8</v>
      </c>
      <c r="G127" s="3">
        <v>0.87</v>
      </c>
      <c r="H127" s="3">
        <v>46</v>
      </c>
      <c r="I127" s="3">
        <v>1.4E-2</v>
      </c>
      <c r="J127" s="3">
        <v>0.27500000000000002</v>
      </c>
      <c r="K127" s="3">
        <v>0.04</v>
      </c>
    </row>
    <row r="128" spans="2:11" x14ac:dyDescent="0.25">
      <c r="B128" s="2" t="s">
        <v>3858</v>
      </c>
      <c r="C128" s="2" t="s">
        <v>3859</v>
      </c>
      <c r="D128" s="3">
        <v>3.27</v>
      </c>
      <c r="E128" s="3">
        <v>18.7</v>
      </c>
      <c r="F128" s="3">
        <v>2</v>
      </c>
      <c r="G128" s="3">
        <v>6.26</v>
      </c>
      <c r="H128" s="3">
        <v>15</v>
      </c>
      <c r="I128" s="3">
        <v>0.32500000000000001</v>
      </c>
      <c r="J128" s="3">
        <v>0.432</v>
      </c>
      <c r="K128" s="3">
        <v>0.48699999999999999</v>
      </c>
    </row>
    <row r="129" spans="2:11" x14ac:dyDescent="0.25">
      <c r="B129" s="2" t="s">
        <v>3860</v>
      </c>
      <c r="C129" s="2" t="s">
        <v>3861</v>
      </c>
      <c r="D129" s="3">
        <v>3.41</v>
      </c>
      <c r="E129" s="3">
        <v>20.98</v>
      </c>
      <c r="F129" s="3">
        <v>2.4</v>
      </c>
      <c r="G129" s="3">
        <v>4.54</v>
      </c>
      <c r="H129" s="3">
        <v>1</v>
      </c>
      <c r="I129" s="3">
        <v>0.19700000000000001</v>
      </c>
      <c r="J129" s="3">
        <v>0.374</v>
      </c>
      <c r="K129" s="3">
        <v>0.60299999999999998</v>
      </c>
    </row>
    <row r="130" spans="2:11" x14ac:dyDescent="0.25">
      <c r="B130" s="2" t="s">
        <v>3862</v>
      </c>
      <c r="C130" s="2" t="s">
        <v>3863</v>
      </c>
      <c r="D130" s="3">
        <v>1.95</v>
      </c>
      <c r="E130" s="3">
        <v>13.86</v>
      </c>
      <c r="F130" s="3">
        <v>1.7</v>
      </c>
      <c r="G130" s="3">
        <v>4.1500000000000004</v>
      </c>
      <c r="H130" s="3">
        <v>195</v>
      </c>
      <c r="I130" s="3">
        <v>7.6999999999999999E-2</v>
      </c>
      <c r="J130" s="3">
        <v>0.14399999999999999</v>
      </c>
      <c r="K130" s="3">
        <v>0.23300000000000001</v>
      </c>
    </row>
    <row r="131" spans="2:11" x14ac:dyDescent="0.25">
      <c r="B131" s="2" t="s">
        <v>3864</v>
      </c>
      <c r="C131" s="2" t="s">
        <v>3865</v>
      </c>
      <c r="D131" s="3">
        <v>2.29</v>
      </c>
      <c r="E131" s="3">
        <v>14.34</v>
      </c>
      <c r="F131" s="3">
        <v>2</v>
      </c>
      <c r="G131" s="3">
        <v>4.4400000000000004</v>
      </c>
      <c r="H131" s="3">
        <v>205</v>
      </c>
      <c r="I131" s="3">
        <v>0.245</v>
      </c>
      <c r="J131" s="3">
        <v>0.374</v>
      </c>
      <c r="K131" s="3">
        <v>0.51900000000000002</v>
      </c>
    </row>
    <row r="132" spans="2:11" x14ac:dyDescent="0.25">
      <c r="B132" s="2" t="s">
        <v>3866</v>
      </c>
      <c r="C132" s="2" t="s">
        <v>3867</v>
      </c>
      <c r="D132" s="3">
        <v>1.74</v>
      </c>
      <c r="E132" s="3">
        <v>18.13</v>
      </c>
      <c r="F132" s="3">
        <v>1.2</v>
      </c>
      <c r="G132" s="3">
        <v>3.23</v>
      </c>
      <c r="H132" s="3">
        <v>261</v>
      </c>
      <c r="I132" s="3">
        <v>6.5000000000000002E-2</v>
      </c>
      <c r="J132" s="3">
        <v>0.123</v>
      </c>
      <c r="K132" s="3">
        <v>0.19800000000000001</v>
      </c>
    </row>
    <row r="133" spans="2:11" x14ac:dyDescent="0.25">
      <c r="B133" s="2" t="s">
        <v>3868</v>
      </c>
      <c r="C133" s="2" t="s">
        <v>3869</v>
      </c>
      <c r="D133" s="3">
        <v>2.41</v>
      </c>
      <c r="E133" s="3">
        <v>19.440000000000001</v>
      </c>
      <c r="F133" s="3">
        <v>2</v>
      </c>
      <c r="G133" s="3">
        <v>5.59</v>
      </c>
      <c r="H133" s="3">
        <v>272</v>
      </c>
      <c r="I133" s="3">
        <v>7.6999999999999999E-2</v>
      </c>
      <c r="J133" s="3">
        <v>0.14699999999999999</v>
      </c>
      <c r="K133" s="3">
        <v>0.23699999999999999</v>
      </c>
    </row>
    <row r="134" spans="2:11" x14ac:dyDescent="0.25">
      <c r="B134" s="2" t="s">
        <v>3870</v>
      </c>
      <c r="C134" s="2" t="s">
        <v>3871</v>
      </c>
      <c r="D134" s="3">
        <v>2.1800000000000002</v>
      </c>
      <c r="E134" s="3">
        <v>13.02</v>
      </c>
      <c r="F134" s="3">
        <v>1.7</v>
      </c>
      <c r="G134" s="3">
        <v>4.1100000000000003</v>
      </c>
      <c r="H134" s="3">
        <v>163</v>
      </c>
      <c r="I134" s="3">
        <v>0.219</v>
      </c>
      <c r="J134" s="3">
        <v>0.42</v>
      </c>
      <c r="K134" s="3">
        <v>0.68200000000000005</v>
      </c>
    </row>
    <row r="135" spans="2:11" x14ac:dyDescent="0.25">
      <c r="B135" s="2" t="s">
        <v>3872</v>
      </c>
      <c r="C135" s="2" t="s">
        <v>3873</v>
      </c>
      <c r="D135" s="3">
        <v>3.02</v>
      </c>
      <c r="E135" s="3">
        <v>20.71</v>
      </c>
      <c r="F135" s="3">
        <v>2.1</v>
      </c>
      <c r="G135" s="3">
        <v>2.5</v>
      </c>
      <c r="H135" s="3">
        <v>3</v>
      </c>
      <c r="I135" s="3">
        <v>0.11899999999999999</v>
      </c>
      <c r="J135" s="3">
        <v>0.22700000000000001</v>
      </c>
      <c r="K135" s="3">
        <v>0.36599999999999999</v>
      </c>
    </row>
    <row r="136" spans="2:11" x14ac:dyDescent="0.25">
      <c r="B136" s="2" t="s">
        <v>3874</v>
      </c>
      <c r="C136" s="2" t="s">
        <v>3875</v>
      </c>
      <c r="D136" s="3">
        <v>2.5499999999999998</v>
      </c>
      <c r="E136" s="3">
        <v>19.3</v>
      </c>
      <c r="F136" s="3">
        <v>2.4</v>
      </c>
      <c r="G136" s="3">
        <v>3.07</v>
      </c>
      <c r="H136" s="3">
        <v>1</v>
      </c>
      <c r="I136" s="3">
        <v>0.10299999999999999</v>
      </c>
      <c r="J136" s="3">
        <v>0.19700000000000001</v>
      </c>
      <c r="K136" s="3">
        <v>0.318</v>
      </c>
    </row>
    <row r="137" spans="2:11" x14ac:dyDescent="0.25">
      <c r="B137" s="2" t="s">
        <v>3876</v>
      </c>
      <c r="C137" s="2" t="s">
        <v>3877</v>
      </c>
      <c r="D137" s="3">
        <v>3.28</v>
      </c>
      <c r="E137" s="3">
        <v>23.5</v>
      </c>
      <c r="F137" s="3">
        <v>2.8</v>
      </c>
      <c r="G137" s="3">
        <v>3.78</v>
      </c>
      <c r="H137" s="3">
        <v>5</v>
      </c>
      <c r="I137" s="3">
        <v>0.12</v>
      </c>
      <c r="J137" s="3">
        <v>0.22800000000000001</v>
      </c>
      <c r="K137" s="3">
        <v>0.36699999999999999</v>
      </c>
    </row>
    <row r="138" spans="2:11" x14ac:dyDescent="0.25">
      <c r="B138" s="2" t="s">
        <v>3878</v>
      </c>
      <c r="C138" s="2" t="s">
        <v>3879</v>
      </c>
      <c r="D138" s="3">
        <v>3.11</v>
      </c>
      <c r="E138" s="3">
        <v>22.33</v>
      </c>
      <c r="F138" s="3">
        <v>2.8</v>
      </c>
      <c r="G138" s="3">
        <v>3.59</v>
      </c>
      <c r="H138" s="3">
        <v>4</v>
      </c>
      <c r="I138" s="3">
        <v>0.114</v>
      </c>
      <c r="J138" s="3">
        <v>0.216</v>
      </c>
      <c r="K138" s="3">
        <v>0.34799999999999998</v>
      </c>
    </row>
    <row r="139" spans="2:11" x14ac:dyDescent="0.25">
      <c r="B139" s="2" t="s">
        <v>3880</v>
      </c>
      <c r="C139" s="2" t="s">
        <v>3881</v>
      </c>
      <c r="D139" s="3">
        <v>3.62</v>
      </c>
      <c r="E139" s="3">
        <v>25.87</v>
      </c>
      <c r="F139" s="3">
        <v>2.6</v>
      </c>
      <c r="G139" s="3">
        <v>3.36</v>
      </c>
      <c r="H139" s="3">
        <v>4</v>
      </c>
      <c r="I139" s="3">
        <v>0.15</v>
      </c>
      <c r="J139" s="3">
        <v>0.28699999999999998</v>
      </c>
      <c r="K139" s="3">
        <v>0.46300000000000002</v>
      </c>
    </row>
    <row r="140" spans="2:11" x14ac:dyDescent="0.25">
      <c r="B140" s="2" t="s">
        <v>3882</v>
      </c>
      <c r="C140" s="2" t="s">
        <v>3883</v>
      </c>
      <c r="D140" s="3">
        <v>2.33</v>
      </c>
      <c r="E140" s="3">
        <v>18.170000000000002</v>
      </c>
      <c r="H140" s="3">
        <v>347</v>
      </c>
      <c r="I140" s="3">
        <v>8.5000000000000006E-2</v>
      </c>
      <c r="J140" s="3">
        <v>0.157</v>
      </c>
      <c r="K140" s="3">
        <v>0.26100000000000001</v>
      </c>
    </row>
    <row r="141" spans="2:11" x14ac:dyDescent="0.25">
      <c r="B141" s="2" t="s">
        <v>3884</v>
      </c>
      <c r="C141" s="2" t="s">
        <v>3885</v>
      </c>
      <c r="D141" s="3">
        <v>2</v>
      </c>
      <c r="E141" s="3">
        <v>3.6</v>
      </c>
      <c r="H141" s="3">
        <v>4</v>
      </c>
    </row>
    <row r="142" spans="2:11" x14ac:dyDescent="0.25">
      <c r="B142" s="2" t="s">
        <v>3886</v>
      </c>
      <c r="C142" s="2" t="s">
        <v>3887</v>
      </c>
      <c r="D142" s="3">
        <v>2.95</v>
      </c>
      <c r="E142" s="3">
        <v>18.829999999999998</v>
      </c>
      <c r="F142" s="3">
        <v>5</v>
      </c>
      <c r="G142" s="3">
        <v>3</v>
      </c>
      <c r="H142" s="3">
        <v>4</v>
      </c>
      <c r="I142" s="3">
        <v>0.09</v>
      </c>
      <c r="J142" s="3">
        <v>3.2000000000000001E-2</v>
      </c>
      <c r="K142" s="3">
        <v>0.15</v>
      </c>
    </row>
    <row r="143" spans="2:11" x14ac:dyDescent="0.25">
      <c r="B143" s="2" t="s">
        <v>3888</v>
      </c>
      <c r="C143" s="2" t="s">
        <v>3889</v>
      </c>
      <c r="D143" s="3">
        <v>3.17</v>
      </c>
      <c r="E143" s="3">
        <v>20.32</v>
      </c>
      <c r="F143" s="3">
        <v>5</v>
      </c>
      <c r="G143" s="3">
        <v>3.23</v>
      </c>
      <c r="H143" s="3">
        <v>4</v>
      </c>
      <c r="I143" s="3">
        <v>9.6000000000000002E-2</v>
      </c>
      <c r="J143" s="3">
        <v>3.4000000000000002E-2</v>
      </c>
      <c r="K143" s="3">
        <v>0.161</v>
      </c>
    </row>
    <row r="144" spans="2:11" x14ac:dyDescent="0.25">
      <c r="B144" s="2" t="s">
        <v>3890</v>
      </c>
      <c r="C144" s="2" t="s">
        <v>3891</v>
      </c>
      <c r="D144" s="3">
        <v>8.98</v>
      </c>
      <c r="E144" s="3">
        <v>25.13</v>
      </c>
      <c r="F144" s="3">
        <v>5</v>
      </c>
      <c r="H144" s="3">
        <v>6</v>
      </c>
      <c r="I144" s="3">
        <v>0.185</v>
      </c>
      <c r="J144" s="3">
        <v>6.3E-2</v>
      </c>
      <c r="K144" s="3">
        <v>0.29699999999999999</v>
      </c>
    </row>
    <row r="145" spans="2:11" x14ac:dyDescent="0.25">
      <c r="B145" s="2" t="s">
        <v>3892</v>
      </c>
      <c r="C145" s="2" t="s">
        <v>3893</v>
      </c>
      <c r="D145" s="3">
        <v>8.49</v>
      </c>
      <c r="E145" s="3">
        <v>23.76</v>
      </c>
      <c r="F145" s="3">
        <v>6.4</v>
      </c>
      <c r="G145" s="3">
        <v>4.46</v>
      </c>
      <c r="H145" s="3">
        <v>5</v>
      </c>
      <c r="I145" s="3">
        <v>0.17499999999999999</v>
      </c>
      <c r="J145" s="3">
        <v>0.06</v>
      </c>
      <c r="K145" s="3">
        <v>0.28000000000000003</v>
      </c>
    </row>
    <row r="146" spans="2:11" x14ac:dyDescent="0.25">
      <c r="B146" s="2" t="s">
        <v>3894</v>
      </c>
      <c r="C146" s="2" t="s">
        <v>3895</v>
      </c>
      <c r="D146" s="3">
        <v>3.3</v>
      </c>
      <c r="E146" s="3">
        <v>9.5</v>
      </c>
      <c r="F146" s="3">
        <v>3.3</v>
      </c>
      <c r="G146" s="3">
        <v>5.04</v>
      </c>
      <c r="H146" s="3">
        <v>4</v>
      </c>
      <c r="I146" s="3">
        <v>7.9000000000000001E-2</v>
      </c>
      <c r="J146" s="3">
        <v>2.7E-2</v>
      </c>
      <c r="K146" s="3">
        <v>0.127</v>
      </c>
    </row>
    <row r="147" spans="2:11" x14ac:dyDescent="0.25">
      <c r="B147" s="2" t="s">
        <v>3896</v>
      </c>
      <c r="C147" s="2" t="s">
        <v>3897</v>
      </c>
      <c r="D147" s="3">
        <v>2.6</v>
      </c>
      <c r="E147" s="3">
        <v>7</v>
      </c>
      <c r="H147" s="3">
        <v>3</v>
      </c>
      <c r="I147" s="3">
        <v>7.9000000000000001E-2</v>
      </c>
      <c r="J147" s="3">
        <v>2.7E-2</v>
      </c>
      <c r="K147" s="3">
        <v>0.127</v>
      </c>
    </row>
    <row r="148" spans="2:11" x14ac:dyDescent="0.25">
      <c r="B148" s="2" t="s">
        <v>3898</v>
      </c>
      <c r="C148" s="2" t="s">
        <v>3899</v>
      </c>
      <c r="D148" s="3">
        <v>2.8</v>
      </c>
      <c r="E148" s="3">
        <v>8.35</v>
      </c>
      <c r="H148" s="3">
        <v>4</v>
      </c>
      <c r="I148" s="3">
        <v>0.105</v>
      </c>
      <c r="J148" s="3">
        <v>3.5999999999999997E-2</v>
      </c>
      <c r="K148" s="3">
        <v>0.16900000000000001</v>
      </c>
    </row>
    <row r="149" spans="2:11" x14ac:dyDescent="0.25">
      <c r="B149" s="2" t="s">
        <v>3900</v>
      </c>
      <c r="C149" s="2" t="s">
        <v>3901</v>
      </c>
      <c r="D149" s="3">
        <v>2.5299999999999998</v>
      </c>
      <c r="E149" s="3">
        <v>9.18</v>
      </c>
      <c r="H149" s="3">
        <v>4</v>
      </c>
      <c r="I149" s="3">
        <v>2.5999999999999999E-2</v>
      </c>
      <c r="J149" s="3">
        <v>8.9999999999999993E-3</v>
      </c>
      <c r="K149" s="3">
        <v>4.2000000000000003E-2</v>
      </c>
    </row>
    <row r="150" spans="2:11" x14ac:dyDescent="0.25">
      <c r="B150" s="2" t="s">
        <v>3902</v>
      </c>
      <c r="C150" s="2" t="s">
        <v>3903</v>
      </c>
      <c r="D150" s="3">
        <v>4.0999999999999996</v>
      </c>
      <c r="E150" s="3">
        <v>4.82</v>
      </c>
      <c r="H150" s="3">
        <v>7</v>
      </c>
      <c r="I150" s="3">
        <v>6.6000000000000003E-2</v>
      </c>
      <c r="J150" s="3">
        <v>2.1999999999999999E-2</v>
      </c>
      <c r="K150" s="3">
        <v>0.106</v>
      </c>
    </row>
    <row r="151" spans="2:11" x14ac:dyDescent="0.25">
      <c r="B151" s="2" t="s">
        <v>3904</v>
      </c>
      <c r="C151" s="2" t="s">
        <v>3905</v>
      </c>
      <c r="D151" s="3">
        <v>4.67</v>
      </c>
      <c r="E151" s="3">
        <v>2.8</v>
      </c>
      <c r="H151" s="3">
        <v>6</v>
      </c>
      <c r="I151" s="3">
        <v>2.5999999999999999E-2</v>
      </c>
      <c r="J151" s="3">
        <v>8.9999999999999993E-3</v>
      </c>
      <c r="K151" s="3">
        <v>4.2000000000000003E-2</v>
      </c>
    </row>
    <row r="152" spans="2:11" x14ac:dyDescent="0.25">
      <c r="B152" s="2" t="s">
        <v>3906</v>
      </c>
      <c r="C152" s="2" t="s">
        <v>3907</v>
      </c>
      <c r="D152" s="3">
        <v>2.6</v>
      </c>
      <c r="E152" s="3">
        <v>5.5</v>
      </c>
      <c r="F152" s="3">
        <v>1.1000000000000001</v>
      </c>
      <c r="G152" s="3">
        <v>4.4000000000000004</v>
      </c>
      <c r="H152" s="3">
        <v>14</v>
      </c>
      <c r="I152" s="3">
        <v>2.3E-2</v>
      </c>
      <c r="J152" s="3">
        <v>0.23899999999999999</v>
      </c>
      <c r="K152" s="3">
        <v>0.22800000000000001</v>
      </c>
    </row>
    <row r="153" spans="2:11" x14ac:dyDescent="0.25">
      <c r="B153" s="2" t="s">
        <v>3908</v>
      </c>
      <c r="C153" s="2" t="s">
        <v>3909</v>
      </c>
      <c r="D153" s="3">
        <v>1.9</v>
      </c>
      <c r="E153" s="3">
        <v>3.8</v>
      </c>
      <c r="F153" s="3">
        <v>0.7</v>
      </c>
      <c r="G153" s="3">
        <v>3.11</v>
      </c>
      <c r="H153" s="3">
        <v>8</v>
      </c>
      <c r="I153" s="3">
        <v>0.02</v>
      </c>
      <c r="J153" s="3">
        <v>0.20499999999999999</v>
      </c>
      <c r="K153" s="3">
        <v>0.19600000000000001</v>
      </c>
    </row>
    <row r="154" spans="2:11" x14ac:dyDescent="0.25">
      <c r="B154" s="2" t="s">
        <v>3910</v>
      </c>
      <c r="C154" s="2" t="s">
        <v>3911</v>
      </c>
      <c r="D154" s="3">
        <v>0.65</v>
      </c>
      <c r="E154" s="3">
        <v>3.63</v>
      </c>
      <c r="F154" s="3">
        <v>0.5</v>
      </c>
      <c r="G154" s="3">
        <v>1.67</v>
      </c>
      <c r="H154" s="3">
        <v>2</v>
      </c>
      <c r="I154" s="3">
        <v>3.6999999999999998E-2</v>
      </c>
      <c r="J154" s="3">
        <v>5.0000000000000001E-3</v>
      </c>
      <c r="K154" s="3">
        <v>3.2000000000000001E-2</v>
      </c>
    </row>
    <row r="155" spans="2:11" x14ac:dyDescent="0.25">
      <c r="B155" s="2" t="s">
        <v>3912</v>
      </c>
      <c r="C155" s="2" t="s">
        <v>3913</v>
      </c>
      <c r="D155" s="3">
        <v>0.59</v>
      </c>
      <c r="E155" s="3">
        <v>2.16</v>
      </c>
      <c r="F155" s="3">
        <v>0.7</v>
      </c>
      <c r="G155" s="3">
        <v>1.38</v>
      </c>
      <c r="H155" s="3">
        <v>2</v>
      </c>
      <c r="I155" s="3">
        <v>1.2999999999999999E-2</v>
      </c>
      <c r="J155" s="3">
        <v>2E-3</v>
      </c>
      <c r="K155" s="3">
        <v>3.0000000000000001E-3</v>
      </c>
    </row>
    <row r="156" spans="2:11" x14ac:dyDescent="0.25">
      <c r="B156" s="2" t="s">
        <v>3914</v>
      </c>
      <c r="C156" s="2" t="s">
        <v>3915</v>
      </c>
      <c r="D156" s="3">
        <v>2.7</v>
      </c>
      <c r="E156" s="3">
        <v>9.1999999999999993</v>
      </c>
      <c r="F156" s="3">
        <v>3.5</v>
      </c>
      <c r="G156" s="3">
        <v>0.71</v>
      </c>
      <c r="H156" s="3">
        <v>76</v>
      </c>
      <c r="I156" s="3">
        <v>0.17</v>
      </c>
      <c r="J156" s="3">
        <v>1.4E-2</v>
      </c>
      <c r="K156" s="3">
        <v>0.30599999999999999</v>
      </c>
    </row>
    <row r="157" spans="2:11" x14ac:dyDescent="0.25">
      <c r="B157" s="2" t="s">
        <v>3916</v>
      </c>
      <c r="C157" s="2" t="s">
        <v>3917</v>
      </c>
      <c r="D157" s="3">
        <v>2</v>
      </c>
      <c r="E157" s="3">
        <v>6.4</v>
      </c>
      <c r="F157" s="3">
        <v>2.9</v>
      </c>
      <c r="G157" s="3">
        <v>0.5</v>
      </c>
      <c r="H157" s="3">
        <v>44</v>
      </c>
      <c r="I157" s="3">
        <v>0.14599999999999999</v>
      </c>
      <c r="J157" s="3">
        <v>1.2E-2</v>
      </c>
      <c r="K157" s="3">
        <v>0.26200000000000001</v>
      </c>
    </row>
    <row r="158" spans="2:11" x14ac:dyDescent="0.25">
      <c r="B158" s="2" t="s">
        <v>3918</v>
      </c>
      <c r="C158" s="2" t="s">
        <v>3919</v>
      </c>
      <c r="D158" s="3">
        <v>0.98</v>
      </c>
      <c r="E158" s="3">
        <v>5.88</v>
      </c>
      <c r="F158" s="3">
        <v>3</v>
      </c>
      <c r="G158" s="3">
        <v>3.53</v>
      </c>
      <c r="H158" s="3">
        <v>2</v>
      </c>
      <c r="I158" s="3">
        <v>3.4000000000000002E-2</v>
      </c>
      <c r="J158" s="3">
        <v>1.6E-2</v>
      </c>
      <c r="K158" s="3">
        <v>7.5999999999999998E-2</v>
      </c>
    </row>
    <row r="159" spans="2:11" x14ac:dyDescent="0.25">
      <c r="B159" s="2" t="s">
        <v>3920</v>
      </c>
      <c r="C159" s="2" t="s">
        <v>3921</v>
      </c>
      <c r="D159" s="3">
        <v>0.83</v>
      </c>
      <c r="E159" s="3">
        <v>8.73</v>
      </c>
      <c r="F159" s="3">
        <v>2.5</v>
      </c>
      <c r="G159" s="3">
        <v>3.2</v>
      </c>
      <c r="H159" s="3">
        <v>1</v>
      </c>
      <c r="I159" s="3">
        <v>4.3999999999999997E-2</v>
      </c>
      <c r="J159" s="3">
        <v>0.02</v>
      </c>
      <c r="K159" s="3">
        <v>9.2999999999999999E-2</v>
      </c>
    </row>
    <row r="160" spans="2:11" x14ac:dyDescent="0.25">
      <c r="B160" s="2" t="s">
        <v>3922</v>
      </c>
      <c r="C160" s="2" t="s">
        <v>3923</v>
      </c>
      <c r="D160" s="3">
        <v>11.22</v>
      </c>
      <c r="E160" s="3">
        <v>7.61</v>
      </c>
      <c r="F160" s="3">
        <v>4.8</v>
      </c>
      <c r="G160" s="3">
        <v>2.48</v>
      </c>
      <c r="H160" s="3">
        <v>6</v>
      </c>
    </row>
    <row r="161" spans="2:11" x14ac:dyDescent="0.25">
      <c r="B161" s="2" t="s">
        <v>3924</v>
      </c>
      <c r="C161" s="2" t="s">
        <v>3925</v>
      </c>
      <c r="D161" s="3">
        <v>11.91</v>
      </c>
      <c r="E161" s="3">
        <v>8.91</v>
      </c>
      <c r="F161" s="3">
        <v>5.2</v>
      </c>
      <c r="G161" s="3">
        <v>2.1800000000000002</v>
      </c>
      <c r="H161" s="3">
        <v>6</v>
      </c>
      <c r="I161" s="3">
        <v>0.62</v>
      </c>
      <c r="J161" s="3">
        <v>1.282</v>
      </c>
      <c r="K161" s="3">
        <v>2.1560000000000001</v>
      </c>
    </row>
    <row r="162" spans="2:11" x14ac:dyDescent="0.25">
      <c r="B162" s="2" t="s">
        <v>3926</v>
      </c>
      <c r="C162" s="2" t="s">
        <v>3927</v>
      </c>
      <c r="D162" s="3">
        <v>1.25</v>
      </c>
      <c r="E162" s="3">
        <v>3.35</v>
      </c>
      <c r="F162" s="3">
        <v>3.1</v>
      </c>
      <c r="G162" s="3">
        <v>0.25</v>
      </c>
      <c r="H162" s="3">
        <v>22</v>
      </c>
      <c r="I162" s="3">
        <v>4.8000000000000001E-2</v>
      </c>
      <c r="J162" s="3">
        <v>4.0000000000000001E-3</v>
      </c>
      <c r="K162" s="3">
        <v>8.6999999999999994E-2</v>
      </c>
    </row>
    <row r="163" spans="2:11" x14ac:dyDescent="0.25">
      <c r="B163" s="2" t="s">
        <v>3928</v>
      </c>
      <c r="C163" s="2" t="s">
        <v>3929</v>
      </c>
      <c r="D163" s="3">
        <v>1.1499999999999999</v>
      </c>
      <c r="E163" s="3">
        <v>3.07</v>
      </c>
      <c r="F163" s="3">
        <v>2.8</v>
      </c>
      <c r="G163" s="3">
        <v>0.23</v>
      </c>
      <c r="H163" s="3">
        <v>19</v>
      </c>
      <c r="I163" s="3">
        <v>4.2000000000000003E-2</v>
      </c>
      <c r="J163" s="3">
        <v>4.0000000000000001E-3</v>
      </c>
      <c r="K163" s="3">
        <v>8.1000000000000003E-2</v>
      </c>
    </row>
    <row r="164" spans="2:11" x14ac:dyDescent="0.25">
      <c r="B164" s="2" t="s">
        <v>3930</v>
      </c>
      <c r="C164" s="2" t="s">
        <v>3931</v>
      </c>
      <c r="D164" s="3">
        <v>6.36</v>
      </c>
      <c r="E164" s="3">
        <v>33.06</v>
      </c>
      <c r="F164" s="3">
        <v>2.1</v>
      </c>
      <c r="G164" s="3">
        <v>1</v>
      </c>
      <c r="H164" s="3">
        <v>17</v>
      </c>
      <c r="I164" s="3">
        <v>8.8999999999999996E-2</v>
      </c>
      <c r="J164" s="3">
        <v>1.0999999999999999E-2</v>
      </c>
      <c r="K164" s="3">
        <v>0.249</v>
      </c>
    </row>
    <row r="165" spans="2:11" x14ac:dyDescent="0.25">
      <c r="B165" s="2" t="s">
        <v>3932</v>
      </c>
      <c r="C165" s="2" t="s">
        <v>3933</v>
      </c>
      <c r="D165" s="3">
        <v>1.82</v>
      </c>
      <c r="E165" s="3">
        <v>17.77</v>
      </c>
      <c r="F165" s="3">
        <v>2</v>
      </c>
      <c r="G165" s="3">
        <v>1.7</v>
      </c>
      <c r="H165" s="3">
        <v>13</v>
      </c>
      <c r="I165" s="3">
        <v>0.20300000000000001</v>
      </c>
      <c r="J165" s="3">
        <v>0.154</v>
      </c>
      <c r="K165" s="3">
        <v>0.154</v>
      </c>
    </row>
    <row r="166" spans="2:11" x14ac:dyDescent="0.25">
      <c r="B166" s="2" t="s">
        <v>3934</v>
      </c>
      <c r="C166" s="2" t="s">
        <v>3935</v>
      </c>
      <c r="D166" s="3">
        <v>0.62</v>
      </c>
      <c r="E166" s="3">
        <v>3.39</v>
      </c>
      <c r="F166" s="3">
        <v>0.5</v>
      </c>
      <c r="H166" s="3">
        <v>2</v>
      </c>
      <c r="I166" s="3">
        <v>2E-3</v>
      </c>
      <c r="J166" s="3">
        <v>4.0000000000000001E-3</v>
      </c>
      <c r="K166" s="3">
        <v>8.9999999999999993E-3</v>
      </c>
    </row>
    <row r="167" spans="2:11" x14ac:dyDescent="0.25">
      <c r="B167" s="2" t="s">
        <v>3936</v>
      </c>
      <c r="C167" s="2" t="s">
        <v>3937</v>
      </c>
      <c r="D167" s="3">
        <v>0.6</v>
      </c>
      <c r="E167" s="3">
        <v>3.69</v>
      </c>
      <c r="F167" s="3">
        <v>1.2</v>
      </c>
      <c r="H167" s="3">
        <v>2</v>
      </c>
      <c r="I167" s="3">
        <v>2E-3</v>
      </c>
      <c r="J167" s="3">
        <v>4.0000000000000001E-3</v>
      </c>
      <c r="K167" s="3">
        <v>8.9999999999999993E-3</v>
      </c>
    </row>
    <row r="168" spans="2:11" x14ac:dyDescent="0.25">
      <c r="B168" s="2" t="s">
        <v>3938</v>
      </c>
      <c r="C168" s="2" t="s">
        <v>3939</v>
      </c>
      <c r="D168" s="3">
        <v>1.2</v>
      </c>
      <c r="E168" s="3">
        <v>4.3499999999999996</v>
      </c>
      <c r="F168" s="3">
        <v>1.1000000000000001</v>
      </c>
      <c r="G168" s="3">
        <v>2.02</v>
      </c>
      <c r="H168" s="3">
        <v>3</v>
      </c>
      <c r="I168" s="3">
        <v>1.6E-2</v>
      </c>
      <c r="J168" s="3">
        <v>3.6999999999999998E-2</v>
      </c>
      <c r="K168" s="3">
        <v>8.6999999999999994E-2</v>
      </c>
    </row>
    <row r="169" spans="2:11" x14ac:dyDescent="0.25">
      <c r="B169" s="2" t="s">
        <v>3940</v>
      </c>
      <c r="C169" s="2" t="s">
        <v>3941</v>
      </c>
      <c r="D169" s="3">
        <v>0.66</v>
      </c>
      <c r="E169" s="3">
        <v>14.34</v>
      </c>
      <c r="F169" s="3">
        <v>2.9</v>
      </c>
      <c r="G169" s="3">
        <v>5.17</v>
      </c>
      <c r="H169" s="3">
        <v>21</v>
      </c>
      <c r="I169" s="3">
        <v>2.7E-2</v>
      </c>
      <c r="J169" s="3">
        <v>6.3E-2</v>
      </c>
      <c r="K169" s="3">
        <v>0.14799999999999999</v>
      </c>
    </row>
    <row r="170" spans="2:11" x14ac:dyDescent="0.25">
      <c r="B170" s="2" t="s">
        <v>3942</v>
      </c>
      <c r="C170" s="2" t="s">
        <v>3943</v>
      </c>
      <c r="D170" s="3">
        <v>9.4</v>
      </c>
      <c r="E170" s="3">
        <v>8.2799999999999994</v>
      </c>
      <c r="F170" s="3">
        <v>2</v>
      </c>
      <c r="H170" s="3">
        <v>9</v>
      </c>
    </row>
    <row r="171" spans="2:11" x14ac:dyDescent="0.25">
      <c r="B171" s="2" t="s">
        <v>3944</v>
      </c>
      <c r="C171" s="2" t="s">
        <v>3945</v>
      </c>
      <c r="D171" s="3">
        <v>5.27</v>
      </c>
      <c r="E171" s="3">
        <v>11.15</v>
      </c>
      <c r="F171" s="3">
        <v>2</v>
      </c>
      <c r="G171" s="3">
        <v>1</v>
      </c>
      <c r="H171" s="3">
        <v>9</v>
      </c>
      <c r="I171" s="3">
        <v>0.152</v>
      </c>
      <c r="J171" s="3">
        <v>0.47299999999999998</v>
      </c>
      <c r="K171" s="3">
        <v>1.4999999999999999E-2</v>
      </c>
    </row>
    <row r="172" spans="2:11" x14ac:dyDescent="0.25">
      <c r="B172" s="2" t="s">
        <v>3946</v>
      </c>
      <c r="C172" s="2" t="s">
        <v>3947</v>
      </c>
      <c r="D172" s="3">
        <v>2.1</v>
      </c>
      <c r="E172" s="3">
        <v>9.19</v>
      </c>
      <c r="F172" s="3">
        <v>3.3</v>
      </c>
      <c r="G172" s="3">
        <v>4.08</v>
      </c>
      <c r="H172" s="3">
        <v>2</v>
      </c>
      <c r="I172" s="3">
        <v>8.7999999999999995E-2</v>
      </c>
      <c r="J172" s="3">
        <v>9.5000000000000001E-2</v>
      </c>
      <c r="K172" s="3">
        <v>8.0000000000000002E-3</v>
      </c>
    </row>
    <row r="173" spans="2:11" x14ac:dyDescent="0.25">
      <c r="B173" s="2" t="s">
        <v>3948</v>
      </c>
      <c r="C173" s="2" t="s">
        <v>3949</v>
      </c>
      <c r="D173" s="3">
        <v>2.95</v>
      </c>
      <c r="E173" s="3">
        <v>9.1999999999999993</v>
      </c>
      <c r="H173" s="3">
        <v>2</v>
      </c>
      <c r="I173" s="3">
        <v>0.11899999999999999</v>
      </c>
      <c r="J173" s="3">
        <v>0.129</v>
      </c>
      <c r="K173" s="3">
        <v>0.01</v>
      </c>
    </row>
    <row r="174" spans="2:11" x14ac:dyDescent="0.25">
      <c r="B174" s="2" t="s">
        <v>3950</v>
      </c>
      <c r="C174" s="2" t="s">
        <v>3951</v>
      </c>
      <c r="D174" s="3">
        <v>2</v>
      </c>
      <c r="E174" s="3">
        <v>17.440000000000001</v>
      </c>
      <c r="F174" s="3">
        <v>1.6</v>
      </c>
      <c r="G174" s="3">
        <v>9.6</v>
      </c>
      <c r="H174" s="3">
        <v>4</v>
      </c>
      <c r="I174" s="3">
        <v>0</v>
      </c>
      <c r="J174" s="3">
        <v>4.0000000000000001E-3</v>
      </c>
      <c r="K174" s="3">
        <v>1E-3</v>
      </c>
    </row>
    <row r="175" spans="2:11" x14ac:dyDescent="0.25">
      <c r="B175" s="2" t="s">
        <v>3952</v>
      </c>
      <c r="C175" s="2" t="s">
        <v>3953</v>
      </c>
      <c r="D175" s="3">
        <v>0.48</v>
      </c>
      <c r="E175" s="3">
        <v>6.75</v>
      </c>
      <c r="H175" s="3">
        <v>9</v>
      </c>
    </row>
    <row r="176" spans="2:11" x14ac:dyDescent="0.25">
      <c r="B176" s="2" t="s">
        <v>3954</v>
      </c>
      <c r="C176" s="2" t="s">
        <v>3955</v>
      </c>
      <c r="D176" s="3">
        <v>4.82</v>
      </c>
      <c r="E176" s="3">
        <v>81.03</v>
      </c>
      <c r="H176" s="3">
        <v>70</v>
      </c>
    </row>
    <row r="177" spans="2:11" x14ac:dyDescent="0.25">
      <c r="B177" s="2" t="s">
        <v>3956</v>
      </c>
      <c r="C177" s="2" t="s">
        <v>3957</v>
      </c>
      <c r="D177" s="3">
        <v>4.6500000000000004</v>
      </c>
      <c r="E177" s="3">
        <v>5.8</v>
      </c>
      <c r="H177" s="3">
        <v>8</v>
      </c>
      <c r="I177" s="3">
        <v>3.7999999999999999E-2</v>
      </c>
      <c r="J177" s="3">
        <v>1.7000000000000001E-2</v>
      </c>
      <c r="K177" s="3">
        <v>0.12</v>
      </c>
    </row>
    <row r="178" spans="2:11" x14ac:dyDescent="0.25">
      <c r="B178" s="2" t="s">
        <v>3958</v>
      </c>
      <c r="C178" s="2" t="s">
        <v>3959</v>
      </c>
      <c r="D178" s="3">
        <v>3.68</v>
      </c>
      <c r="E178" s="3">
        <v>7.29</v>
      </c>
      <c r="F178" s="3">
        <v>2</v>
      </c>
      <c r="G178" s="3">
        <v>1</v>
      </c>
      <c r="H178" s="3">
        <v>11</v>
      </c>
      <c r="I178" s="3">
        <v>0.03</v>
      </c>
      <c r="J178" s="3">
        <v>1.4E-2</v>
      </c>
      <c r="K178" s="3">
        <v>9.6000000000000002E-2</v>
      </c>
    </row>
    <row r="179" spans="2:11" x14ac:dyDescent="0.25">
      <c r="B179" s="2" t="s">
        <v>3960</v>
      </c>
      <c r="C179" s="2" t="s">
        <v>3961</v>
      </c>
      <c r="D179" s="3">
        <v>4.28</v>
      </c>
      <c r="E179" s="3">
        <v>8.75</v>
      </c>
      <c r="F179" s="3">
        <v>3.6</v>
      </c>
      <c r="G179" s="3">
        <v>2.2599999999999998</v>
      </c>
      <c r="H179" s="3">
        <v>38</v>
      </c>
      <c r="I179" s="3">
        <v>9.0999999999999998E-2</v>
      </c>
      <c r="J179" s="3">
        <v>5.1999999999999998E-2</v>
      </c>
      <c r="K179" s="3">
        <v>0.33800000000000002</v>
      </c>
    </row>
    <row r="180" spans="2:11" x14ac:dyDescent="0.25">
      <c r="B180" s="2" t="s">
        <v>3962</v>
      </c>
      <c r="C180" s="2" t="s">
        <v>3963</v>
      </c>
      <c r="D180" s="3">
        <v>1.9</v>
      </c>
      <c r="E180" s="3">
        <v>5.63</v>
      </c>
      <c r="F180" s="3">
        <v>2</v>
      </c>
      <c r="G180" s="3">
        <v>1.25</v>
      </c>
      <c r="H180" s="3">
        <v>23</v>
      </c>
      <c r="I180" s="3">
        <v>5.1999999999999998E-2</v>
      </c>
      <c r="J180" s="3">
        <v>0.03</v>
      </c>
      <c r="K180" s="3">
        <v>0.193</v>
      </c>
    </row>
    <row r="181" spans="2:11" x14ac:dyDescent="0.25">
      <c r="B181" s="2" t="s">
        <v>3964</v>
      </c>
      <c r="C181" s="2" t="s">
        <v>3965</v>
      </c>
      <c r="D181" s="3">
        <v>2.66</v>
      </c>
      <c r="E181" s="3">
        <v>4.9000000000000004</v>
      </c>
      <c r="F181" s="3">
        <v>2</v>
      </c>
      <c r="H181" s="3">
        <v>15</v>
      </c>
      <c r="I181" s="3">
        <v>5.8999999999999997E-2</v>
      </c>
      <c r="J181" s="3">
        <v>3.4000000000000002E-2</v>
      </c>
      <c r="K181" s="3">
        <v>0.219</v>
      </c>
    </row>
    <row r="182" spans="2:11" x14ac:dyDescent="0.25">
      <c r="B182" s="2" t="s">
        <v>3966</v>
      </c>
      <c r="C182" s="2" t="s">
        <v>3967</v>
      </c>
      <c r="D182" s="3">
        <v>2.84</v>
      </c>
      <c r="E182" s="3">
        <v>5.23</v>
      </c>
      <c r="F182" s="3">
        <v>2</v>
      </c>
      <c r="G182" s="3">
        <v>1.34</v>
      </c>
      <c r="H182" s="3">
        <v>15</v>
      </c>
      <c r="I182" s="3">
        <v>6.3E-2</v>
      </c>
      <c r="J182" s="3">
        <v>3.5999999999999997E-2</v>
      </c>
      <c r="K182" s="3">
        <v>0.23499999999999999</v>
      </c>
    </row>
    <row r="183" spans="2:11" x14ac:dyDescent="0.25">
      <c r="B183" s="2" t="s">
        <v>3968</v>
      </c>
      <c r="C183" s="2" t="s">
        <v>3969</v>
      </c>
      <c r="D183" s="3">
        <v>8.58</v>
      </c>
      <c r="E183" s="3">
        <v>65.03</v>
      </c>
      <c r="F183" s="3">
        <v>9.8000000000000007</v>
      </c>
      <c r="H183" s="3">
        <v>15</v>
      </c>
      <c r="I183" s="3">
        <v>4.4999999999999998E-2</v>
      </c>
      <c r="J183" s="3">
        <v>0.10299999999999999</v>
      </c>
      <c r="K183" s="3">
        <v>0.24399999999999999</v>
      </c>
    </row>
    <row r="184" spans="2:11" x14ac:dyDescent="0.25">
      <c r="B184" s="2" t="s">
        <v>3970</v>
      </c>
      <c r="C184" s="2" t="s">
        <v>3971</v>
      </c>
      <c r="D184" s="3">
        <v>2.2400000000000002</v>
      </c>
      <c r="E184" s="3">
        <v>6.79</v>
      </c>
      <c r="F184" s="3">
        <v>2.5</v>
      </c>
      <c r="G184" s="3">
        <v>2.38</v>
      </c>
      <c r="H184" s="3">
        <v>9</v>
      </c>
    </row>
    <row r="185" spans="2:11" x14ac:dyDescent="0.25">
      <c r="B185" s="2" t="s">
        <v>3972</v>
      </c>
      <c r="C185" s="2" t="s">
        <v>3973</v>
      </c>
      <c r="D185" s="3">
        <v>1.49</v>
      </c>
      <c r="E185" s="3">
        <v>6.86</v>
      </c>
      <c r="F185" s="3">
        <v>3.8</v>
      </c>
      <c r="G185" s="3">
        <v>1.1599999999999999</v>
      </c>
      <c r="H185" s="3">
        <v>9</v>
      </c>
    </row>
    <row r="186" spans="2:11" x14ac:dyDescent="0.25">
      <c r="B186" s="2" t="s">
        <v>3974</v>
      </c>
      <c r="C186" s="2" t="s">
        <v>3975</v>
      </c>
      <c r="D186" s="3">
        <v>3.12</v>
      </c>
      <c r="E186" s="3">
        <v>5.0999999999999996</v>
      </c>
      <c r="F186" s="3">
        <v>2.8</v>
      </c>
      <c r="G186" s="3">
        <v>0.6</v>
      </c>
      <c r="H186" s="3">
        <v>21</v>
      </c>
      <c r="I186" s="3">
        <v>6.5000000000000002E-2</v>
      </c>
      <c r="J186" s="3">
        <v>5.1999999999999998E-2</v>
      </c>
      <c r="K186" s="3">
        <v>0.433</v>
      </c>
    </row>
    <row r="187" spans="2:11" x14ac:dyDescent="0.25">
      <c r="B187" s="2" t="s">
        <v>3976</v>
      </c>
      <c r="C187" s="2" t="s">
        <v>3977</v>
      </c>
      <c r="D187" s="3">
        <v>1.7</v>
      </c>
      <c r="E187" s="3">
        <v>6.2</v>
      </c>
      <c r="F187" s="3">
        <v>3.6</v>
      </c>
      <c r="G187" s="3">
        <v>2.6</v>
      </c>
      <c r="H187" s="3">
        <v>20</v>
      </c>
      <c r="I187" s="3">
        <v>1.2999999999999999E-2</v>
      </c>
      <c r="J187" s="3">
        <v>7.0000000000000001E-3</v>
      </c>
      <c r="K187" s="3">
        <v>4.8000000000000001E-2</v>
      </c>
    </row>
    <row r="188" spans="2:11" x14ac:dyDescent="0.25">
      <c r="B188" s="2" t="s">
        <v>3978</v>
      </c>
      <c r="C188" s="2" t="s">
        <v>3979</v>
      </c>
      <c r="D188" s="3">
        <v>1.8</v>
      </c>
      <c r="E188" s="3">
        <v>6.69</v>
      </c>
      <c r="F188" s="3">
        <v>1.1000000000000001</v>
      </c>
      <c r="G188" s="3">
        <v>2.8</v>
      </c>
      <c r="H188" s="3">
        <v>21</v>
      </c>
      <c r="I188" s="3">
        <v>1.4E-2</v>
      </c>
      <c r="J188" s="3">
        <v>8.0000000000000002E-3</v>
      </c>
      <c r="K188" s="3">
        <v>5.2999999999999999E-2</v>
      </c>
    </row>
    <row r="189" spans="2:11" x14ac:dyDescent="0.25">
      <c r="B189" s="2" t="s">
        <v>3980</v>
      </c>
      <c r="C189" s="2" t="s">
        <v>3981</v>
      </c>
      <c r="D189" s="3">
        <v>3.28</v>
      </c>
      <c r="E189" s="3">
        <v>4.4400000000000004</v>
      </c>
      <c r="F189" s="3">
        <v>2.2000000000000002</v>
      </c>
      <c r="G189" s="3">
        <v>2.2599999999999998</v>
      </c>
      <c r="H189" s="3">
        <v>11</v>
      </c>
      <c r="I189" s="3">
        <v>6.4000000000000001E-2</v>
      </c>
      <c r="J189" s="3">
        <v>8.9999999999999993E-3</v>
      </c>
      <c r="K189" s="3">
        <v>0.23200000000000001</v>
      </c>
    </row>
    <row r="190" spans="2:11" x14ac:dyDescent="0.25">
      <c r="B190" s="2" t="s">
        <v>3982</v>
      </c>
      <c r="C190" s="2" t="s">
        <v>3983</v>
      </c>
      <c r="D190" s="3">
        <v>4.2</v>
      </c>
      <c r="E190" s="3">
        <v>7.3</v>
      </c>
      <c r="F190" s="3">
        <v>4</v>
      </c>
      <c r="H190" s="3">
        <v>43</v>
      </c>
      <c r="I190" s="3">
        <v>5.8999999999999997E-2</v>
      </c>
      <c r="J190" s="3">
        <v>0.15</v>
      </c>
      <c r="K190" s="3">
        <v>0.35099999999999998</v>
      </c>
    </row>
    <row r="191" spans="2:11" x14ac:dyDescent="0.25">
      <c r="B191" s="2" t="s">
        <v>3984</v>
      </c>
      <c r="C191" s="2" t="s">
        <v>3985</v>
      </c>
      <c r="D191" s="3">
        <v>3.2</v>
      </c>
      <c r="E191" s="3">
        <v>5</v>
      </c>
      <c r="F191" s="3">
        <v>2.1</v>
      </c>
      <c r="G191" s="3">
        <v>0.62</v>
      </c>
      <c r="H191" s="3">
        <v>29</v>
      </c>
      <c r="I191" s="3">
        <v>5.1999999999999998E-2</v>
      </c>
      <c r="J191" s="3">
        <v>0.13100000000000001</v>
      </c>
      <c r="K191" s="3">
        <v>0.307</v>
      </c>
    </row>
    <row r="192" spans="2:11" x14ac:dyDescent="0.25">
      <c r="B192" s="2" t="s">
        <v>3986</v>
      </c>
      <c r="C192" s="2" t="s">
        <v>3987</v>
      </c>
      <c r="D192" s="3">
        <v>1.5</v>
      </c>
      <c r="E192" s="3">
        <v>14.15</v>
      </c>
      <c r="F192" s="3">
        <v>1.8</v>
      </c>
      <c r="G192" s="3">
        <v>3.9</v>
      </c>
      <c r="H192" s="3">
        <v>20</v>
      </c>
      <c r="I192" s="3">
        <v>0.04</v>
      </c>
      <c r="J192" s="3">
        <v>4.0000000000000001E-3</v>
      </c>
      <c r="K192" s="3">
        <v>0.16600000000000001</v>
      </c>
    </row>
    <row r="193" spans="2:11" x14ac:dyDescent="0.25">
      <c r="B193" s="2" t="s">
        <v>3988</v>
      </c>
      <c r="C193" s="2" t="s">
        <v>3989</v>
      </c>
      <c r="D193" s="3">
        <v>0.81</v>
      </c>
      <c r="E193" s="3">
        <v>7.62</v>
      </c>
      <c r="F193" s="3">
        <v>1</v>
      </c>
      <c r="G193" s="3">
        <v>2.11</v>
      </c>
      <c r="H193" s="3">
        <v>10</v>
      </c>
      <c r="I193" s="3">
        <v>2.7E-2</v>
      </c>
      <c r="J193" s="3">
        <v>3.0000000000000001E-3</v>
      </c>
      <c r="K193" s="3">
        <v>0.111</v>
      </c>
    </row>
    <row r="194" spans="2:11" x14ac:dyDescent="0.25">
      <c r="B194" s="2" t="s">
        <v>3990</v>
      </c>
      <c r="C194" s="2" t="s">
        <v>3991</v>
      </c>
      <c r="D194" s="3">
        <v>8.9600000000000009</v>
      </c>
      <c r="E194" s="3">
        <v>22.14</v>
      </c>
      <c r="H194" s="3">
        <v>11</v>
      </c>
      <c r="I194" s="3">
        <v>5.7000000000000002E-2</v>
      </c>
      <c r="J194" s="3">
        <v>0.104</v>
      </c>
      <c r="K194" s="3">
        <v>0.219</v>
      </c>
    </row>
    <row r="195" spans="2:11" x14ac:dyDescent="0.25">
      <c r="B195" s="2" t="s">
        <v>3992</v>
      </c>
      <c r="C195" s="2" t="s">
        <v>3993</v>
      </c>
      <c r="D195" s="3">
        <v>8.8000000000000007</v>
      </c>
      <c r="E195" s="3">
        <v>21.25</v>
      </c>
      <c r="H195" s="3">
        <v>10</v>
      </c>
      <c r="I195" s="3">
        <v>5.2999999999999999E-2</v>
      </c>
      <c r="J195" s="3">
        <v>9.5000000000000001E-2</v>
      </c>
      <c r="K195" s="3">
        <v>0.20100000000000001</v>
      </c>
    </row>
    <row r="196" spans="2:11" x14ac:dyDescent="0.25">
      <c r="B196" s="2" t="s">
        <v>3994</v>
      </c>
      <c r="C196" s="2" t="s">
        <v>3995</v>
      </c>
      <c r="D196" s="3">
        <v>1.35</v>
      </c>
      <c r="E196" s="3">
        <v>2.23</v>
      </c>
      <c r="F196" s="3">
        <v>1.1000000000000001</v>
      </c>
      <c r="G196" s="3">
        <v>0.94</v>
      </c>
      <c r="H196" s="3">
        <v>5</v>
      </c>
      <c r="I196" s="3">
        <v>2.9000000000000001E-2</v>
      </c>
      <c r="J196" s="3">
        <v>8.0000000000000002E-3</v>
      </c>
      <c r="K196" s="3">
        <v>0.11700000000000001</v>
      </c>
    </row>
    <row r="197" spans="2:11" x14ac:dyDescent="0.25">
      <c r="B197" s="2" t="s">
        <v>3996</v>
      </c>
      <c r="C197" s="2" t="s">
        <v>3997</v>
      </c>
      <c r="D197" s="3">
        <v>1.23</v>
      </c>
      <c r="E197" s="3">
        <v>3.29</v>
      </c>
      <c r="F197" s="3">
        <v>2.1</v>
      </c>
      <c r="G197" s="3">
        <v>1.19</v>
      </c>
      <c r="H197" s="3">
        <v>8</v>
      </c>
      <c r="I197" s="3">
        <v>3.9E-2</v>
      </c>
      <c r="J197" s="3">
        <v>1.2E-2</v>
      </c>
      <c r="K197" s="3">
        <v>0.16</v>
      </c>
    </row>
    <row r="198" spans="2:11" x14ac:dyDescent="0.25">
      <c r="B198" s="2" t="s">
        <v>3998</v>
      </c>
      <c r="C198" s="2" t="s">
        <v>3999</v>
      </c>
      <c r="D198" s="3">
        <v>0.9</v>
      </c>
      <c r="E198" s="3">
        <v>2.97</v>
      </c>
      <c r="F198" s="3">
        <v>1.2</v>
      </c>
      <c r="G198" s="3">
        <v>1.97</v>
      </c>
      <c r="H198" s="3">
        <v>10</v>
      </c>
      <c r="I198" s="3">
        <v>1.7999999999999999E-2</v>
      </c>
      <c r="J198" s="3">
        <v>6.0000000000000001E-3</v>
      </c>
      <c r="K198" s="3">
        <v>7.3999999999999996E-2</v>
      </c>
    </row>
    <row r="199" spans="2:11" x14ac:dyDescent="0.25">
      <c r="B199" s="2" t="s">
        <v>4000</v>
      </c>
      <c r="C199" s="2" t="s">
        <v>4001</v>
      </c>
      <c r="D199" s="3">
        <v>1.36</v>
      </c>
      <c r="E199" s="3">
        <v>2.87</v>
      </c>
      <c r="F199" s="3">
        <v>1.3</v>
      </c>
      <c r="G199" s="3">
        <v>0.78</v>
      </c>
      <c r="H199" s="3">
        <v>28</v>
      </c>
      <c r="I199" s="3">
        <v>0.02</v>
      </c>
      <c r="J199" s="3">
        <v>6.0000000000000001E-3</v>
      </c>
      <c r="K199" s="3">
        <v>8.2000000000000003E-2</v>
      </c>
    </row>
    <row r="200" spans="2:11" x14ac:dyDescent="0.25">
      <c r="B200" s="2" t="s">
        <v>4002</v>
      </c>
      <c r="C200" s="2" t="s">
        <v>4003</v>
      </c>
      <c r="D200" s="3">
        <v>2.6</v>
      </c>
      <c r="E200" s="3">
        <v>17.23</v>
      </c>
      <c r="F200" s="3">
        <v>4.9000000000000004</v>
      </c>
      <c r="H200" s="3">
        <v>40</v>
      </c>
      <c r="I200" s="3">
        <v>0.03</v>
      </c>
      <c r="J200" s="3">
        <v>0.02</v>
      </c>
      <c r="K200" s="3">
        <v>0.02</v>
      </c>
    </row>
    <row r="201" spans="2:11" x14ac:dyDescent="0.25">
      <c r="B201" s="2" t="s">
        <v>4004</v>
      </c>
      <c r="C201" s="2" t="s">
        <v>4005</v>
      </c>
      <c r="D201" s="3">
        <v>1.58</v>
      </c>
      <c r="E201" s="3">
        <v>16.02</v>
      </c>
      <c r="F201" s="3">
        <v>3.1</v>
      </c>
      <c r="G201" s="3">
        <v>0.5</v>
      </c>
      <c r="H201" s="3">
        <v>45</v>
      </c>
      <c r="I201" s="3">
        <v>2.1000000000000001E-2</v>
      </c>
      <c r="J201" s="3">
        <v>1.4E-2</v>
      </c>
      <c r="K201" s="3">
        <v>1.4E-2</v>
      </c>
    </row>
    <row r="202" spans="2:11" x14ac:dyDescent="0.25">
      <c r="B202" s="2" t="s">
        <v>4006</v>
      </c>
      <c r="C202" s="2" t="s">
        <v>4007</v>
      </c>
      <c r="D202" s="3">
        <v>1.33</v>
      </c>
      <c r="E202" s="3">
        <v>2.2599999999999998</v>
      </c>
      <c r="F202" s="3">
        <v>0.9</v>
      </c>
      <c r="G202" s="3">
        <v>0.48</v>
      </c>
      <c r="H202" s="3">
        <v>25</v>
      </c>
      <c r="I202" s="3">
        <v>1.7000000000000001E-2</v>
      </c>
      <c r="J202" s="3">
        <v>5.0000000000000001E-3</v>
      </c>
      <c r="K202" s="3">
        <v>7.1999999999999995E-2</v>
      </c>
    </row>
    <row r="203" spans="2:11" x14ac:dyDescent="0.25">
      <c r="B203" s="2" t="s">
        <v>4008</v>
      </c>
      <c r="C203" s="2" t="s">
        <v>4009</v>
      </c>
      <c r="D203" s="3">
        <v>1.34</v>
      </c>
      <c r="E203" s="3">
        <v>16.3</v>
      </c>
      <c r="F203" s="3">
        <v>2.5</v>
      </c>
      <c r="G203" s="3">
        <v>0.31</v>
      </c>
      <c r="H203" s="3">
        <v>13</v>
      </c>
      <c r="I203" s="3">
        <v>2.1999999999999999E-2</v>
      </c>
      <c r="J203" s="3">
        <v>4.0000000000000001E-3</v>
      </c>
      <c r="K203" s="3">
        <v>4.4999999999999998E-2</v>
      </c>
    </row>
    <row r="204" spans="2:11" x14ac:dyDescent="0.25">
      <c r="B204" s="2" t="s">
        <v>4010</v>
      </c>
      <c r="C204" s="2" t="s">
        <v>4011</v>
      </c>
      <c r="D204" s="3">
        <v>1.73</v>
      </c>
      <c r="E204" s="3">
        <v>20</v>
      </c>
      <c r="H204" s="3">
        <v>12</v>
      </c>
      <c r="I204" s="3">
        <v>1.7999999999999999E-2</v>
      </c>
      <c r="J204" s="3">
        <v>3.0000000000000001E-3</v>
      </c>
      <c r="K204" s="3">
        <v>3.5999999999999997E-2</v>
      </c>
    </row>
    <row r="205" spans="2:11" x14ac:dyDescent="0.25">
      <c r="B205" s="2" t="s">
        <v>4012</v>
      </c>
      <c r="C205" s="2" t="s">
        <v>4013</v>
      </c>
      <c r="D205" s="3">
        <v>3.09</v>
      </c>
      <c r="E205" s="3">
        <v>3.26</v>
      </c>
      <c r="F205" s="3">
        <v>1</v>
      </c>
      <c r="G205" s="3">
        <v>1.98</v>
      </c>
      <c r="H205" s="3">
        <v>5</v>
      </c>
      <c r="I205" s="3">
        <v>0.05</v>
      </c>
      <c r="J205" s="3">
        <v>0</v>
      </c>
      <c r="K205" s="3">
        <v>0.16</v>
      </c>
    </row>
    <row r="206" spans="2:11" x14ac:dyDescent="0.25">
      <c r="B206" s="2" t="s">
        <v>4014</v>
      </c>
      <c r="C206" s="2" t="s">
        <v>4015</v>
      </c>
      <c r="D206" s="3">
        <v>2.17</v>
      </c>
      <c r="E206" s="3">
        <v>5.29</v>
      </c>
      <c r="F206" s="3">
        <v>2.2000000000000002</v>
      </c>
      <c r="G206" s="3">
        <v>2.34</v>
      </c>
      <c r="H206" s="3">
        <v>2</v>
      </c>
      <c r="I206" s="3">
        <v>6.0999999999999999E-2</v>
      </c>
      <c r="J206" s="3">
        <v>8.0000000000000002E-3</v>
      </c>
      <c r="K206" s="3">
        <v>0.183</v>
      </c>
    </row>
    <row r="207" spans="2:11" x14ac:dyDescent="0.25">
      <c r="B207" s="2" t="s">
        <v>4016</v>
      </c>
      <c r="C207" s="2" t="s">
        <v>4017</v>
      </c>
      <c r="D207" s="3">
        <v>3.58</v>
      </c>
      <c r="E207" s="3">
        <v>4.04</v>
      </c>
      <c r="F207" s="3">
        <v>1.8</v>
      </c>
      <c r="G207" s="3">
        <v>0</v>
      </c>
      <c r="H207" s="3">
        <v>12</v>
      </c>
      <c r="I207" s="3">
        <v>0.04</v>
      </c>
      <c r="J207" s="3">
        <v>0</v>
      </c>
      <c r="K207" s="3">
        <v>0.16</v>
      </c>
    </row>
    <row r="208" spans="2:11" x14ac:dyDescent="0.25">
      <c r="B208" s="2" t="s">
        <v>4018</v>
      </c>
      <c r="C208" s="2" t="s">
        <v>4019</v>
      </c>
      <c r="D208" s="3">
        <v>1.87</v>
      </c>
      <c r="E208" s="3">
        <v>5.09</v>
      </c>
      <c r="F208" s="3">
        <v>2.4</v>
      </c>
      <c r="G208" s="3">
        <v>2.34</v>
      </c>
      <c r="H208" s="3">
        <v>425</v>
      </c>
      <c r="I208" s="3">
        <v>3.7999999999999999E-2</v>
      </c>
      <c r="J208" s="3">
        <v>5.0000000000000001E-3</v>
      </c>
      <c r="K208" s="3">
        <v>0.113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H219" s="3"/>
    </row>
    <row r="220" spans="2:11" x14ac:dyDescent="0.25">
      <c r="B220" s="2"/>
      <c r="C220" s="2"/>
      <c r="D220" s="3"/>
      <c r="E220" s="3"/>
      <c r="F220" s="3"/>
      <c r="G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</row>
    <row r="239" spans="2:11" x14ac:dyDescent="0.25">
      <c r="B239" s="2"/>
      <c r="C239" s="2"/>
      <c r="D239" s="3"/>
      <c r="E239" s="3"/>
      <c r="F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G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G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F242" s="3"/>
      <c r="G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G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G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G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G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G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G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G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F254" s="3"/>
      <c r="G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H259" s="3"/>
      <c r="I259" s="3"/>
      <c r="J259" s="3"/>
      <c r="K259" s="3"/>
    </row>
    <row r="260" spans="2:11" x14ac:dyDescent="0.25">
      <c r="B260" s="2"/>
      <c r="C260" s="2"/>
      <c r="D260" s="3"/>
      <c r="E260" s="3"/>
      <c r="F260" s="3"/>
      <c r="G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F263" s="3"/>
      <c r="G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G264" s="3"/>
      <c r="H264" s="3"/>
      <c r="I264" s="3"/>
      <c r="J264" s="3"/>
      <c r="K264" s="3"/>
    </row>
    <row r="265" spans="2:11" x14ac:dyDescent="0.25">
      <c r="B265" s="2"/>
      <c r="C265" s="2"/>
      <c r="D265" s="3"/>
      <c r="E265" s="3"/>
      <c r="F265" s="3"/>
      <c r="G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G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F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F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G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F271" s="3"/>
      <c r="G271" s="3"/>
      <c r="H271" s="3"/>
      <c r="I271" s="3"/>
      <c r="J271" s="3"/>
      <c r="K271" s="3"/>
    </row>
    <row r="272" spans="2:11" x14ac:dyDescent="0.25">
      <c r="B272" s="2"/>
      <c r="C272" s="2"/>
      <c r="D272" s="3"/>
      <c r="E272" s="3"/>
      <c r="F272" s="3"/>
      <c r="G272" s="3"/>
      <c r="H272" s="3"/>
      <c r="I272" s="3"/>
      <c r="J272" s="3"/>
      <c r="K272" s="3"/>
    </row>
    <row r="273" spans="2:11" x14ac:dyDescent="0.25">
      <c r="B273" s="2"/>
      <c r="C273" s="2"/>
      <c r="D273" s="3"/>
      <c r="E273" s="3"/>
      <c r="F273" s="3"/>
      <c r="G273" s="3"/>
      <c r="H273" s="3"/>
      <c r="I273" s="3"/>
      <c r="J273" s="3"/>
      <c r="K273" s="3"/>
    </row>
    <row r="274" spans="2:11" x14ac:dyDescent="0.25">
      <c r="B274" s="2"/>
      <c r="C274" s="2"/>
      <c r="D274" s="3"/>
      <c r="E274" s="3"/>
      <c r="F274" s="3"/>
      <c r="H274" s="3"/>
    </row>
    <row r="275" spans="2:11" x14ac:dyDescent="0.25">
      <c r="B275" s="2"/>
      <c r="C275" s="2"/>
      <c r="D275" s="3"/>
      <c r="E275" s="3"/>
      <c r="F275" s="3"/>
      <c r="G275" s="3"/>
      <c r="H275" s="3"/>
      <c r="I275" s="3"/>
      <c r="J275" s="3"/>
      <c r="K275" s="3"/>
    </row>
    <row r="276" spans="2:11" x14ac:dyDescent="0.25">
      <c r="B276" s="2"/>
      <c r="C276" s="2"/>
      <c r="D276" s="3"/>
      <c r="E276" s="3"/>
      <c r="F276" s="3"/>
      <c r="G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F277" s="3"/>
      <c r="G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F278" s="3"/>
      <c r="G278" s="3"/>
      <c r="H278" s="3"/>
      <c r="I278" s="3"/>
      <c r="J278" s="3"/>
      <c r="K278" s="3"/>
    </row>
    <row r="279" spans="2:11" x14ac:dyDescent="0.25">
      <c r="B279" s="2"/>
      <c r="C279" s="2"/>
      <c r="D279" s="3"/>
      <c r="E279" s="3"/>
      <c r="F279" s="3"/>
      <c r="G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F280" s="3"/>
      <c r="G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F281" s="3"/>
      <c r="G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F282" s="3"/>
      <c r="G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F283" s="3"/>
      <c r="G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F284" s="3"/>
      <c r="G284" s="3"/>
      <c r="H284" s="3"/>
      <c r="I284" s="3"/>
      <c r="J284" s="3"/>
      <c r="K284" s="3"/>
    </row>
    <row r="285" spans="2:11" x14ac:dyDescent="0.25">
      <c r="B285" s="2"/>
      <c r="C285" s="2"/>
      <c r="D285" s="3"/>
      <c r="E285" s="3"/>
      <c r="F285" s="3"/>
      <c r="G285" s="3"/>
      <c r="H285" s="3"/>
      <c r="I285" s="3"/>
    </row>
    <row r="286" spans="2:11" x14ac:dyDescent="0.25">
      <c r="B286" s="2"/>
      <c r="C286" s="2"/>
      <c r="D286" s="3"/>
      <c r="E286" s="3"/>
      <c r="F286" s="3"/>
      <c r="H286" s="3"/>
      <c r="I286" s="3"/>
      <c r="J286" s="3"/>
      <c r="K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F288" s="3"/>
      <c r="G288" s="3"/>
      <c r="H288" s="3"/>
      <c r="I288" s="3"/>
      <c r="J288" s="3"/>
      <c r="K288" s="3"/>
    </row>
    <row r="289" spans="2:11" x14ac:dyDescent="0.25">
      <c r="B289" s="2"/>
      <c r="C289" s="2"/>
      <c r="D289" s="3"/>
      <c r="E289" s="3"/>
      <c r="F289" s="3"/>
      <c r="G289" s="3"/>
      <c r="H289" s="3"/>
      <c r="I289" s="3"/>
      <c r="J289" s="3"/>
      <c r="K289" s="3"/>
    </row>
    <row r="290" spans="2:11" x14ac:dyDescent="0.25">
      <c r="B290" s="2"/>
      <c r="C290" s="2"/>
      <c r="D290" s="3"/>
      <c r="E290" s="3"/>
      <c r="F290" s="3"/>
      <c r="H290" s="3"/>
      <c r="I290" s="3"/>
      <c r="J290" s="3"/>
      <c r="K290" s="3"/>
    </row>
    <row r="291" spans="2:11" x14ac:dyDescent="0.25">
      <c r="B291" s="2"/>
      <c r="C291" s="2"/>
      <c r="D291" s="3"/>
      <c r="E291" s="3"/>
      <c r="F291" s="3"/>
      <c r="G291" s="3"/>
      <c r="H291" s="3"/>
      <c r="I291" s="3"/>
      <c r="J291" s="3"/>
      <c r="K291" s="3"/>
    </row>
    <row r="292" spans="2:11" x14ac:dyDescent="0.25">
      <c r="B292" s="2"/>
      <c r="C292" s="2"/>
      <c r="D292" s="3"/>
      <c r="E292" s="3"/>
      <c r="F292" s="3"/>
      <c r="H292" s="3"/>
      <c r="I292" s="3"/>
      <c r="J292" s="3"/>
      <c r="K292" s="3"/>
    </row>
    <row r="293" spans="2:11" x14ac:dyDescent="0.25">
      <c r="B293" s="2"/>
      <c r="C293" s="2"/>
      <c r="D293" s="3"/>
      <c r="E293" s="3"/>
      <c r="F293" s="3"/>
      <c r="H293" s="3"/>
      <c r="I293" s="3"/>
      <c r="J293" s="3"/>
      <c r="K293" s="3"/>
    </row>
    <row r="294" spans="2:11" x14ac:dyDescent="0.25">
      <c r="B294" s="2"/>
      <c r="C294" s="2"/>
      <c r="D294" s="3"/>
      <c r="E294" s="3"/>
      <c r="F294" s="3"/>
      <c r="G294" s="3"/>
      <c r="H294" s="3"/>
      <c r="I294" s="3"/>
      <c r="J294" s="3"/>
      <c r="K294" s="3"/>
    </row>
    <row r="295" spans="2:11" x14ac:dyDescent="0.25">
      <c r="B295" s="2"/>
      <c r="C295" s="2"/>
      <c r="D295" s="3"/>
      <c r="E295" s="3"/>
      <c r="F295" s="3"/>
      <c r="G295" s="3"/>
      <c r="H295" s="3"/>
      <c r="I295" s="3"/>
      <c r="J295" s="3"/>
      <c r="K295" s="3"/>
    </row>
    <row r="296" spans="2:11" x14ac:dyDescent="0.25">
      <c r="B296" s="2"/>
      <c r="C296" s="2"/>
      <c r="D296" s="3"/>
      <c r="E296" s="3"/>
      <c r="F296" s="3"/>
      <c r="H296" s="3"/>
      <c r="I296" s="3"/>
      <c r="J296" s="3"/>
      <c r="K296" s="3"/>
    </row>
    <row r="297" spans="2:11" x14ac:dyDescent="0.25">
      <c r="B297" s="2"/>
      <c r="C297" s="2"/>
      <c r="D297" s="3"/>
      <c r="E297" s="3"/>
      <c r="F297" s="3"/>
      <c r="H297" s="3"/>
      <c r="I297" s="3"/>
      <c r="J297" s="3"/>
      <c r="K297" s="3"/>
    </row>
    <row r="298" spans="2:11" x14ac:dyDescent="0.25">
      <c r="B298" s="2"/>
      <c r="C298" s="2"/>
      <c r="D298" s="3"/>
      <c r="E298" s="3"/>
      <c r="F298" s="3"/>
      <c r="H298" s="3"/>
      <c r="I298" s="3"/>
      <c r="J298" s="3"/>
      <c r="K298" s="3"/>
    </row>
    <row r="299" spans="2:11" x14ac:dyDescent="0.25">
      <c r="B299" s="2"/>
      <c r="C299" s="2"/>
      <c r="D299" s="3"/>
      <c r="E299" s="3"/>
      <c r="F299" s="3"/>
      <c r="H299" s="3"/>
      <c r="I299" s="3"/>
      <c r="J299" s="3"/>
      <c r="K299" s="3"/>
    </row>
    <row r="300" spans="2:11" x14ac:dyDescent="0.25">
      <c r="B300" s="2"/>
      <c r="C300" s="2"/>
      <c r="D300" s="3"/>
      <c r="E300" s="3"/>
      <c r="F300" s="3"/>
      <c r="G300" s="3"/>
      <c r="H300" s="3"/>
      <c r="I300" s="3"/>
      <c r="J300" s="3"/>
      <c r="K300" s="3"/>
    </row>
    <row r="301" spans="2:11" x14ac:dyDescent="0.25">
      <c r="B301" s="2"/>
      <c r="C301" s="2"/>
      <c r="D301" s="3"/>
      <c r="E301" s="3"/>
      <c r="F301" s="3"/>
      <c r="G301" s="3"/>
      <c r="H301" s="3"/>
      <c r="I301" s="3"/>
      <c r="J301" s="3"/>
      <c r="K301" s="3"/>
    </row>
    <row r="302" spans="2:11" x14ac:dyDescent="0.25">
      <c r="B302" s="2"/>
      <c r="C302" s="2"/>
      <c r="D302" s="3"/>
      <c r="E302" s="3"/>
      <c r="F302" s="3"/>
      <c r="G302" s="3"/>
      <c r="H302" s="3"/>
      <c r="I302" s="3"/>
      <c r="J302" s="3"/>
      <c r="K302" s="3"/>
    </row>
    <row r="303" spans="2:11" x14ac:dyDescent="0.25">
      <c r="B303" s="2"/>
      <c r="C303" s="2"/>
      <c r="D303" s="3"/>
      <c r="E303" s="3"/>
      <c r="F303" s="3"/>
      <c r="H303" s="3"/>
      <c r="I303" s="3"/>
      <c r="J303" s="3"/>
      <c r="K303" s="3"/>
    </row>
    <row r="304" spans="2:11" x14ac:dyDescent="0.25">
      <c r="B304" s="2"/>
      <c r="C304" s="2"/>
      <c r="D304" s="3"/>
      <c r="E304" s="3"/>
      <c r="F304" s="3"/>
      <c r="G304" s="3"/>
      <c r="H304" s="3"/>
      <c r="I304" s="3"/>
      <c r="J304" s="3"/>
      <c r="K304" s="3"/>
    </row>
    <row r="305" spans="2:11" x14ac:dyDescent="0.25">
      <c r="B305" s="2"/>
      <c r="C305" s="2"/>
      <c r="D305" s="3"/>
      <c r="E305" s="3"/>
      <c r="F305" s="3"/>
      <c r="G305" s="3"/>
      <c r="H305" s="3"/>
      <c r="I305" s="3"/>
      <c r="J305" s="3"/>
      <c r="K305" s="3"/>
    </row>
    <row r="306" spans="2:11" x14ac:dyDescent="0.25">
      <c r="B306" s="2"/>
      <c r="C306" s="2"/>
      <c r="D306" s="3"/>
      <c r="E306" s="3"/>
      <c r="F306" s="3"/>
      <c r="H306" s="3"/>
      <c r="I306" s="3"/>
      <c r="J306" s="3"/>
      <c r="K306" s="3"/>
    </row>
    <row r="307" spans="2:11" x14ac:dyDescent="0.25">
      <c r="B307" s="2"/>
      <c r="C307" s="2"/>
      <c r="D307" s="3"/>
      <c r="E307" s="3"/>
      <c r="F307" s="3"/>
      <c r="H307" s="3"/>
      <c r="I307" s="3"/>
      <c r="J307" s="3"/>
      <c r="K307" s="3"/>
    </row>
    <row r="308" spans="2:11" x14ac:dyDescent="0.25">
      <c r="B308" s="2"/>
      <c r="C308" s="2"/>
      <c r="D308" s="3"/>
      <c r="E308" s="3"/>
      <c r="F308" s="3"/>
      <c r="H308" s="3"/>
      <c r="I308" s="3"/>
      <c r="J308" s="3"/>
      <c r="K308" s="3"/>
    </row>
    <row r="309" spans="2:11" x14ac:dyDescent="0.25">
      <c r="B309" s="2"/>
      <c r="C309" s="2"/>
      <c r="D309" s="3"/>
      <c r="E309" s="3"/>
      <c r="F309" s="3"/>
      <c r="H309" s="3"/>
      <c r="I309" s="3"/>
      <c r="J309" s="3"/>
      <c r="K309" s="3"/>
    </row>
    <row r="310" spans="2:11" x14ac:dyDescent="0.25">
      <c r="B310" s="2"/>
      <c r="C310" s="2"/>
      <c r="D310" s="3"/>
      <c r="E310" s="3"/>
      <c r="F310" s="3"/>
      <c r="H310" s="3"/>
      <c r="I310" s="3"/>
      <c r="J310" s="3"/>
      <c r="K310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55CE-CEA7-954B-8205-542D015481B3}">
  <sheetPr codeName="Sheet14"/>
  <dimension ref="A1:K147"/>
  <sheetViews>
    <sheetView workbookViewId="0">
      <selection sqref="A1:XFD10"/>
    </sheetView>
  </sheetViews>
  <sheetFormatPr defaultColWidth="11" defaultRowHeight="15.75" x14ac:dyDescent="0.25"/>
  <cols>
    <col min="3" max="3" width="56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12001</v>
      </c>
      <c r="C3" s="10" t="str" cm="1">
        <f t="array" ref="C3">INDEX($B$11:$K$208, $A$3, C1)</f>
        <v>BREADFRUIT SEEDS,RAW</v>
      </c>
      <c r="D3" s="10" cm="1">
        <f t="array" ref="D3">INDEX($B$11:$K$74, $A$3, D1)</f>
        <v>7.4</v>
      </c>
      <c r="E3" s="10" cm="1">
        <f t="array" ref="E3">INDEX($B$11:$K$74, $A$3, E1)</f>
        <v>29.24</v>
      </c>
      <c r="F3" s="10" cm="1">
        <f t="array" ref="F3">INDEX($B$11:$K$74, $A$3, F1)</f>
        <v>5.2</v>
      </c>
      <c r="G3" s="10" cm="1">
        <f t="array" ref="G3">INDEX($B$11:$K$74, $A$3, G1)</f>
        <v>0</v>
      </c>
      <c r="H3" s="10" cm="1">
        <f t="array" ref="H3">INDEX($B$11:$K$74, $A$3, H1)</f>
        <v>25</v>
      </c>
      <c r="I3" s="10" cm="1">
        <f t="array" ref="I3">INDEX($B$11:$K$74, $A$3, I1)</f>
        <v>1.5089999999999999</v>
      </c>
      <c r="J3" s="10" cm="1">
        <f t="array" ref="J3">INDEX($B$11:$K$74, $A$3, J1)</f>
        <v>0.71199999999999997</v>
      </c>
      <c r="K3" s="10" cm="1">
        <f t="array" ref="K3">INDEX($B$11:$K$74, $A$3, K1)</f>
        <v>2.9769999999999999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58.48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1.4239999999999999</v>
      </c>
      <c r="K6" s="10">
        <f>A7*K3</f>
        <v>5.9539999999999997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4020</v>
      </c>
      <c r="C11" s="2" t="s">
        <v>4021</v>
      </c>
      <c r="D11" s="3">
        <v>7.4</v>
      </c>
      <c r="E11" s="3">
        <v>29.24</v>
      </c>
      <c r="F11" s="3">
        <v>5.2</v>
      </c>
      <c r="H11" s="3">
        <v>25</v>
      </c>
      <c r="I11" s="3">
        <v>1.5089999999999999</v>
      </c>
      <c r="J11" s="3">
        <v>0.71199999999999997</v>
      </c>
      <c r="K11" s="3">
        <v>2.9769999999999999</v>
      </c>
    </row>
    <row r="12" spans="1:11" x14ac:dyDescent="0.25">
      <c r="B12" s="2" t="s">
        <v>4022</v>
      </c>
      <c r="C12" s="2" t="s">
        <v>4023</v>
      </c>
      <c r="D12" s="3">
        <v>5.3</v>
      </c>
      <c r="E12" s="3">
        <v>32</v>
      </c>
      <c r="F12" s="3">
        <v>4.8</v>
      </c>
      <c r="H12" s="3">
        <v>23</v>
      </c>
      <c r="I12" s="3">
        <v>0.621</v>
      </c>
      <c r="J12" s="3">
        <v>0.29299999999999998</v>
      </c>
      <c r="K12" s="3">
        <v>1.2250000000000001</v>
      </c>
    </row>
    <row r="13" spans="1:11" x14ac:dyDescent="0.25">
      <c r="B13" s="2" t="s">
        <v>4024</v>
      </c>
      <c r="C13" s="2" t="s">
        <v>4025</v>
      </c>
      <c r="D13" s="3">
        <v>5.97</v>
      </c>
      <c r="E13" s="3">
        <v>46.28</v>
      </c>
      <c r="H13" s="3">
        <v>31</v>
      </c>
      <c r="I13" s="3">
        <v>0.26700000000000002</v>
      </c>
      <c r="J13" s="3">
        <v>0.126</v>
      </c>
      <c r="K13" s="3">
        <v>0.52700000000000002</v>
      </c>
    </row>
    <row r="14" spans="1:11" x14ac:dyDescent="0.25">
      <c r="B14" s="2" t="s">
        <v>4026</v>
      </c>
      <c r="C14" s="2" t="s">
        <v>4027</v>
      </c>
      <c r="D14" s="3">
        <v>8.6199999999999992</v>
      </c>
      <c r="E14" s="3">
        <v>79.39</v>
      </c>
      <c r="F14" s="3">
        <v>14.9</v>
      </c>
      <c r="H14" s="3">
        <v>53</v>
      </c>
      <c r="I14" s="3">
        <v>0.45400000000000001</v>
      </c>
      <c r="J14" s="3">
        <v>0.214</v>
      </c>
      <c r="K14" s="3">
        <v>0.89600000000000002</v>
      </c>
    </row>
    <row r="15" spans="1:11" x14ac:dyDescent="0.25">
      <c r="B15" s="2" t="s">
        <v>4028</v>
      </c>
      <c r="C15" s="2" t="s">
        <v>4029</v>
      </c>
      <c r="D15" s="3">
        <v>16.54</v>
      </c>
      <c r="E15" s="3">
        <v>42.12</v>
      </c>
      <c r="F15" s="3">
        <v>34.4</v>
      </c>
      <c r="H15" s="3">
        <v>16</v>
      </c>
      <c r="I15" s="3">
        <v>3.33</v>
      </c>
      <c r="J15" s="3">
        <v>2.3090000000000002</v>
      </c>
      <c r="K15" s="3">
        <v>23.664999999999999</v>
      </c>
    </row>
    <row r="16" spans="1:11" x14ac:dyDescent="0.25">
      <c r="B16" s="2" t="s">
        <v>4030</v>
      </c>
      <c r="C16" s="2" t="s">
        <v>4031</v>
      </c>
      <c r="D16" s="3">
        <v>40.96</v>
      </c>
      <c r="E16" s="3">
        <v>40.54</v>
      </c>
      <c r="F16" s="3">
        <v>3</v>
      </c>
      <c r="H16" s="3">
        <v>35</v>
      </c>
      <c r="I16" s="3">
        <v>1.5880000000000001</v>
      </c>
      <c r="J16" s="3">
        <v>1.133</v>
      </c>
      <c r="K16" s="3">
        <v>2.9580000000000002</v>
      </c>
    </row>
    <row r="17" spans="2:11" x14ac:dyDescent="0.25">
      <c r="B17" s="2" t="s">
        <v>4032</v>
      </c>
      <c r="C17" s="2" t="s">
        <v>4033</v>
      </c>
      <c r="D17" s="3">
        <v>49.83</v>
      </c>
      <c r="E17" s="3">
        <v>36.1</v>
      </c>
      <c r="H17" s="3">
        <v>35</v>
      </c>
      <c r="I17" s="3">
        <v>0.31</v>
      </c>
      <c r="J17" s="3">
        <v>0.221</v>
      </c>
      <c r="K17" s="3">
        <v>0.57699999999999996</v>
      </c>
    </row>
    <row r="18" spans="2:11" x14ac:dyDescent="0.25">
      <c r="B18" s="2" t="s">
        <v>4034</v>
      </c>
      <c r="C18" s="2" t="s">
        <v>4035</v>
      </c>
      <c r="D18" s="3">
        <v>49.1</v>
      </c>
      <c r="E18" s="3">
        <v>38.43</v>
      </c>
      <c r="H18" s="3">
        <v>37</v>
      </c>
      <c r="I18" s="3">
        <v>1.2070000000000001</v>
      </c>
      <c r="J18" s="3">
        <v>0.86099999999999999</v>
      </c>
      <c r="K18" s="3">
        <v>2.2480000000000002</v>
      </c>
    </row>
    <row r="19" spans="2:11" x14ac:dyDescent="0.25">
      <c r="B19" s="2" t="s">
        <v>4036</v>
      </c>
      <c r="C19" s="2" t="s">
        <v>4037</v>
      </c>
      <c r="D19" s="3">
        <v>31.56</v>
      </c>
      <c r="E19" s="3">
        <v>8.67</v>
      </c>
      <c r="F19" s="3">
        <v>4</v>
      </c>
      <c r="G19" s="3">
        <v>1.5</v>
      </c>
      <c r="H19" s="3">
        <v>5</v>
      </c>
      <c r="I19" s="3">
        <v>4.5999999999999996</v>
      </c>
      <c r="J19" s="3">
        <v>5.4</v>
      </c>
      <c r="K19" s="3">
        <v>38.1</v>
      </c>
    </row>
    <row r="20" spans="2:11" x14ac:dyDescent="0.25">
      <c r="B20" s="2" t="s">
        <v>4038</v>
      </c>
      <c r="C20" s="2" t="s">
        <v>4039</v>
      </c>
      <c r="D20" s="3">
        <v>15.41</v>
      </c>
      <c r="E20" s="3">
        <v>64.47</v>
      </c>
      <c r="H20" s="3">
        <v>5</v>
      </c>
      <c r="I20" s="3">
        <v>0.33</v>
      </c>
      <c r="J20" s="3">
        <v>0.38800000000000001</v>
      </c>
      <c r="K20" s="3">
        <v>1.1659999999999999</v>
      </c>
    </row>
    <row r="21" spans="2:11" x14ac:dyDescent="0.25">
      <c r="B21" s="2" t="s">
        <v>4040</v>
      </c>
      <c r="C21" s="2" t="s">
        <v>4041</v>
      </c>
      <c r="D21" s="3">
        <v>30.23</v>
      </c>
      <c r="E21" s="3">
        <v>10.71</v>
      </c>
      <c r="F21" s="3">
        <v>6</v>
      </c>
      <c r="G21" s="3">
        <v>1.4</v>
      </c>
      <c r="H21" s="3">
        <v>7</v>
      </c>
      <c r="I21" s="3">
        <v>8.6590000000000007</v>
      </c>
      <c r="J21" s="3">
        <v>16.242000000000001</v>
      </c>
      <c r="K21" s="3">
        <v>20.975999999999999</v>
      </c>
    </row>
    <row r="22" spans="2:11" x14ac:dyDescent="0.25">
      <c r="B22" s="2" t="s">
        <v>4042</v>
      </c>
      <c r="C22" s="2" t="s">
        <v>4043</v>
      </c>
      <c r="D22" s="3">
        <v>29.84</v>
      </c>
      <c r="E22" s="3">
        <v>14.71</v>
      </c>
      <c r="F22" s="3">
        <v>6.5</v>
      </c>
      <c r="G22" s="3">
        <v>1.29</v>
      </c>
      <c r="H22" s="3">
        <v>18</v>
      </c>
      <c r="I22" s="3">
        <v>8.5440000000000005</v>
      </c>
      <c r="J22" s="3">
        <v>15.734</v>
      </c>
      <c r="K22" s="3">
        <v>19.856000000000002</v>
      </c>
    </row>
    <row r="23" spans="2:11" x14ac:dyDescent="0.25">
      <c r="B23" s="2" t="s">
        <v>4044</v>
      </c>
      <c r="C23" s="2" t="s">
        <v>4045</v>
      </c>
      <c r="D23" s="3">
        <v>16.18</v>
      </c>
      <c r="E23" s="3">
        <v>34.29</v>
      </c>
      <c r="H23" s="3">
        <v>3</v>
      </c>
      <c r="I23" s="3">
        <v>3.6819999999999999</v>
      </c>
      <c r="J23" s="3">
        <v>4.8479999999999999</v>
      </c>
      <c r="K23" s="3">
        <v>28.222999999999999</v>
      </c>
    </row>
    <row r="24" spans="2:11" x14ac:dyDescent="0.25">
      <c r="B24" s="2" t="s">
        <v>4046</v>
      </c>
      <c r="C24" s="2" t="s">
        <v>4047</v>
      </c>
      <c r="D24" s="3">
        <v>35.619999999999997</v>
      </c>
      <c r="E24" s="3">
        <v>48.73</v>
      </c>
      <c r="H24" s="3">
        <v>3</v>
      </c>
      <c r="I24" s="3">
        <v>0.20699999999999999</v>
      </c>
      <c r="J24" s="3">
        <v>0.27200000000000002</v>
      </c>
      <c r="K24" s="3">
        <v>1.5840000000000001</v>
      </c>
    </row>
    <row r="25" spans="2:11" x14ac:dyDescent="0.25">
      <c r="B25" s="2" t="s">
        <v>4048</v>
      </c>
      <c r="C25" s="2" t="s">
        <v>4049</v>
      </c>
      <c r="D25" s="3">
        <v>17.73</v>
      </c>
      <c r="E25" s="3">
        <v>23.45</v>
      </c>
      <c r="F25" s="3">
        <v>11.8</v>
      </c>
      <c r="G25" s="3">
        <v>0.3</v>
      </c>
      <c r="H25" s="3">
        <v>11</v>
      </c>
      <c r="I25" s="3">
        <v>6.9569999999999999</v>
      </c>
      <c r="J25" s="3">
        <v>18.759</v>
      </c>
      <c r="K25" s="3">
        <v>21.773</v>
      </c>
    </row>
    <row r="26" spans="2:11" x14ac:dyDescent="0.25">
      <c r="B26" s="2" t="s">
        <v>4050</v>
      </c>
      <c r="C26" s="2" t="s">
        <v>4051</v>
      </c>
      <c r="D26" s="3">
        <v>16.96</v>
      </c>
      <c r="E26" s="3">
        <v>25.74</v>
      </c>
      <c r="F26" s="3">
        <v>14</v>
      </c>
      <c r="H26" s="3">
        <v>11</v>
      </c>
      <c r="I26" s="3">
        <v>6.7220000000000004</v>
      </c>
      <c r="J26" s="3">
        <v>18.126999999999999</v>
      </c>
      <c r="K26" s="3">
        <v>21.039000000000001</v>
      </c>
    </row>
    <row r="27" spans="2:11" x14ac:dyDescent="0.25">
      <c r="B27" s="2" t="s">
        <v>4052</v>
      </c>
      <c r="C27" s="2" t="s">
        <v>4053</v>
      </c>
      <c r="D27" s="3">
        <v>16.96</v>
      </c>
      <c r="E27" s="3">
        <v>26.04</v>
      </c>
      <c r="F27" s="3">
        <v>16.899999999999999</v>
      </c>
      <c r="G27" s="3">
        <v>0.48</v>
      </c>
      <c r="H27" s="3">
        <v>39</v>
      </c>
      <c r="I27" s="3">
        <v>6.7220000000000004</v>
      </c>
      <c r="J27" s="3">
        <v>18.126999999999999</v>
      </c>
      <c r="K27" s="3">
        <v>21.039000000000001</v>
      </c>
    </row>
    <row r="28" spans="2:11" x14ac:dyDescent="0.25">
      <c r="B28" s="2" t="s">
        <v>4054</v>
      </c>
      <c r="C28" s="2" t="s">
        <v>4055</v>
      </c>
      <c r="D28" s="3">
        <v>40.32</v>
      </c>
      <c r="E28" s="3">
        <v>35.14</v>
      </c>
      <c r="H28" s="3">
        <v>41</v>
      </c>
      <c r="I28" s="3">
        <v>1.6339999999999999</v>
      </c>
      <c r="J28" s="3">
        <v>4.4050000000000002</v>
      </c>
      <c r="K28" s="3">
        <v>5.1130000000000004</v>
      </c>
    </row>
    <row r="29" spans="2:11" x14ac:dyDescent="0.25">
      <c r="B29" s="2" t="s">
        <v>4056</v>
      </c>
      <c r="C29" s="2" t="s">
        <v>4057</v>
      </c>
      <c r="D29" s="3">
        <v>50.14</v>
      </c>
      <c r="E29" s="3">
        <v>35.51</v>
      </c>
      <c r="H29" s="3">
        <v>39</v>
      </c>
      <c r="I29" s="3">
        <v>0.20100000000000001</v>
      </c>
      <c r="J29" s="3">
        <v>0.54300000000000004</v>
      </c>
      <c r="K29" s="3">
        <v>0.63</v>
      </c>
    </row>
    <row r="30" spans="2:11" x14ac:dyDescent="0.25">
      <c r="B30" s="2" t="s">
        <v>4058</v>
      </c>
      <c r="C30" s="2" t="s">
        <v>4059</v>
      </c>
      <c r="D30" s="3">
        <v>16.96</v>
      </c>
      <c r="E30" s="3">
        <v>26.04</v>
      </c>
      <c r="H30" s="3">
        <v>39</v>
      </c>
      <c r="I30" s="3">
        <v>6.7220000000000004</v>
      </c>
      <c r="J30" s="3">
        <v>18.126999999999999</v>
      </c>
      <c r="K30" s="3">
        <v>21.039000000000001</v>
      </c>
    </row>
    <row r="31" spans="2:11" x14ac:dyDescent="0.25">
      <c r="B31" s="2" t="s">
        <v>4060</v>
      </c>
      <c r="C31" s="2" t="s">
        <v>4061</v>
      </c>
      <c r="D31" s="3">
        <v>20.78</v>
      </c>
      <c r="E31" s="3">
        <v>20</v>
      </c>
      <c r="F31" s="3">
        <v>8.6</v>
      </c>
      <c r="G31" s="3">
        <v>2.62</v>
      </c>
      <c r="H31" s="3">
        <v>9</v>
      </c>
      <c r="I31" s="3">
        <v>4.4550000000000001</v>
      </c>
      <c r="J31" s="3">
        <v>18.527999999999999</v>
      </c>
      <c r="K31" s="3">
        <v>23.137</v>
      </c>
    </row>
    <row r="32" spans="2:11" x14ac:dyDescent="0.25">
      <c r="B32" s="2" t="s">
        <v>4062</v>
      </c>
      <c r="C32" s="2" t="s">
        <v>4063</v>
      </c>
      <c r="D32" s="3">
        <v>19.329999999999998</v>
      </c>
      <c r="E32" s="3">
        <v>24.07</v>
      </c>
      <c r="F32" s="3">
        <v>11.1</v>
      </c>
      <c r="G32" s="3">
        <v>2.73</v>
      </c>
      <c r="H32" s="3">
        <v>3</v>
      </c>
      <c r="I32" s="3">
        <v>5.2190000000000003</v>
      </c>
      <c r="J32" s="3">
        <v>9.5050000000000008</v>
      </c>
      <c r="K32" s="3">
        <v>32.884</v>
      </c>
    </row>
    <row r="33" spans="2:11" x14ac:dyDescent="0.25">
      <c r="B33" s="2" t="s">
        <v>4064</v>
      </c>
      <c r="C33" s="2" t="s">
        <v>4065</v>
      </c>
      <c r="D33" s="3">
        <v>20.059999999999999</v>
      </c>
      <c r="E33" s="3">
        <v>22.89</v>
      </c>
      <c r="F33" s="3">
        <v>10.6</v>
      </c>
      <c r="G33" s="3">
        <v>3.11</v>
      </c>
      <c r="H33" s="3">
        <v>3</v>
      </c>
      <c r="I33" s="3">
        <v>7.0679999999999996</v>
      </c>
      <c r="J33" s="3">
        <v>8.0630000000000006</v>
      </c>
      <c r="K33" s="3">
        <v>34.293999999999997</v>
      </c>
    </row>
    <row r="34" spans="2:11" x14ac:dyDescent="0.25">
      <c r="B34" s="2" t="s">
        <v>4066</v>
      </c>
      <c r="C34" s="2" t="s">
        <v>4067</v>
      </c>
      <c r="D34" s="3">
        <v>17.21</v>
      </c>
      <c r="E34" s="3">
        <v>20.59</v>
      </c>
      <c r="F34" s="3">
        <v>11.5</v>
      </c>
      <c r="H34" s="3">
        <v>3</v>
      </c>
      <c r="I34" s="3">
        <v>5.9530000000000003</v>
      </c>
      <c r="J34" s="3">
        <v>10.840999999999999</v>
      </c>
      <c r="K34" s="3">
        <v>37.506999999999998</v>
      </c>
    </row>
    <row r="35" spans="2:11" x14ac:dyDescent="0.25">
      <c r="B35" s="2" t="s">
        <v>4068</v>
      </c>
      <c r="C35" s="2" t="s">
        <v>4069</v>
      </c>
      <c r="D35" s="3">
        <v>17.28</v>
      </c>
      <c r="E35" s="3">
        <v>23.32</v>
      </c>
      <c r="F35" s="3">
        <v>5.7</v>
      </c>
      <c r="G35" s="3">
        <v>10.54</v>
      </c>
      <c r="H35" s="3">
        <v>3</v>
      </c>
      <c r="I35" s="3">
        <v>4.6779999999999999</v>
      </c>
      <c r="J35" s="3">
        <v>39.024999999999999</v>
      </c>
      <c r="K35" s="3">
        <v>9.8049999999999997</v>
      </c>
    </row>
    <row r="36" spans="2:11" x14ac:dyDescent="0.25">
      <c r="B36" s="2" t="s">
        <v>4070</v>
      </c>
      <c r="C36" s="2" t="s">
        <v>4071</v>
      </c>
      <c r="D36" s="3">
        <v>48.06</v>
      </c>
      <c r="E36" s="3">
        <v>35.83</v>
      </c>
      <c r="F36" s="3">
        <v>5.2</v>
      </c>
      <c r="H36" s="3">
        <v>3</v>
      </c>
      <c r="I36" s="3">
        <v>0.13800000000000001</v>
      </c>
      <c r="J36" s="3">
        <v>0.252</v>
      </c>
      <c r="K36" s="3">
        <v>0.87</v>
      </c>
    </row>
    <row r="37" spans="2:11" x14ac:dyDescent="0.25">
      <c r="B37" s="2" t="s">
        <v>4072</v>
      </c>
      <c r="C37" s="2" t="s">
        <v>4073</v>
      </c>
      <c r="D37" s="3">
        <v>6.15</v>
      </c>
      <c r="E37" s="3">
        <v>40.75</v>
      </c>
      <c r="H37" s="3">
        <v>0</v>
      </c>
      <c r="I37" s="3">
        <v>3.1019999999999999</v>
      </c>
      <c r="J37" s="3">
        <v>15.109</v>
      </c>
      <c r="K37" s="3">
        <v>4.5960000000000001</v>
      </c>
    </row>
    <row r="38" spans="2:11" x14ac:dyDescent="0.25">
      <c r="B38" s="2" t="s">
        <v>4074</v>
      </c>
      <c r="C38" s="2" t="s">
        <v>4075</v>
      </c>
      <c r="D38" s="3">
        <v>8.1</v>
      </c>
      <c r="E38" s="3">
        <v>53.66</v>
      </c>
      <c r="H38" s="3">
        <v>0</v>
      </c>
      <c r="I38" s="3">
        <v>4.0839999999999996</v>
      </c>
      <c r="J38" s="3">
        <v>19.896000000000001</v>
      </c>
      <c r="K38" s="3">
        <v>6.0519999999999996</v>
      </c>
    </row>
    <row r="39" spans="2:11" x14ac:dyDescent="0.25">
      <c r="B39" s="2" t="s">
        <v>4076</v>
      </c>
      <c r="C39" s="2" t="s">
        <v>4077</v>
      </c>
      <c r="D39" s="3">
        <v>7.49</v>
      </c>
      <c r="E39" s="3">
        <v>54.65</v>
      </c>
      <c r="H39" s="3">
        <v>0</v>
      </c>
      <c r="I39" s="3">
        <v>3.923</v>
      </c>
      <c r="J39" s="3">
        <v>19.11</v>
      </c>
      <c r="K39" s="3">
        <v>5.8129999999999997</v>
      </c>
    </row>
    <row r="40" spans="2:11" x14ac:dyDescent="0.25">
      <c r="B40" s="2" t="s">
        <v>4078</v>
      </c>
      <c r="C40" s="2" t="s">
        <v>4079</v>
      </c>
      <c r="D40" s="3">
        <v>21.15</v>
      </c>
      <c r="E40" s="3">
        <v>21.55</v>
      </c>
      <c r="F40" s="3">
        <v>12.5</v>
      </c>
      <c r="G40" s="3">
        <v>4.3499999999999996</v>
      </c>
      <c r="H40" s="3">
        <v>1</v>
      </c>
      <c r="I40" s="3">
        <v>3.802</v>
      </c>
      <c r="J40" s="3">
        <v>31.550999999999998</v>
      </c>
      <c r="K40" s="3">
        <v>12.329000000000001</v>
      </c>
    </row>
    <row r="41" spans="2:11" x14ac:dyDescent="0.25">
      <c r="B41" s="2" t="s">
        <v>4080</v>
      </c>
      <c r="C41" s="2" t="s">
        <v>4081</v>
      </c>
      <c r="D41" s="3">
        <v>21.4</v>
      </c>
      <c r="E41" s="3">
        <v>18.670000000000002</v>
      </c>
      <c r="F41" s="3">
        <v>9.9</v>
      </c>
      <c r="G41" s="3">
        <v>4.63</v>
      </c>
      <c r="H41" s="3">
        <v>19</v>
      </c>
      <c r="I41" s="3">
        <v>3.9529999999999998</v>
      </c>
      <c r="J41" s="3">
        <v>33.414999999999999</v>
      </c>
      <c r="K41" s="3">
        <v>12.368</v>
      </c>
    </row>
    <row r="42" spans="2:11" x14ac:dyDescent="0.25">
      <c r="B42" s="2" t="s">
        <v>4082</v>
      </c>
      <c r="C42" s="2" t="s">
        <v>4083</v>
      </c>
      <c r="D42" s="3">
        <v>20.96</v>
      </c>
      <c r="E42" s="3">
        <v>21.01</v>
      </c>
      <c r="F42" s="3">
        <v>10.9</v>
      </c>
      <c r="G42" s="3">
        <v>4.8600000000000003</v>
      </c>
      <c r="H42" s="3">
        <v>3</v>
      </c>
      <c r="I42" s="3">
        <v>4.0919999999999996</v>
      </c>
      <c r="J42" s="3">
        <v>33.076000000000001</v>
      </c>
      <c r="K42" s="3">
        <v>12.955</v>
      </c>
    </row>
    <row r="43" spans="2:11" x14ac:dyDescent="0.25">
      <c r="B43" s="2" t="s">
        <v>4084</v>
      </c>
      <c r="C43" s="2" t="s">
        <v>4085</v>
      </c>
      <c r="D43" s="3">
        <v>21.23</v>
      </c>
      <c r="E43" s="3">
        <v>17.68</v>
      </c>
      <c r="F43" s="3">
        <v>10.5</v>
      </c>
      <c r="G43" s="3">
        <v>4.55</v>
      </c>
      <c r="H43" s="3">
        <v>1</v>
      </c>
      <c r="I43" s="3">
        <v>4.2080000000000002</v>
      </c>
      <c r="J43" s="3">
        <v>34.792999999999999</v>
      </c>
      <c r="K43" s="3">
        <v>13.519</v>
      </c>
    </row>
    <row r="44" spans="2:11" x14ac:dyDescent="0.25">
      <c r="B44" s="2" t="s">
        <v>4086</v>
      </c>
      <c r="C44" s="2" t="s">
        <v>4087</v>
      </c>
      <c r="D44" s="3">
        <v>9</v>
      </c>
      <c r="E44" s="3">
        <v>47.81</v>
      </c>
      <c r="F44" s="3">
        <v>4.8</v>
      </c>
      <c r="G44" s="3">
        <v>36.25</v>
      </c>
      <c r="H44" s="3">
        <v>9</v>
      </c>
      <c r="I44" s="3">
        <v>2.629</v>
      </c>
      <c r="J44" s="3">
        <v>18.012</v>
      </c>
      <c r="K44" s="3">
        <v>5.8209999999999997</v>
      </c>
    </row>
    <row r="45" spans="2:11" x14ac:dyDescent="0.25">
      <c r="B45" s="2" t="s">
        <v>4088</v>
      </c>
      <c r="C45" s="2" t="s">
        <v>4089</v>
      </c>
      <c r="D45" s="3">
        <v>6.2</v>
      </c>
      <c r="E45" s="3">
        <v>33.5</v>
      </c>
      <c r="H45" s="3">
        <v>38</v>
      </c>
      <c r="I45" s="3">
        <v>5.7190000000000003</v>
      </c>
      <c r="J45" s="3">
        <v>21.891999999999999</v>
      </c>
      <c r="K45" s="3">
        <v>20.088999999999999</v>
      </c>
    </row>
    <row r="46" spans="2:11" x14ac:dyDescent="0.25">
      <c r="B46" s="2" t="s">
        <v>4090</v>
      </c>
      <c r="C46" s="2" t="s">
        <v>4091</v>
      </c>
      <c r="D46" s="3">
        <v>14.32</v>
      </c>
      <c r="E46" s="3">
        <v>11.74</v>
      </c>
      <c r="F46" s="3">
        <v>7.5</v>
      </c>
      <c r="G46" s="3">
        <v>2.33</v>
      </c>
      <c r="H46" s="3">
        <v>3</v>
      </c>
      <c r="I46" s="3">
        <v>16.134</v>
      </c>
      <c r="J46" s="3">
        <v>23.879000000000001</v>
      </c>
      <c r="K46" s="3">
        <v>24.399000000000001</v>
      </c>
    </row>
    <row r="47" spans="2:11" x14ac:dyDescent="0.25">
      <c r="B47" s="2" t="s">
        <v>4092</v>
      </c>
      <c r="C47" s="2" t="s">
        <v>4093</v>
      </c>
      <c r="D47" s="3">
        <v>24.9</v>
      </c>
      <c r="E47" s="3">
        <v>12.05</v>
      </c>
      <c r="F47" s="3">
        <v>4.7</v>
      </c>
      <c r="H47" s="3">
        <v>1</v>
      </c>
      <c r="I47" s="3">
        <v>1.306</v>
      </c>
      <c r="J47" s="3">
        <v>10.425000000000001</v>
      </c>
      <c r="K47" s="3">
        <v>42.741</v>
      </c>
    </row>
    <row r="48" spans="2:11" x14ac:dyDescent="0.25">
      <c r="B48" s="2" t="s">
        <v>4094</v>
      </c>
      <c r="C48" s="2" t="s">
        <v>4095</v>
      </c>
      <c r="D48" s="3">
        <v>15.31</v>
      </c>
      <c r="E48" s="3">
        <v>32.69</v>
      </c>
      <c r="F48" s="3">
        <v>3</v>
      </c>
      <c r="G48" s="3">
        <v>5.01</v>
      </c>
      <c r="H48" s="3">
        <v>16</v>
      </c>
      <c r="I48" s="3">
        <v>9.157</v>
      </c>
      <c r="J48" s="3">
        <v>27.317</v>
      </c>
      <c r="K48" s="3">
        <v>7.8360000000000003</v>
      </c>
    </row>
    <row r="49" spans="2:11" x14ac:dyDescent="0.25">
      <c r="B49" s="2" t="s">
        <v>4096</v>
      </c>
      <c r="C49" s="2" t="s">
        <v>4097</v>
      </c>
      <c r="D49" s="3">
        <v>16.84</v>
      </c>
      <c r="E49" s="3">
        <v>29.87</v>
      </c>
      <c r="F49" s="3">
        <v>3.3</v>
      </c>
      <c r="G49" s="3">
        <v>5.01</v>
      </c>
      <c r="H49" s="3">
        <v>13</v>
      </c>
      <c r="I49" s="3">
        <v>8.4779999999999998</v>
      </c>
      <c r="J49" s="3">
        <v>25.922999999999998</v>
      </c>
      <c r="K49" s="3">
        <v>8.5459999999999994</v>
      </c>
    </row>
    <row r="50" spans="2:11" x14ac:dyDescent="0.25">
      <c r="B50" s="2" t="s">
        <v>4098</v>
      </c>
      <c r="C50" s="2" t="s">
        <v>4099</v>
      </c>
      <c r="D50" s="3">
        <v>18.22</v>
      </c>
      <c r="E50" s="3">
        <v>30.19</v>
      </c>
      <c r="F50" s="3">
        <v>3.3</v>
      </c>
      <c r="G50" s="3">
        <v>5.91</v>
      </c>
      <c r="H50" s="3">
        <v>12</v>
      </c>
      <c r="I50" s="3">
        <v>7.7830000000000004</v>
      </c>
      <c r="J50" s="3">
        <v>23.797000000000001</v>
      </c>
      <c r="K50" s="3">
        <v>7.8449999999999998</v>
      </c>
    </row>
    <row r="51" spans="2:11" x14ac:dyDescent="0.25">
      <c r="B51" s="2" t="s">
        <v>4100</v>
      </c>
      <c r="C51" s="2" t="s">
        <v>4101</v>
      </c>
      <c r="D51" s="3">
        <v>17.559999999999999</v>
      </c>
      <c r="E51" s="3">
        <v>27.57</v>
      </c>
      <c r="F51" s="3">
        <v>2</v>
      </c>
      <c r="H51" s="3">
        <v>15</v>
      </c>
      <c r="I51" s="3">
        <v>9.7629999999999999</v>
      </c>
      <c r="J51" s="3">
        <v>29.122</v>
      </c>
      <c r="K51" s="3">
        <v>8.3539999999999992</v>
      </c>
    </row>
    <row r="52" spans="2:11" x14ac:dyDescent="0.25">
      <c r="B52" s="2" t="s">
        <v>4102</v>
      </c>
      <c r="C52" s="2" t="s">
        <v>4103</v>
      </c>
      <c r="D52" s="3">
        <v>4.2</v>
      </c>
      <c r="E52" s="3">
        <v>49.07</v>
      </c>
      <c r="H52" s="3">
        <v>3</v>
      </c>
      <c r="I52" s="3">
        <v>0.16400000000000001</v>
      </c>
      <c r="J52" s="3">
        <v>0.58099999999999996</v>
      </c>
      <c r="K52" s="3">
        <v>0.28799999999999998</v>
      </c>
    </row>
    <row r="53" spans="2:11" x14ac:dyDescent="0.25">
      <c r="B53" s="2" t="s">
        <v>4104</v>
      </c>
      <c r="C53" s="2" t="s">
        <v>4105</v>
      </c>
      <c r="D53" s="3">
        <v>6.82</v>
      </c>
      <c r="E53" s="3">
        <v>79.760000000000005</v>
      </c>
      <c r="H53" s="3">
        <v>5</v>
      </c>
      <c r="I53" s="3">
        <v>0.26600000000000001</v>
      </c>
      <c r="J53" s="3">
        <v>0.94499999999999995</v>
      </c>
      <c r="K53" s="3">
        <v>0.46800000000000003</v>
      </c>
    </row>
    <row r="54" spans="2:11" x14ac:dyDescent="0.25">
      <c r="B54" s="2" t="s">
        <v>4106</v>
      </c>
      <c r="C54" s="2" t="s">
        <v>4107</v>
      </c>
      <c r="D54" s="3">
        <v>2.88</v>
      </c>
      <c r="E54" s="3">
        <v>33.64</v>
      </c>
      <c r="H54" s="3">
        <v>2</v>
      </c>
      <c r="I54" s="3">
        <v>0.112</v>
      </c>
      <c r="J54" s="3">
        <v>0.39900000000000002</v>
      </c>
      <c r="K54" s="3">
        <v>0.19700000000000001</v>
      </c>
    </row>
    <row r="55" spans="2:11" x14ac:dyDescent="0.25">
      <c r="B55" s="2" t="s">
        <v>4108</v>
      </c>
      <c r="C55" s="2" t="s">
        <v>4109</v>
      </c>
      <c r="D55" s="3">
        <v>4.4800000000000004</v>
      </c>
      <c r="E55" s="3">
        <v>52.36</v>
      </c>
      <c r="H55" s="3">
        <v>4</v>
      </c>
      <c r="I55" s="3">
        <v>0.17499999999999999</v>
      </c>
      <c r="J55" s="3">
        <v>0.62</v>
      </c>
      <c r="K55" s="3">
        <v>0.307</v>
      </c>
    </row>
    <row r="56" spans="2:11" x14ac:dyDescent="0.25">
      <c r="B56" s="2" t="s">
        <v>4110</v>
      </c>
      <c r="C56" s="2" t="s">
        <v>4111</v>
      </c>
      <c r="D56" s="3">
        <v>2.42</v>
      </c>
      <c r="E56" s="3">
        <v>45.54</v>
      </c>
      <c r="F56" s="3">
        <v>8.1</v>
      </c>
      <c r="H56" s="3">
        <v>3</v>
      </c>
      <c r="I56" s="3">
        <v>0.42499999999999999</v>
      </c>
      <c r="J56" s="3">
        <v>0.78</v>
      </c>
      <c r="K56" s="3">
        <v>0.89400000000000002</v>
      </c>
    </row>
    <row r="57" spans="2:11" x14ac:dyDescent="0.25">
      <c r="B57" s="2" t="s">
        <v>4112</v>
      </c>
      <c r="C57" s="2" t="s">
        <v>4113</v>
      </c>
      <c r="D57" s="3">
        <v>1.63</v>
      </c>
      <c r="E57" s="3">
        <v>44.17</v>
      </c>
      <c r="H57" s="3">
        <v>2</v>
      </c>
      <c r="I57" s="3">
        <v>0.23499999999999999</v>
      </c>
      <c r="J57" s="3">
        <v>0.43</v>
      </c>
      <c r="K57" s="3">
        <v>0.49299999999999999</v>
      </c>
    </row>
    <row r="58" spans="2:11" x14ac:dyDescent="0.25">
      <c r="B58" s="2" t="s">
        <v>4114</v>
      </c>
      <c r="C58" s="2" t="s">
        <v>4115</v>
      </c>
      <c r="D58" s="3">
        <v>6.39</v>
      </c>
      <c r="E58" s="3">
        <v>77.31</v>
      </c>
      <c r="F58" s="3">
        <v>11.7</v>
      </c>
      <c r="H58" s="3">
        <v>37</v>
      </c>
      <c r="I58" s="3">
        <v>0.83699999999999997</v>
      </c>
      <c r="J58" s="3">
        <v>1.5349999999999999</v>
      </c>
      <c r="K58" s="3">
        <v>1.758</v>
      </c>
    </row>
    <row r="59" spans="2:11" x14ac:dyDescent="0.25">
      <c r="B59" s="2" t="s">
        <v>4116</v>
      </c>
      <c r="C59" s="2" t="s">
        <v>4117</v>
      </c>
      <c r="D59" s="3">
        <v>5.01</v>
      </c>
      <c r="E59" s="3">
        <v>78.430000000000007</v>
      </c>
      <c r="H59" s="3">
        <v>37</v>
      </c>
      <c r="I59" s="3">
        <v>0.73599999999999999</v>
      </c>
      <c r="J59" s="3">
        <v>1.349</v>
      </c>
      <c r="K59" s="3">
        <v>1.546</v>
      </c>
    </row>
    <row r="60" spans="2:11" x14ac:dyDescent="0.25">
      <c r="B60" s="2" t="s">
        <v>4118</v>
      </c>
      <c r="C60" s="2" t="s">
        <v>4119</v>
      </c>
      <c r="D60" s="3">
        <v>2</v>
      </c>
      <c r="E60" s="3">
        <v>27.76</v>
      </c>
      <c r="H60" s="3">
        <v>27</v>
      </c>
      <c r="I60" s="3">
        <v>0.26</v>
      </c>
      <c r="J60" s="3">
        <v>0.47599999999999998</v>
      </c>
      <c r="K60" s="3">
        <v>0.54500000000000004</v>
      </c>
    </row>
    <row r="61" spans="2:11" x14ac:dyDescent="0.25">
      <c r="B61" s="2" t="s">
        <v>4120</v>
      </c>
      <c r="C61" s="2" t="s">
        <v>4121</v>
      </c>
      <c r="D61" s="3">
        <v>3.33</v>
      </c>
      <c r="E61" s="3">
        <v>15.23</v>
      </c>
      <c r="F61" s="3">
        <v>9</v>
      </c>
      <c r="G61" s="3">
        <v>6.23</v>
      </c>
      <c r="H61" s="3">
        <v>20</v>
      </c>
      <c r="I61" s="3">
        <v>29.698</v>
      </c>
      <c r="J61" s="3">
        <v>1.425</v>
      </c>
      <c r="K61" s="3">
        <v>0.36599999999999999</v>
      </c>
    </row>
    <row r="62" spans="2:11" x14ac:dyDescent="0.25">
      <c r="B62" s="2" t="s">
        <v>4122</v>
      </c>
      <c r="C62" s="2" t="s">
        <v>4123</v>
      </c>
      <c r="D62" s="3">
        <v>6.88</v>
      </c>
      <c r="E62" s="3">
        <v>23.65</v>
      </c>
      <c r="F62" s="3">
        <v>16.3</v>
      </c>
      <c r="G62" s="3">
        <v>7.35</v>
      </c>
      <c r="H62" s="3">
        <v>37</v>
      </c>
      <c r="I62" s="3">
        <v>57.218000000000004</v>
      </c>
      <c r="J62" s="3">
        <v>2.7450000000000001</v>
      </c>
      <c r="K62" s="3">
        <v>0.70599999999999996</v>
      </c>
    </row>
    <row r="63" spans="2:11" x14ac:dyDescent="0.25">
      <c r="B63" s="2" t="s">
        <v>4124</v>
      </c>
      <c r="C63" s="2" t="s">
        <v>4125</v>
      </c>
      <c r="D63" s="3">
        <v>3.13</v>
      </c>
      <c r="E63" s="3">
        <v>51.85</v>
      </c>
      <c r="F63" s="3">
        <v>9.9</v>
      </c>
      <c r="G63" s="3">
        <v>36.75</v>
      </c>
      <c r="H63" s="3">
        <v>285</v>
      </c>
      <c r="I63" s="3">
        <v>26.396000000000001</v>
      </c>
      <c r="J63" s="3">
        <v>1.377</v>
      </c>
      <c r="K63" s="3">
        <v>0.222</v>
      </c>
    </row>
    <row r="64" spans="2:11" x14ac:dyDescent="0.25">
      <c r="B64" s="2" t="s">
        <v>4126</v>
      </c>
      <c r="C64" s="2" t="s">
        <v>4127</v>
      </c>
      <c r="D64" s="3">
        <v>3.35</v>
      </c>
      <c r="E64" s="3">
        <v>40.909999999999997</v>
      </c>
      <c r="F64" s="3">
        <v>4.5</v>
      </c>
      <c r="H64" s="3">
        <v>20</v>
      </c>
      <c r="I64" s="3">
        <v>28.100999999999999</v>
      </c>
      <c r="J64" s="3">
        <v>1.3480000000000001</v>
      </c>
      <c r="K64" s="3">
        <v>0.34699999999999998</v>
      </c>
    </row>
    <row r="65" spans="2:11" x14ac:dyDescent="0.25">
      <c r="B65" s="2" t="s">
        <v>4128</v>
      </c>
      <c r="C65" s="2" t="s">
        <v>4129</v>
      </c>
      <c r="D65" s="3">
        <v>5.3</v>
      </c>
      <c r="E65" s="3">
        <v>44.4</v>
      </c>
      <c r="H65" s="3">
        <v>37</v>
      </c>
      <c r="I65" s="3">
        <v>41.677999999999997</v>
      </c>
      <c r="J65" s="3">
        <v>1.9990000000000001</v>
      </c>
      <c r="K65" s="3">
        <v>0.51400000000000001</v>
      </c>
    </row>
    <row r="66" spans="2:11" x14ac:dyDescent="0.25">
      <c r="B66" s="2" t="s">
        <v>4130</v>
      </c>
      <c r="C66" s="2" t="s">
        <v>4131</v>
      </c>
      <c r="D66" s="3">
        <v>3.63</v>
      </c>
      <c r="E66" s="3">
        <v>6.65</v>
      </c>
      <c r="F66" s="3">
        <v>2.2000000000000002</v>
      </c>
      <c r="H66" s="3">
        <v>4</v>
      </c>
      <c r="I66" s="3">
        <v>30.753</v>
      </c>
      <c r="J66" s="3">
        <v>1.4750000000000001</v>
      </c>
      <c r="K66" s="3">
        <v>0.379</v>
      </c>
    </row>
    <row r="67" spans="2:11" x14ac:dyDescent="0.25">
      <c r="B67" s="2" t="s">
        <v>4132</v>
      </c>
      <c r="C67" s="2" t="s">
        <v>4133</v>
      </c>
      <c r="D67" s="3">
        <v>1.17</v>
      </c>
      <c r="E67" s="3">
        <v>53.21</v>
      </c>
      <c r="F67" s="3">
        <v>0.2</v>
      </c>
      <c r="G67" s="3">
        <v>51.5</v>
      </c>
      <c r="H67" s="3">
        <v>36</v>
      </c>
      <c r="I67" s="3">
        <v>15.472</v>
      </c>
      <c r="J67" s="3">
        <v>0.67900000000000005</v>
      </c>
      <c r="K67" s="3">
        <v>0.159</v>
      </c>
    </row>
    <row r="68" spans="2:11" x14ac:dyDescent="0.25">
      <c r="B68" s="2" t="s">
        <v>4134</v>
      </c>
      <c r="C68" s="2" t="s">
        <v>4135</v>
      </c>
      <c r="D68" s="3">
        <v>2.29</v>
      </c>
      <c r="E68" s="3">
        <v>5.54</v>
      </c>
      <c r="F68" s="3">
        <v>2.2000000000000002</v>
      </c>
      <c r="G68" s="3">
        <v>3.34</v>
      </c>
      <c r="H68" s="3">
        <v>15</v>
      </c>
      <c r="I68" s="3">
        <v>21.14</v>
      </c>
      <c r="J68" s="3">
        <v>1.014</v>
      </c>
      <c r="K68" s="3">
        <v>0.26100000000000001</v>
      </c>
    </row>
    <row r="69" spans="2:11" x14ac:dyDescent="0.25">
      <c r="B69" s="2" t="s">
        <v>4136</v>
      </c>
      <c r="C69" s="2" t="s">
        <v>4137</v>
      </c>
      <c r="D69" s="3">
        <v>2.02</v>
      </c>
      <c r="E69" s="3">
        <v>2.81</v>
      </c>
      <c r="H69" s="3">
        <v>13</v>
      </c>
      <c r="I69" s="3">
        <v>18.914999999999999</v>
      </c>
      <c r="J69" s="3">
        <v>0.90700000000000003</v>
      </c>
      <c r="K69" s="3">
        <v>0.23300000000000001</v>
      </c>
    </row>
    <row r="70" spans="2:11" x14ac:dyDescent="0.25">
      <c r="B70" s="2" t="s">
        <v>4138</v>
      </c>
      <c r="C70" s="2" t="s">
        <v>4139</v>
      </c>
      <c r="D70" s="3">
        <v>0.72</v>
      </c>
      <c r="E70" s="3">
        <v>3.71</v>
      </c>
      <c r="F70" s="3">
        <v>1.1000000000000001</v>
      </c>
      <c r="G70" s="3">
        <v>2.61</v>
      </c>
      <c r="H70" s="3">
        <v>105</v>
      </c>
      <c r="I70" s="3">
        <v>0.17599999999999999</v>
      </c>
      <c r="J70" s="3">
        <v>8.0000000000000002E-3</v>
      </c>
      <c r="K70" s="3">
        <v>2E-3</v>
      </c>
    </row>
    <row r="71" spans="2:11" x14ac:dyDescent="0.25">
      <c r="B71" s="2" t="s">
        <v>4140</v>
      </c>
      <c r="C71" s="2" t="s">
        <v>4141</v>
      </c>
      <c r="D71" s="3">
        <v>14.95</v>
      </c>
      <c r="E71" s="3">
        <v>16.7</v>
      </c>
      <c r="F71" s="3">
        <v>9.6999999999999993</v>
      </c>
      <c r="G71" s="3">
        <v>4.34</v>
      </c>
      <c r="H71" s="3">
        <v>0</v>
      </c>
      <c r="I71" s="3">
        <v>4.4640000000000004</v>
      </c>
      <c r="J71" s="3">
        <v>45.652000000000001</v>
      </c>
      <c r="K71" s="3">
        <v>7.92</v>
      </c>
    </row>
    <row r="72" spans="2:11" x14ac:dyDescent="0.25">
      <c r="B72" s="2" t="s">
        <v>4142</v>
      </c>
      <c r="C72" s="2" t="s">
        <v>4143</v>
      </c>
      <c r="D72" s="3">
        <v>13.7</v>
      </c>
      <c r="E72" s="3">
        <v>17</v>
      </c>
      <c r="F72" s="3">
        <v>11</v>
      </c>
      <c r="G72" s="3">
        <v>3.49</v>
      </c>
      <c r="H72" s="3">
        <v>0</v>
      </c>
      <c r="I72" s="3">
        <v>4.6689999999999996</v>
      </c>
      <c r="J72" s="3">
        <v>48.192</v>
      </c>
      <c r="K72" s="3">
        <v>5.5579999999999998</v>
      </c>
    </row>
    <row r="73" spans="2:11" x14ac:dyDescent="0.25">
      <c r="B73" s="2" t="s">
        <v>4144</v>
      </c>
      <c r="C73" s="2" t="s">
        <v>4145</v>
      </c>
      <c r="D73" s="3">
        <v>15.03</v>
      </c>
      <c r="E73" s="3">
        <v>17.600000000000001</v>
      </c>
      <c r="F73" s="3">
        <v>9.4</v>
      </c>
      <c r="G73" s="3">
        <v>4.8899999999999997</v>
      </c>
      <c r="H73" s="3">
        <v>0</v>
      </c>
      <c r="I73" s="3">
        <v>4.5110000000000001</v>
      </c>
      <c r="J73" s="3">
        <v>46.607999999999997</v>
      </c>
      <c r="K73" s="3">
        <v>8.4629999999999992</v>
      </c>
    </row>
    <row r="74" spans="2:11" x14ac:dyDescent="0.25">
      <c r="B74" s="2" t="s">
        <v>4146</v>
      </c>
      <c r="C74" s="2" t="s">
        <v>4147</v>
      </c>
      <c r="D74" s="3">
        <v>4.32</v>
      </c>
      <c r="E74" s="3">
        <v>37.6</v>
      </c>
      <c r="H74" s="3">
        <v>7</v>
      </c>
      <c r="I74" s="3">
        <v>0.31900000000000001</v>
      </c>
      <c r="J74" s="3">
        <v>0.61899999999999999</v>
      </c>
      <c r="K74" s="3">
        <v>0.61799999999999999</v>
      </c>
    </row>
    <row r="75" spans="2:11" x14ac:dyDescent="0.25">
      <c r="B75" s="2" t="s">
        <v>4148</v>
      </c>
      <c r="C75" s="2" t="s">
        <v>4149</v>
      </c>
      <c r="D75" s="3">
        <v>10.35</v>
      </c>
      <c r="E75" s="3">
        <v>72.45</v>
      </c>
      <c r="H75" s="3">
        <v>13</v>
      </c>
      <c r="I75" s="3">
        <v>0.38100000000000001</v>
      </c>
      <c r="J75" s="3">
        <v>0.73899999999999999</v>
      </c>
      <c r="K75" s="3">
        <v>0.73699999999999999</v>
      </c>
    </row>
    <row r="76" spans="2:11" x14ac:dyDescent="0.25">
      <c r="B76" s="2" t="s">
        <v>4150</v>
      </c>
      <c r="C76" s="2" t="s">
        <v>4151</v>
      </c>
      <c r="D76" s="3">
        <v>2.29</v>
      </c>
      <c r="E76" s="3">
        <v>22.1</v>
      </c>
      <c r="F76" s="3">
        <v>9.3000000000000007</v>
      </c>
      <c r="H76" s="3">
        <v>307</v>
      </c>
      <c r="I76" s="3">
        <v>0.309</v>
      </c>
      <c r="J76" s="3">
        <v>0.59899999999999998</v>
      </c>
      <c r="K76" s="3">
        <v>0.59699999999999998</v>
      </c>
    </row>
    <row r="77" spans="2:11" x14ac:dyDescent="0.25">
      <c r="B77" s="2" t="s">
        <v>4152</v>
      </c>
      <c r="C77" s="2" t="s">
        <v>4153</v>
      </c>
      <c r="D77" s="3">
        <v>12.72</v>
      </c>
      <c r="E77" s="3">
        <v>18.25</v>
      </c>
      <c r="F77" s="3">
        <v>6.4</v>
      </c>
      <c r="H77" s="3">
        <v>1</v>
      </c>
      <c r="I77" s="3">
        <v>7.0380000000000003</v>
      </c>
      <c r="J77" s="3">
        <v>32.610999999999997</v>
      </c>
      <c r="K77" s="3">
        <v>21.885999999999999</v>
      </c>
    </row>
    <row r="78" spans="2:11" x14ac:dyDescent="0.25">
      <c r="B78" s="2" t="s">
        <v>4154</v>
      </c>
      <c r="C78" s="2" t="s">
        <v>4155</v>
      </c>
      <c r="D78" s="3">
        <v>7.91</v>
      </c>
      <c r="E78" s="3">
        <v>13.82</v>
      </c>
      <c r="F78" s="3">
        <v>8.6</v>
      </c>
      <c r="G78" s="3">
        <v>4.57</v>
      </c>
      <c r="H78" s="3">
        <v>5</v>
      </c>
      <c r="I78" s="3">
        <v>12.061</v>
      </c>
      <c r="J78" s="3">
        <v>58.877000000000002</v>
      </c>
      <c r="K78" s="3">
        <v>1.502</v>
      </c>
    </row>
    <row r="79" spans="2:11" x14ac:dyDescent="0.25">
      <c r="B79" s="2" t="s">
        <v>4156</v>
      </c>
      <c r="C79" s="2" t="s">
        <v>4157</v>
      </c>
      <c r="D79" s="3">
        <v>7.79</v>
      </c>
      <c r="E79" s="3">
        <v>13.38</v>
      </c>
      <c r="F79" s="3">
        <v>8</v>
      </c>
      <c r="G79" s="3">
        <v>4.1399999999999997</v>
      </c>
      <c r="H79" s="3">
        <v>4</v>
      </c>
      <c r="I79" s="3">
        <v>11.946999999999999</v>
      </c>
      <c r="J79" s="3">
        <v>59.274999999999999</v>
      </c>
      <c r="K79" s="3">
        <v>1.498</v>
      </c>
    </row>
    <row r="80" spans="2:11" x14ac:dyDescent="0.25">
      <c r="B80" s="2" t="s">
        <v>4158</v>
      </c>
      <c r="C80" s="2" t="s">
        <v>4159</v>
      </c>
      <c r="D80" s="3">
        <v>19.5</v>
      </c>
      <c r="E80" s="3">
        <v>22.42</v>
      </c>
      <c r="F80" s="3">
        <v>6.4</v>
      </c>
      <c r="G80" s="3">
        <v>5</v>
      </c>
      <c r="H80" s="3">
        <v>4</v>
      </c>
      <c r="I80" s="3">
        <v>8.01</v>
      </c>
      <c r="J80" s="3">
        <v>34.531999999999996</v>
      </c>
      <c r="K80" s="3">
        <v>9.8580000000000005</v>
      </c>
    </row>
    <row r="81" spans="2:11" x14ac:dyDescent="0.25">
      <c r="B81" s="2" t="s">
        <v>4160</v>
      </c>
      <c r="C81" s="2" t="s">
        <v>4161</v>
      </c>
      <c r="D81" s="3">
        <v>21.95</v>
      </c>
      <c r="E81" s="3">
        <v>22.51</v>
      </c>
      <c r="F81" s="3">
        <v>8.1</v>
      </c>
      <c r="G81" s="3">
        <v>4.45</v>
      </c>
      <c r="H81" s="3">
        <v>232</v>
      </c>
      <c r="I81" s="3">
        <v>6.71</v>
      </c>
      <c r="J81" s="3">
        <v>27.617999999999999</v>
      </c>
      <c r="K81" s="3">
        <v>11.654999999999999</v>
      </c>
    </row>
    <row r="82" spans="2:11" x14ac:dyDescent="0.25">
      <c r="B82" s="2" t="s">
        <v>4162</v>
      </c>
      <c r="C82" s="2" t="s">
        <v>4163</v>
      </c>
      <c r="D82" s="3">
        <v>20.04</v>
      </c>
      <c r="E82" s="3">
        <v>21.05</v>
      </c>
      <c r="F82" s="3">
        <v>7</v>
      </c>
      <c r="G82" s="3">
        <v>4.1500000000000004</v>
      </c>
      <c r="H82" s="3">
        <v>5</v>
      </c>
      <c r="I82" s="3">
        <v>8.7110000000000003</v>
      </c>
      <c r="J82" s="3">
        <v>28.488</v>
      </c>
      <c r="K82" s="3">
        <v>14.612</v>
      </c>
    </row>
    <row r="83" spans="2:11" x14ac:dyDescent="0.25">
      <c r="B83" s="2" t="s">
        <v>4164</v>
      </c>
      <c r="C83" s="2" t="s">
        <v>4165</v>
      </c>
      <c r="D83" s="3">
        <v>15.52</v>
      </c>
      <c r="E83" s="3">
        <v>22.27</v>
      </c>
      <c r="F83" s="3">
        <v>5.5</v>
      </c>
      <c r="H83" s="3">
        <v>11</v>
      </c>
      <c r="I83" s="3">
        <v>9.0869999999999997</v>
      </c>
      <c r="J83" s="3">
        <v>33.137</v>
      </c>
      <c r="K83" s="3">
        <v>11.449</v>
      </c>
    </row>
    <row r="84" spans="2:11" x14ac:dyDescent="0.25">
      <c r="B84" s="2" t="s">
        <v>4166</v>
      </c>
      <c r="C84" s="2" t="s">
        <v>4167</v>
      </c>
      <c r="D84" s="3">
        <v>13.82</v>
      </c>
      <c r="E84" s="3">
        <v>23.68</v>
      </c>
      <c r="F84" s="3">
        <v>5.2</v>
      </c>
      <c r="H84" s="3">
        <v>505</v>
      </c>
      <c r="I84" s="3">
        <v>8.7010000000000005</v>
      </c>
      <c r="J84" s="3">
        <v>23.545000000000002</v>
      </c>
      <c r="K84" s="3">
        <v>22.713999999999999</v>
      </c>
    </row>
    <row r="85" spans="2:11" x14ac:dyDescent="0.25">
      <c r="B85" s="2" t="s">
        <v>4168</v>
      </c>
      <c r="C85" s="2" t="s">
        <v>4169</v>
      </c>
      <c r="D85" s="3">
        <v>18</v>
      </c>
      <c r="E85" s="3">
        <v>19.02</v>
      </c>
      <c r="F85" s="3">
        <v>7.1</v>
      </c>
      <c r="G85" s="3">
        <v>3.9</v>
      </c>
      <c r="H85" s="3">
        <v>113</v>
      </c>
      <c r="I85" s="3">
        <v>7.0229999999999997</v>
      </c>
      <c r="J85" s="3">
        <v>27.596</v>
      </c>
      <c r="K85" s="3">
        <v>19.478999999999999</v>
      </c>
    </row>
    <row r="86" spans="2:11" x14ac:dyDescent="0.25">
      <c r="B86" s="2" t="s">
        <v>4170</v>
      </c>
      <c r="C86" s="2" t="s">
        <v>4171</v>
      </c>
      <c r="D86" s="3">
        <v>9.17</v>
      </c>
      <c r="E86" s="3">
        <v>13.86</v>
      </c>
      <c r="F86" s="3">
        <v>9.6</v>
      </c>
      <c r="G86" s="3">
        <v>3.97</v>
      </c>
      <c r="H86" s="3">
        <v>0</v>
      </c>
      <c r="I86" s="3">
        <v>6.18</v>
      </c>
      <c r="J86" s="3">
        <v>40.801000000000002</v>
      </c>
      <c r="K86" s="3">
        <v>21.614000000000001</v>
      </c>
    </row>
    <row r="87" spans="2:11" x14ac:dyDescent="0.25">
      <c r="B87" s="2" t="s">
        <v>4172</v>
      </c>
      <c r="C87" s="2" t="s">
        <v>4173</v>
      </c>
      <c r="D87" s="3">
        <v>9.5</v>
      </c>
      <c r="E87" s="3">
        <v>13.55</v>
      </c>
      <c r="F87" s="3">
        <v>9.4</v>
      </c>
      <c r="G87" s="3">
        <v>4.0599999999999996</v>
      </c>
      <c r="H87" s="3">
        <v>1</v>
      </c>
      <c r="I87" s="3">
        <v>6.2830000000000004</v>
      </c>
      <c r="J87" s="3">
        <v>43.957000000000001</v>
      </c>
      <c r="K87" s="3">
        <v>20.571999999999999</v>
      </c>
    </row>
    <row r="88" spans="2:11" x14ac:dyDescent="0.25">
      <c r="B88" s="2" t="s">
        <v>4174</v>
      </c>
      <c r="C88" s="2" t="s">
        <v>4175</v>
      </c>
      <c r="D88" s="3">
        <v>9.1999999999999993</v>
      </c>
      <c r="E88" s="3">
        <v>13.01</v>
      </c>
      <c r="F88" s="3">
        <v>9.5</v>
      </c>
      <c r="G88" s="3">
        <v>3.97</v>
      </c>
      <c r="H88" s="3">
        <v>1</v>
      </c>
      <c r="I88" s="3">
        <v>7.2380000000000004</v>
      </c>
      <c r="J88" s="3">
        <v>40.97</v>
      </c>
      <c r="K88" s="3">
        <v>23.584</v>
      </c>
    </row>
    <row r="89" spans="2:11" x14ac:dyDescent="0.25">
      <c r="B89" s="2" t="s">
        <v>4176</v>
      </c>
      <c r="C89" s="2" t="s">
        <v>4177</v>
      </c>
      <c r="D89" s="3">
        <v>10.8</v>
      </c>
      <c r="E89" s="3">
        <v>3.98</v>
      </c>
      <c r="H89" s="3">
        <v>3</v>
      </c>
      <c r="I89" s="3">
        <v>31.184000000000001</v>
      </c>
      <c r="J89" s="3">
        <v>37.228999999999999</v>
      </c>
      <c r="K89" s="3">
        <v>7.6050000000000004</v>
      </c>
    </row>
    <row r="90" spans="2:11" x14ac:dyDescent="0.25">
      <c r="B90" s="2" t="s">
        <v>4178</v>
      </c>
      <c r="C90" s="2" t="s">
        <v>4179</v>
      </c>
      <c r="D90" s="3">
        <v>13.69</v>
      </c>
      <c r="E90" s="3">
        <v>13.08</v>
      </c>
      <c r="F90" s="3">
        <v>3.7</v>
      </c>
      <c r="G90" s="3">
        <v>3.59</v>
      </c>
      <c r="H90" s="3">
        <v>2</v>
      </c>
      <c r="I90" s="3">
        <v>4.899</v>
      </c>
      <c r="J90" s="3">
        <v>18.763999999999999</v>
      </c>
      <c r="K90" s="3">
        <v>34.070999999999998</v>
      </c>
    </row>
    <row r="91" spans="2:11" x14ac:dyDescent="0.25">
      <c r="B91" s="2" t="s">
        <v>4180</v>
      </c>
      <c r="C91" s="2" t="s">
        <v>4181</v>
      </c>
      <c r="D91" s="3">
        <v>11.57</v>
      </c>
      <c r="E91" s="3">
        <v>19.3</v>
      </c>
      <c r="F91" s="3">
        <v>10.7</v>
      </c>
      <c r="H91" s="3">
        <v>72</v>
      </c>
      <c r="I91" s="3">
        <v>9.3770000000000007</v>
      </c>
      <c r="J91" s="3">
        <v>22.942</v>
      </c>
      <c r="K91" s="3">
        <v>25.667999999999999</v>
      </c>
    </row>
    <row r="92" spans="2:11" x14ac:dyDescent="0.25">
      <c r="B92" s="2" t="s">
        <v>4182</v>
      </c>
      <c r="C92" s="2" t="s">
        <v>4183</v>
      </c>
      <c r="D92" s="3">
        <v>20.16</v>
      </c>
      <c r="E92" s="3">
        <v>27.17</v>
      </c>
      <c r="F92" s="3">
        <v>10.6</v>
      </c>
      <c r="G92" s="3">
        <v>7.66</v>
      </c>
      <c r="H92" s="3">
        <v>1</v>
      </c>
      <c r="I92" s="3">
        <v>5.907</v>
      </c>
      <c r="J92" s="3">
        <v>23.257000000000001</v>
      </c>
      <c r="K92" s="3">
        <v>14.38</v>
      </c>
    </row>
    <row r="93" spans="2:11" x14ac:dyDescent="0.25">
      <c r="B93" s="2" t="s">
        <v>4184</v>
      </c>
      <c r="C93" s="2" t="s">
        <v>4185</v>
      </c>
      <c r="D93" s="3">
        <v>21.05</v>
      </c>
      <c r="E93" s="3">
        <v>28.28</v>
      </c>
      <c r="F93" s="3">
        <v>10.3</v>
      </c>
      <c r="G93" s="3">
        <v>7.74</v>
      </c>
      <c r="H93" s="3">
        <v>6</v>
      </c>
      <c r="I93" s="3">
        <v>5.6449999999999996</v>
      </c>
      <c r="J93" s="3">
        <v>24.533999999999999</v>
      </c>
      <c r="K93" s="3">
        <v>13.346</v>
      </c>
    </row>
    <row r="94" spans="2:11" x14ac:dyDescent="0.25">
      <c r="B94" s="2" t="s">
        <v>4186</v>
      </c>
      <c r="C94" s="2" t="s">
        <v>4187</v>
      </c>
      <c r="D94" s="3">
        <v>24.06</v>
      </c>
      <c r="E94" s="3">
        <v>9.58</v>
      </c>
      <c r="F94" s="3">
        <v>6.8</v>
      </c>
      <c r="G94" s="3">
        <v>1.1000000000000001</v>
      </c>
      <c r="H94" s="3">
        <v>2</v>
      </c>
      <c r="I94" s="3">
        <v>3.4830000000000001</v>
      </c>
      <c r="J94" s="3">
        <v>15.442</v>
      </c>
      <c r="K94" s="3">
        <v>36.436999999999998</v>
      </c>
    </row>
    <row r="95" spans="2:11" x14ac:dyDescent="0.25">
      <c r="B95" s="2" t="s">
        <v>4188</v>
      </c>
      <c r="C95" s="2" t="s">
        <v>4189</v>
      </c>
      <c r="D95" s="3">
        <v>15.23</v>
      </c>
      <c r="E95" s="3">
        <v>13.71</v>
      </c>
      <c r="F95" s="3">
        <v>6.7</v>
      </c>
      <c r="G95" s="3">
        <v>2.61</v>
      </c>
      <c r="H95" s="3">
        <v>2</v>
      </c>
      <c r="I95" s="3">
        <v>6.1260000000000003</v>
      </c>
      <c r="J95" s="3">
        <v>8.9329999999999998</v>
      </c>
      <c r="K95" s="3">
        <v>47.173999999999999</v>
      </c>
    </row>
    <row r="96" spans="2:11" x14ac:dyDescent="0.25">
      <c r="B96" s="2" t="s">
        <v>4190</v>
      </c>
      <c r="C96" s="2" t="s">
        <v>4191</v>
      </c>
      <c r="D96" s="3">
        <v>8.2799999999999994</v>
      </c>
      <c r="E96" s="3">
        <v>47.59</v>
      </c>
      <c r="F96" s="3">
        <v>3.6</v>
      </c>
      <c r="G96" s="3">
        <v>32.14</v>
      </c>
      <c r="H96" s="3">
        <v>446</v>
      </c>
      <c r="I96" s="3">
        <v>3.5710000000000002</v>
      </c>
      <c r="J96" s="3">
        <v>5.3570000000000002</v>
      </c>
      <c r="K96" s="3">
        <v>25</v>
      </c>
    </row>
    <row r="97" spans="2:11" x14ac:dyDescent="0.25">
      <c r="B97" s="2" t="s">
        <v>4192</v>
      </c>
      <c r="C97" s="2" t="s">
        <v>4193</v>
      </c>
      <c r="D97" s="3">
        <v>14.29</v>
      </c>
      <c r="E97" s="3">
        <v>17.86</v>
      </c>
      <c r="F97" s="3">
        <v>7.1</v>
      </c>
      <c r="G97" s="3">
        <v>3.57</v>
      </c>
      <c r="H97" s="3">
        <v>643</v>
      </c>
      <c r="I97" s="3">
        <v>5.3570000000000002</v>
      </c>
      <c r="J97" s="3">
        <v>8.3710000000000004</v>
      </c>
      <c r="K97" s="3">
        <v>44.182000000000002</v>
      </c>
    </row>
    <row r="98" spans="2:11" x14ac:dyDescent="0.25">
      <c r="B98" s="2" t="s">
        <v>4194</v>
      </c>
      <c r="C98" s="2" t="s">
        <v>4195</v>
      </c>
      <c r="D98" s="3">
        <v>6.2</v>
      </c>
      <c r="E98" s="3">
        <v>40.1</v>
      </c>
      <c r="F98" s="3">
        <v>6</v>
      </c>
      <c r="H98" s="3">
        <v>28</v>
      </c>
      <c r="I98" s="3">
        <v>0.72899999999999998</v>
      </c>
      <c r="J98" s="3">
        <v>0.34399999999999997</v>
      </c>
      <c r="K98" s="3">
        <v>1.4379999999999999</v>
      </c>
    </row>
    <row r="99" spans="2:11" x14ac:dyDescent="0.25">
      <c r="B99" s="2" t="s">
        <v>4196</v>
      </c>
      <c r="C99" s="2" t="s">
        <v>4197</v>
      </c>
      <c r="D99" s="3">
        <v>32.590000000000003</v>
      </c>
      <c r="E99" s="3">
        <v>21.9</v>
      </c>
      <c r="F99" s="3">
        <v>5.5</v>
      </c>
      <c r="H99" s="3">
        <v>25</v>
      </c>
      <c r="I99" s="3">
        <v>9.6989999999999998</v>
      </c>
      <c r="J99" s="3">
        <v>6.9189999999999996</v>
      </c>
      <c r="K99" s="3">
        <v>18.068000000000001</v>
      </c>
    </row>
    <row r="100" spans="2:11" x14ac:dyDescent="0.25">
      <c r="B100" s="2" t="s">
        <v>4198</v>
      </c>
      <c r="C100" s="2" t="s">
        <v>4199</v>
      </c>
      <c r="D100" s="3">
        <v>18.55</v>
      </c>
      <c r="E100" s="3">
        <v>53.75</v>
      </c>
      <c r="F100" s="3">
        <v>18.399999999999999</v>
      </c>
      <c r="H100" s="3">
        <v>18</v>
      </c>
      <c r="I100" s="3">
        <v>3.67</v>
      </c>
      <c r="J100" s="3">
        <v>6.032</v>
      </c>
      <c r="K100" s="3">
        <v>8.8439999999999994</v>
      </c>
    </row>
    <row r="101" spans="2:11" x14ac:dyDescent="0.25">
      <c r="B101" s="2" t="s">
        <v>4200</v>
      </c>
      <c r="C101" s="2" t="s">
        <v>4201</v>
      </c>
      <c r="D101" s="3">
        <v>17</v>
      </c>
      <c r="E101" s="3">
        <v>21.19</v>
      </c>
      <c r="F101" s="3">
        <v>9.3000000000000007</v>
      </c>
      <c r="G101" s="3">
        <v>0.49</v>
      </c>
      <c r="H101" s="3">
        <v>115</v>
      </c>
      <c r="I101" s="3">
        <v>7.5289999999999999</v>
      </c>
      <c r="J101" s="3">
        <v>20.302</v>
      </c>
      <c r="K101" s="3">
        <v>23.564</v>
      </c>
    </row>
    <row r="102" spans="2:11" x14ac:dyDescent="0.25">
      <c r="B102" s="2" t="s">
        <v>4202</v>
      </c>
      <c r="C102" s="2" t="s">
        <v>4203</v>
      </c>
      <c r="D102" s="3">
        <v>3.17</v>
      </c>
      <c r="E102" s="3">
        <v>52.96</v>
      </c>
      <c r="F102" s="3">
        <v>5.0999999999999996</v>
      </c>
      <c r="G102" s="3">
        <v>10.6</v>
      </c>
      <c r="H102" s="3">
        <v>2</v>
      </c>
      <c r="I102" s="3">
        <v>0.41399999999999998</v>
      </c>
      <c r="J102" s="3">
        <v>0.75900000000000001</v>
      </c>
      <c r="K102" s="3">
        <v>0.86899999999999999</v>
      </c>
    </row>
    <row r="103" spans="2:11" x14ac:dyDescent="0.25">
      <c r="B103" s="2" t="s">
        <v>4204</v>
      </c>
      <c r="C103" s="2" t="s">
        <v>4205</v>
      </c>
      <c r="D103" s="3">
        <v>18.079999999999998</v>
      </c>
      <c r="E103" s="3">
        <v>24.05</v>
      </c>
      <c r="F103" s="3">
        <v>5.5</v>
      </c>
      <c r="H103" s="3">
        <v>12</v>
      </c>
      <c r="I103" s="3">
        <v>7.1239999999999997</v>
      </c>
      <c r="J103" s="3">
        <v>19.209</v>
      </c>
      <c r="K103" s="3">
        <v>22.295999999999999</v>
      </c>
    </row>
    <row r="104" spans="2:11" x14ac:dyDescent="0.25">
      <c r="B104" s="2" t="s">
        <v>4206</v>
      </c>
      <c r="C104" s="2" t="s">
        <v>4207</v>
      </c>
      <c r="D104" s="3">
        <v>30.78</v>
      </c>
      <c r="E104" s="3">
        <v>26.62</v>
      </c>
      <c r="H104" s="3">
        <v>41</v>
      </c>
      <c r="I104" s="3">
        <v>5.1959999999999997</v>
      </c>
      <c r="J104" s="3">
        <v>14.01</v>
      </c>
      <c r="K104" s="3">
        <v>16.260999999999999</v>
      </c>
    </row>
    <row r="105" spans="2:11" x14ac:dyDescent="0.25">
      <c r="B105" s="2" t="s">
        <v>4208</v>
      </c>
      <c r="C105" s="2" t="s">
        <v>4209</v>
      </c>
      <c r="D105" s="3">
        <v>17.95</v>
      </c>
      <c r="E105" s="3">
        <v>17.89</v>
      </c>
      <c r="F105" s="3">
        <v>9.3000000000000007</v>
      </c>
      <c r="H105" s="3">
        <v>1</v>
      </c>
      <c r="I105" s="3">
        <v>7.9039999999999999</v>
      </c>
      <c r="J105" s="3">
        <v>21.312999999999999</v>
      </c>
      <c r="K105" s="3">
        <v>24.736999999999998</v>
      </c>
    </row>
    <row r="106" spans="2:11" x14ac:dyDescent="0.25">
      <c r="B106" s="2" t="s">
        <v>4210</v>
      </c>
      <c r="C106" s="2" t="s">
        <v>4211</v>
      </c>
      <c r="D106" s="3">
        <v>28.33</v>
      </c>
      <c r="E106" s="3">
        <v>15.31</v>
      </c>
      <c r="H106" s="3">
        <v>99</v>
      </c>
      <c r="I106" s="3">
        <v>9.7789999999999999</v>
      </c>
      <c r="J106" s="3">
        <v>7.407</v>
      </c>
      <c r="K106" s="3">
        <v>28.094000000000001</v>
      </c>
    </row>
    <row r="107" spans="2:11" x14ac:dyDescent="0.25">
      <c r="B107" s="2" t="s">
        <v>4212</v>
      </c>
      <c r="C107" s="2" t="s">
        <v>4213</v>
      </c>
      <c r="D107" s="3">
        <v>5.25</v>
      </c>
      <c r="E107" s="3">
        <v>81.430000000000007</v>
      </c>
      <c r="H107" s="3">
        <v>34</v>
      </c>
      <c r="I107" s="3">
        <v>0.183</v>
      </c>
      <c r="J107" s="3">
        <v>0.65</v>
      </c>
      <c r="K107" s="3">
        <v>0.32200000000000001</v>
      </c>
    </row>
    <row r="108" spans="2:11" x14ac:dyDescent="0.25">
      <c r="B108" s="2" t="s">
        <v>4214</v>
      </c>
      <c r="C108" s="2" t="s">
        <v>4215</v>
      </c>
      <c r="D108" s="3">
        <v>1.61</v>
      </c>
      <c r="E108" s="3">
        <v>5.58</v>
      </c>
      <c r="H108" s="3">
        <v>12</v>
      </c>
      <c r="I108" s="3">
        <v>18.445</v>
      </c>
      <c r="J108" s="3">
        <v>0.88500000000000001</v>
      </c>
      <c r="K108" s="3">
        <v>0.22800000000000001</v>
      </c>
    </row>
    <row r="109" spans="2:11" x14ac:dyDescent="0.25">
      <c r="B109" s="2" t="s">
        <v>4216</v>
      </c>
      <c r="C109" s="2" t="s">
        <v>4217</v>
      </c>
      <c r="D109" s="3">
        <v>5.3</v>
      </c>
      <c r="E109" s="3">
        <v>21.52</v>
      </c>
      <c r="H109" s="3">
        <v>37</v>
      </c>
      <c r="I109" s="3">
        <v>61.256999999999998</v>
      </c>
      <c r="J109" s="3">
        <v>2.9390000000000001</v>
      </c>
      <c r="K109" s="3">
        <v>0.75600000000000001</v>
      </c>
    </row>
    <row r="110" spans="2:11" x14ac:dyDescent="0.25">
      <c r="B110" s="2" t="s">
        <v>4218</v>
      </c>
      <c r="C110" s="2" t="s">
        <v>4219</v>
      </c>
      <c r="D110" s="3">
        <v>2.88</v>
      </c>
      <c r="E110" s="3">
        <v>47.67</v>
      </c>
      <c r="F110" s="3">
        <v>4.5</v>
      </c>
      <c r="G110" s="3">
        <v>43.17</v>
      </c>
      <c r="H110" s="3">
        <v>262</v>
      </c>
      <c r="I110" s="3">
        <v>31.468</v>
      </c>
      <c r="J110" s="3">
        <v>1.51</v>
      </c>
      <c r="K110" s="3">
        <v>0.38800000000000001</v>
      </c>
    </row>
    <row r="111" spans="2:11" x14ac:dyDescent="0.25">
      <c r="B111" s="2" t="s">
        <v>4220</v>
      </c>
      <c r="C111" s="2" t="s">
        <v>4221</v>
      </c>
      <c r="D111" s="3">
        <v>12.14</v>
      </c>
      <c r="E111" s="3">
        <v>58.26</v>
      </c>
      <c r="H111" s="3">
        <v>92</v>
      </c>
      <c r="I111" s="3">
        <v>0.90200000000000002</v>
      </c>
      <c r="J111" s="3">
        <v>1.486</v>
      </c>
      <c r="K111" s="3">
        <v>2.0230000000000001</v>
      </c>
    </row>
    <row r="112" spans="2:11" x14ac:dyDescent="0.25">
      <c r="B112" s="2" t="s">
        <v>4222</v>
      </c>
      <c r="C112" s="2" t="s">
        <v>4223</v>
      </c>
      <c r="D112" s="3">
        <v>20.96</v>
      </c>
      <c r="E112" s="3">
        <v>18.82</v>
      </c>
      <c r="F112" s="3">
        <v>10.3</v>
      </c>
      <c r="G112" s="3">
        <v>4.43</v>
      </c>
      <c r="H112" s="3">
        <v>7</v>
      </c>
      <c r="I112" s="3">
        <v>4.1520000000000001</v>
      </c>
      <c r="J112" s="3">
        <v>32.445</v>
      </c>
      <c r="K112" s="3">
        <v>13.613</v>
      </c>
    </row>
    <row r="113" spans="2:11" x14ac:dyDescent="0.25">
      <c r="B113" s="2" t="s">
        <v>4224</v>
      </c>
      <c r="C113" s="2" t="s">
        <v>4225</v>
      </c>
      <c r="D113" s="3">
        <v>17.809999999999999</v>
      </c>
      <c r="E113" s="3">
        <v>26.19</v>
      </c>
      <c r="F113" s="3">
        <v>9.3000000000000007</v>
      </c>
      <c r="H113" s="3">
        <v>74</v>
      </c>
      <c r="I113" s="3">
        <v>6.7220000000000004</v>
      </c>
      <c r="J113" s="3">
        <v>18.126999999999999</v>
      </c>
      <c r="K113" s="3">
        <v>21.039000000000001</v>
      </c>
    </row>
    <row r="114" spans="2:11" x14ac:dyDescent="0.25">
      <c r="B114" s="2" t="s">
        <v>4226</v>
      </c>
      <c r="C114" s="2" t="s">
        <v>4227</v>
      </c>
      <c r="D114" s="3">
        <v>13.11</v>
      </c>
      <c r="E114" s="3">
        <v>20.79</v>
      </c>
      <c r="F114" s="3">
        <v>5.2</v>
      </c>
      <c r="H114" s="3">
        <v>91</v>
      </c>
      <c r="I114" s="3">
        <v>9.3699999999999992</v>
      </c>
      <c r="J114" s="3">
        <v>25.722000000000001</v>
      </c>
      <c r="K114" s="3">
        <v>24.283999999999999</v>
      </c>
    </row>
    <row r="115" spans="2:11" x14ac:dyDescent="0.25">
      <c r="B115" s="2" t="s">
        <v>4228</v>
      </c>
      <c r="C115" s="2" t="s">
        <v>4229</v>
      </c>
      <c r="D115" s="3">
        <v>20.45</v>
      </c>
      <c r="E115" s="3">
        <v>11.73</v>
      </c>
      <c r="F115" s="3">
        <v>11.6</v>
      </c>
      <c r="G115" s="3">
        <v>0.48</v>
      </c>
      <c r="H115" s="3">
        <v>47</v>
      </c>
      <c r="I115" s="3">
        <v>9.0549999999999997</v>
      </c>
      <c r="J115" s="3">
        <v>23.923999999999999</v>
      </c>
      <c r="K115" s="3">
        <v>25.491</v>
      </c>
    </row>
    <row r="116" spans="2:11" x14ac:dyDescent="0.25">
      <c r="B116" s="2" t="s">
        <v>4230</v>
      </c>
      <c r="C116" s="2" t="s">
        <v>4231</v>
      </c>
      <c r="D116" s="3">
        <v>2.25</v>
      </c>
      <c r="E116" s="3">
        <v>34.909999999999997</v>
      </c>
      <c r="H116" s="3">
        <v>14</v>
      </c>
      <c r="I116" s="3">
        <v>7.8E-2</v>
      </c>
      <c r="J116" s="3">
        <v>0.27800000000000002</v>
      </c>
      <c r="K116" s="3">
        <v>0.13800000000000001</v>
      </c>
    </row>
    <row r="117" spans="2:11" x14ac:dyDescent="0.25">
      <c r="B117" s="2" t="s">
        <v>4232</v>
      </c>
      <c r="C117" s="2" t="s">
        <v>4233</v>
      </c>
      <c r="D117" s="3">
        <v>0.82</v>
      </c>
      <c r="E117" s="3">
        <v>12.64</v>
      </c>
      <c r="H117" s="3">
        <v>5</v>
      </c>
      <c r="I117" s="3">
        <v>2.8000000000000001E-2</v>
      </c>
      <c r="J117" s="3">
        <v>0.10100000000000001</v>
      </c>
      <c r="K117" s="3">
        <v>0.05</v>
      </c>
    </row>
    <row r="118" spans="2:11" x14ac:dyDescent="0.25">
      <c r="B118" s="2" t="s">
        <v>4234</v>
      </c>
      <c r="C118" s="2" t="s">
        <v>4235</v>
      </c>
      <c r="D118" s="3">
        <v>2.97</v>
      </c>
      <c r="E118" s="3">
        <v>45.13</v>
      </c>
      <c r="H118" s="3">
        <v>19</v>
      </c>
      <c r="I118" s="3">
        <v>0.11799999999999999</v>
      </c>
      <c r="J118" s="3">
        <v>0.41899999999999998</v>
      </c>
      <c r="K118" s="3">
        <v>0.20699999999999999</v>
      </c>
    </row>
    <row r="119" spans="2:11" x14ac:dyDescent="0.25">
      <c r="B119" s="2" t="s">
        <v>4236</v>
      </c>
      <c r="C119" s="2" t="s">
        <v>4237</v>
      </c>
      <c r="D119" s="3">
        <v>4.13</v>
      </c>
      <c r="E119" s="3">
        <v>17.28</v>
      </c>
      <c r="H119" s="3">
        <v>1</v>
      </c>
      <c r="I119" s="3">
        <v>8.7999999999999995E-2</v>
      </c>
      <c r="J119" s="3">
        <v>0.104</v>
      </c>
      <c r="K119" s="3">
        <v>0.312</v>
      </c>
    </row>
    <row r="120" spans="2:11" x14ac:dyDescent="0.25">
      <c r="B120" s="2" t="s">
        <v>4238</v>
      </c>
      <c r="C120" s="2" t="s">
        <v>4239</v>
      </c>
      <c r="D120" s="3">
        <v>18.170000000000002</v>
      </c>
      <c r="E120" s="3">
        <v>27.9</v>
      </c>
      <c r="F120" s="3">
        <v>13.7</v>
      </c>
      <c r="H120" s="3">
        <v>130</v>
      </c>
      <c r="I120" s="3">
        <v>4.7300000000000004</v>
      </c>
      <c r="J120" s="3">
        <v>32.402000000000001</v>
      </c>
      <c r="K120" s="3">
        <v>10.472</v>
      </c>
    </row>
    <row r="121" spans="2:11" x14ac:dyDescent="0.25">
      <c r="B121" s="2" t="s">
        <v>4240</v>
      </c>
      <c r="C121" s="2" t="s">
        <v>4241</v>
      </c>
      <c r="D121" s="3">
        <v>18.29</v>
      </c>
      <c r="E121" s="3">
        <v>28.88</v>
      </c>
      <c r="F121" s="3">
        <v>27.3</v>
      </c>
      <c r="G121" s="3">
        <v>1.55</v>
      </c>
      <c r="H121" s="3">
        <v>30</v>
      </c>
      <c r="I121" s="3">
        <v>3.6629999999999998</v>
      </c>
      <c r="J121" s="3">
        <v>7.5270000000000001</v>
      </c>
      <c r="K121" s="3">
        <v>28.73</v>
      </c>
    </row>
    <row r="122" spans="2:11" x14ac:dyDescent="0.25">
      <c r="B122" s="2" t="s">
        <v>4242</v>
      </c>
      <c r="C122" s="2" t="s">
        <v>4243</v>
      </c>
      <c r="D122" s="3">
        <v>29.84</v>
      </c>
      <c r="E122" s="3">
        <v>14.71</v>
      </c>
      <c r="F122" s="3">
        <v>6.5</v>
      </c>
      <c r="G122" s="3">
        <v>1.29</v>
      </c>
      <c r="H122" s="3">
        <v>256</v>
      </c>
      <c r="I122" s="3">
        <v>8.5440000000000005</v>
      </c>
      <c r="J122" s="3">
        <v>15.734</v>
      </c>
      <c r="K122" s="3">
        <v>19.856000000000002</v>
      </c>
    </row>
    <row r="123" spans="2:11" x14ac:dyDescent="0.25">
      <c r="B123" s="2" t="s">
        <v>4244</v>
      </c>
      <c r="C123" s="2" t="s">
        <v>4245</v>
      </c>
      <c r="D123" s="3">
        <v>16.96</v>
      </c>
      <c r="E123" s="3">
        <v>26.04</v>
      </c>
      <c r="F123" s="3">
        <v>16.899999999999999</v>
      </c>
      <c r="G123" s="3">
        <v>0.48</v>
      </c>
      <c r="H123" s="3">
        <v>588</v>
      </c>
      <c r="I123" s="3">
        <v>6.7220000000000004</v>
      </c>
      <c r="J123" s="3">
        <v>18.126999999999999</v>
      </c>
      <c r="K123" s="3">
        <v>21.039000000000001</v>
      </c>
    </row>
    <row r="124" spans="2:11" x14ac:dyDescent="0.25">
      <c r="B124" s="2" t="s">
        <v>4246</v>
      </c>
      <c r="C124" s="2" t="s">
        <v>4247</v>
      </c>
      <c r="D124" s="3">
        <v>19.329999999999998</v>
      </c>
      <c r="E124" s="3">
        <v>15.31</v>
      </c>
      <c r="F124" s="3">
        <v>9</v>
      </c>
      <c r="G124" s="3">
        <v>2.73</v>
      </c>
      <c r="H124" s="3">
        <v>6008</v>
      </c>
      <c r="I124" s="3">
        <v>5.2190000000000003</v>
      </c>
      <c r="J124" s="3">
        <v>9.5050000000000008</v>
      </c>
      <c r="K124" s="3">
        <v>32.884</v>
      </c>
    </row>
    <row r="125" spans="2:11" x14ac:dyDescent="0.25">
      <c r="B125" s="2" t="s">
        <v>4248</v>
      </c>
      <c r="C125" s="2" t="s">
        <v>4249</v>
      </c>
      <c r="D125" s="3">
        <v>19.329999999999998</v>
      </c>
      <c r="E125" s="3">
        <v>24.07</v>
      </c>
      <c r="F125" s="3">
        <v>9</v>
      </c>
      <c r="G125" s="3">
        <v>2.73</v>
      </c>
      <c r="H125" s="3">
        <v>655</v>
      </c>
      <c r="I125" s="3">
        <v>5.2190000000000003</v>
      </c>
      <c r="J125" s="3">
        <v>9.5050000000000008</v>
      </c>
      <c r="K125" s="3">
        <v>32.884</v>
      </c>
    </row>
    <row r="126" spans="2:11" x14ac:dyDescent="0.25">
      <c r="B126" s="2" t="s">
        <v>4250</v>
      </c>
      <c r="C126" s="2" t="s">
        <v>4251</v>
      </c>
      <c r="D126" s="3">
        <v>20.059999999999999</v>
      </c>
      <c r="E126" s="3">
        <v>22.89</v>
      </c>
      <c r="F126" s="3">
        <v>10.6</v>
      </c>
      <c r="G126" s="3">
        <v>3.11</v>
      </c>
      <c r="H126" s="3">
        <v>733</v>
      </c>
      <c r="I126" s="3">
        <v>7.0679999999999996</v>
      </c>
      <c r="J126" s="3">
        <v>8.0630000000000006</v>
      </c>
      <c r="K126" s="3">
        <v>34.293999999999997</v>
      </c>
    </row>
    <row r="127" spans="2:11" x14ac:dyDescent="0.25">
      <c r="B127" s="2" t="s">
        <v>4252</v>
      </c>
      <c r="C127" s="2" t="s">
        <v>4253</v>
      </c>
      <c r="D127" s="3">
        <v>17.21</v>
      </c>
      <c r="E127" s="3">
        <v>20.59</v>
      </c>
      <c r="F127" s="3">
        <v>11.5</v>
      </c>
      <c r="H127" s="3">
        <v>613</v>
      </c>
      <c r="I127" s="3">
        <v>5.9530000000000003</v>
      </c>
      <c r="J127" s="3">
        <v>10.840999999999999</v>
      </c>
      <c r="K127" s="3">
        <v>37.506999999999998</v>
      </c>
    </row>
    <row r="128" spans="2:11" x14ac:dyDescent="0.25">
      <c r="B128" s="2" t="s">
        <v>4254</v>
      </c>
      <c r="C128" s="2" t="s">
        <v>4255</v>
      </c>
      <c r="D128" s="3">
        <v>17.28</v>
      </c>
      <c r="E128" s="3">
        <v>23.32</v>
      </c>
      <c r="F128" s="3">
        <v>5.7</v>
      </c>
      <c r="G128" s="3">
        <v>10.54</v>
      </c>
      <c r="H128" s="3">
        <v>331</v>
      </c>
      <c r="I128" s="3">
        <v>4.6779999999999999</v>
      </c>
      <c r="J128" s="3">
        <v>39.024999999999999</v>
      </c>
      <c r="K128" s="3">
        <v>9.8049999999999997</v>
      </c>
    </row>
    <row r="129" spans="2:11" x14ac:dyDescent="0.25">
      <c r="B129" s="2" t="s">
        <v>4256</v>
      </c>
      <c r="C129" s="2" t="s">
        <v>4257</v>
      </c>
      <c r="D129" s="3">
        <v>20.96</v>
      </c>
      <c r="E129" s="3">
        <v>21.01</v>
      </c>
      <c r="F129" s="3">
        <v>10.9</v>
      </c>
      <c r="G129" s="3">
        <v>4.8600000000000003</v>
      </c>
      <c r="H129" s="3">
        <v>498</v>
      </c>
      <c r="I129" s="3">
        <v>4.0919999999999996</v>
      </c>
      <c r="J129" s="3">
        <v>33.076000000000001</v>
      </c>
      <c r="K129" s="3">
        <v>12.955</v>
      </c>
    </row>
    <row r="130" spans="2:11" x14ac:dyDescent="0.25">
      <c r="B130" s="2" t="s">
        <v>4258</v>
      </c>
      <c r="C130" s="2" t="s">
        <v>4259</v>
      </c>
      <c r="D130" s="3">
        <v>21.23</v>
      </c>
      <c r="E130" s="3">
        <v>17.68</v>
      </c>
      <c r="F130" s="3">
        <v>10.5</v>
      </c>
      <c r="G130" s="3">
        <v>4.55</v>
      </c>
      <c r="H130" s="3">
        <v>339</v>
      </c>
      <c r="I130" s="3">
        <v>4.2080000000000002</v>
      </c>
      <c r="J130" s="3">
        <v>34.792999999999999</v>
      </c>
      <c r="K130" s="3">
        <v>13.519</v>
      </c>
    </row>
    <row r="131" spans="2:11" x14ac:dyDescent="0.25">
      <c r="B131" s="2" t="s">
        <v>4260</v>
      </c>
      <c r="C131" s="2" t="s">
        <v>4261</v>
      </c>
      <c r="D131" s="3">
        <v>21.43</v>
      </c>
      <c r="E131" s="3">
        <v>17.86</v>
      </c>
      <c r="F131" s="3">
        <v>10.7</v>
      </c>
      <c r="G131" s="3">
        <v>3.57</v>
      </c>
      <c r="H131" s="3">
        <v>548</v>
      </c>
      <c r="I131" s="3">
        <v>3.5710000000000002</v>
      </c>
    </row>
    <row r="132" spans="2:11" x14ac:dyDescent="0.25">
      <c r="B132" s="2" t="s">
        <v>4262</v>
      </c>
      <c r="C132" s="2" t="s">
        <v>4263</v>
      </c>
      <c r="D132" s="3">
        <v>15.31</v>
      </c>
      <c r="E132" s="3">
        <v>32.69</v>
      </c>
      <c r="F132" s="3">
        <v>3</v>
      </c>
      <c r="G132" s="3">
        <v>5.01</v>
      </c>
      <c r="H132" s="3">
        <v>640</v>
      </c>
      <c r="I132" s="3">
        <v>9.157</v>
      </c>
      <c r="J132" s="3">
        <v>27.317</v>
      </c>
      <c r="K132" s="3">
        <v>7.8360000000000003</v>
      </c>
    </row>
    <row r="133" spans="2:11" x14ac:dyDescent="0.25">
      <c r="B133" s="2" t="s">
        <v>4264</v>
      </c>
      <c r="C133" s="2" t="s">
        <v>4265</v>
      </c>
      <c r="D133" s="3">
        <v>16.84</v>
      </c>
      <c r="E133" s="3">
        <v>30.16</v>
      </c>
      <c r="F133" s="3">
        <v>3.3</v>
      </c>
      <c r="G133" s="3">
        <v>5.01</v>
      </c>
      <c r="H133" s="3">
        <v>308</v>
      </c>
      <c r="I133" s="3">
        <v>8.4779999999999998</v>
      </c>
      <c r="J133" s="3">
        <v>25.922999999999998</v>
      </c>
      <c r="K133" s="3">
        <v>8.5459999999999994</v>
      </c>
    </row>
    <row r="134" spans="2:11" x14ac:dyDescent="0.25">
      <c r="B134" s="2" t="s">
        <v>4266</v>
      </c>
      <c r="C134" s="2" t="s">
        <v>4267</v>
      </c>
      <c r="D134" s="3">
        <v>12.12</v>
      </c>
      <c r="E134" s="3">
        <v>30.3</v>
      </c>
      <c r="F134" s="3">
        <v>3</v>
      </c>
      <c r="G134" s="3">
        <v>9.09</v>
      </c>
      <c r="H134" s="3">
        <v>295</v>
      </c>
      <c r="I134" s="3">
        <v>10.606</v>
      </c>
      <c r="J134" s="3">
        <v>26.709</v>
      </c>
      <c r="K134" s="3">
        <v>13.371</v>
      </c>
    </row>
    <row r="135" spans="2:11" x14ac:dyDescent="0.25">
      <c r="B135" s="2" t="s">
        <v>4268</v>
      </c>
      <c r="C135" s="2" t="s">
        <v>4269</v>
      </c>
      <c r="D135" s="3">
        <v>7.79</v>
      </c>
      <c r="E135" s="3">
        <v>12.83</v>
      </c>
      <c r="F135" s="3">
        <v>8</v>
      </c>
      <c r="G135" s="3">
        <v>4.1399999999999997</v>
      </c>
      <c r="H135" s="3">
        <v>353</v>
      </c>
      <c r="I135" s="3">
        <v>11.946999999999999</v>
      </c>
      <c r="J135" s="3">
        <v>59.274999999999999</v>
      </c>
      <c r="K135" s="3">
        <v>1.498</v>
      </c>
    </row>
    <row r="136" spans="2:11" x14ac:dyDescent="0.25">
      <c r="B136" s="2" t="s">
        <v>4270</v>
      </c>
      <c r="C136" s="2" t="s">
        <v>4271</v>
      </c>
      <c r="D136" s="3">
        <v>17.3</v>
      </c>
      <c r="E136" s="3">
        <v>25.35</v>
      </c>
      <c r="F136" s="3">
        <v>9</v>
      </c>
      <c r="G136" s="3">
        <v>4.8</v>
      </c>
      <c r="H136" s="3">
        <v>345</v>
      </c>
      <c r="I136" s="3">
        <v>6.5</v>
      </c>
      <c r="J136" s="3">
        <v>31.395</v>
      </c>
      <c r="K136" s="3">
        <v>10.768000000000001</v>
      </c>
    </row>
    <row r="137" spans="2:11" x14ac:dyDescent="0.25">
      <c r="B137" s="2" t="s">
        <v>4272</v>
      </c>
      <c r="C137" s="2" t="s">
        <v>4273</v>
      </c>
      <c r="D137" s="3">
        <v>20.04</v>
      </c>
      <c r="E137" s="3">
        <v>21.05</v>
      </c>
      <c r="F137" s="3">
        <v>7</v>
      </c>
      <c r="G137" s="3">
        <v>4.1500000000000004</v>
      </c>
      <c r="H137" s="3">
        <v>273</v>
      </c>
      <c r="I137" s="3">
        <v>8.7110000000000003</v>
      </c>
      <c r="J137" s="3">
        <v>28.488</v>
      </c>
      <c r="K137" s="3">
        <v>14.612</v>
      </c>
    </row>
    <row r="138" spans="2:11" x14ac:dyDescent="0.25">
      <c r="B138" s="2" t="s">
        <v>4274</v>
      </c>
      <c r="C138" s="2" t="s">
        <v>4275</v>
      </c>
      <c r="D138" s="3">
        <v>15.52</v>
      </c>
      <c r="E138" s="3">
        <v>22.27</v>
      </c>
      <c r="F138" s="3">
        <v>5.5</v>
      </c>
      <c r="G138" s="3">
        <v>4.38</v>
      </c>
      <c r="H138" s="3">
        <v>306</v>
      </c>
      <c r="I138" s="3">
        <v>9.0869999999999997</v>
      </c>
      <c r="J138" s="3">
        <v>33.137</v>
      </c>
      <c r="K138" s="3">
        <v>11.449</v>
      </c>
    </row>
    <row r="139" spans="2:11" x14ac:dyDescent="0.25">
      <c r="B139" s="2" t="s">
        <v>4276</v>
      </c>
      <c r="C139" s="2" t="s">
        <v>4277</v>
      </c>
      <c r="D139" s="3">
        <v>9.5</v>
      </c>
      <c r="E139" s="3">
        <v>13.55</v>
      </c>
      <c r="F139" s="3">
        <v>9.4</v>
      </c>
      <c r="G139" s="3">
        <v>4.0599999999999996</v>
      </c>
      <c r="H139" s="3">
        <v>383</v>
      </c>
      <c r="I139" s="3">
        <v>6.2830000000000004</v>
      </c>
      <c r="J139" s="3">
        <v>43.957000000000001</v>
      </c>
      <c r="K139" s="3">
        <v>20.571999999999999</v>
      </c>
    </row>
    <row r="140" spans="2:11" x14ac:dyDescent="0.25">
      <c r="B140" s="2" t="s">
        <v>4278</v>
      </c>
      <c r="C140" s="2" t="s">
        <v>4279</v>
      </c>
      <c r="D140" s="3">
        <v>9.1999999999999993</v>
      </c>
      <c r="E140" s="3">
        <v>13.01</v>
      </c>
      <c r="F140" s="3">
        <v>9.5</v>
      </c>
      <c r="G140" s="3">
        <v>3.97</v>
      </c>
      <c r="H140" s="3">
        <v>393</v>
      </c>
      <c r="I140" s="3">
        <v>7.2380000000000004</v>
      </c>
      <c r="J140" s="3">
        <v>40.97</v>
      </c>
      <c r="K140" s="3">
        <v>23.584</v>
      </c>
    </row>
    <row r="141" spans="2:11" x14ac:dyDescent="0.25">
      <c r="B141" s="2" t="s">
        <v>4280</v>
      </c>
      <c r="C141" s="2" t="s">
        <v>4281</v>
      </c>
      <c r="D141" s="3">
        <v>21.05</v>
      </c>
      <c r="E141" s="3">
        <v>27.55</v>
      </c>
      <c r="F141" s="3">
        <v>10.3</v>
      </c>
      <c r="G141" s="3">
        <v>7.74</v>
      </c>
      <c r="H141" s="3">
        <v>428</v>
      </c>
      <c r="I141" s="3">
        <v>5.6449999999999996</v>
      </c>
      <c r="J141" s="3">
        <v>24.533999999999999</v>
      </c>
      <c r="K141" s="3">
        <v>13.346</v>
      </c>
    </row>
    <row r="142" spans="2:11" x14ac:dyDescent="0.25">
      <c r="B142" s="2" t="s">
        <v>4282</v>
      </c>
      <c r="C142" s="2" t="s">
        <v>4283</v>
      </c>
      <c r="D142" s="3">
        <v>18.55</v>
      </c>
      <c r="E142" s="3">
        <v>53.75</v>
      </c>
      <c r="F142" s="3">
        <v>18.399999999999999</v>
      </c>
      <c r="H142" s="3">
        <v>2541</v>
      </c>
      <c r="I142" s="3">
        <v>3.67</v>
      </c>
      <c r="J142" s="3">
        <v>6.032</v>
      </c>
      <c r="K142" s="3">
        <v>8.8439999999999994</v>
      </c>
    </row>
    <row r="143" spans="2:11" x14ac:dyDescent="0.25">
      <c r="B143" s="2" t="s">
        <v>4284</v>
      </c>
      <c r="C143" s="2" t="s">
        <v>4285</v>
      </c>
      <c r="D143" s="3">
        <v>21.23</v>
      </c>
      <c r="E143" s="3">
        <v>17.68</v>
      </c>
      <c r="F143" s="3">
        <v>10.5</v>
      </c>
      <c r="G143" s="3">
        <v>4.55</v>
      </c>
      <c r="H143" s="3">
        <v>143</v>
      </c>
      <c r="I143" s="3">
        <v>4.2069999999999999</v>
      </c>
      <c r="J143" s="3">
        <v>34.793999999999997</v>
      </c>
      <c r="K143" s="3">
        <v>13.52</v>
      </c>
    </row>
    <row r="144" spans="2:11" x14ac:dyDescent="0.25">
      <c r="B144" s="2" t="s">
        <v>4286</v>
      </c>
      <c r="C144" s="2" t="s">
        <v>4287</v>
      </c>
      <c r="D144" s="3">
        <v>20.96</v>
      </c>
      <c r="E144" s="3">
        <v>18.82</v>
      </c>
      <c r="F144" s="3">
        <v>10.3</v>
      </c>
      <c r="G144" s="3">
        <v>6.27</v>
      </c>
      <c r="H144" s="3">
        <v>227</v>
      </c>
      <c r="I144" s="3">
        <v>6.55</v>
      </c>
      <c r="J144" s="3">
        <v>32.445</v>
      </c>
      <c r="K144" s="3">
        <v>13.613</v>
      </c>
    </row>
    <row r="145" spans="2:11" x14ac:dyDescent="0.25">
      <c r="B145" s="2" t="s">
        <v>4288</v>
      </c>
      <c r="C145" s="2" t="s">
        <v>4289</v>
      </c>
      <c r="D145" s="3">
        <v>17.399999999999999</v>
      </c>
      <c r="E145" s="3">
        <v>21.5</v>
      </c>
      <c r="F145" s="3">
        <v>4.7</v>
      </c>
      <c r="H145" s="3">
        <v>35</v>
      </c>
      <c r="I145" s="3">
        <v>7.423</v>
      </c>
      <c r="J145" s="3">
        <v>20.015999999999998</v>
      </c>
      <c r="K145" s="3">
        <v>23.231999999999999</v>
      </c>
    </row>
    <row r="146" spans="2:11" x14ac:dyDescent="0.25">
      <c r="B146" s="2" t="s">
        <v>4290</v>
      </c>
      <c r="C146" s="2" t="s">
        <v>4291</v>
      </c>
      <c r="D146" s="3">
        <v>20.04</v>
      </c>
      <c r="E146" s="3">
        <v>21.05</v>
      </c>
      <c r="F146" s="3">
        <v>7</v>
      </c>
      <c r="G146" s="3">
        <v>4.1500000000000004</v>
      </c>
      <c r="H146" s="3">
        <v>161</v>
      </c>
      <c r="I146" s="3">
        <v>8.7110000000000003</v>
      </c>
      <c r="J146" s="3">
        <v>28.488</v>
      </c>
      <c r="K146" s="3">
        <v>14.612</v>
      </c>
    </row>
    <row r="147" spans="2:11" x14ac:dyDescent="0.25">
      <c r="B147" s="2" t="s">
        <v>4292</v>
      </c>
      <c r="C147" s="2" t="s">
        <v>4293</v>
      </c>
      <c r="D147" s="3">
        <v>17.86</v>
      </c>
      <c r="E147" s="3">
        <v>25</v>
      </c>
      <c r="F147" s="3">
        <v>7.1</v>
      </c>
      <c r="G147" s="3">
        <v>5.21</v>
      </c>
      <c r="H147" s="3">
        <v>143</v>
      </c>
      <c r="I147" s="3">
        <v>7.1429999999999998</v>
      </c>
      <c r="J147" s="3">
        <v>28.571000000000002</v>
      </c>
      <c r="K147" s="3">
        <v>12.5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0AA3C-51A1-FB42-A3A2-8F61EFF04ED4}">
  <sheetPr codeName="Sheet15"/>
  <dimension ref="A1:K470"/>
  <sheetViews>
    <sheetView workbookViewId="0">
      <selection activeCell="H36" sqref="H36"/>
    </sheetView>
  </sheetViews>
  <sheetFormatPr defaultColWidth="11" defaultRowHeight="15.75" x14ac:dyDescent="0.25"/>
  <cols>
    <col min="3" max="3" width="56.1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13000</v>
      </c>
      <c r="C3" s="10" t="str" cm="1">
        <f t="array" ref="C3">INDEX($B$11:$K$208, $A$3, C1)</f>
        <v>BEEF,GRASS-FED,STRIP STEAKS,LN,RAW</v>
      </c>
      <c r="D3" s="10" cm="1">
        <f t="array" ref="D3">INDEX($B$11:$K$74, $A$3, D1)</f>
        <v>23.07</v>
      </c>
      <c r="E3" s="10" cm="1">
        <f t="array" ref="E3">INDEX($B$11:$K$74, $A$3, E1)</f>
        <v>0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55</v>
      </c>
      <c r="I3" s="10" cm="1">
        <f t="array" ref="I3">INDEX($B$11:$K$74, $A$3, I1)</f>
        <v>1.032</v>
      </c>
      <c r="J3" s="10" cm="1">
        <f t="array" ref="J3">INDEX($B$11:$K$74, $A$3, J1)</f>
        <v>0.995</v>
      </c>
      <c r="K3" s="10" cm="1">
        <f t="array" ref="K3">INDEX($B$11:$K$74, $A$3, K1)</f>
        <v>0.108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0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1.99</v>
      </c>
      <c r="K6" s="10">
        <f>A7*K3</f>
        <v>0.216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 t="e">
        <f>E4/E3</f>
        <v>#DIV/0!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4294</v>
      </c>
      <c r="C11" s="2" t="s">
        <v>4295</v>
      </c>
      <c r="D11" s="3">
        <v>23.07</v>
      </c>
      <c r="E11" s="3">
        <v>0</v>
      </c>
      <c r="F11" s="3">
        <v>0</v>
      </c>
      <c r="G11" s="3">
        <v>0</v>
      </c>
      <c r="H11" s="3">
        <v>55</v>
      </c>
      <c r="I11" s="3">
        <v>1.032</v>
      </c>
      <c r="J11" s="3">
        <v>0.995</v>
      </c>
      <c r="K11" s="3">
        <v>0.108</v>
      </c>
    </row>
    <row r="12" spans="1:11" x14ac:dyDescent="0.25">
      <c r="B12" s="2" t="s">
        <v>4296</v>
      </c>
      <c r="C12" s="2" t="s">
        <v>4297</v>
      </c>
      <c r="D12" s="3">
        <v>17.32</v>
      </c>
      <c r="E12" s="3">
        <v>0</v>
      </c>
      <c r="F12" s="3">
        <v>0</v>
      </c>
      <c r="H12" s="3">
        <v>59</v>
      </c>
      <c r="I12" s="3">
        <v>9.75</v>
      </c>
      <c r="J12" s="3">
        <v>10.47</v>
      </c>
      <c r="K12" s="3">
        <v>0.92</v>
      </c>
    </row>
    <row r="13" spans="1:11" x14ac:dyDescent="0.25">
      <c r="B13" s="2" t="s">
        <v>4298</v>
      </c>
      <c r="C13" s="2" t="s">
        <v>4299</v>
      </c>
      <c r="D13" s="3">
        <v>17.48</v>
      </c>
      <c r="E13" s="3">
        <v>0</v>
      </c>
      <c r="F13" s="3">
        <v>0</v>
      </c>
      <c r="H13" s="3">
        <v>59</v>
      </c>
      <c r="I13" s="3">
        <v>9.16</v>
      </c>
      <c r="J13" s="3">
        <v>9.82</v>
      </c>
      <c r="K13" s="3">
        <v>0.86</v>
      </c>
    </row>
    <row r="14" spans="1:11" x14ac:dyDescent="0.25">
      <c r="B14" s="2" t="s">
        <v>4300</v>
      </c>
      <c r="C14" s="2" t="s">
        <v>4301</v>
      </c>
      <c r="D14" s="3">
        <v>8.2100000000000009</v>
      </c>
      <c r="E14" s="3">
        <v>0</v>
      </c>
      <c r="F14" s="3">
        <v>0</v>
      </c>
      <c r="G14" s="3">
        <v>0</v>
      </c>
      <c r="H14" s="3">
        <v>26</v>
      </c>
      <c r="I14" s="3">
        <v>29.45</v>
      </c>
      <c r="J14" s="3">
        <v>30.94</v>
      </c>
      <c r="K14" s="3">
        <v>2.56</v>
      </c>
    </row>
    <row r="15" spans="1:11" x14ac:dyDescent="0.25">
      <c r="B15" s="2" t="s">
        <v>4302</v>
      </c>
      <c r="C15" s="2" t="s">
        <v>4303</v>
      </c>
      <c r="D15" s="3">
        <v>10.65</v>
      </c>
      <c r="E15" s="3">
        <v>0</v>
      </c>
      <c r="F15" s="3">
        <v>0</v>
      </c>
      <c r="G15" s="3">
        <v>0</v>
      </c>
      <c r="H15" s="3">
        <v>23</v>
      </c>
      <c r="I15" s="3">
        <v>28.5</v>
      </c>
      <c r="J15" s="3">
        <v>30.45</v>
      </c>
      <c r="K15" s="3">
        <v>2.66</v>
      </c>
    </row>
    <row r="16" spans="1:11" x14ac:dyDescent="0.25">
      <c r="B16" s="2" t="s">
        <v>4304</v>
      </c>
      <c r="C16" s="2" t="s">
        <v>4305</v>
      </c>
      <c r="D16" s="3">
        <v>20.72</v>
      </c>
      <c r="E16" s="3">
        <v>0</v>
      </c>
      <c r="F16" s="3">
        <v>0</v>
      </c>
      <c r="G16" s="3">
        <v>0</v>
      </c>
      <c r="H16" s="3">
        <v>79</v>
      </c>
      <c r="I16" s="3">
        <v>2.59</v>
      </c>
      <c r="J16" s="3">
        <v>3.46</v>
      </c>
      <c r="K16" s="3">
        <v>0.23</v>
      </c>
    </row>
    <row r="17" spans="2:11" x14ac:dyDescent="0.25">
      <c r="B17" s="2" t="s">
        <v>4306</v>
      </c>
      <c r="C17" s="2" t="s">
        <v>4307</v>
      </c>
      <c r="D17" s="3">
        <v>19.420000000000002</v>
      </c>
      <c r="E17" s="3">
        <v>0</v>
      </c>
      <c r="F17" s="3">
        <v>0</v>
      </c>
      <c r="G17" s="3">
        <v>0</v>
      </c>
      <c r="H17" s="3">
        <v>68</v>
      </c>
      <c r="I17" s="3">
        <v>5.335</v>
      </c>
      <c r="J17" s="3">
        <v>4.8</v>
      </c>
      <c r="K17" s="3">
        <v>0.53200000000000003</v>
      </c>
    </row>
    <row r="18" spans="2:11" x14ac:dyDescent="0.25">
      <c r="B18" s="2" t="s">
        <v>4308</v>
      </c>
      <c r="C18" s="2" t="s">
        <v>4309</v>
      </c>
      <c r="D18" s="3">
        <v>28.97</v>
      </c>
      <c r="E18" s="3">
        <v>0</v>
      </c>
      <c r="F18" s="3">
        <v>0</v>
      </c>
      <c r="G18" s="3">
        <v>0</v>
      </c>
      <c r="H18" s="3">
        <v>49</v>
      </c>
      <c r="I18" s="3">
        <v>6.8879999999999999</v>
      </c>
      <c r="J18" s="3">
        <v>7.4809999999999999</v>
      </c>
      <c r="K18" s="3">
        <v>0.64200000000000002</v>
      </c>
    </row>
    <row r="19" spans="2:11" x14ac:dyDescent="0.25">
      <c r="B19" s="2" t="s">
        <v>4310</v>
      </c>
      <c r="C19" s="2" t="s">
        <v>4311</v>
      </c>
      <c r="D19" s="3">
        <v>21.22</v>
      </c>
      <c r="E19" s="3">
        <v>0</v>
      </c>
      <c r="F19" s="3">
        <v>0</v>
      </c>
      <c r="G19" s="3">
        <v>0</v>
      </c>
      <c r="H19" s="3">
        <v>54</v>
      </c>
      <c r="I19" s="3">
        <v>3.4430000000000001</v>
      </c>
      <c r="J19" s="3">
        <v>3.38</v>
      </c>
      <c r="K19" s="3">
        <v>0.33500000000000002</v>
      </c>
    </row>
    <row r="20" spans="2:11" x14ac:dyDescent="0.25">
      <c r="B20" s="2" t="s">
        <v>4312</v>
      </c>
      <c r="C20" s="2" t="s">
        <v>4313</v>
      </c>
      <c r="D20" s="3">
        <v>26.98</v>
      </c>
      <c r="E20" s="3">
        <v>0</v>
      </c>
      <c r="F20" s="3">
        <v>0</v>
      </c>
      <c r="G20" s="3">
        <v>0</v>
      </c>
      <c r="H20" s="3">
        <v>70</v>
      </c>
      <c r="I20" s="3">
        <v>6.92</v>
      </c>
      <c r="J20" s="3">
        <v>6.94</v>
      </c>
      <c r="K20" s="3">
        <v>0.53</v>
      </c>
    </row>
    <row r="21" spans="2:11" x14ac:dyDescent="0.25">
      <c r="B21" s="2" t="s">
        <v>4314</v>
      </c>
      <c r="C21" s="2" t="s">
        <v>4315</v>
      </c>
      <c r="D21" s="3">
        <v>27.55</v>
      </c>
      <c r="E21" s="3">
        <v>0</v>
      </c>
      <c r="F21" s="3">
        <v>0</v>
      </c>
      <c r="G21" s="3">
        <v>0</v>
      </c>
      <c r="H21" s="3">
        <v>53</v>
      </c>
      <c r="I21" s="3">
        <v>3.84</v>
      </c>
      <c r="J21" s="3">
        <v>3.7509999999999999</v>
      </c>
      <c r="K21" s="3">
        <v>0.36399999999999999</v>
      </c>
    </row>
    <row r="22" spans="2:11" x14ac:dyDescent="0.25">
      <c r="B22" s="2" t="s">
        <v>4316</v>
      </c>
      <c r="C22" s="2" t="s">
        <v>4317</v>
      </c>
      <c r="D22" s="3">
        <v>21.72</v>
      </c>
      <c r="E22" s="3">
        <v>0</v>
      </c>
      <c r="F22" s="3">
        <v>0</v>
      </c>
      <c r="G22" s="3">
        <v>0</v>
      </c>
      <c r="H22" s="3">
        <v>57</v>
      </c>
      <c r="I22" s="3">
        <v>2.6120000000000001</v>
      </c>
      <c r="J22" s="3">
        <v>2.4769999999999999</v>
      </c>
      <c r="K22" s="3">
        <v>0.25900000000000001</v>
      </c>
    </row>
    <row r="23" spans="2:11" x14ac:dyDescent="0.25">
      <c r="B23" s="2" t="s">
        <v>4318</v>
      </c>
      <c r="C23" s="2" t="s">
        <v>4319</v>
      </c>
      <c r="D23" s="3">
        <v>28.02</v>
      </c>
      <c r="E23" s="3">
        <v>0</v>
      </c>
      <c r="F23" s="3">
        <v>0</v>
      </c>
      <c r="G23" s="3">
        <v>0</v>
      </c>
      <c r="H23" s="3">
        <v>72</v>
      </c>
      <c r="I23" s="3">
        <v>5.54</v>
      </c>
      <c r="J23" s="3">
        <v>5.44</v>
      </c>
      <c r="K23" s="3">
        <v>0.39</v>
      </c>
    </row>
    <row r="24" spans="2:11" x14ac:dyDescent="0.25">
      <c r="B24" s="2" t="s">
        <v>4320</v>
      </c>
      <c r="C24" s="2" t="s">
        <v>4321</v>
      </c>
      <c r="D24" s="3">
        <v>27.82</v>
      </c>
      <c r="E24" s="3">
        <v>0</v>
      </c>
      <c r="F24" s="3">
        <v>0</v>
      </c>
      <c r="G24" s="3">
        <v>0</v>
      </c>
      <c r="H24" s="3">
        <v>56</v>
      </c>
      <c r="I24" s="3">
        <v>3.452</v>
      </c>
      <c r="J24" s="3">
        <v>3.2789999999999999</v>
      </c>
      <c r="K24" s="3">
        <v>0.32900000000000001</v>
      </c>
    </row>
    <row r="25" spans="2:11" x14ac:dyDescent="0.25">
      <c r="B25" s="2" t="s">
        <v>4322</v>
      </c>
      <c r="C25" s="2" t="s">
        <v>4323</v>
      </c>
      <c r="D25" s="3">
        <v>17.510000000000002</v>
      </c>
      <c r="E25" s="3">
        <v>0</v>
      </c>
      <c r="F25" s="3">
        <v>0</v>
      </c>
      <c r="H25" s="3">
        <v>56</v>
      </c>
      <c r="I25" s="3">
        <v>9</v>
      </c>
      <c r="J25" s="3">
        <v>9.58</v>
      </c>
      <c r="K25" s="3">
        <v>0.77</v>
      </c>
    </row>
    <row r="26" spans="2:11" x14ac:dyDescent="0.25">
      <c r="B26" s="2" t="s">
        <v>4324</v>
      </c>
      <c r="C26" s="2" t="s">
        <v>4325</v>
      </c>
      <c r="D26" s="3">
        <v>26.58</v>
      </c>
      <c r="E26" s="3">
        <v>0</v>
      </c>
      <c r="F26" s="3">
        <v>0</v>
      </c>
      <c r="G26" s="3">
        <v>0</v>
      </c>
      <c r="H26" s="3">
        <v>53</v>
      </c>
      <c r="I26" s="3">
        <v>6.5060000000000002</v>
      </c>
      <c r="J26" s="3">
        <v>6.8630000000000004</v>
      </c>
      <c r="K26" s="3">
        <v>0.622</v>
      </c>
    </row>
    <row r="27" spans="2:11" x14ac:dyDescent="0.25">
      <c r="B27" s="2" t="s">
        <v>4326</v>
      </c>
      <c r="C27" s="2" t="s">
        <v>4327</v>
      </c>
      <c r="D27" s="3">
        <v>20.13</v>
      </c>
      <c r="E27" s="3">
        <v>0</v>
      </c>
      <c r="F27" s="3">
        <v>0</v>
      </c>
      <c r="H27" s="3">
        <v>63</v>
      </c>
      <c r="I27" s="3">
        <v>3.23</v>
      </c>
      <c r="J27" s="3">
        <v>3.56</v>
      </c>
      <c r="K27" s="3">
        <v>0.27</v>
      </c>
    </row>
    <row r="28" spans="2:11" x14ac:dyDescent="0.25">
      <c r="B28" s="2" t="s">
        <v>4328</v>
      </c>
      <c r="C28" s="2" t="s">
        <v>4329</v>
      </c>
      <c r="D28" s="3">
        <v>28.88</v>
      </c>
      <c r="E28" s="3">
        <v>0</v>
      </c>
      <c r="F28" s="3">
        <v>0</v>
      </c>
      <c r="G28" s="3">
        <v>0</v>
      </c>
      <c r="H28" s="3">
        <v>60</v>
      </c>
      <c r="I28" s="3">
        <v>3.43</v>
      </c>
      <c r="J28" s="3">
        <v>3.5950000000000002</v>
      </c>
      <c r="K28" s="3">
        <v>0.33200000000000002</v>
      </c>
    </row>
    <row r="29" spans="2:11" x14ac:dyDescent="0.25">
      <c r="B29" s="2" t="s">
        <v>4330</v>
      </c>
      <c r="C29" s="2" t="s">
        <v>4331</v>
      </c>
      <c r="D29" s="3">
        <v>14.4</v>
      </c>
      <c r="E29" s="3">
        <v>0</v>
      </c>
      <c r="F29" s="3">
        <v>0</v>
      </c>
      <c r="H29" s="3">
        <v>49</v>
      </c>
      <c r="I29" s="3">
        <v>15.76</v>
      </c>
      <c r="J29" s="3">
        <v>16.39</v>
      </c>
      <c r="K29" s="3">
        <v>1.32</v>
      </c>
    </row>
    <row r="30" spans="2:11" x14ac:dyDescent="0.25">
      <c r="B30" s="2" t="s">
        <v>4332</v>
      </c>
      <c r="C30" s="2" t="s">
        <v>4333</v>
      </c>
      <c r="D30" s="3">
        <v>21.57</v>
      </c>
      <c r="E30" s="3">
        <v>0</v>
      </c>
      <c r="F30" s="3">
        <v>0</v>
      </c>
      <c r="G30" s="3">
        <v>0</v>
      </c>
      <c r="H30" s="3">
        <v>50</v>
      </c>
      <c r="I30" s="3">
        <v>17.8</v>
      </c>
      <c r="J30" s="3">
        <v>18.88</v>
      </c>
      <c r="K30" s="3">
        <v>1.53</v>
      </c>
    </row>
    <row r="31" spans="2:11" x14ac:dyDescent="0.25">
      <c r="B31" s="2" t="s">
        <v>4334</v>
      </c>
      <c r="C31" s="2" t="s">
        <v>4335</v>
      </c>
      <c r="D31" s="3">
        <v>19.05</v>
      </c>
      <c r="E31" s="3">
        <v>0</v>
      </c>
      <c r="F31" s="3">
        <v>0</v>
      </c>
      <c r="H31" s="3">
        <v>65</v>
      </c>
      <c r="I31" s="3">
        <v>4.33</v>
      </c>
      <c r="J31" s="3">
        <v>4.38</v>
      </c>
      <c r="K31" s="3">
        <v>0.38</v>
      </c>
    </row>
    <row r="32" spans="2:11" x14ac:dyDescent="0.25">
      <c r="B32" s="2" t="s">
        <v>4336</v>
      </c>
      <c r="C32" s="2" t="s">
        <v>4337</v>
      </c>
      <c r="D32" s="3">
        <v>30.76</v>
      </c>
      <c r="E32" s="3">
        <v>0</v>
      </c>
      <c r="F32" s="3">
        <v>0</v>
      </c>
      <c r="G32" s="3">
        <v>0</v>
      </c>
      <c r="H32" s="3">
        <v>58</v>
      </c>
      <c r="I32" s="3">
        <v>7.74</v>
      </c>
      <c r="J32" s="3">
        <v>7.98</v>
      </c>
      <c r="K32" s="3">
        <v>0.55000000000000004</v>
      </c>
    </row>
    <row r="33" spans="2:11" x14ac:dyDescent="0.25">
      <c r="B33" s="2" t="s">
        <v>4338</v>
      </c>
      <c r="C33" s="2" t="s">
        <v>4339</v>
      </c>
      <c r="D33" s="3">
        <v>29.21</v>
      </c>
      <c r="E33" s="3">
        <v>0</v>
      </c>
      <c r="F33" s="3">
        <v>0</v>
      </c>
      <c r="G33" s="3">
        <v>0</v>
      </c>
      <c r="H33" s="3">
        <v>64</v>
      </c>
      <c r="I33" s="3">
        <v>2.56</v>
      </c>
      <c r="J33" s="3">
        <v>3.1</v>
      </c>
      <c r="K33" s="3">
        <v>0.31</v>
      </c>
    </row>
    <row r="34" spans="2:11" x14ac:dyDescent="0.25">
      <c r="B34" s="2" t="s">
        <v>4340</v>
      </c>
      <c r="C34" s="2" t="s">
        <v>4341</v>
      </c>
      <c r="D34" s="3">
        <v>29.25</v>
      </c>
      <c r="E34" s="3">
        <v>0</v>
      </c>
      <c r="F34" s="3">
        <v>0</v>
      </c>
      <c r="H34" s="3">
        <v>64</v>
      </c>
      <c r="I34" s="3">
        <v>1.83</v>
      </c>
      <c r="J34" s="3">
        <v>2.2200000000000002</v>
      </c>
      <c r="K34" s="3">
        <v>0.22</v>
      </c>
    </row>
    <row r="35" spans="2:11" x14ac:dyDescent="0.25">
      <c r="B35" s="2" t="s">
        <v>4342</v>
      </c>
      <c r="C35" s="2" t="s">
        <v>4343</v>
      </c>
      <c r="D35" s="3">
        <v>32.21</v>
      </c>
      <c r="E35" s="3">
        <v>0</v>
      </c>
      <c r="F35" s="3">
        <v>0</v>
      </c>
      <c r="G35" s="3">
        <v>0</v>
      </c>
      <c r="H35" s="3">
        <v>52</v>
      </c>
      <c r="I35" s="3">
        <v>3.6379999999999999</v>
      </c>
      <c r="J35" s="3">
        <v>3.9750000000000001</v>
      </c>
      <c r="K35" s="3">
        <v>0.34100000000000003</v>
      </c>
    </row>
    <row r="36" spans="2:11" x14ac:dyDescent="0.25">
      <c r="B36" s="2" t="s">
        <v>4344</v>
      </c>
      <c r="C36" s="2" t="s">
        <v>4345</v>
      </c>
      <c r="D36" s="3">
        <v>20.52</v>
      </c>
      <c r="E36" s="3">
        <v>0</v>
      </c>
      <c r="F36" s="3">
        <v>0</v>
      </c>
      <c r="G36" s="3">
        <v>0</v>
      </c>
      <c r="H36" s="3">
        <v>187</v>
      </c>
      <c r="I36" s="3">
        <v>8.59</v>
      </c>
      <c r="J36" s="3">
        <v>7.89</v>
      </c>
      <c r="K36" s="3">
        <v>0.86499999999999999</v>
      </c>
    </row>
    <row r="37" spans="2:11" x14ac:dyDescent="0.25">
      <c r="B37" s="2" t="s">
        <v>4346</v>
      </c>
      <c r="C37" s="2" t="s">
        <v>4347</v>
      </c>
      <c r="D37" s="3">
        <v>21.75</v>
      </c>
      <c r="E37" s="3">
        <v>0</v>
      </c>
      <c r="F37" s="3">
        <v>0</v>
      </c>
      <c r="H37" s="3">
        <v>63</v>
      </c>
      <c r="I37" s="3">
        <v>1.28</v>
      </c>
      <c r="J37" s="3">
        <v>1.76</v>
      </c>
      <c r="K37" s="3">
        <v>0.15</v>
      </c>
    </row>
    <row r="38" spans="2:11" x14ac:dyDescent="0.25">
      <c r="B38" s="2" t="s">
        <v>4348</v>
      </c>
      <c r="C38" s="2" t="s">
        <v>4349</v>
      </c>
      <c r="D38" s="3">
        <v>33.68</v>
      </c>
      <c r="E38" s="3">
        <v>0</v>
      </c>
      <c r="F38" s="3">
        <v>0</v>
      </c>
      <c r="H38" s="3">
        <v>64</v>
      </c>
      <c r="I38" s="3">
        <v>2.29</v>
      </c>
      <c r="J38" s="3">
        <v>2.86</v>
      </c>
      <c r="K38" s="3">
        <v>0.21</v>
      </c>
    </row>
    <row r="39" spans="2:11" x14ac:dyDescent="0.25">
      <c r="B39" s="2" t="s">
        <v>4350</v>
      </c>
      <c r="C39" s="2" t="s">
        <v>4351</v>
      </c>
      <c r="D39" s="3">
        <v>22.13</v>
      </c>
      <c r="E39" s="3">
        <v>0</v>
      </c>
      <c r="F39" s="3">
        <v>0</v>
      </c>
      <c r="G39" s="3">
        <v>0</v>
      </c>
      <c r="H39" s="3">
        <v>56</v>
      </c>
      <c r="I39" s="3">
        <v>2.8940000000000001</v>
      </c>
      <c r="J39" s="3">
        <v>3.3</v>
      </c>
      <c r="K39" s="3">
        <v>0.39900000000000002</v>
      </c>
    </row>
    <row r="40" spans="2:11" x14ac:dyDescent="0.25">
      <c r="B40" s="2" t="s">
        <v>4352</v>
      </c>
      <c r="C40" s="2" t="s">
        <v>4353</v>
      </c>
      <c r="D40" s="3">
        <v>27.65</v>
      </c>
      <c r="E40" s="3">
        <v>0</v>
      </c>
      <c r="F40" s="3">
        <v>0</v>
      </c>
      <c r="G40" s="3">
        <v>0</v>
      </c>
      <c r="H40" s="3">
        <v>67</v>
      </c>
      <c r="I40" s="3">
        <v>4.407</v>
      </c>
      <c r="J40" s="3">
        <v>5.0339999999999998</v>
      </c>
      <c r="K40" s="3">
        <v>0.56899999999999995</v>
      </c>
    </row>
    <row r="41" spans="2:11" x14ac:dyDescent="0.25">
      <c r="B41" s="2" t="s">
        <v>4354</v>
      </c>
      <c r="C41" s="2" t="s">
        <v>4355</v>
      </c>
      <c r="D41" s="3">
        <v>22.1</v>
      </c>
      <c r="E41" s="3">
        <v>0</v>
      </c>
      <c r="F41" s="3">
        <v>0</v>
      </c>
      <c r="G41" s="3">
        <v>0</v>
      </c>
      <c r="H41" s="3">
        <v>35</v>
      </c>
      <c r="I41" s="3">
        <v>2.782</v>
      </c>
      <c r="J41" s="3">
        <v>3.0910000000000002</v>
      </c>
      <c r="K41" s="3">
        <v>0.374</v>
      </c>
    </row>
    <row r="42" spans="2:11" x14ac:dyDescent="0.25">
      <c r="B42" s="2" t="s">
        <v>4356</v>
      </c>
      <c r="C42" s="2" t="s">
        <v>4357</v>
      </c>
      <c r="D42" s="3">
        <v>27.48</v>
      </c>
      <c r="E42" s="3">
        <v>0</v>
      </c>
      <c r="F42" s="3">
        <v>0</v>
      </c>
      <c r="G42" s="3">
        <v>0</v>
      </c>
      <c r="H42" s="3">
        <v>68</v>
      </c>
      <c r="I42" s="3">
        <v>4.5999999999999996</v>
      </c>
      <c r="J42" s="3">
        <v>5.1589999999999998</v>
      </c>
      <c r="K42" s="3">
        <v>0.58299999999999996</v>
      </c>
    </row>
    <row r="43" spans="2:11" x14ac:dyDescent="0.25">
      <c r="B43" s="2" t="s">
        <v>4358</v>
      </c>
      <c r="C43" s="2" t="s">
        <v>4359</v>
      </c>
      <c r="D43" s="3">
        <v>21.17</v>
      </c>
      <c r="E43" s="3">
        <v>0</v>
      </c>
      <c r="F43" s="3">
        <v>0</v>
      </c>
      <c r="G43" s="3">
        <v>0</v>
      </c>
      <c r="H43" s="3">
        <v>52</v>
      </c>
      <c r="I43" s="3">
        <v>2.65</v>
      </c>
      <c r="J43" s="3">
        <v>2.7709999999999999</v>
      </c>
      <c r="K43" s="3">
        <v>0.189</v>
      </c>
    </row>
    <row r="44" spans="2:11" x14ac:dyDescent="0.25">
      <c r="B44" s="2" t="s">
        <v>4360</v>
      </c>
      <c r="C44" s="2" t="s">
        <v>4361</v>
      </c>
      <c r="D44" s="3">
        <v>30.54</v>
      </c>
      <c r="E44" s="3">
        <v>0</v>
      </c>
      <c r="F44" s="3">
        <v>0</v>
      </c>
      <c r="G44" s="3">
        <v>0</v>
      </c>
      <c r="H44" s="3">
        <v>65</v>
      </c>
      <c r="I44" s="3">
        <v>4.0019999999999998</v>
      </c>
      <c r="J44" s="3">
        <v>5.0679999999999996</v>
      </c>
      <c r="K44" s="3">
        <v>0.51900000000000002</v>
      </c>
    </row>
    <row r="45" spans="2:11" x14ac:dyDescent="0.25">
      <c r="B45" s="2" t="s">
        <v>4362</v>
      </c>
      <c r="C45" s="2" t="s">
        <v>4363</v>
      </c>
      <c r="D45" s="3">
        <v>21.13</v>
      </c>
      <c r="E45" s="3">
        <v>0.31</v>
      </c>
      <c r="F45" s="3">
        <v>0</v>
      </c>
      <c r="G45" s="3">
        <v>0</v>
      </c>
      <c r="H45" s="3">
        <v>81</v>
      </c>
      <c r="I45" s="3">
        <v>2.58</v>
      </c>
      <c r="J45" s="3">
        <v>3.16</v>
      </c>
      <c r="K45" s="3">
        <v>0.31</v>
      </c>
    </row>
    <row r="46" spans="2:11" x14ac:dyDescent="0.25">
      <c r="B46" s="2" t="s">
        <v>4364</v>
      </c>
      <c r="C46" s="2" t="s">
        <v>4365</v>
      </c>
      <c r="D46" s="3">
        <v>21.19</v>
      </c>
      <c r="E46" s="3">
        <v>0.39</v>
      </c>
      <c r="F46" s="3">
        <v>0</v>
      </c>
      <c r="G46" s="3">
        <v>0</v>
      </c>
      <c r="H46" s="3">
        <v>80</v>
      </c>
      <c r="I46" s="3">
        <v>2.76</v>
      </c>
      <c r="J46" s="3">
        <v>3.24</v>
      </c>
      <c r="K46" s="3">
        <v>0.32</v>
      </c>
    </row>
    <row r="47" spans="2:11" x14ac:dyDescent="0.25">
      <c r="B47" s="2" t="s">
        <v>4366</v>
      </c>
      <c r="C47" s="2" t="s">
        <v>4367</v>
      </c>
      <c r="D47" s="3">
        <v>23.05</v>
      </c>
      <c r="E47" s="3">
        <v>0</v>
      </c>
      <c r="F47" s="3">
        <v>0</v>
      </c>
      <c r="G47" s="3">
        <v>0</v>
      </c>
      <c r="H47" s="3">
        <v>77</v>
      </c>
      <c r="I47" s="3">
        <v>8.8049999999999997</v>
      </c>
      <c r="J47" s="3">
        <v>9.3580000000000005</v>
      </c>
      <c r="K47" s="3">
        <v>0.65600000000000003</v>
      </c>
    </row>
    <row r="48" spans="2:11" x14ac:dyDescent="0.25">
      <c r="B48" s="2" t="s">
        <v>4368</v>
      </c>
      <c r="C48" s="2" t="s">
        <v>4369</v>
      </c>
      <c r="D48" s="3">
        <v>10.86</v>
      </c>
      <c r="E48" s="3">
        <v>1.05</v>
      </c>
      <c r="F48" s="3">
        <v>0</v>
      </c>
      <c r="G48" s="3">
        <v>0</v>
      </c>
      <c r="H48" s="3">
        <v>126</v>
      </c>
      <c r="I48" s="3">
        <v>2.2999999999999998</v>
      </c>
      <c r="J48" s="3">
        <v>1.89</v>
      </c>
      <c r="K48" s="3">
        <v>1.5860000000000001</v>
      </c>
    </row>
    <row r="49" spans="2:11" x14ac:dyDescent="0.25">
      <c r="B49" s="2" t="s">
        <v>4370</v>
      </c>
      <c r="C49" s="2" t="s">
        <v>4371</v>
      </c>
      <c r="D49" s="3">
        <v>12.57</v>
      </c>
      <c r="E49" s="3">
        <v>0</v>
      </c>
      <c r="F49" s="3">
        <v>0</v>
      </c>
      <c r="H49" s="3">
        <v>158</v>
      </c>
      <c r="I49" s="3">
        <v>3.74</v>
      </c>
      <c r="J49" s="3">
        <v>3.98</v>
      </c>
      <c r="K49" s="3">
        <v>2.31</v>
      </c>
    </row>
    <row r="50" spans="2:11" x14ac:dyDescent="0.25">
      <c r="B50" s="2" t="s">
        <v>4372</v>
      </c>
      <c r="C50" s="2" t="s">
        <v>4373</v>
      </c>
      <c r="D50" s="3">
        <v>11.67</v>
      </c>
      <c r="E50" s="3">
        <v>1.48</v>
      </c>
      <c r="F50" s="3">
        <v>0</v>
      </c>
      <c r="G50" s="3">
        <v>0</v>
      </c>
      <c r="H50" s="3">
        <v>108</v>
      </c>
      <c r="I50" s="3">
        <v>2.3940000000000001</v>
      </c>
      <c r="J50" s="3">
        <v>1.8819999999999999</v>
      </c>
      <c r="K50" s="3">
        <v>1.6319999999999999</v>
      </c>
    </row>
    <row r="51" spans="2:11" x14ac:dyDescent="0.25">
      <c r="B51" s="2" t="s">
        <v>4374</v>
      </c>
      <c r="C51" s="2" t="s">
        <v>4375</v>
      </c>
      <c r="D51" s="3">
        <v>17.72</v>
      </c>
      <c r="E51" s="3">
        <v>0.14000000000000001</v>
      </c>
      <c r="F51" s="3">
        <v>0</v>
      </c>
      <c r="G51" s="3">
        <v>0</v>
      </c>
      <c r="H51" s="3">
        <v>98</v>
      </c>
      <c r="I51" s="3">
        <v>1.383</v>
      </c>
      <c r="J51" s="3">
        <v>1.137</v>
      </c>
      <c r="K51" s="3">
        <v>0.54600000000000004</v>
      </c>
    </row>
    <row r="52" spans="2:11" x14ac:dyDescent="0.25">
      <c r="B52" s="2" t="s">
        <v>4376</v>
      </c>
      <c r="C52" s="2" t="s">
        <v>4377</v>
      </c>
      <c r="D52" s="3">
        <v>28.48</v>
      </c>
      <c r="E52" s="3">
        <v>0.15</v>
      </c>
      <c r="F52" s="3">
        <v>0</v>
      </c>
      <c r="G52" s="3">
        <v>0</v>
      </c>
      <c r="H52" s="3">
        <v>59</v>
      </c>
      <c r="I52" s="3">
        <v>1.4039999999999999</v>
      </c>
      <c r="J52" s="3">
        <v>1.0109999999999999</v>
      </c>
      <c r="K52" s="3">
        <v>0.98499999999999999</v>
      </c>
    </row>
    <row r="53" spans="2:11" x14ac:dyDescent="0.25">
      <c r="B53" s="2" t="s">
        <v>4378</v>
      </c>
      <c r="C53" s="2" t="s">
        <v>4379</v>
      </c>
      <c r="D53" s="3">
        <v>17.399999999999999</v>
      </c>
      <c r="E53" s="3">
        <v>0.28999999999999998</v>
      </c>
      <c r="F53" s="3">
        <v>0</v>
      </c>
      <c r="G53" s="3">
        <v>0</v>
      </c>
      <c r="H53" s="3">
        <v>182</v>
      </c>
      <c r="I53" s="3">
        <v>0.86799999999999999</v>
      </c>
      <c r="J53" s="3">
        <v>0.58599999999999997</v>
      </c>
      <c r="K53" s="3">
        <v>0.54500000000000004</v>
      </c>
    </row>
    <row r="54" spans="2:11" x14ac:dyDescent="0.25">
      <c r="B54" s="2" t="s">
        <v>4380</v>
      </c>
      <c r="C54" s="2" t="s">
        <v>4381</v>
      </c>
      <c r="D54" s="3">
        <v>27.27</v>
      </c>
      <c r="E54" s="3">
        <v>0</v>
      </c>
      <c r="F54" s="3">
        <v>0</v>
      </c>
      <c r="G54" s="3">
        <v>0</v>
      </c>
      <c r="H54" s="3">
        <v>94</v>
      </c>
      <c r="I54" s="3">
        <v>1.4390000000000001</v>
      </c>
      <c r="J54" s="3">
        <v>0.96</v>
      </c>
      <c r="K54" s="3">
        <v>1.1379999999999999</v>
      </c>
    </row>
    <row r="55" spans="2:11" x14ac:dyDescent="0.25">
      <c r="B55" s="2" t="s">
        <v>4382</v>
      </c>
      <c r="C55" s="2" t="s">
        <v>4383</v>
      </c>
      <c r="D55" s="3">
        <v>20.36</v>
      </c>
      <c r="E55" s="3">
        <v>3.89</v>
      </c>
      <c r="F55" s="3">
        <v>0</v>
      </c>
      <c r="G55" s="3">
        <v>0</v>
      </c>
      <c r="H55" s="3">
        <v>69</v>
      </c>
      <c r="I55" s="3">
        <v>1.2330000000000001</v>
      </c>
      <c r="J55" s="3">
        <v>0.47899999999999998</v>
      </c>
      <c r="K55" s="3">
        <v>0.46500000000000002</v>
      </c>
    </row>
    <row r="56" spans="2:11" x14ac:dyDescent="0.25">
      <c r="B56" s="2" t="s">
        <v>4384</v>
      </c>
      <c r="C56" s="2" t="s">
        <v>4385</v>
      </c>
      <c r="D56" s="3">
        <v>29.08</v>
      </c>
      <c r="E56" s="3">
        <v>5.13</v>
      </c>
      <c r="F56" s="3">
        <v>0</v>
      </c>
      <c r="G56" s="3">
        <v>0</v>
      </c>
      <c r="H56" s="3">
        <v>79</v>
      </c>
      <c r="I56" s="3">
        <v>2.9470000000000001</v>
      </c>
      <c r="J56" s="3">
        <v>1.1240000000000001</v>
      </c>
      <c r="K56" s="3">
        <v>1.109</v>
      </c>
    </row>
    <row r="57" spans="2:11" x14ac:dyDescent="0.25">
      <c r="B57" s="2" t="s">
        <v>4386</v>
      </c>
      <c r="C57" s="2" t="s">
        <v>4387</v>
      </c>
      <c r="D57" s="3">
        <v>26.52</v>
      </c>
      <c r="E57" s="3">
        <v>5.16</v>
      </c>
      <c r="F57" s="3">
        <v>0</v>
      </c>
      <c r="G57" s="3">
        <v>0</v>
      </c>
      <c r="H57" s="3">
        <v>77</v>
      </c>
      <c r="I57" s="3">
        <v>2.5299999999999998</v>
      </c>
      <c r="J57" s="3">
        <v>1.1060000000000001</v>
      </c>
      <c r="K57" s="3">
        <v>1.0209999999999999</v>
      </c>
    </row>
    <row r="58" spans="2:11" x14ac:dyDescent="0.25">
      <c r="B58" s="2" t="s">
        <v>4388</v>
      </c>
      <c r="C58" s="2" t="s">
        <v>4389</v>
      </c>
      <c r="D58" s="3">
        <v>16.2</v>
      </c>
      <c r="E58" s="3">
        <v>0</v>
      </c>
      <c r="F58" s="3">
        <v>0</v>
      </c>
      <c r="H58" s="3">
        <v>198</v>
      </c>
      <c r="I58" s="3">
        <v>0.86</v>
      </c>
      <c r="J58" s="3">
        <v>0.64</v>
      </c>
      <c r="K58" s="3">
        <v>0.34</v>
      </c>
    </row>
    <row r="59" spans="2:11" x14ac:dyDescent="0.25">
      <c r="B59" s="2" t="s">
        <v>4390</v>
      </c>
      <c r="C59" s="2" t="s">
        <v>4391</v>
      </c>
      <c r="D59" s="3">
        <v>20.399999999999999</v>
      </c>
      <c r="E59" s="3">
        <v>0</v>
      </c>
      <c r="F59" s="3">
        <v>0</v>
      </c>
      <c r="H59" s="3">
        <v>101</v>
      </c>
      <c r="I59" s="3">
        <v>1.27</v>
      </c>
      <c r="J59" s="3">
        <v>0.95</v>
      </c>
      <c r="K59" s="3">
        <v>0.51</v>
      </c>
    </row>
    <row r="60" spans="2:11" x14ac:dyDescent="0.25">
      <c r="B60" s="2" t="s">
        <v>4392</v>
      </c>
      <c r="C60" s="2" t="s">
        <v>4393</v>
      </c>
      <c r="D60" s="3">
        <v>14.97</v>
      </c>
      <c r="E60" s="3">
        <v>0</v>
      </c>
      <c r="F60" s="3">
        <v>0</v>
      </c>
      <c r="H60" s="3">
        <v>57</v>
      </c>
      <c r="I60" s="3">
        <v>11.78</v>
      </c>
      <c r="J60" s="3">
        <v>8.44</v>
      </c>
      <c r="K60" s="3">
        <v>0.76</v>
      </c>
    </row>
    <row r="61" spans="2:11" x14ac:dyDescent="0.25">
      <c r="B61" s="2" t="s">
        <v>4394</v>
      </c>
      <c r="C61" s="2" t="s">
        <v>4395</v>
      </c>
      <c r="D61" s="3">
        <v>15.7</v>
      </c>
      <c r="E61" s="3">
        <v>0</v>
      </c>
      <c r="F61" s="3">
        <v>0</v>
      </c>
      <c r="H61" s="3">
        <v>67</v>
      </c>
      <c r="I61" s="3">
        <v>6.41</v>
      </c>
      <c r="J61" s="3">
        <v>6.44</v>
      </c>
      <c r="K61" s="3">
        <v>3.47</v>
      </c>
    </row>
    <row r="62" spans="2:11" x14ac:dyDescent="0.25">
      <c r="B62" s="2" t="s">
        <v>4396</v>
      </c>
      <c r="C62" s="2" t="s">
        <v>4397</v>
      </c>
      <c r="D62" s="3">
        <v>27.1</v>
      </c>
      <c r="E62" s="3">
        <v>0</v>
      </c>
      <c r="F62" s="3">
        <v>0</v>
      </c>
      <c r="H62" s="3">
        <v>60</v>
      </c>
      <c r="I62" s="3">
        <v>5.9</v>
      </c>
      <c r="J62" s="3">
        <v>5.93</v>
      </c>
      <c r="K62" s="3">
        <v>3.2</v>
      </c>
    </row>
    <row r="63" spans="2:11" x14ac:dyDescent="0.25">
      <c r="B63" s="2" t="s">
        <v>4398</v>
      </c>
      <c r="C63" s="2" t="s">
        <v>4399</v>
      </c>
      <c r="D63" s="3">
        <v>18.3</v>
      </c>
      <c r="E63" s="3">
        <v>0</v>
      </c>
      <c r="F63" s="3">
        <v>0</v>
      </c>
      <c r="H63" s="3">
        <v>85</v>
      </c>
      <c r="I63" s="3">
        <v>1</v>
      </c>
      <c r="J63" s="3">
        <v>0.78</v>
      </c>
      <c r="K63" s="3">
        <v>0.22</v>
      </c>
    </row>
    <row r="64" spans="2:11" x14ac:dyDescent="0.25">
      <c r="B64" s="2" t="s">
        <v>4400</v>
      </c>
      <c r="C64" s="2" t="s">
        <v>4401</v>
      </c>
      <c r="D64" s="3">
        <v>25.1</v>
      </c>
      <c r="E64" s="3">
        <v>0</v>
      </c>
      <c r="F64" s="3">
        <v>0</v>
      </c>
      <c r="H64" s="3">
        <v>57</v>
      </c>
      <c r="I64" s="3">
        <v>1.39</v>
      </c>
      <c r="J64" s="3">
        <v>1.1200000000000001</v>
      </c>
      <c r="K64" s="3">
        <v>0.31</v>
      </c>
    </row>
    <row r="65" spans="2:11" x14ac:dyDescent="0.25">
      <c r="B65" s="2" t="s">
        <v>4402</v>
      </c>
      <c r="C65" s="2" t="s">
        <v>4403</v>
      </c>
      <c r="D65" s="3">
        <v>1.5</v>
      </c>
      <c r="E65" s="3">
        <v>0</v>
      </c>
      <c r="F65" s="3">
        <v>0</v>
      </c>
      <c r="G65" s="3">
        <v>0</v>
      </c>
      <c r="H65" s="3">
        <v>7</v>
      </c>
      <c r="I65" s="3">
        <v>52.3</v>
      </c>
      <c r="J65" s="3">
        <v>31.52</v>
      </c>
      <c r="K65" s="3">
        <v>3.17</v>
      </c>
    </row>
    <row r="66" spans="2:11" x14ac:dyDescent="0.25">
      <c r="B66" s="2" t="s">
        <v>4404</v>
      </c>
      <c r="C66" s="2" t="s">
        <v>4405</v>
      </c>
      <c r="D66" s="3">
        <v>12.18</v>
      </c>
      <c r="E66" s="3">
        <v>0</v>
      </c>
      <c r="F66" s="3">
        <v>0</v>
      </c>
      <c r="H66" s="3">
        <v>96</v>
      </c>
      <c r="I66" s="3">
        <v>7.01</v>
      </c>
      <c r="J66" s="3">
        <v>7.05</v>
      </c>
      <c r="K66" s="3">
        <v>3.8</v>
      </c>
    </row>
    <row r="67" spans="2:11" x14ac:dyDescent="0.25">
      <c r="B67" s="2" t="s">
        <v>4406</v>
      </c>
      <c r="C67" s="2" t="s">
        <v>4407</v>
      </c>
      <c r="D67" s="3">
        <v>21.85</v>
      </c>
      <c r="E67" s="3">
        <v>0</v>
      </c>
      <c r="F67" s="3">
        <v>0</v>
      </c>
      <c r="H67" s="3">
        <v>116</v>
      </c>
      <c r="I67" s="3">
        <v>8.61</v>
      </c>
      <c r="J67" s="3">
        <v>8.64</v>
      </c>
      <c r="K67" s="3">
        <v>4.66</v>
      </c>
    </row>
    <row r="68" spans="2:11" x14ac:dyDescent="0.25">
      <c r="B68" s="2" t="s">
        <v>4408</v>
      </c>
      <c r="C68" s="2" t="s">
        <v>4409</v>
      </c>
      <c r="D68" s="3">
        <v>14.9</v>
      </c>
      <c r="E68" s="3">
        <v>3.68</v>
      </c>
      <c r="F68" s="3">
        <v>0</v>
      </c>
      <c r="H68" s="3">
        <v>69</v>
      </c>
      <c r="I68" s="3">
        <v>7</v>
      </c>
      <c r="J68" s="3">
        <v>7.24</v>
      </c>
      <c r="K68" s="3">
        <v>0.9</v>
      </c>
    </row>
    <row r="69" spans="2:11" x14ac:dyDescent="0.25">
      <c r="B69" s="2" t="s">
        <v>4410</v>
      </c>
      <c r="C69" s="2" t="s">
        <v>4411</v>
      </c>
      <c r="D69" s="3">
        <v>19.29</v>
      </c>
      <c r="E69" s="3">
        <v>0</v>
      </c>
      <c r="F69" s="3">
        <v>0</v>
      </c>
      <c r="G69" s="3">
        <v>0</v>
      </c>
      <c r="H69" s="3">
        <v>65</v>
      </c>
      <c r="I69" s="3">
        <v>8.125</v>
      </c>
      <c r="J69" s="3">
        <v>10.102</v>
      </c>
      <c r="K69" s="3">
        <v>0.746</v>
      </c>
    </row>
    <row r="70" spans="2:11" x14ac:dyDescent="0.25">
      <c r="B70" s="2" t="s">
        <v>4412</v>
      </c>
      <c r="C70" s="2" t="s">
        <v>4413</v>
      </c>
      <c r="D70" s="3">
        <v>12.07</v>
      </c>
      <c r="E70" s="3">
        <v>0</v>
      </c>
      <c r="F70" s="3">
        <v>0</v>
      </c>
      <c r="G70" s="3">
        <v>0</v>
      </c>
      <c r="H70" s="3">
        <v>97</v>
      </c>
      <c r="I70" s="3">
        <v>1.2909999999999999</v>
      </c>
      <c r="J70" s="3">
        <v>1.5329999999999999</v>
      </c>
      <c r="K70" s="3">
        <v>0.18</v>
      </c>
    </row>
    <row r="71" spans="2:11" x14ac:dyDescent="0.25">
      <c r="B71" s="2" t="s">
        <v>4414</v>
      </c>
      <c r="C71" s="2" t="s">
        <v>4415</v>
      </c>
      <c r="D71" s="3">
        <v>16.5</v>
      </c>
      <c r="E71" s="3">
        <v>0</v>
      </c>
      <c r="F71" s="3">
        <v>0</v>
      </c>
      <c r="G71" s="3">
        <v>0</v>
      </c>
      <c r="H71" s="3">
        <v>68</v>
      </c>
      <c r="I71" s="3">
        <v>11.538</v>
      </c>
      <c r="J71" s="3">
        <v>11.038</v>
      </c>
      <c r="K71" s="3">
        <v>0.48799999999999999</v>
      </c>
    </row>
    <row r="72" spans="2:11" x14ac:dyDescent="0.25">
      <c r="B72" s="2" t="s">
        <v>4416</v>
      </c>
      <c r="C72" s="2" t="s">
        <v>4417</v>
      </c>
      <c r="D72" s="3">
        <v>32.619999999999997</v>
      </c>
      <c r="E72" s="3">
        <v>0</v>
      </c>
      <c r="F72" s="3">
        <v>0</v>
      </c>
      <c r="G72" s="3">
        <v>0</v>
      </c>
      <c r="H72" s="3">
        <v>52</v>
      </c>
      <c r="I72" s="3">
        <v>3.0529999999999999</v>
      </c>
      <c r="J72" s="3">
        <v>3.4359999999999999</v>
      </c>
      <c r="K72" s="3">
        <v>0.28199999999999997</v>
      </c>
    </row>
    <row r="73" spans="2:11" x14ac:dyDescent="0.25">
      <c r="B73" s="2" t="s">
        <v>4418</v>
      </c>
      <c r="C73" s="2" t="s">
        <v>4419</v>
      </c>
      <c r="D73" s="3">
        <v>12.5</v>
      </c>
      <c r="E73" s="3">
        <v>0.7</v>
      </c>
      <c r="F73" s="3">
        <v>0</v>
      </c>
      <c r="H73" s="3">
        <v>955</v>
      </c>
      <c r="I73" s="3">
        <v>15.95</v>
      </c>
      <c r="J73" s="3">
        <v>18.68</v>
      </c>
      <c r="K73" s="3">
        <v>2.19</v>
      </c>
    </row>
    <row r="74" spans="2:11" x14ac:dyDescent="0.25">
      <c r="B74" s="2" t="s">
        <v>4420</v>
      </c>
      <c r="C74" s="2" t="s">
        <v>4421</v>
      </c>
      <c r="D74" s="3">
        <v>31.3</v>
      </c>
      <c r="E74" s="3">
        <v>1.4</v>
      </c>
      <c r="F74" s="3">
        <v>0</v>
      </c>
      <c r="G74" s="3">
        <v>0</v>
      </c>
      <c r="H74" s="3">
        <v>2253</v>
      </c>
      <c r="I74" s="3">
        <v>14.35</v>
      </c>
      <c r="J74" s="3">
        <v>16.850000000000001</v>
      </c>
      <c r="K74" s="3">
        <v>1.58</v>
      </c>
    </row>
    <row r="75" spans="2:11" x14ac:dyDescent="0.25">
      <c r="B75" s="2" t="s">
        <v>4422</v>
      </c>
      <c r="C75" s="2" t="s">
        <v>4423</v>
      </c>
      <c r="D75" s="3">
        <v>14.68</v>
      </c>
      <c r="E75" s="3">
        <v>0.14000000000000001</v>
      </c>
      <c r="F75" s="3">
        <v>0</v>
      </c>
      <c r="H75" s="3">
        <v>1217</v>
      </c>
      <c r="I75" s="3">
        <v>4.7300000000000004</v>
      </c>
      <c r="J75" s="3">
        <v>7.18</v>
      </c>
      <c r="K75" s="3">
        <v>0.53</v>
      </c>
    </row>
    <row r="76" spans="2:11" x14ac:dyDescent="0.25">
      <c r="B76" s="2" t="s">
        <v>4424</v>
      </c>
      <c r="C76" s="2" t="s">
        <v>4425</v>
      </c>
      <c r="D76" s="3">
        <v>18.170000000000002</v>
      </c>
      <c r="E76" s="3">
        <v>0.47</v>
      </c>
      <c r="F76" s="3">
        <v>0</v>
      </c>
      <c r="G76" s="3">
        <v>0</v>
      </c>
      <c r="H76" s="3">
        <v>973</v>
      </c>
      <c r="I76" s="3">
        <v>6.34</v>
      </c>
      <c r="J76" s="3">
        <v>9.2200000000000006</v>
      </c>
      <c r="K76" s="3">
        <v>0.67</v>
      </c>
    </row>
    <row r="77" spans="2:11" x14ac:dyDescent="0.25">
      <c r="B77" s="2" t="s">
        <v>4426</v>
      </c>
      <c r="C77" s="2" t="s">
        <v>4427</v>
      </c>
      <c r="D77" s="3">
        <v>27.1</v>
      </c>
      <c r="E77" s="3">
        <v>0</v>
      </c>
      <c r="F77" s="3">
        <v>0</v>
      </c>
      <c r="G77" s="3">
        <v>0</v>
      </c>
      <c r="H77" s="3">
        <v>897</v>
      </c>
      <c r="I77" s="3">
        <v>6.18</v>
      </c>
      <c r="J77" s="3">
        <v>5.96</v>
      </c>
      <c r="K77" s="3">
        <v>0.63</v>
      </c>
    </row>
    <row r="78" spans="2:11" x14ac:dyDescent="0.25">
      <c r="B78" s="2" t="s">
        <v>4428</v>
      </c>
      <c r="C78" s="2" t="s">
        <v>4429</v>
      </c>
      <c r="D78" s="3">
        <v>21.03</v>
      </c>
      <c r="E78" s="3">
        <v>0.19</v>
      </c>
      <c r="F78" s="3">
        <v>0</v>
      </c>
      <c r="G78" s="3">
        <v>0</v>
      </c>
      <c r="H78" s="3">
        <v>81</v>
      </c>
      <c r="I78" s="3">
        <v>2.5720000000000001</v>
      </c>
      <c r="J78" s="3">
        <v>5.8680000000000003</v>
      </c>
      <c r="K78" s="3">
        <v>0.61499999999999999</v>
      </c>
    </row>
    <row r="79" spans="2:11" x14ac:dyDescent="0.25">
      <c r="B79" s="2" t="s">
        <v>4430</v>
      </c>
      <c r="C79" s="2" t="s">
        <v>4431</v>
      </c>
      <c r="D79" s="3">
        <v>31.1</v>
      </c>
      <c r="E79" s="3">
        <v>2.76</v>
      </c>
      <c r="F79" s="3">
        <v>0</v>
      </c>
      <c r="G79" s="3">
        <v>2.7</v>
      </c>
      <c r="H79" s="3">
        <v>2790</v>
      </c>
      <c r="I79" s="3">
        <v>0.95</v>
      </c>
      <c r="J79" s="3">
        <v>0.84</v>
      </c>
      <c r="K79" s="3">
        <v>7.0000000000000007E-2</v>
      </c>
    </row>
    <row r="80" spans="2:11" x14ac:dyDescent="0.25">
      <c r="B80" s="2" t="s">
        <v>4432</v>
      </c>
      <c r="C80" s="2" t="s">
        <v>4433</v>
      </c>
      <c r="D80" s="3">
        <v>26.5</v>
      </c>
      <c r="E80" s="3">
        <v>0.14000000000000001</v>
      </c>
      <c r="F80" s="3">
        <v>0</v>
      </c>
      <c r="G80" s="3">
        <v>0</v>
      </c>
      <c r="H80" s="3">
        <v>73</v>
      </c>
      <c r="I80" s="3">
        <v>5.28</v>
      </c>
      <c r="J80" s="3">
        <v>6.3840000000000003</v>
      </c>
      <c r="K80" s="3">
        <v>0.76100000000000001</v>
      </c>
    </row>
    <row r="81" spans="2:11" x14ac:dyDescent="0.25">
      <c r="B81" s="2" t="s">
        <v>4434</v>
      </c>
      <c r="C81" s="2" t="s">
        <v>4433</v>
      </c>
      <c r="D81" s="3">
        <v>26.49</v>
      </c>
      <c r="E81" s="3">
        <v>0.28000000000000003</v>
      </c>
      <c r="F81" s="3">
        <v>0</v>
      </c>
      <c r="G81" s="3">
        <v>0</v>
      </c>
      <c r="H81" s="3">
        <v>73</v>
      </c>
      <c r="I81" s="3">
        <v>5.5650000000000004</v>
      </c>
      <c r="J81" s="3">
        <v>6.6070000000000002</v>
      </c>
      <c r="K81" s="3">
        <v>0.77700000000000002</v>
      </c>
    </row>
    <row r="82" spans="2:11" x14ac:dyDescent="0.25">
      <c r="B82" s="2" t="s">
        <v>4435</v>
      </c>
      <c r="C82" s="2" t="s">
        <v>4436</v>
      </c>
      <c r="D82" s="3">
        <v>19</v>
      </c>
      <c r="E82" s="3">
        <v>0</v>
      </c>
      <c r="F82" s="3">
        <v>0</v>
      </c>
      <c r="H82" s="3">
        <v>1322</v>
      </c>
      <c r="I82" s="3">
        <v>1.41</v>
      </c>
      <c r="J82" s="3">
        <v>1.45</v>
      </c>
      <c r="K82" s="3">
        <v>0.17</v>
      </c>
    </row>
    <row r="83" spans="2:11" x14ac:dyDescent="0.25">
      <c r="B83" s="2" t="s">
        <v>4437</v>
      </c>
      <c r="C83" s="2" t="s">
        <v>4438</v>
      </c>
      <c r="D83" s="3">
        <v>26.53</v>
      </c>
      <c r="E83" s="3">
        <v>0</v>
      </c>
      <c r="F83" s="3">
        <v>0</v>
      </c>
      <c r="G83" s="3">
        <v>0</v>
      </c>
      <c r="H83" s="3">
        <v>74</v>
      </c>
      <c r="I83" s="3">
        <v>4.7300000000000004</v>
      </c>
      <c r="J83" s="3">
        <v>4.7300000000000004</v>
      </c>
      <c r="K83" s="3">
        <v>0.71</v>
      </c>
    </row>
    <row r="84" spans="2:11" x14ac:dyDescent="0.25">
      <c r="B84" s="2" t="s">
        <v>4439</v>
      </c>
      <c r="C84" s="2" t="s">
        <v>4440</v>
      </c>
      <c r="D84" s="3">
        <v>21.8</v>
      </c>
      <c r="E84" s="3">
        <v>0.36</v>
      </c>
      <c r="F84" s="3">
        <v>0</v>
      </c>
      <c r="G84" s="3">
        <v>0.1</v>
      </c>
      <c r="H84" s="3">
        <v>1078</v>
      </c>
      <c r="I84" s="3">
        <v>2.681</v>
      </c>
      <c r="J84" s="3">
        <v>2.1179999999999999</v>
      </c>
      <c r="K84" s="3">
        <v>0.14499999999999999</v>
      </c>
    </row>
    <row r="85" spans="2:11" x14ac:dyDescent="0.25">
      <c r="B85" s="2" t="s">
        <v>4441</v>
      </c>
      <c r="C85" s="2" t="s">
        <v>4442</v>
      </c>
      <c r="D85" s="3">
        <v>19.420000000000002</v>
      </c>
      <c r="E85" s="3">
        <v>0.49</v>
      </c>
      <c r="F85" s="3">
        <v>0</v>
      </c>
      <c r="G85" s="3">
        <v>0</v>
      </c>
      <c r="H85" s="3">
        <v>77</v>
      </c>
      <c r="I85" s="3">
        <v>4.1319999999999997</v>
      </c>
      <c r="J85" s="3">
        <v>4.8890000000000002</v>
      </c>
      <c r="K85" s="3">
        <v>0.52600000000000002</v>
      </c>
    </row>
    <row r="86" spans="2:11" x14ac:dyDescent="0.25">
      <c r="B86" s="2" t="s">
        <v>4443</v>
      </c>
      <c r="C86" s="2" t="s">
        <v>4444</v>
      </c>
      <c r="D86" s="3">
        <v>14.11</v>
      </c>
      <c r="E86" s="3">
        <v>2.42</v>
      </c>
      <c r="F86" s="3">
        <v>0</v>
      </c>
      <c r="H86" s="3">
        <v>1131</v>
      </c>
      <c r="I86" s="3">
        <v>11.44</v>
      </c>
      <c r="J86" s="3">
        <v>12.97</v>
      </c>
      <c r="K86" s="3">
        <v>1.05</v>
      </c>
    </row>
    <row r="87" spans="2:11" x14ac:dyDescent="0.25">
      <c r="B87" s="2" t="s">
        <v>4445</v>
      </c>
      <c r="C87" s="2" t="s">
        <v>4446</v>
      </c>
      <c r="D87" s="3">
        <v>20.190000000000001</v>
      </c>
      <c r="E87" s="3">
        <v>1.86</v>
      </c>
      <c r="F87" s="3">
        <v>0</v>
      </c>
      <c r="H87" s="3">
        <v>1258</v>
      </c>
      <c r="I87" s="3">
        <v>1.81</v>
      </c>
      <c r="J87" s="3">
        <v>1.83</v>
      </c>
      <c r="K87" s="3">
        <v>0.23</v>
      </c>
    </row>
    <row r="88" spans="2:11" x14ac:dyDescent="0.25">
      <c r="B88" s="2" t="s">
        <v>4447</v>
      </c>
      <c r="C88" s="2" t="s">
        <v>4448</v>
      </c>
      <c r="D88" s="3">
        <v>19.23</v>
      </c>
      <c r="E88" s="3">
        <v>0.67</v>
      </c>
      <c r="F88" s="3">
        <v>0</v>
      </c>
      <c r="G88" s="3">
        <v>0</v>
      </c>
      <c r="H88" s="3">
        <v>76</v>
      </c>
      <c r="I88" s="3">
        <v>4.5880000000000001</v>
      </c>
      <c r="J88" s="3">
        <v>5.45</v>
      </c>
      <c r="K88" s="3">
        <v>0.57599999999999996</v>
      </c>
    </row>
    <row r="89" spans="2:11" x14ac:dyDescent="0.25">
      <c r="B89" s="2" t="s">
        <v>4449</v>
      </c>
      <c r="C89" s="2" t="s">
        <v>4450</v>
      </c>
      <c r="D89" s="3">
        <v>28.4</v>
      </c>
      <c r="E89" s="3">
        <v>0</v>
      </c>
      <c r="F89" s="3">
        <v>0</v>
      </c>
      <c r="G89" s="3">
        <v>0</v>
      </c>
      <c r="H89" s="3">
        <v>62</v>
      </c>
      <c r="I89" s="3">
        <v>4.8529999999999998</v>
      </c>
      <c r="J89" s="3">
        <v>5.5730000000000004</v>
      </c>
      <c r="K89" s="3">
        <v>0.66</v>
      </c>
    </row>
    <row r="90" spans="2:11" x14ac:dyDescent="0.25">
      <c r="B90" s="2" t="s">
        <v>4451</v>
      </c>
      <c r="C90" s="2" t="s">
        <v>4452</v>
      </c>
      <c r="D90" s="3">
        <v>28.17</v>
      </c>
      <c r="E90" s="3">
        <v>0</v>
      </c>
      <c r="F90" s="3">
        <v>0</v>
      </c>
      <c r="G90" s="3">
        <v>0</v>
      </c>
      <c r="H90" s="3">
        <v>62</v>
      </c>
      <c r="I90" s="3">
        <v>5.016</v>
      </c>
      <c r="J90" s="3">
        <v>5.84</v>
      </c>
      <c r="K90" s="3">
        <v>0.65700000000000003</v>
      </c>
    </row>
    <row r="91" spans="2:11" x14ac:dyDescent="0.25">
      <c r="B91" s="2" t="s">
        <v>4453</v>
      </c>
      <c r="C91" s="2" t="s">
        <v>4454</v>
      </c>
      <c r="D91" s="3">
        <v>28.61</v>
      </c>
      <c r="E91" s="3">
        <v>0</v>
      </c>
      <c r="F91" s="3">
        <v>0</v>
      </c>
      <c r="G91" s="3">
        <v>0</v>
      </c>
      <c r="H91" s="3">
        <v>62</v>
      </c>
      <c r="I91" s="3">
        <v>3.69</v>
      </c>
      <c r="J91" s="3">
        <v>4.1420000000000003</v>
      </c>
      <c r="K91" s="3">
        <v>0.54800000000000004</v>
      </c>
    </row>
    <row r="92" spans="2:11" x14ac:dyDescent="0.25">
      <c r="B92" s="2" t="s">
        <v>4455</v>
      </c>
      <c r="C92" s="2" t="s">
        <v>4456</v>
      </c>
      <c r="D92" s="3">
        <v>29.9</v>
      </c>
      <c r="E92" s="3">
        <v>0</v>
      </c>
      <c r="F92" s="3">
        <v>0</v>
      </c>
      <c r="G92" s="3">
        <v>0</v>
      </c>
      <c r="H92" s="3">
        <v>64</v>
      </c>
      <c r="I92" s="3">
        <v>3.2469999999999999</v>
      </c>
      <c r="J92" s="3">
        <v>3.9089999999999998</v>
      </c>
      <c r="K92" s="3">
        <v>0.41899999999999998</v>
      </c>
    </row>
    <row r="93" spans="2:11" x14ac:dyDescent="0.25">
      <c r="B93" s="2" t="s">
        <v>4457</v>
      </c>
      <c r="C93" s="2" t="s">
        <v>4458</v>
      </c>
      <c r="D93" s="3">
        <v>29.51</v>
      </c>
      <c r="E93" s="3">
        <v>0</v>
      </c>
      <c r="F93" s="3">
        <v>0</v>
      </c>
      <c r="G93" s="3">
        <v>0</v>
      </c>
      <c r="H93" s="3">
        <v>63</v>
      </c>
      <c r="I93" s="3">
        <v>3.3740000000000001</v>
      </c>
      <c r="J93" s="3">
        <v>4.22</v>
      </c>
      <c r="K93" s="3">
        <v>0.42299999999999999</v>
      </c>
    </row>
    <row r="94" spans="2:11" x14ac:dyDescent="0.25">
      <c r="B94" s="2" t="s">
        <v>4459</v>
      </c>
      <c r="C94" s="2" t="s">
        <v>4460</v>
      </c>
      <c r="D94" s="3">
        <v>29.88</v>
      </c>
      <c r="E94" s="3">
        <v>0</v>
      </c>
      <c r="F94" s="3">
        <v>0</v>
      </c>
      <c r="G94" s="3">
        <v>0</v>
      </c>
      <c r="H94" s="3">
        <v>64</v>
      </c>
      <c r="I94" s="3">
        <v>2.7</v>
      </c>
      <c r="J94" s="3">
        <v>3.1859999999999999</v>
      </c>
      <c r="K94" s="3">
        <v>0.39800000000000002</v>
      </c>
    </row>
    <row r="95" spans="2:11" x14ac:dyDescent="0.25">
      <c r="B95" s="2" t="s">
        <v>4461</v>
      </c>
      <c r="C95" s="2" t="s">
        <v>4462</v>
      </c>
      <c r="D95" s="3">
        <v>26.79</v>
      </c>
      <c r="E95" s="3">
        <v>0</v>
      </c>
      <c r="F95" s="3">
        <v>0</v>
      </c>
      <c r="G95" s="3">
        <v>0</v>
      </c>
      <c r="H95" s="3">
        <v>65</v>
      </c>
      <c r="I95" s="3">
        <v>7.53</v>
      </c>
      <c r="J95" s="3">
        <v>8.68</v>
      </c>
      <c r="K95" s="3">
        <v>0.67</v>
      </c>
    </row>
    <row r="96" spans="2:11" x14ac:dyDescent="0.25">
      <c r="B96" s="2" t="s">
        <v>4463</v>
      </c>
      <c r="C96" s="2" t="s">
        <v>4464</v>
      </c>
      <c r="D96" s="3">
        <v>29.75</v>
      </c>
      <c r="E96" s="3">
        <v>0</v>
      </c>
      <c r="F96" s="3">
        <v>0</v>
      </c>
      <c r="G96" s="3">
        <v>0</v>
      </c>
      <c r="H96" s="3">
        <v>70</v>
      </c>
      <c r="I96" s="3">
        <v>3.63</v>
      </c>
      <c r="J96" s="3">
        <v>4.6500000000000004</v>
      </c>
      <c r="K96" s="3">
        <v>0.3</v>
      </c>
    </row>
    <row r="97" spans="2:11" x14ac:dyDescent="0.25">
      <c r="B97" s="2" t="s">
        <v>4465</v>
      </c>
      <c r="C97" s="2" t="s">
        <v>4466</v>
      </c>
      <c r="D97" s="3">
        <v>32.9</v>
      </c>
      <c r="E97" s="3">
        <v>0</v>
      </c>
      <c r="F97" s="3">
        <v>0</v>
      </c>
      <c r="G97" s="3">
        <v>0</v>
      </c>
      <c r="H97" s="3">
        <v>54</v>
      </c>
      <c r="I97" s="3">
        <v>3.1520000000000001</v>
      </c>
      <c r="J97" s="3">
        <v>3.444</v>
      </c>
      <c r="K97" s="3">
        <v>0.29599999999999999</v>
      </c>
    </row>
    <row r="98" spans="2:11" x14ac:dyDescent="0.25">
      <c r="B98" s="2" t="s">
        <v>4467</v>
      </c>
      <c r="C98" s="2" t="s">
        <v>4468</v>
      </c>
      <c r="D98" s="3">
        <v>33.26</v>
      </c>
      <c r="E98" s="3">
        <v>0</v>
      </c>
      <c r="F98" s="3">
        <v>0</v>
      </c>
      <c r="G98" s="3">
        <v>0</v>
      </c>
      <c r="H98" s="3">
        <v>54</v>
      </c>
      <c r="I98" s="3">
        <v>2.6469999999999998</v>
      </c>
      <c r="J98" s="3">
        <v>2.9780000000000002</v>
      </c>
      <c r="K98" s="3">
        <v>0.24399999999999999</v>
      </c>
    </row>
    <row r="99" spans="2:11" x14ac:dyDescent="0.25">
      <c r="B99" s="2" t="s">
        <v>4469</v>
      </c>
      <c r="C99" s="2" t="s">
        <v>4470</v>
      </c>
      <c r="D99" s="3">
        <v>23.53</v>
      </c>
      <c r="E99" s="3">
        <v>0</v>
      </c>
      <c r="F99" s="3">
        <v>0</v>
      </c>
      <c r="G99" s="3">
        <v>0</v>
      </c>
      <c r="H99" s="3">
        <v>68</v>
      </c>
      <c r="I99" s="3">
        <v>11.24</v>
      </c>
      <c r="J99" s="3">
        <v>12.7</v>
      </c>
      <c r="K99" s="3">
        <v>0.96</v>
      </c>
    </row>
    <row r="100" spans="2:11" x14ac:dyDescent="0.25">
      <c r="B100" s="2" t="s">
        <v>4471</v>
      </c>
      <c r="C100" s="2" t="s">
        <v>4472</v>
      </c>
      <c r="D100" s="3">
        <v>28.05</v>
      </c>
      <c r="E100" s="3">
        <v>0</v>
      </c>
      <c r="F100" s="3">
        <v>0</v>
      </c>
      <c r="G100" s="3">
        <v>0</v>
      </c>
      <c r="H100" s="3">
        <v>77</v>
      </c>
      <c r="I100" s="3">
        <v>5.18</v>
      </c>
      <c r="J100" s="3">
        <v>6.46</v>
      </c>
      <c r="K100" s="3">
        <v>0.36</v>
      </c>
    </row>
    <row r="101" spans="2:11" x14ac:dyDescent="0.25">
      <c r="B101" s="2" t="s">
        <v>4473</v>
      </c>
      <c r="C101" s="2" t="s">
        <v>4474</v>
      </c>
      <c r="D101" s="3">
        <v>28.94</v>
      </c>
      <c r="E101" s="3">
        <v>0</v>
      </c>
      <c r="F101" s="3">
        <v>0</v>
      </c>
      <c r="G101" s="3">
        <v>0</v>
      </c>
      <c r="H101" s="3">
        <v>47</v>
      </c>
      <c r="I101" s="3">
        <v>7.548</v>
      </c>
      <c r="J101" s="3">
        <v>8.1750000000000007</v>
      </c>
      <c r="K101" s="3">
        <v>0.70799999999999996</v>
      </c>
    </row>
    <row r="102" spans="2:11" x14ac:dyDescent="0.25">
      <c r="B102" s="2" t="s">
        <v>4475</v>
      </c>
      <c r="C102" s="2" t="s">
        <v>4476</v>
      </c>
      <c r="D102" s="3">
        <v>29.23</v>
      </c>
      <c r="E102" s="3">
        <v>0</v>
      </c>
      <c r="F102" s="3">
        <v>0</v>
      </c>
      <c r="G102" s="3">
        <v>0</v>
      </c>
      <c r="H102" s="3">
        <v>48</v>
      </c>
      <c r="I102" s="3">
        <v>6.9109999999999996</v>
      </c>
      <c r="J102" s="3">
        <v>7.5510000000000002</v>
      </c>
      <c r="K102" s="3">
        <v>0.64900000000000002</v>
      </c>
    </row>
    <row r="103" spans="2:11" x14ac:dyDescent="0.25">
      <c r="B103" s="2" t="s">
        <v>4477</v>
      </c>
      <c r="C103" s="2" t="s">
        <v>4478</v>
      </c>
      <c r="D103" s="3">
        <v>33.36</v>
      </c>
      <c r="E103" s="3">
        <v>0</v>
      </c>
      <c r="F103" s="3">
        <v>0</v>
      </c>
      <c r="G103" s="3">
        <v>0</v>
      </c>
      <c r="H103" s="3">
        <v>54</v>
      </c>
      <c r="I103" s="3">
        <v>2.903</v>
      </c>
      <c r="J103" s="3">
        <v>3.2669999999999999</v>
      </c>
      <c r="K103" s="3">
        <v>0.26800000000000002</v>
      </c>
    </row>
    <row r="104" spans="2:11" x14ac:dyDescent="0.25">
      <c r="B104" s="2" t="s">
        <v>4479</v>
      </c>
      <c r="C104" s="2" t="s">
        <v>4480</v>
      </c>
      <c r="D104" s="3">
        <v>33.369999999999997</v>
      </c>
      <c r="E104" s="3">
        <v>0</v>
      </c>
      <c r="F104" s="3">
        <v>0</v>
      </c>
      <c r="G104" s="3">
        <v>0</v>
      </c>
      <c r="H104" s="3">
        <v>55</v>
      </c>
      <c r="I104" s="3">
        <v>2.194</v>
      </c>
      <c r="J104" s="3">
        <v>2.4689999999999999</v>
      </c>
      <c r="K104" s="3">
        <v>0.20200000000000001</v>
      </c>
    </row>
    <row r="105" spans="2:11" x14ac:dyDescent="0.25">
      <c r="B105" s="2" t="s">
        <v>4481</v>
      </c>
      <c r="C105" s="2" t="s">
        <v>4482</v>
      </c>
      <c r="D105" s="3">
        <v>27.18</v>
      </c>
      <c r="E105" s="3">
        <v>0</v>
      </c>
      <c r="F105" s="3">
        <v>0</v>
      </c>
      <c r="G105" s="3">
        <v>0</v>
      </c>
      <c r="H105" s="3">
        <v>65</v>
      </c>
      <c r="I105" s="3">
        <v>9.59</v>
      </c>
      <c r="J105" s="3">
        <v>10.43</v>
      </c>
      <c r="K105" s="3">
        <v>0.86</v>
      </c>
    </row>
    <row r="106" spans="2:11" x14ac:dyDescent="0.25">
      <c r="B106" s="2" t="s">
        <v>4483</v>
      </c>
      <c r="C106" s="2" t="s">
        <v>4484</v>
      </c>
      <c r="D106" s="3">
        <v>26.39</v>
      </c>
      <c r="E106" s="3">
        <v>0</v>
      </c>
      <c r="F106" s="3">
        <v>0</v>
      </c>
      <c r="G106" s="3">
        <v>0</v>
      </c>
      <c r="H106" s="3">
        <v>61</v>
      </c>
      <c r="I106" s="3">
        <v>8.532</v>
      </c>
      <c r="J106" s="3">
        <v>9.9540000000000006</v>
      </c>
      <c r="K106" s="3">
        <v>0.85599999999999998</v>
      </c>
    </row>
    <row r="107" spans="2:11" x14ac:dyDescent="0.25">
      <c r="B107" s="2" t="s">
        <v>4485</v>
      </c>
      <c r="C107" s="2" t="s">
        <v>4486</v>
      </c>
      <c r="D107" s="3">
        <v>27.17</v>
      </c>
      <c r="E107" s="3">
        <v>0</v>
      </c>
      <c r="F107" s="3">
        <v>0</v>
      </c>
      <c r="G107" s="3">
        <v>0</v>
      </c>
      <c r="H107" s="3">
        <v>64</v>
      </c>
      <c r="I107" s="3">
        <v>7.8540000000000001</v>
      </c>
      <c r="J107" s="3">
        <v>8.7629999999999999</v>
      </c>
      <c r="K107" s="3">
        <v>0.85799999999999998</v>
      </c>
    </row>
    <row r="108" spans="2:11" x14ac:dyDescent="0.25">
      <c r="B108" s="2" t="s">
        <v>4487</v>
      </c>
      <c r="C108" s="2" t="s">
        <v>4488</v>
      </c>
      <c r="D108" s="3">
        <v>31.06</v>
      </c>
      <c r="E108" s="3">
        <v>0</v>
      </c>
      <c r="F108" s="3">
        <v>0</v>
      </c>
      <c r="G108" s="3">
        <v>0</v>
      </c>
      <c r="H108" s="3">
        <v>71</v>
      </c>
      <c r="I108" s="3">
        <v>5.16</v>
      </c>
      <c r="J108" s="3">
        <v>5.73</v>
      </c>
      <c r="K108" s="3">
        <v>0.44</v>
      </c>
    </row>
    <row r="109" spans="2:11" x14ac:dyDescent="0.25">
      <c r="B109" s="2" t="s">
        <v>4489</v>
      </c>
      <c r="C109" s="2" t="s">
        <v>4490</v>
      </c>
      <c r="D109" s="3">
        <v>30.45</v>
      </c>
      <c r="E109" s="3">
        <v>0</v>
      </c>
      <c r="F109" s="3">
        <v>0</v>
      </c>
      <c r="G109" s="3">
        <v>0</v>
      </c>
      <c r="H109" s="3">
        <v>63</v>
      </c>
      <c r="I109" s="3">
        <v>4.3440000000000003</v>
      </c>
      <c r="J109" s="3">
        <v>5.67</v>
      </c>
      <c r="K109" s="3">
        <v>0.51900000000000002</v>
      </c>
    </row>
    <row r="110" spans="2:11" x14ac:dyDescent="0.25">
      <c r="B110" s="2" t="s">
        <v>4491</v>
      </c>
      <c r="C110" s="2" t="s">
        <v>4492</v>
      </c>
      <c r="D110" s="3">
        <v>30.68</v>
      </c>
      <c r="E110" s="3">
        <v>0</v>
      </c>
      <c r="F110" s="3">
        <v>0</v>
      </c>
      <c r="G110" s="3">
        <v>0</v>
      </c>
      <c r="H110" s="3">
        <v>67</v>
      </c>
      <c r="I110" s="3">
        <v>3.4870000000000001</v>
      </c>
      <c r="J110" s="3">
        <v>4.1639999999999997</v>
      </c>
      <c r="K110" s="3">
        <v>0.52</v>
      </c>
    </row>
    <row r="111" spans="2:11" x14ac:dyDescent="0.25">
      <c r="B111" s="2" t="s">
        <v>4493</v>
      </c>
      <c r="C111" s="2" t="s">
        <v>4494</v>
      </c>
      <c r="D111" s="3">
        <v>22.8</v>
      </c>
      <c r="E111" s="3">
        <v>0</v>
      </c>
      <c r="F111" s="3">
        <v>0</v>
      </c>
      <c r="H111" s="3">
        <v>64</v>
      </c>
      <c r="I111" s="3">
        <v>12.29</v>
      </c>
      <c r="J111" s="3">
        <v>13.04</v>
      </c>
      <c r="K111" s="3">
        <v>1.05</v>
      </c>
    </row>
    <row r="112" spans="2:11" x14ac:dyDescent="0.25">
      <c r="B112" s="2" t="s">
        <v>4495</v>
      </c>
      <c r="C112" s="2" t="s">
        <v>4496</v>
      </c>
      <c r="D112" s="3">
        <v>23.48</v>
      </c>
      <c r="E112" s="3">
        <v>0</v>
      </c>
      <c r="F112" s="3">
        <v>0</v>
      </c>
      <c r="H112" s="3">
        <v>65</v>
      </c>
      <c r="I112" s="3">
        <v>10.3</v>
      </c>
      <c r="J112" s="3">
        <v>10.93</v>
      </c>
      <c r="K112" s="3">
        <v>0.89</v>
      </c>
    </row>
    <row r="113" spans="2:11" x14ac:dyDescent="0.25">
      <c r="B113" s="2" t="s">
        <v>4497</v>
      </c>
      <c r="C113" s="2" t="s">
        <v>4498</v>
      </c>
      <c r="D113" s="3">
        <v>27.53</v>
      </c>
      <c r="E113" s="3">
        <v>0</v>
      </c>
      <c r="F113" s="3">
        <v>0</v>
      </c>
      <c r="G113" s="3">
        <v>0</v>
      </c>
      <c r="H113" s="3">
        <v>73</v>
      </c>
      <c r="I113" s="3">
        <v>5.35</v>
      </c>
      <c r="J113" s="3">
        <v>5.6</v>
      </c>
      <c r="K113" s="3">
        <v>0.38</v>
      </c>
    </row>
    <row r="114" spans="2:11" x14ac:dyDescent="0.25">
      <c r="B114" s="2" t="s">
        <v>4499</v>
      </c>
      <c r="C114" s="2" t="s">
        <v>4500</v>
      </c>
      <c r="D114" s="3">
        <v>27.53</v>
      </c>
      <c r="E114" s="3">
        <v>0</v>
      </c>
      <c r="F114" s="3">
        <v>0</v>
      </c>
      <c r="H114" s="3">
        <v>73</v>
      </c>
      <c r="I114" s="3">
        <v>5.99</v>
      </c>
      <c r="J114" s="3">
        <v>6.27</v>
      </c>
      <c r="K114" s="3">
        <v>0.43</v>
      </c>
    </row>
    <row r="115" spans="2:11" x14ac:dyDescent="0.25">
      <c r="B115" s="2" t="s">
        <v>4501</v>
      </c>
      <c r="C115" s="2" t="s">
        <v>4502</v>
      </c>
      <c r="D115" s="3">
        <v>27.53</v>
      </c>
      <c r="E115" s="3">
        <v>0</v>
      </c>
      <c r="F115" s="3">
        <v>0</v>
      </c>
      <c r="H115" s="3">
        <v>73</v>
      </c>
      <c r="I115" s="3">
        <v>4.55</v>
      </c>
      <c r="J115" s="3">
        <v>4.7699999999999996</v>
      </c>
      <c r="K115" s="3">
        <v>0.33</v>
      </c>
    </row>
    <row r="116" spans="2:11" x14ac:dyDescent="0.25">
      <c r="B116" s="2" t="s">
        <v>4503</v>
      </c>
      <c r="C116" s="2" t="s">
        <v>4504</v>
      </c>
      <c r="D116" s="3">
        <v>27.27</v>
      </c>
      <c r="E116" s="3">
        <v>0</v>
      </c>
      <c r="F116" s="3">
        <v>0</v>
      </c>
      <c r="G116" s="3">
        <v>0</v>
      </c>
      <c r="H116" s="3">
        <v>56</v>
      </c>
      <c r="I116" s="3">
        <v>5.72</v>
      </c>
      <c r="J116" s="3">
        <v>6.0339999999999998</v>
      </c>
      <c r="K116" s="3">
        <v>0.54700000000000004</v>
      </c>
    </row>
    <row r="117" spans="2:11" x14ac:dyDescent="0.25">
      <c r="B117" s="2" t="s">
        <v>4505</v>
      </c>
      <c r="C117" s="2" t="s">
        <v>4506</v>
      </c>
      <c r="D117" s="3">
        <v>24.73</v>
      </c>
      <c r="E117" s="3">
        <v>0</v>
      </c>
      <c r="F117" s="3">
        <v>0</v>
      </c>
      <c r="H117" s="3">
        <v>64</v>
      </c>
      <c r="I117" s="3">
        <v>9.24</v>
      </c>
      <c r="J117" s="3">
        <v>9.7799999999999994</v>
      </c>
      <c r="K117" s="3">
        <v>0.78</v>
      </c>
    </row>
    <row r="118" spans="2:11" x14ac:dyDescent="0.25">
      <c r="B118" s="2" t="s">
        <v>4507</v>
      </c>
      <c r="C118" s="2" t="s">
        <v>4508</v>
      </c>
      <c r="D118" s="3">
        <v>24.91</v>
      </c>
      <c r="E118" s="3">
        <v>0</v>
      </c>
      <c r="F118" s="3">
        <v>0</v>
      </c>
      <c r="H118" s="3">
        <v>64</v>
      </c>
      <c r="I118" s="3">
        <v>8.01</v>
      </c>
      <c r="J118" s="3">
        <v>8.49</v>
      </c>
      <c r="K118" s="3">
        <v>0.68</v>
      </c>
    </row>
    <row r="119" spans="2:11" x14ac:dyDescent="0.25">
      <c r="B119" s="2" t="s">
        <v>4509</v>
      </c>
      <c r="C119" s="2" t="s">
        <v>4510</v>
      </c>
      <c r="D119" s="3">
        <v>29.41</v>
      </c>
      <c r="E119" s="3">
        <v>0</v>
      </c>
      <c r="F119" s="3">
        <v>0</v>
      </c>
      <c r="G119" s="3">
        <v>0</v>
      </c>
      <c r="H119" s="3">
        <v>61</v>
      </c>
      <c r="I119" s="3">
        <v>2.8679999999999999</v>
      </c>
      <c r="J119" s="3">
        <v>3.0049999999999999</v>
      </c>
      <c r="K119" s="3">
        <v>0.27700000000000002</v>
      </c>
    </row>
    <row r="120" spans="2:11" x14ac:dyDescent="0.25">
      <c r="B120" s="2" t="s">
        <v>4511</v>
      </c>
      <c r="C120" s="2" t="s">
        <v>4512</v>
      </c>
      <c r="D120" s="3">
        <v>28.04</v>
      </c>
      <c r="E120" s="3">
        <v>0</v>
      </c>
      <c r="F120" s="3">
        <v>0</v>
      </c>
      <c r="H120" s="3">
        <v>69</v>
      </c>
      <c r="I120" s="3">
        <v>4.7300000000000004</v>
      </c>
      <c r="J120" s="3">
        <v>4.9400000000000004</v>
      </c>
      <c r="K120" s="3">
        <v>0.33</v>
      </c>
    </row>
    <row r="121" spans="2:11" x14ac:dyDescent="0.25">
      <c r="B121" s="2" t="s">
        <v>4513</v>
      </c>
      <c r="C121" s="2" t="s">
        <v>4514</v>
      </c>
      <c r="D121" s="3">
        <v>28.04</v>
      </c>
      <c r="E121" s="3">
        <v>0</v>
      </c>
      <c r="F121" s="3">
        <v>0</v>
      </c>
      <c r="H121" s="3">
        <v>69</v>
      </c>
      <c r="I121" s="3">
        <v>3.51</v>
      </c>
      <c r="J121" s="3">
        <v>3.67</v>
      </c>
      <c r="K121" s="3">
        <v>0.25</v>
      </c>
    </row>
    <row r="122" spans="2:11" x14ac:dyDescent="0.25">
      <c r="B122" s="2" t="s">
        <v>4515</v>
      </c>
      <c r="C122" s="2" t="s">
        <v>4516</v>
      </c>
      <c r="D122" s="3">
        <v>33.56</v>
      </c>
      <c r="E122" s="3">
        <v>0</v>
      </c>
      <c r="F122" s="3">
        <v>0</v>
      </c>
      <c r="G122" s="3">
        <v>0</v>
      </c>
      <c r="H122" s="3">
        <v>44</v>
      </c>
      <c r="I122" s="3">
        <v>3.1840000000000002</v>
      </c>
      <c r="J122" s="3">
        <v>3.7509999999999999</v>
      </c>
      <c r="K122" s="3">
        <v>0.33400000000000002</v>
      </c>
    </row>
    <row r="123" spans="2:11" x14ac:dyDescent="0.25">
      <c r="B123" s="2" t="s">
        <v>4517</v>
      </c>
      <c r="C123" s="2" t="s">
        <v>4518</v>
      </c>
      <c r="D123" s="3">
        <v>27.42</v>
      </c>
      <c r="E123" s="3">
        <v>0</v>
      </c>
      <c r="F123" s="3">
        <v>0</v>
      </c>
      <c r="G123" s="3">
        <v>0</v>
      </c>
      <c r="H123" s="3">
        <v>36</v>
      </c>
      <c r="I123" s="3">
        <v>2.7730000000000001</v>
      </c>
      <c r="J123" s="3">
        <v>3.266</v>
      </c>
      <c r="K123" s="3">
        <v>0.29099999999999998</v>
      </c>
    </row>
    <row r="124" spans="2:11" x14ac:dyDescent="0.25">
      <c r="B124" s="2" t="s">
        <v>4519</v>
      </c>
      <c r="C124" s="2" t="s">
        <v>4520</v>
      </c>
      <c r="D124" s="3">
        <v>32.729999999999997</v>
      </c>
      <c r="E124" s="3">
        <v>0</v>
      </c>
      <c r="F124" s="3">
        <v>0</v>
      </c>
      <c r="G124" s="3">
        <v>0</v>
      </c>
      <c r="H124" s="3">
        <v>42</v>
      </c>
      <c r="I124" s="3">
        <v>3.593</v>
      </c>
      <c r="J124" s="3">
        <v>4.2329999999999997</v>
      </c>
      <c r="K124" s="3">
        <v>0.377</v>
      </c>
    </row>
    <row r="125" spans="2:11" x14ac:dyDescent="0.25">
      <c r="B125" s="2" t="s">
        <v>4521</v>
      </c>
      <c r="C125" s="2" t="s">
        <v>4522</v>
      </c>
      <c r="D125" s="3">
        <v>26.76</v>
      </c>
      <c r="E125" s="3">
        <v>0</v>
      </c>
      <c r="F125" s="3">
        <v>0</v>
      </c>
      <c r="G125" s="3">
        <v>0</v>
      </c>
      <c r="H125" s="3">
        <v>35</v>
      </c>
      <c r="I125" s="3">
        <v>3.3660000000000001</v>
      </c>
      <c r="J125" s="3">
        <v>3.9660000000000002</v>
      </c>
      <c r="K125" s="3">
        <v>0.35299999999999998</v>
      </c>
    </row>
    <row r="126" spans="2:11" x14ac:dyDescent="0.25">
      <c r="B126" s="2" t="s">
        <v>4523</v>
      </c>
      <c r="C126" s="2" t="s">
        <v>4524</v>
      </c>
      <c r="D126" s="3">
        <v>34.39</v>
      </c>
      <c r="E126" s="3">
        <v>0</v>
      </c>
      <c r="F126" s="3">
        <v>0</v>
      </c>
      <c r="G126" s="3">
        <v>0</v>
      </c>
      <c r="H126" s="3">
        <v>45</v>
      </c>
      <c r="I126" s="3">
        <v>2.7749999999999999</v>
      </c>
      <c r="J126" s="3">
        <v>3.2690000000000001</v>
      </c>
      <c r="K126" s="3">
        <v>0.29099999999999998</v>
      </c>
    </row>
    <row r="127" spans="2:11" x14ac:dyDescent="0.25">
      <c r="B127" s="2" t="s">
        <v>4525</v>
      </c>
      <c r="C127" s="2" t="s">
        <v>4526</v>
      </c>
      <c r="D127" s="3">
        <v>28.08</v>
      </c>
      <c r="E127" s="3">
        <v>0</v>
      </c>
      <c r="F127" s="3">
        <v>0</v>
      </c>
      <c r="G127" s="3">
        <v>0</v>
      </c>
      <c r="H127" s="3">
        <v>37</v>
      </c>
      <c r="I127" s="3">
        <v>2.1789999999999998</v>
      </c>
      <c r="J127" s="3">
        <v>2.5670000000000002</v>
      </c>
      <c r="K127" s="3">
        <v>0.22800000000000001</v>
      </c>
    </row>
    <row r="128" spans="2:11" x14ac:dyDescent="0.25">
      <c r="B128" s="2" t="s">
        <v>4527</v>
      </c>
      <c r="C128" s="2" t="s">
        <v>4528</v>
      </c>
      <c r="D128" s="3">
        <v>34</v>
      </c>
      <c r="E128" s="3">
        <v>0</v>
      </c>
      <c r="F128" s="3">
        <v>0</v>
      </c>
      <c r="G128" s="3">
        <v>0</v>
      </c>
      <c r="H128" s="3">
        <v>44</v>
      </c>
      <c r="I128" s="3">
        <v>2.6749999999999998</v>
      </c>
      <c r="J128" s="3">
        <v>3.2309999999999999</v>
      </c>
      <c r="K128" s="3">
        <v>0.28599999999999998</v>
      </c>
    </row>
    <row r="129" spans="2:11" x14ac:dyDescent="0.25">
      <c r="B129" s="2" t="s">
        <v>4529</v>
      </c>
      <c r="C129" s="2" t="s">
        <v>4530</v>
      </c>
      <c r="D129" s="3">
        <v>27.76</v>
      </c>
      <c r="E129" s="3">
        <v>0</v>
      </c>
      <c r="F129" s="3">
        <v>0</v>
      </c>
      <c r="G129" s="3">
        <v>0</v>
      </c>
      <c r="H129" s="3">
        <v>36</v>
      </c>
      <c r="I129" s="3">
        <v>2.2599999999999998</v>
      </c>
      <c r="J129" s="3">
        <v>2.73</v>
      </c>
      <c r="K129" s="3">
        <v>0.24199999999999999</v>
      </c>
    </row>
    <row r="130" spans="2:11" x14ac:dyDescent="0.25">
      <c r="B130" s="2" t="s">
        <v>4531</v>
      </c>
      <c r="C130" s="2" t="s">
        <v>4532</v>
      </c>
      <c r="D130" s="3">
        <v>33.08</v>
      </c>
      <c r="E130" s="3">
        <v>0</v>
      </c>
      <c r="F130" s="3">
        <v>0</v>
      </c>
      <c r="G130" s="3">
        <v>0</v>
      </c>
      <c r="H130" s="3">
        <v>43</v>
      </c>
      <c r="I130" s="3">
        <v>3.1520000000000001</v>
      </c>
      <c r="J130" s="3">
        <v>3.8069999999999999</v>
      </c>
      <c r="K130" s="3">
        <v>0.33700000000000002</v>
      </c>
    </row>
    <row r="131" spans="2:11" x14ac:dyDescent="0.25">
      <c r="B131" s="2" t="s">
        <v>4533</v>
      </c>
      <c r="C131" s="2" t="s">
        <v>4534</v>
      </c>
      <c r="D131" s="3">
        <v>27.23</v>
      </c>
      <c r="E131" s="3">
        <v>0</v>
      </c>
      <c r="F131" s="3">
        <v>0</v>
      </c>
      <c r="G131" s="3">
        <v>0</v>
      </c>
      <c r="H131" s="3">
        <v>36</v>
      </c>
      <c r="I131" s="3">
        <v>2.661</v>
      </c>
      <c r="J131" s="3">
        <v>3.214</v>
      </c>
      <c r="K131" s="3">
        <v>0.28499999999999998</v>
      </c>
    </row>
    <row r="132" spans="2:11" x14ac:dyDescent="0.25">
      <c r="B132" s="2" t="s">
        <v>4535</v>
      </c>
      <c r="C132" s="2" t="s">
        <v>4536</v>
      </c>
      <c r="D132" s="3">
        <v>34.93</v>
      </c>
      <c r="E132" s="3">
        <v>0</v>
      </c>
      <c r="F132" s="3">
        <v>0</v>
      </c>
      <c r="G132" s="3">
        <v>0</v>
      </c>
      <c r="H132" s="3">
        <v>46</v>
      </c>
      <c r="I132" s="3">
        <v>2.198</v>
      </c>
      <c r="J132" s="3">
        <v>2.6549999999999998</v>
      </c>
      <c r="K132" s="3">
        <v>0.23499999999999999</v>
      </c>
    </row>
    <row r="133" spans="2:11" x14ac:dyDescent="0.25">
      <c r="B133" s="2" t="s">
        <v>4537</v>
      </c>
      <c r="C133" s="2" t="s">
        <v>4538</v>
      </c>
      <c r="D133" s="3">
        <v>28.29</v>
      </c>
      <c r="E133" s="3">
        <v>0</v>
      </c>
      <c r="F133" s="3">
        <v>0</v>
      </c>
      <c r="G133" s="3">
        <v>0</v>
      </c>
      <c r="H133" s="3">
        <v>38</v>
      </c>
      <c r="I133" s="3">
        <v>1.86</v>
      </c>
      <c r="J133" s="3">
        <v>2.2469999999999999</v>
      </c>
      <c r="K133" s="3">
        <v>0.19900000000000001</v>
      </c>
    </row>
    <row r="134" spans="2:11" x14ac:dyDescent="0.25">
      <c r="B134" s="2" t="s">
        <v>4539</v>
      </c>
      <c r="C134" s="2" t="s">
        <v>4540</v>
      </c>
      <c r="D134" s="3">
        <v>29.66</v>
      </c>
      <c r="E134" s="3">
        <v>0</v>
      </c>
      <c r="F134" s="3">
        <v>0</v>
      </c>
      <c r="G134" s="3">
        <v>0</v>
      </c>
      <c r="H134" s="3">
        <v>67</v>
      </c>
      <c r="I134" s="3">
        <v>1.615</v>
      </c>
      <c r="J134" s="3">
        <v>1.8759999999999999</v>
      </c>
      <c r="K134" s="3">
        <v>0.317</v>
      </c>
    </row>
    <row r="135" spans="2:11" x14ac:dyDescent="0.25">
      <c r="B135" s="2" t="s">
        <v>4541</v>
      </c>
      <c r="C135" s="2" t="s">
        <v>4542</v>
      </c>
      <c r="D135" s="3">
        <v>29.79</v>
      </c>
      <c r="E135" s="3">
        <v>0</v>
      </c>
      <c r="F135" s="3">
        <v>0</v>
      </c>
      <c r="G135" s="3">
        <v>0</v>
      </c>
      <c r="H135" s="3">
        <v>66</v>
      </c>
      <c r="I135" s="3">
        <v>1.6559999999999999</v>
      </c>
      <c r="J135" s="3">
        <v>1.9590000000000001</v>
      </c>
      <c r="K135" s="3">
        <v>0.33300000000000002</v>
      </c>
    </row>
    <row r="136" spans="2:11" x14ac:dyDescent="0.25">
      <c r="B136" s="2" t="s">
        <v>4543</v>
      </c>
      <c r="C136" s="2" t="s">
        <v>4544</v>
      </c>
      <c r="D136" s="3">
        <v>29.45</v>
      </c>
      <c r="E136" s="3">
        <v>0</v>
      </c>
      <c r="F136" s="3">
        <v>0</v>
      </c>
      <c r="G136" s="3">
        <v>0</v>
      </c>
      <c r="H136" s="3">
        <v>63</v>
      </c>
      <c r="I136" s="3">
        <v>1.5549999999999999</v>
      </c>
      <c r="J136" s="3">
        <v>1.7509999999999999</v>
      </c>
      <c r="K136" s="3">
        <v>0.29199999999999998</v>
      </c>
    </row>
    <row r="137" spans="2:11" x14ac:dyDescent="0.25">
      <c r="B137" s="2" t="s">
        <v>4545</v>
      </c>
      <c r="C137" s="2" t="s">
        <v>4546</v>
      </c>
      <c r="D137" s="3">
        <v>29.85</v>
      </c>
      <c r="E137" s="3">
        <v>0</v>
      </c>
      <c r="F137" s="3">
        <v>0</v>
      </c>
      <c r="G137" s="3">
        <v>0</v>
      </c>
      <c r="H137" s="3">
        <v>67</v>
      </c>
      <c r="I137" s="3">
        <v>1.375</v>
      </c>
      <c r="J137" s="3">
        <v>1.6020000000000001</v>
      </c>
      <c r="K137" s="3">
        <v>0.29499999999999998</v>
      </c>
    </row>
    <row r="138" spans="2:11" x14ac:dyDescent="0.25">
      <c r="B138" s="2" t="s">
        <v>4547</v>
      </c>
      <c r="C138" s="2" t="s">
        <v>4548</v>
      </c>
      <c r="D138" s="3">
        <v>29.94</v>
      </c>
      <c r="E138" s="3">
        <v>0</v>
      </c>
      <c r="F138" s="3">
        <v>0</v>
      </c>
      <c r="G138" s="3">
        <v>0</v>
      </c>
      <c r="H138" s="3">
        <v>66</v>
      </c>
      <c r="I138" s="3">
        <v>1.4390000000000001</v>
      </c>
      <c r="J138" s="3">
        <v>1.7130000000000001</v>
      </c>
      <c r="K138" s="3">
        <v>0.314</v>
      </c>
    </row>
    <row r="139" spans="2:11" x14ac:dyDescent="0.25">
      <c r="B139" s="2" t="s">
        <v>4549</v>
      </c>
      <c r="C139" s="2" t="s">
        <v>4550</v>
      </c>
      <c r="D139" s="3">
        <v>29.52</v>
      </c>
      <c r="E139" s="3">
        <v>0</v>
      </c>
      <c r="F139" s="3">
        <v>0</v>
      </c>
      <c r="G139" s="3">
        <v>0</v>
      </c>
      <c r="H139" s="3">
        <v>63</v>
      </c>
      <c r="I139" s="3">
        <v>1.28</v>
      </c>
      <c r="J139" s="3">
        <v>1.4379999999999999</v>
      </c>
      <c r="K139" s="3">
        <v>0.26600000000000001</v>
      </c>
    </row>
    <row r="140" spans="2:11" x14ac:dyDescent="0.25">
      <c r="B140" s="2" t="s">
        <v>4551</v>
      </c>
      <c r="C140" s="2" t="s">
        <v>4552</v>
      </c>
      <c r="D140" s="3">
        <v>26.79</v>
      </c>
      <c r="E140" s="3">
        <v>0</v>
      </c>
      <c r="F140" s="3">
        <v>0</v>
      </c>
      <c r="G140" s="3">
        <v>0</v>
      </c>
      <c r="H140" s="3">
        <v>35</v>
      </c>
      <c r="I140" s="3">
        <v>3.0070000000000001</v>
      </c>
      <c r="J140" s="3">
        <v>3.4049999999999998</v>
      </c>
      <c r="K140" s="3">
        <v>0.30499999999999999</v>
      </c>
    </row>
    <row r="141" spans="2:11" x14ac:dyDescent="0.25">
      <c r="B141" s="2" t="s">
        <v>4553</v>
      </c>
      <c r="C141" s="2" t="s">
        <v>4554</v>
      </c>
      <c r="D141" s="3">
        <v>27.01</v>
      </c>
      <c r="E141" s="3">
        <v>0</v>
      </c>
      <c r="F141" s="3">
        <v>0</v>
      </c>
      <c r="G141" s="3">
        <v>0</v>
      </c>
      <c r="H141" s="3">
        <v>35</v>
      </c>
      <c r="I141" s="3">
        <v>3.2570000000000001</v>
      </c>
      <c r="J141" s="3">
        <v>3.6890000000000001</v>
      </c>
      <c r="K141" s="3">
        <v>0.33</v>
      </c>
    </row>
    <row r="142" spans="2:11" x14ac:dyDescent="0.25">
      <c r="B142" s="2" t="s">
        <v>4555</v>
      </c>
      <c r="C142" s="2" t="s">
        <v>4556</v>
      </c>
      <c r="D142" s="3">
        <v>26.57</v>
      </c>
      <c r="E142" s="3">
        <v>0</v>
      </c>
      <c r="F142" s="3">
        <v>0</v>
      </c>
      <c r="G142" s="3">
        <v>0</v>
      </c>
      <c r="H142" s="3">
        <v>35</v>
      </c>
      <c r="I142" s="3">
        <v>2.7559999999999998</v>
      </c>
      <c r="J142" s="3">
        <v>3.121</v>
      </c>
      <c r="K142" s="3">
        <v>0.28000000000000003</v>
      </c>
    </row>
    <row r="143" spans="2:11" x14ac:dyDescent="0.25">
      <c r="B143" s="2" t="s">
        <v>4557</v>
      </c>
      <c r="C143" s="2" t="s">
        <v>4558</v>
      </c>
      <c r="D143" s="3">
        <v>27.53</v>
      </c>
      <c r="E143" s="3">
        <v>0</v>
      </c>
      <c r="F143" s="3">
        <v>0</v>
      </c>
      <c r="G143" s="3">
        <v>0</v>
      </c>
      <c r="H143" s="3">
        <v>36</v>
      </c>
      <c r="I143" s="3">
        <v>2.2090000000000001</v>
      </c>
      <c r="J143" s="3">
        <v>2.5369999999999999</v>
      </c>
      <c r="K143" s="3">
        <v>0.247</v>
      </c>
    </row>
    <row r="144" spans="2:11" x14ac:dyDescent="0.25">
      <c r="B144" s="2" t="s">
        <v>4559</v>
      </c>
      <c r="C144" s="2" t="s">
        <v>4560</v>
      </c>
      <c r="D144" s="3">
        <v>27.68</v>
      </c>
      <c r="E144" s="3">
        <v>0</v>
      </c>
      <c r="F144" s="3">
        <v>0</v>
      </c>
      <c r="G144" s="3">
        <v>0</v>
      </c>
      <c r="H144" s="3">
        <v>36</v>
      </c>
      <c r="I144" s="3">
        <v>2.2879999999999998</v>
      </c>
      <c r="J144" s="3">
        <v>2.6259999999999999</v>
      </c>
      <c r="K144" s="3">
        <v>0.23599999999999999</v>
      </c>
    </row>
    <row r="145" spans="2:11" x14ac:dyDescent="0.25">
      <c r="B145" s="2" t="s">
        <v>4561</v>
      </c>
      <c r="C145" s="2" t="s">
        <v>4562</v>
      </c>
      <c r="D145" s="3">
        <v>27.37</v>
      </c>
      <c r="E145" s="3">
        <v>0</v>
      </c>
      <c r="F145" s="3">
        <v>0</v>
      </c>
      <c r="G145" s="3">
        <v>0</v>
      </c>
      <c r="H145" s="3">
        <v>36</v>
      </c>
      <c r="I145" s="3">
        <v>1.5629999999999999</v>
      </c>
      <c r="J145" s="3">
        <v>1.794</v>
      </c>
      <c r="K145" s="3">
        <v>0.161</v>
      </c>
    </row>
    <row r="146" spans="2:11" x14ac:dyDescent="0.25">
      <c r="B146" s="2" t="s">
        <v>4563</v>
      </c>
      <c r="C146" s="2" t="s">
        <v>4564</v>
      </c>
      <c r="D146" s="3">
        <v>35.619999999999997</v>
      </c>
      <c r="E146" s="3">
        <v>0</v>
      </c>
      <c r="F146" s="3">
        <v>0</v>
      </c>
      <c r="G146" s="3">
        <v>0</v>
      </c>
      <c r="H146" s="3">
        <v>45</v>
      </c>
      <c r="I146" s="3">
        <v>2.25</v>
      </c>
      <c r="J146" s="3">
        <v>2.5099999999999998</v>
      </c>
      <c r="K146" s="3">
        <v>0.27</v>
      </c>
    </row>
    <row r="147" spans="2:11" x14ac:dyDescent="0.25">
      <c r="B147" s="2" t="s">
        <v>4565</v>
      </c>
      <c r="C147" s="2" t="s">
        <v>4566</v>
      </c>
      <c r="D147" s="3">
        <v>35.619999999999997</v>
      </c>
      <c r="E147" s="3">
        <v>0</v>
      </c>
      <c r="F147" s="3">
        <v>0</v>
      </c>
      <c r="G147" s="3">
        <v>0</v>
      </c>
      <c r="H147" s="3">
        <v>45</v>
      </c>
      <c r="I147" s="3">
        <v>2.52</v>
      </c>
      <c r="J147" s="3">
        <v>2.82</v>
      </c>
      <c r="K147" s="3">
        <v>0.31</v>
      </c>
    </row>
    <row r="148" spans="2:11" x14ac:dyDescent="0.25">
      <c r="B148" s="2" t="s">
        <v>4567</v>
      </c>
      <c r="C148" s="2" t="s">
        <v>4568</v>
      </c>
      <c r="D148" s="3">
        <v>35.619999999999997</v>
      </c>
      <c r="E148" s="3">
        <v>0</v>
      </c>
      <c r="F148" s="3">
        <v>0</v>
      </c>
      <c r="G148" s="3">
        <v>0</v>
      </c>
      <c r="H148" s="3">
        <v>45</v>
      </c>
      <c r="I148" s="3">
        <v>1.92</v>
      </c>
      <c r="J148" s="3">
        <v>2.13</v>
      </c>
      <c r="K148" s="3">
        <v>0.23</v>
      </c>
    </row>
    <row r="149" spans="2:11" x14ac:dyDescent="0.25">
      <c r="B149" s="2" t="s">
        <v>4569</v>
      </c>
      <c r="C149" s="2" t="s">
        <v>4570</v>
      </c>
      <c r="D149" s="3">
        <v>36.119999999999997</v>
      </c>
      <c r="E149" s="3">
        <v>0</v>
      </c>
      <c r="F149" s="3">
        <v>0</v>
      </c>
      <c r="G149" s="3">
        <v>0</v>
      </c>
      <c r="H149" s="3">
        <v>45</v>
      </c>
      <c r="I149" s="3">
        <v>1.99</v>
      </c>
      <c r="J149" s="3">
        <v>2.25</v>
      </c>
      <c r="K149" s="3">
        <v>0.26</v>
      </c>
    </row>
    <row r="150" spans="2:11" x14ac:dyDescent="0.25">
      <c r="B150" s="2" t="s">
        <v>4571</v>
      </c>
      <c r="C150" s="2" t="s">
        <v>4572</v>
      </c>
      <c r="D150" s="3">
        <v>36.119999999999997</v>
      </c>
      <c r="E150" s="3">
        <v>0</v>
      </c>
      <c r="F150" s="3">
        <v>0</v>
      </c>
      <c r="G150" s="3">
        <v>0</v>
      </c>
      <c r="H150" s="3">
        <v>45</v>
      </c>
      <c r="I150" s="3">
        <v>1.37</v>
      </c>
      <c r="J150" s="3">
        <v>1.55</v>
      </c>
      <c r="K150" s="3">
        <v>0.18</v>
      </c>
    </row>
    <row r="151" spans="2:11" x14ac:dyDescent="0.25">
      <c r="B151" s="2" t="s">
        <v>4573</v>
      </c>
      <c r="C151" s="2" t="s">
        <v>4574</v>
      </c>
      <c r="D151" s="3">
        <v>30.5</v>
      </c>
      <c r="E151" s="3">
        <v>0</v>
      </c>
      <c r="F151" s="3">
        <v>0</v>
      </c>
      <c r="G151" s="3">
        <v>0</v>
      </c>
      <c r="H151" s="3">
        <v>57</v>
      </c>
      <c r="I151" s="3">
        <v>3.5249999999999999</v>
      </c>
      <c r="J151" s="3">
        <v>3.98</v>
      </c>
      <c r="K151" s="3">
        <v>0.61299999999999999</v>
      </c>
    </row>
    <row r="152" spans="2:11" x14ac:dyDescent="0.25">
      <c r="B152" s="2" t="s">
        <v>4575</v>
      </c>
      <c r="C152" s="2" t="s">
        <v>4576</v>
      </c>
      <c r="D152" s="3">
        <v>30.21</v>
      </c>
      <c r="E152" s="3">
        <v>0</v>
      </c>
      <c r="F152" s="3">
        <v>0</v>
      </c>
      <c r="G152" s="3">
        <v>0</v>
      </c>
      <c r="H152" s="3">
        <v>58</v>
      </c>
      <c r="I152" s="3">
        <v>3.85</v>
      </c>
      <c r="J152" s="3">
        <v>4.415</v>
      </c>
      <c r="K152" s="3">
        <v>0.66200000000000003</v>
      </c>
    </row>
    <row r="153" spans="2:11" x14ac:dyDescent="0.25">
      <c r="B153" s="2" t="s">
        <v>4577</v>
      </c>
      <c r="C153" s="2" t="s">
        <v>4578</v>
      </c>
      <c r="D153" s="3">
        <v>30.93</v>
      </c>
      <c r="E153" s="3">
        <v>0</v>
      </c>
      <c r="F153" s="3">
        <v>0</v>
      </c>
      <c r="G153" s="3">
        <v>0</v>
      </c>
      <c r="H153" s="3">
        <v>54</v>
      </c>
      <c r="I153" s="3">
        <v>3.036</v>
      </c>
      <c r="J153" s="3">
        <v>3.327</v>
      </c>
      <c r="K153" s="3">
        <v>0.53900000000000003</v>
      </c>
    </row>
    <row r="154" spans="2:11" x14ac:dyDescent="0.25">
      <c r="B154" s="2" t="s">
        <v>4579</v>
      </c>
      <c r="C154" s="2" t="s">
        <v>4580</v>
      </c>
      <c r="D154" s="3">
        <v>30.7</v>
      </c>
      <c r="E154" s="3">
        <v>0</v>
      </c>
      <c r="F154" s="3">
        <v>0</v>
      </c>
      <c r="G154" s="3">
        <v>0</v>
      </c>
      <c r="H154" s="3">
        <v>59</v>
      </c>
      <c r="I154" s="3">
        <v>3.2959999999999998</v>
      </c>
      <c r="J154" s="3">
        <v>3.7280000000000002</v>
      </c>
      <c r="K154" s="3">
        <v>0.59299999999999997</v>
      </c>
    </row>
    <row r="155" spans="2:11" x14ac:dyDescent="0.25">
      <c r="B155" s="2" t="s">
        <v>4581</v>
      </c>
      <c r="C155" s="2" t="s">
        <v>4582</v>
      </c>
      <c r="D155" s="3">
        <v>30.45</v>
      </c>
      <c r="E155" s="3">
        <v>0</v>
      </c>
      <c r="F155" s="3">
        <v>0</v>
      </c>
      <c r="G155" s="3">
        <v>0</v>
      </c>
      <c r="H155" s="3">
        <v>71</v>
      </c>
      <c r="I155" s="3">
        <v>3.5760000000000001</v>
      </c>
      <c r="J155" s="3">
        <v>4.1139999999999999</v>
      </c>
      <c r="K155" s="3">
        <v>0.64</v>
      </c>
    </row>
    <row r="156" spans="2:11" x14ac:dyDescent="0.25">
      <c r="B156" s="2" t="s">
        <v>4583</v>
      </c>
      <c r="C156" s="2" t="s">
        <v>4584</v>
      </c>
      <c r="D156" s="3">
        <v>31.09</v>
      </c>
      <c r="E156" s="3">
        <v>0</v>
      </c>
      <c r="F156" s="3">
        <v>0</v>
      </c>
      <c r="G156" s="3">
        <v>0</v>
      </c>
      <c r="H156" s="3">
        <v>55</v>
      </c>
      <c r="I156" s="3">
        <v>2.8759999999999999</v>
      </c>
      <c r="J156" s="3">
        <v>3.15</v>
      </c>
      <c r="K156" s="3">
        <v>0.52500000000000002</v>
      </c>
    </row>
    <row r="157" spans="2:11" x14ac:dyDescent="0.25">
      <c r="B157" s="2" t="s">
        <v>4585</v>
      </c>
      <c r="C157" s="2" t="s">
        <v>4586</v>
      </c>
      <c r="D157" s="3">
        <v>28.57</v>
      </c>
      <c r="E157" s="3">
        <v>0</v>
      </c>
      <c r="F157" s="3">
        <v>0</v>
      </c>
      <c r="G157" s="3">
        <v>0</v>
      </c>
      <c r="H157" s="3">
        <v>59</v>
      </c>
      <c r="I157" s="3">
        <v>4.5339999999999998</v>
      </c>
      <c r="J157" s="3">
        <v>5.0810000000000004</v>
      </c>
      <c r="K157" s="3">
        <v>0.57799999999999996</v>
      </c>
    </row>
    <row r="158" spans="2:11" x14ac:dyDescent="0.25">
      <c r="B158" s="2" t="s">
        <v>4587</v>
      </c>
      <c r="C158" s="2" t="s">
        <v>4588</v>
      </c>
      <c r="D158" s="3">
        <v>28.19</v>
      </c>
      <c r="E158" s="3">
        <v>0</v>
      </c>
      <c r="F158" s="3">
        <v>0</v>
      </c>
      <c r="G158" s="3">
        <v>0</v>
      </c>
      <c r="H158" s="3">
        <v>59</v>
      </c>
      <c r="I158" s="3">
        <v>5.1109999999999998</v>
      </c>
      <c r="J158" s="3">
        <v>5.8</v>
      </c>
      <c r="K158" s="3">
        <v>0.629</v>
      </c>
    </row>
    <row r="159" spans="2:11" x14ac:dyDescent="0.25">
      <c r="B159" s="2" t="s">
        <v>4589</v>
      </c>
      <c r="C159" s="2" t="s">
        <v>4590</v>
      </c>
      <c r="D159" s="3">
        <v>29.16</v>
      </c>
      <c r="E159" s="3">
        <v>0</v>
      </c>
      <c r="F159" s="3">
        <v>0</v>
      </c>
      <c r="G159" s="3">
        <v>0</v>
      </c>
      <c r="H159" s="3">
        <v>57</v>
      </c>
      <c r="I159" s="3">
        <v>3.6669999999999998</v>
      </c>
      <c r="J159" s="3">
        <v>4.0019999999999998</v>
      </c>
      <c r="K159" s="3">
        <v>0.502</v>
      </c>
    </row>
    <row r="160" spans="2:11" x14ac:dyDescent="0.25">
      <c r="B160" s="2" t="s">
        <v>4591</v>
      </c>
      <c r="C160" s="2" t="s">
        <v>4592</v>
      </c>
      <c r="D160" s="3">
        <v>29.53</v>
      </c>
      <c r="E160" s="3">
        <v>0</v>
      </c>
      <c r="F160" s="3">
        <v>0</v>
      </c>
      <c r="G160" s="3">
        <v>0</v>
      </c>
      <c r="H160" s="3">
        <v>61</v>
      </c>
      <c r="I160" s="3">
        <v>3.4129999999999998</v>
      </c>
      <c r="J160" s="3">
        <v>3.875</v>
      </c>
      <c r="K160" s="3">
        <v>0.47899999999999998</v>
      </c>
    </row>
    <row r="161" spans="2:11" x14ac:dyDescent="0.25">
      <c r="B161" s="2" t="s">
        <v>4593</v>
      </c>
      <c r="C161" s="2" t="s">
        <v>4594</v>
      </c>
      <c r="D161" s="3">
        <v>29.22</v>
      </c>
      <c r="E161" s="3">
        <v>0</v>
      </c>
      <c r="F161" s="3">
        <v>0</v>
      </c>
      <c r="G161" s="3">
        <v>0</v>
      </c>
      <c r="H161" s="3">
        <v>59</v>
      </c>
      <c r="I161" s="3">
        <v>3.899</v>
      </c>
      <c r="J161" s="3">
        <v>4.4989999999999997</v>
      </c>
      <c r="K161" s="3">
        <v>0.52200000000000002</v>
      </c>
    </row>
    <row r="162" spans="2:11" x14ac:dyDescent="0.25">
      <c r="B162" s="2" t="s">
        <v>4595</v>
      </c>
      <c r="C162" s="2" t="s">
        <v>4596</v>
      </c>
      <c r="D162" s="3">
        <v>29.99</v>
      </c>
      <c r="E162" s="3">
        <v>0</v>
      </c>
      <c r="F162" s="3">
        <v>0</v>
      </c>
      <c r="G162" s="3">
        <v>0</v>
      </c>
      <c r="H162" s="3">
        <v>58</v>
      </c>
      <c r="I162" s="3">
        <v>2.6850000000000001</v>
      </c>
      <c r="J162" s="3">
        <v>2.94</v>
      </c>
      <c r="K162" s="3">
        <v>0.41499999999999998</v>
      </c>
    </row>
    <row r="163" spans="2:11" x14ac:dyDescent="0.25">
      <c r="B163" s="2" t="s">
        <v>4597</v>
      </c>
      <c r="C163" s="2" t="s">
        <v>4598</v>
      </c>
      <c r="D163" s="3">
        <v>29.33</v>
      </c>
      <c r="E163" s="3">
        <v>0</v>
      </c>
      <c r="F163" s="3">
        <v>0</v>
      </c>
      <c r="G163" s="3">
        <v>0</v>
      </c>
      <c r="H163" s="3">
        <v>61</v>
      </c>
      <c r="I163" s="3">
        <v>3.754</v>
      </c>
      <c r="J163" s="3">
        <v>3.9590000000000001</v>
      </c>
      <c r="K163" s="3">
        <v>0.35899999999999999</v>
      </c>
    </row>
    <row r="164" spans="2:11" x14ac:dyDescent="0.25">
      <c r="B164" s="2" t="s">
        <v>4599</v>
      </c>
      <c r="C164" s="2" t="s">
        <v>4600</v>
      </c>
      <c r="D164" s="3">
        <v>29.02</v>
      </c>
      <c r="E164" s="3">
        <v>0</v>
      </c>
      <c r="F164" s="3">
        <v>0</v>
      </c>
      <c r="G164" s="3">
        <v>0</v>
      </c>
      <c r="H164" s="3">
        <v>58</v>
      </c>
      <c r="I164" s="3">
        <v>4.09</v>
      </c>
      <c r="J164" s="3">
        <v>4.3140000000000001</v>
      </c>
      <c r="K164" s="3">
        <v>0.39100000000000001</v>
      </c>
    </row>
    <row r="165" spans="2:11" x14ac:dyDescent="0.25">
      <c r="B165" s="2" t="s">
        <v>4601</v>
      </c>
      <c r="C165" s="2" t="s">
        <v>4602</v>
      </c>
      <c r="D165" s="3">
        <v>29.65</v>
      </c>
      <c r="E165" s="3">
        <v>0</v>
      </c>
      <c r="F165" s="3">
        <v>0</v>
      </c>
      <c r="G165" s="3">
        <v>0</v>
      </c>
      <c r="H165" s="3">
        <v>63</v>
      </c>
      <c r="I165" s="3">
        <v>3.4169999999999998</v>
      </c>
      <c r="J165" s="3">
        <v>3.6040000000000001</v>
      </c>
      <c r="K165" s="3">
        <v>0.32700000000000001</v>
      </c>
    </row>
    <row r="166" spans="2:11" x14ac:dyDescent="0.25">
      <c r="B166" s="2" t="s">
        <v>4603</v>
      </c>
      <c r="C166" s="2" t="s">
        <v>4604</v>
      </c>
      <c r="D166" s="3">
        <v>30.55</v>
      </c>
      <c r="E166" s="3">
        <v>0</v>
      </c>
      <c r="F166" s="3">
        <v>0</v>
      </c>
      <c r="G166" s="3">
        <v>0</v>
      </c>
      <c r="H166" s="3">
        <v>64</v>
      </c>
      <c r="I166" s="3">
        <v>2.2050000000000001</v>
      </c>
      <c r="J166" s="3">
        <v>2.31</v>
      </c>
      <c r="K166" s="3">
        <v>0.21299999999999999</v>
      </c>
    </row>
    <row r="167" spans="2:11" x14ac:dyDescent="0.25">
      <c r="B167" s="2" t="s">
        <v>4605</v>
      </c>
      <c r="C167" s="2" t="s">
        <v>4606</v>
      </c>
      <c r="D167" s="3">
        <v>30.29</v>
      </c>
      <c r="E167" s="3">
        <v>0</v>
      </c>
      <c r="F167" s="3">
        <v>0</v>
      </c>
      <c r="G167" s="3">
        <v>0</v>
      </c>
      <c r="H167" s="3">
        <v>63</v>
      </c>
      <c r="I167" s="3">
        <v>2.4950000000000001</v>
      </c>
      <c r="J167" s="3">
        <v>2.6150000000000002</v>
      </c>
      <c r="K167" s="3">
        <v>0.24099999999999999</v>
      </c>
    </row>
    <row r="168" spans="2:11" x14ac:dyDescent="0.25">
      <c r="B168" s="2" t="s">
        <v>4607</v>
      </c>
      <c r="C168" s="2" t="s">
        <v>4608</v>
      </c>
      <c r="D168" s="3">
        <v>30.8</v>
      </c>
      <c r="E168" s="3">
        <v>0</v>
      </c>
      <c r="F168" s="3">
        <v>0</v>
      </c>
      <c r="G168" s="3">
        <v>0</v>
      </c>
      <c r="H168" s="3">
        <v>66</v>
      </c>
      <c r="I168" s="3">
        <v>1.915</v>
      </c>
      <c r="J168" s="3">
        <v>2.0059999999999998</v>
      </c>
      <c r="K168" s="3">
        <v>0.185</v>
      </c>
    </row>
    <row r="169" spans="2:11" x14ac:dyDescent="0.25">
      <c r="B169" s="2" t="s">
        <v>4609</v>
      </c>
      <c r="C169" s="2" t="s">
        <v>4610</v>
      </c>
      <c r="D169" s="3">
        <v>23.96</v>
      </c>
      <c r="E169" s="3">
        <v>0</v>
      </c>
      <c r="F169" s="3">
        <v>0</v>
      </c>
      <c r="G169" s="3">
        <v>0</v>
      </c>
      <c r="H169" s="3">
        <v>65</v>
      </c>
      <c r="I169" s="3">
        <v>7.2709999999999999</v>
      </c>
      <c r="J169" s="3">
        <v>8.65</v>
      </c>
      <c r="K169" s="3">
        <v>0.69</v>
      </c>
    </row>
    <row r="170" spans="2:11" x14ac:dyDescent="0.25">
      <c r="B170" s="2" t="s">
        <v>4611</v>
      </c>
      <c r="C170" s="2" t="s">
        <v>4612</v>
      </c>
      <c r="D170" s="3">
        <v>23.61</v>
      </c>
      <c r="E170" s="3">
        <v>0</v>
      </c>
      <c r="F170" s="3">
        <v>0</v>
      </c>
      <c r="G170" s="3">
        <v>0</v>
      </c>
      <c r="H170" s="3">
        <v>65</v>
      </c>
      <c r="I170" s="3">
        <v>7.43</v>
      </c>
      <c r="J170" s="3">
        <v>9.2750000000000004</v>
      </c>
      <c r="K170" s="3">
        <v>0.67600000000000005</v>
      </c>
    </row>
    <row r="171" spans="2:11" x14ac:dyDescent="0.25">
      <c r="B171" s="2" t="s">
        <v>4613</v>
      </c>
      <c r="C171" s="2" t="s">
        <v>4614</v>
      </c>
      <c r="D171" s="3">
        <v>24.47</v>
      </c>
      <c r="E171" s="3">
        <v>0</v>
      </c>
      <c r="F171" s="3">
        <v>0</v>
      </c>
      <c r="G171" s="3">
        <v>0</v>
      </c>
      <c r="H171" s="3">
        <v>65</v>
      </c>
      <c r="I171" s="3">
        <v>7.04</v>
      </c>
      <c r="J171" s="3">
        <v>7.7389999999999999</v>
      </c>
      <c r="K171" s="3">
        <v>0.71099999999999997</v>
      </c>
    </row>
    <row r="172" spans="2:11" x14ac:dyDescent="0.25">
      <c r="B172" s="2" t="s">
        <v>4615</v>
      </c>
      <c r="C172" s="2" t="s">
        <v>4616</v>
      </c>
      <c r="D172" s="3">
        <v>22.32</v>
      </c>
      <c r="E172" s="3">
        <v>0</v>
      </c>
      <c r="F172" s="3">
        <v>0</v>
      </c>
      <c r="G172" s="3">
        <v>0</v>
      </c>
      <c r="H172" s="3">
        <v>51</v>
      </c>
      <c r="I172" s="3">
        <v>2.5569999999999999</v>
      </c>
      <c r="J172" s="3">
        <v>2.84</v>
      </c>
      <c r="K172" s="3">
        <v>0.35299999999999998</v>
      </c>
    </row>
    <row r="173" spans="2:11" x14ac:dyDescent="0.25">
      <c r="B173" s="2" t="s">
        <v>4617</v>
      </c>
      <c r="C173" s="2" t="s">
        <v>4618</v>
      </c>
      <c r="D173" s="3">
        <v>28.16</v>
      </c>
      <c r="E173" s="3">
        <v>0</v>
      </c>
      <c r="F173" s="3">
        <v>0</v>
      </c>
      <c r="G173" s="3">
        <v>0</v>
      </c>
      <c r="H173" s="3">
        <v>68</v>
      </c>
      <c r="I173" s="3">
        <v>4.0259999999999998</v>
      </c>
      <c r="J173" s="3">
        <v>4.516</v>
      </c>
      <c r="K173" s="3">
        <v>0.51300000000000001</v>
      </c>
    </row>
    <row r="174" spans="2:11" x14ac:dyDescent="0.25">
      <c r="B174" s="2" t="s">
        <v>4619</v>
      </c>
      <c r="C174" s="2" t="s">
        <v>4620</v>
      </c>
      <c r="D174" s="3">
        <v>26.07</v>
      </c>
      <c r="E174" s="3">
        <v>0</v>
      </c>
      <c r="F174" s="3">
        <v>0</v>
      </c>
      <c r="G174" s="3">
        <v>0</v>
      </c>
      <c r="H174" s="3">
        <v>69</v>
      </c>
      <c r="I174" s="3">
        <v>3.9119999999999999</v>
      </c>
      <c r="J174" s="3">
        <v>5.1920000000000002</v>
      </c>
      <c r="K174" s="3">
        <v>0.379</v>
      </c>
    </row>
    <row r="175" spans="2:11" x14ac:dyDescent="0.25">
      <c r="B175" s="2" t="s">
        <v>4621</v>
      </c>
      <c r="C175" s="2" t="s">
        <v>4622</v>
      </c>
      <c r="D175" s="3">
        <v>25.51</v>
      </c>
      <c r="E175" s="3">
        <v>0</v>
      </c>
      <c r="F175" s="3">
        <v>0</v>
      </c>
      <c r="G175" s="3">
        <v>0</v>
      </c>
      <c r="H175" s="3">
        <v>69</v>
      </c>
      <c r="I175" s="3">
        <v>4.3449999999999998</v>
      </c>
      <c r="J175" s="3">
        <v>6.1749999999999998</v>
      </c>
      <c r="K175" s="3">
        <v>0.38500000000000001</v>
      </c>
    </row>
    <row r="176" spans="2:11" x14ac:dyDescent="0.25">
      <c r="B176" s="2" t="s">
        <v>4623</v>
      </c>
      <c r="C176" s="2" t="s">
        <v>4624</v>
      </c>
      <c r="D176" s="3">
        <v>22.61</v>
      </c>
      <c r="E176" s="3">
        <v>0</v>
      </c>
      <c r="F176" s="3">
        <v>0</v>
      </c>
      <c r="G176" s="3">
        <v>0</v>
      </c>
      <c r="H176" s="3">
        <v>43</v>
      </c>
      <c r="I176" s="3">
        <v>2.0510000000000002</v>
      </c>
      <c r="J176" s="3">
        <v>2.15</v>
      </c>
      <c r="K176" s="3">
        <v>0.28499999999999998</v>
      </c>
    </row>
    <row r="177" spans="2:11" x14ac:dyDescent="0.25">
      <c r="B177" s="2" t="s">
        <v>4625</v>
      </c>
      <c r="C177" s="2" t="s">
        <v>4626</v>
      </c>
      <c r="D177" s="3">
        <v>28.92</v>
      </c>
      <c r="E177" s="3">
        <v>0</v>
      </c>
      <c r="F177" s="3">
        <v>0</v>
      </c>
      <c r="G177" s="3">
        <v>0</v>
      </c>
      <c r="H177" s="3">
        <v>67</v>
      </c>
      <c r="I177" s="3">
        <v>3.4540000000000002</v>
      </c>
      <c r="J177" s="3">
        <v>3.738</v>
      </c>
      <c r="K177" s="3">
        <v>0.42899999999999999</v>
      </c>
    </row>
    <row r="178" spans="2:11" x14ac:dyDescent="0.25">
      <c r="B178" s="2" t="s">
        <v>4627</v>
      </c>
      <c r="C178" s="2" t="s">
        <v>4628</v>
      </c>
      <c r="D178" s="3">
        <v>26.89</v>
      </c>
      <c r="E178" s="3">
        <v>0</v>
      </c>
      <c r="F178" s="3">
        <v>0</v>
      </c>
      <c r="G178" s="3">
        <v>0</v>
      </c>
      <c r="H178" s="3">
        <v>69</v>
      </c>
      <c r="I178" s="3">
        <v>3.28</v>
      </c>
      <c r="J178" s="3">
        <v>3.76</v>
      </c>
      <c r="K178" s="3">
        <v>0.37</v>
      </c>
    </row>
    <row r="179" spans="2:11" x14ac:dyDescent="0.25">
      <c r="B179" s="2" t="s">
        <v>4629</v>
      </c>
      <c r="C179" s="2" t="s">
        <v>4630</v>
      </c>
      <c r="D179" s="3">
        <v>24.18</v>
      </c>
      <c r="E179" s="3">
        <v>0</v>
      </c>
      <c r="F179" s="3">
        <v>0</v>
      </c>
      <c r="G179" s="3">
        <v>0</v>
      </c>
      <c r="H179" s="3">
        <v>67</v>
      </c>
      <c r="I179" s="3">
        <v>6.0739999999999998</v>
      </c>
      <c r="J179" s="3">
        <v>7.2050000000000001</v>
      </c>
      <c r="K179" s="3">
        <v>0.61699999999999999</v>
      </c>
    </row>
    <row r="180" spans="2:11" x14ac:dyDescent="0.25">
      <c r="B180" s="2" t="s">
        <v>4631</v>
      </c>
      <c r="C180" s="2" t="s">
        <v>4632</v>
      </c>
      <c r="D180" s="3">
        <v>24.05</v>
      </c>
      <c r="E180" s="3">
        <v>0</v>
      </c>
      <c r="F180" s="3">
        <v>0</v>
      </c>
      <c r="G180" s="3">
        <v>0</v>
      </c>
      <c r="H180" s="3">
        <v>67</v>
      </c>
      <c r="I180" s="3">
        <v>6.4489999999999998</v>
      </c>
      <c r="J180" s="3">
        <v>7.8959999999999999</v>
      </c>
      <c r="K180" s="3">
        <v>0.61499999999999999</v>
      </c>
    </row>
    <row r="181" spans="2:11" x14ac:dyDescent="0.25">
      <c r="B181" s="2" t="s">
        <v>4633</v>
      </c>
      <c r="C181" s="2" t="s">
        <v>4634</v>
      </c>
      <c r="D181" s="3">
        <v>24.38</v>
      </c>
      <c r="E181" s="3">
        <v>0</v>
      </c>
      <c r="F181" s="3">
        <v>0</v>
      </c>
      <c r="G181" s="3">
        <v>0</v>
      </c>
      <c r="H181" s="3">
        <v>68</v>
      </c>
      <c r="I181" s="3">
        <v>5.5270000000000001</v>
      </c>
      <c r="J181" s="3">
        <v>6.1970000000000001</v>
      </c>
      <c r="K181" s="3">
        <v>0.62</v>
      </c>
    </row>
    <row r="182" spans="2:11" x14ac:dyDescent="0.25">
      <c r="B182" s="2" t="s">
        <v>4635</v>
      </c>
      <c r="C182" s="2" t="s">
        <v>4636</v>
      </c>
      <c r="D182" s="3">
        <v>22.22</v>
      </c>
      <c r="E182" s="3">
        <v>0</v>
      </c>
      <c r="F182" s="3">
        <v>0</v>
      </c>
      <c r="G182" s="3">
        <v>0</v>
      </c>
      <c r="H182" s="3">
        <v>42</v>
      </c>
      <c r="I182" s="3">
        <v>2.5299999999999998</v>
      </c>
      <c r="J182" s="3">
        <v>2.7669999999999999</v>
      </c>
      <c r="K182" s="3">
        <v>0.34399999999999997</v>
      </c>
    </row>
    <row r="183" spans="2:11" x14ac:dyDescent="0.25">
      <c r="B183" s="2" t="s">
        <v>4637</v>
      </c>
      <c r="C183" s="2" t="s">
        <v>4638</v>
      </c>
      <c r="D183" s="3">
        <v>27.86</v>
      </c>
      <c r="E183" s="3">
        <v>0</v>
      </c>
      <c r="F183" s="3">
        <v>0</v>
      </c>
      <c r="G183" s="3">
        <v>0</v>
      </c>
      <c r="H183" s="3">
        <v>67</v>
      </c>
      <c r="I183" s="3">
        <v>4.2190000000000003</v>
      </c>
      <c r="J183" s="3">
        <v>4.609</v>
      </c>
      <c r="K183" s="3">
        <v>0.54200000000000004</v>
      </c>
    </row>
    <row r="184" spans="2:11" x14ac:dyDescent="0.25">
      <c r="B184" s="2" t="s">
        <v>4639</v>
      </c>
      <c r="C184" s="2" t="s">
        <v>4640</v>
      </c>
      <c r="D184" s="3">
        <v>25.98</v>
      </c>
      <c r="E184" s="3">
        <v>0</v>
      </c>
      <c r="F184" s="3">
        <v>0</v>
      </c>
      <c r="G184" s="3">
        <v>0</v>
      </c>
      <c r="H184" s="3">
        <v>71</v>
      </c>
      <c r="I184" s="3">
        <v>3.27</v>
      </c>
      <c r="J184" s="3">
        <v>4.6449999999999996</v>
      </c>
      <c r="K184" s="3">
        <v>0.32</v>
      </c>
    </row>
    <row r="185" spans="2:11" x14ac:dyDescent="0.25">
      <c r="B185" s="2" t="s">
        <v>4641</v>
      </c>
      <c r="C185" s="2" t="s">
        <v>4642</v>
      </c>
      <c r="D185" s="3">
        <v>22.41</v>
      </c>
      <c r="E185" s="3">
        <v>0</v>
      </c>
      <c r="F185" s="3">
        <v>0</v>
      </c>
      <c r="G185" s="3">
        <v>0</v>
      </c>
      <c r="H185" s="3">
        <v>57</v>
      </c>
      <c r="I185" s="3">
        <v>2.1520000000000001</v>
      </c>
      <c r="J185" s="3">
        <v>2.282</v>
      </c>
      <c r="K185" s="3">
        <v>0.29799999999999999</v>
      </c>
    </row>
    <row r="186" spans="2:11" x14ac:dyDescent="0.25">
      <c r="B186" s="2" t="s">
        <v>4643</v>
      </c>
      <c r="C186" s="2" t="s">
        <v>4644</v>
      </c>
      <c r="D186" s="3">
        <v>28.45</v>
      </c>
      <c r="E186" s="3">
        <v>0</v>
      </c>
      <c r="F186" s="3">
        <v>0</v>
      </c>
      <c r="G186" s="3">
        <v>0</v>
      </c>
      <c r="H186" s="3">
        <v>66</v>
      </c>
      <c r="I186" s="3">
        <v>3.6480000000000001</v>
      </c>
      <c r="J186" s="3">
        <v>3.7850000000000001</v>
      </c>
      <c r="K186" s="3">
        <v>0.48</v>
      </c>
    </row>
    <row r="187" spans="2:11" x14ac:dyDescent="0.25">
      <c r="B187" s="2" t="s">
        <v>4645</v>
      </c>
      <c r="C187" s="2" t="s">
        <v>4646</v>
      </c>
      <c r="D187" s="3">
        <v>26</v>
      </c>
      <c r="E187" s="3">
        <v>0</v>
      </c>
      <c r="F187" s="3">
        <v>0</v>
      </c>
      <c r="G187" s="3">
        <v>0</v>
      </c>
      <c r="H187" s="3">
        <v>71</v>
      </c>
      <c r="I187" s="3">
        <v>2.82</v>
      </c>
      <c r="J187" s="3">
        <v>3.34</v>
      </c>
      <c r="K187" s="3">
        <v>0.38</v>
      </c>
    </row>
    <row r="188" spans="2:11" x14ac:dyDescent="0.25">
      <c r="B188" s="2" t="s">
        <v>4647</v>
      </c>
      <c r="C188" s="2" t="s">
        <v>4648</v>
      </c>
      <c r="D188" s="3">
        <v>33.9</v>
      </c>
      <c r="E188" s="3">
        <v>0</v>
      </c>
      <c r="F188" s="3">
        <v>0</v>
      </c>
      <c r="G188" s="3">
        <v>0</v>
      </c>
      <c r="H188" s="3">
        <v>56</v>
      </c>
      <c r="I188" s="3">
        <v>2.2410000000000001</v>
      </c>
      <c r="J188" s="3">
        <v>2.5209999999999999</v>
      </c>
      <c r="K188" s="3">
        <v>0.20699999999999999</v>
      </c>
    </row>
    <row r="189" spans="2:11" x14ac:dyDescent="0.25">
      <c r="B189" s="2" t="s">
        <v>4649</v>
      </c>
      <c r="C189" s="2" t="s">
        <v>4650</v>
      </c>
      <c r="D189" s="3">
        <v>20.48</v>
      </c>
      <c r="E189" s="3">
        <v>0</v>
      </c>
      <c r="F189" s="3">
        <v>0</v>
      </c>
      <c r="G189" s="3">
        <v>0</v>
      </c>
      <c r="H189" s="3">
        <v>55</v>
      </c>
      <c r="I189" s="3">
        <v>2.778</v>
      </c>
      <c r="J189" s="3">
        <v>3.0110000000000001</v>
      </c>
      <c r="K189" s="3">
        <v>0.27600000000000002</v>
      </c>
    </row>
    <row r="190" spans="2:11" x14ac:dyDescent="0.25">
      <c r="B190" s="2" t="s">
        <v>4651</v>
      </c>
      <c r="C190" s="2" t="s">
        <v>4652</v>
      </c>
      <c r="D190" s="3">
        <v>20.16</v>
      </c>
      <c r="E190" s="3">
        <v>0</v>
      </c>
      <c r="F190" s="3">
        <v>0</v>
      </c>
      <c r="G190" s="3">
        <v>0</v>
      </c>
      <c r="H190" s="3">
        <v>51</v>
      </c>
      <c r="I190" s="3">
        <v>3.0659999999999998</v>
      </c>
      <c r="J190" s="3">
        <v>3.3239999999999998</v>
      </c>
      <c r="K190" s="3">
        <v>0.30499999999999999</v>
      </c>
    </row>
    <row r="191" spans="2:11" x14ac:dyDescent="0.25">
      <c r="B191" s="2" t="s">
        <v>4653</v>
      </c>
      <c r="C191" s="2" t="s">
        <v>4654</v>
      </c>
      <c r="D191" s="3">
        <v>20.8</v>
      </c>
      <c r="E191" s="3">
        <v>0</v>
      </c>
      <c r="F191" s="3">
        <v>0</v>
      </c>
      <c r="G191" s="3">
        <v>0</v>
      </c>
      <c r="H191" s="3">
        <v>58</v>
      </c>
      <c r="I191" s="3">
        <v>2.4889999999999999</v>
      </c>
      <c r="J191" s="3">
        <v>2.6989999999999998</v>
      </c>
      <c r="K191" s="3">
        <v>0.247</v>
      </c>
    </row>
    <row r="192" spans="2:11" x14ac:dyDescent="0.25">
      <c r="B192" s="2" t="s">
        <v>4655</v>
      </c>
      <c r="C192" s="2" t="s">
        <v>4656</v>
      </c>
      <c r="D192" s="3">
        <v>29.93</v>
      </c>
      <c r="E192" s="3">
        <v>0</v>
      </c>
      <c r="F192" s="3">
        <v>0</v>
      </c>
      <c r="G192" s="3">
        <v>0</v>
      </c>
      <c r="H192" s="3">
        <v>63</v>
      </c>
      <c r="I192" s="3">
        <v>2.3050000000000002</v>
      </c>
      <c r="J192" s="3">
        <v>2.4159999999999999</v>
      </c>
      <c r="K192" s="3">
        <v>0.223</v>
      </c>
    </row>
    <row r="193" spans="2:11" x14ac:dyDescent="0.25">
      <c r="B193" s="2" t="s">
        <v>4657</v>
      </c>
      <c r="C193" s="2" t="s">
        <v>4658</v>
      </c>
      <c r="D193" s="3">
        <v>30.09</v>
      </c>
      <c r="E193" s="3">
        <v>0</v>
      </c>
      <c r="F193" s="3">
        <v>0</v>
      </c>
      <c r="G193" s="3">
        <v>0</v>
      </c>
      <c r="H193" s="3">
        <v>75</v>
      </c>
      <c r="I193" s="3">
        <v>1.556</v>
      </c>
      <c r="J193" s="3">
        <v>1.794</v>
      </c>
      <c r="K193" s="3">
        <v>0.31</v>
      </c>
    </row>
    <row r="194" spans="2:11" x14ac:dyDescent="0.25">
      <c r="B194" s="2" t="s">
        <v>4659</v>
      </c>
      <c r="C194" s="2" t="s">
        <v>4660</v>
      </c>
      <c r="D194" s="3">
        <v>30.24</v>
      </c>
      <c r="E194" s="3">
        <v>0</v>
      </c>
      <c r="F194" s="3">
        <v>0</v>
      </c>
      <c r="G194" s="3">
        <v>0</v>
      </c>
      <c r="H194" s="3">
        <v>78</v>
      </c>
      <c r="I194" s="3">
        <v>1.5620000000000001</v>
      </c>
      <c r="J194" s="3">
        <v>1.85</v>
      </c>
      <c r="K194" s="3">
        <v>0.28899999999999998</v>
      </c>
    </row>
    <row r="195" spans="2:11" x14ac:dyDescent="0.25">
      <c r="B195" s="2" t="s">
        <v>4661</v>
      </c>
      <c r="C195" s="2" t="s">
        <v>4662</v>
      </c>
      <c r="D195" s="3">
        <v>29.81</v>
      </c>
      <c r="E195" s="3">
        <v>0</v>
      </c>
      <c r="F195" s="3">
        <v>0</v>
      </c>
      <c r="G195" s="3">
        <v>0</v>
      </c>
      <c r="H195" s="3">
        <v>76</v>
      </c>
      <c r="I195" s="3">
        <v>1.278</v>
      </c>
      <c r="J195" s="3">
        <v>1.393</v>
      </c>
      <c r="K195" s="3">
        <v>0.29199999999999998</v>
      </c>
    </row>
    <row r="196" spans="2:11" x14ac:dyDescent="0.25">
      <c r="B196" s="2" t="s">
        <v>4663</v>
      </c>
      <c r="C196" s="2" t="s">
        <v>4664</v>
      </c>
      <c r="D196" s="3">
        <v>25.56</v>
      </c>
      <c r="E196" s="3">
        <v>0</v>
      </c>
      <c r="F196" s="3">
        <v>0</v>
      </c>
      <c r="G196" s="3">
        <v>0</v>
      </c>
      <c r="H196" s="3">
        <v>96</v>
      </c>
      <c r="I196" s="3">
        <v>6.9420000000000002</v>
      </c>
      <c r="J196" s="3">
        <v>8.3699999999999992</v>
      </c>
      <c r="K196" s="3">
        <v>0.46600000000000003</v>
      </c>
    </row>
    <row r="197" spans="2:11" x14ac:dyDescent="0.25">
      <c r="B197" s="2" t="s">
        <v>4665</v>
      </c>
      <c r="C197" s="2" t="s">
        <v>4666</v>
      </c>
      <c r="D197" s="3">
        <v>23.87</v>
      </c>
      <c r="E197" s="3">
        <v>0</v>
      </c>
      <c r="F197" s="3">
        <v>0</v>
      </c>
      <c r="G197" s="3">
        <v>0</v>
      </c>
      <c r="H197" s="3">
        <v>73</v>
      </c>
      <c r="I197" s="3">
        <v>6.0730000000000004</v>
      </c>
      <c r="J197" s="3">
        <v>7.3220000000000001</v>
      </c>
      <c r="K197" s="3">
        <v>0.40799999999999997</v>
      </c>
    </row>
    <row r="198" spans="2:11" x14ac:dyDescent="0.25">
      <c r="B198" s="2" t="s">
        <v>4667</v>
      </c>
      <c r="C198" s="2" t="s">
        <v>4668</v>
      </c>
      <c r="D198" s="3">
        <v>22.86</v>
      </c>
      <c r="E198" s="3">
        <v>0</v>
      </c>
      <c r="F198" s="3">
        <v>0</v>
      </c>
      <c r="G198" s="3">
        <v>0</v>
      </c>
      <c r="H198" s="3">
        <v>92</v>
      </c>
      <c r="I198" s="3">
        <v>6.0750000000000002</v>
      </c>
      <c r="J198" s="3">
        <v>7.3250000000000002</v>
      </c>
      <c r="K198" s="3">
        <v>0.40799999999999997</v>
      </c>
    </row>
    <row r="199" spans="2:11" x14ac:dyDescent="0.25">
      <c r="B199" s="2" t="s">
        <v>4669</v>
      </c>
      <c r="C199" s="2" t="s">
        <v>4670</v>
      </c>
      <c r="D199" s="3">
        <v>25.38</v>
      </c>
      <c r="E199" s="3">
        <v>0</v>
      </c>
      <c r="F199" s="3">
        <v>0</v>
      </c>
      <c r="G199" s="3">
        <v>0</v>
      </c>
      <c r="H199" s="3">
        <v>81</v>
      </c>
      <c r="I199" s="3">
        <v>7.3440000000000003</v>
      </c>
      <c r="J199" s="3">
        <v>8.8550000000000004</v>
      </c>
      <c r="K199" s="3">
        <v>0.49299999999999999</v>
      </c>
    </row>
    <row r="200" spans="2:11" x14ac:dyDescent="0.25">
      <c r="B200" s="2" t="s">
        <v>4671</v>
      </c>
      <c r="C200" s="2" t="s">
        <v>4672</v>
      </c>
      <c r="D200" s="3">
        <v>14.35</v>
      </c>
      <c r="E200" s="3">
        <v>0</v>
      </c>
      <c r="F200" s="3">
        <v>0</v>
      </c>
      <c r="G200" s="3">
        <v>0</v>
      </c>
      <c r="H200" s="3">
        <v>66</v>
      </c>
      <c r="I200" s="3">
        <v>11.754</v>
      </c>
      <c r="J200" s="3">
        <v>14.170999999999999</v>
      </c>
      <c r="K200" s="3">
        <v>0.69699999999999995</v>
      </c>
    </row>
    <row r="201" spans="2:11" x14ac:dyDescent="0.25">
      <c r="B201" s="2" t="s">
        <v>4673</v>
      </c>
      <c r="C201" s="2" t="s">
        <v>4674</v>
      </c>
      <c r="D201" s="3">
        <v>19.71</v>
      </c>
      <c r="E201" s="3">
        <v>0.21</v>
      </c>
      <c r="F201" s="3">
        <v>0</v>
      </c>
      <c r="G201" s="3">
        <v>0</v>
      </c>
      <c r="H201" s="3">
        <v>77</v>
      </c>
      <c r="I201" s="3">
        <v>3.4489999999999998</v>
      </c>
      <c r="J201" s="3">
        <v>4.048</v>
      </c>
      <c r="K201" s="3">
        <v>0.45200000000000001</v>
      </c>
    </row>
    <row r="202" spans="2:11" x14ac:dyDescent="0.25">
      <c r="B202" s="2" t="s">
        <v>4675</v>
      </c>
      <c r="C202" s="2" t="s">
        <v>4676</v>
      </c>
      <c r="D202" s="3">
        <v>28.15</v>
      </c>
      <c r="E202" s="3">
        <v>0</v>
      </c>
      <c r="F202" s="3">
        <v>0</v>
      </c>
      <c r="G202" s="3">
        <v>0</v>
      </c>
      <c r="H202" s="3">
        <v>87</v>
      </c>
      <c r="I202" s="3">
        <v>3.7709999999999999</v>
      </c>
      <c r="J202" s="3">
        <v>4.5090000000000003</v>
      </c>
      <c r="K202" s="3">
        <v>0.52</v>
      </c>
    </row>
    <row r="203" spans="2:11" x14ac:dyDescent="0.25">
      <c r="B203" s="2" t="s">
        <v>4677</v>
      </c>
      <c r="C203" s="2" t="s">
        <v>4678</v>
      </c>
      <c r="D203" s="3">
        <v>28.28</v>
      </c>
      <c r="E203" s="3">
        <v>0</v>
      </c>
      <c r="F203" s="3">
        <v>0</v>
      </c>
      <c r="G203" s="3">
        <v>0</v>
      </c>
      <c r="H203" s="3">
        <v>85</v>
      </c>
      <c r="I203" s="3">
        <v>3.984</v>
      </c>
      <c r="J203" s="3">
        <v>5.0179999999999998</v>
      </c>
      <c r="K203" s="3">
        <v>0.48399999999999999</v>
      </c>
    </row>
    <row r="204" spans="2:11" x14ac:dyDescent="0.25">
      <c r="B204" s="2" t="s">
        <v>4679</v>
      </c>
      <c r="C204" s="2" t="s">
        <v>4680</v>
      </c>
      <c r="D204" s="3">
        <v>27.96</v>
      </c>
      <c r="E204" s="3">
        <v>0</v>
      </c>
      <c r="F204" s="3">
        <v>0</v>
      </c>
      <c r="G204" s="3">
        <v>0</v>
      </c>
      <c r="H204" s="3">
        <v>89</v>
      </c>
      <c r="I204" s="3">
        <v>3.4510000000000001</v>
      </c>
      <c r="J204" s="3">
        <v>3.746</v>
      </c>
      <c r="K204" s="3">
        <v>0.57299999999999995</v>
      </c>
    </row>
    <row r="205" spans="2:11" x14ac:dyDescent="0.25">
      <c r="B205" s="2" t="s">
        <v>4681</v>
      </c>
      <c r="C205" s="2" t="s">
        <v>4682</v>
      </c>
      <c r="D205" s="3">
        <v>20.36</v>
      </c>
      <c r="E205" s="3">
        <v>0</v>
      </c>
      <c r="F205" s="3">
        <v>0</v>
      </c>
      <c r="G205" s="3">
        <v>0</v>
      </c>
      <c r="H205" s="3">
        <v>83</v>
      </c>
      <c r="I205" s="3">
        <v>2.73</v>
      </c>
      <c r="J205" s="3">
        <v>3.29</v>
      </c>
      <c r="K205" s="3">
        <v>0.36</v>
      </c>
    </row>
    <row r="206" spans="2:11" x14ac:dyDescent="0.25">
      <c r="B206" s="2" t="s">
        <v>4683</v>
      </c>
      <c r="C206" s="2" t="s">
        <v>4684</v>
      </c>
      <c r="D206" s="3">
        <v>20.350000000000001</v>
      </c>
      <c r="E206" s="3">
        <v>0</v>
      </c>
      <c r="F206" s="3">
        <v>0</v>
      </c>
      <c r="G206" s="3">
        <v>0</v>
      </c>
      <c r="H206" s="3">
        <v>82</v>
      </c>
      <c r="I206" s="3">
        <v>2.9</v>
      </c>
      <c r="J206" s="3">
        <v>3.57</v>
      </c>
      <c r="K206" s="3">
        <v>0.37</v>
      </c>
    </row>
    <row r="207" spans="2:11" x14ac:dyDescent="0.25">
      <c r="B207" s="2" t="s">
        <v>4685</v>
      </c>
      <c r="C207" s="2" t="s">
        <v>4686</v>
      </c>
      <c r="D207" s="3">
        <v>20.39</v>
      </c>
      <c r="E207" s="3">
        <v>0</v>
      </c>
      <c r="F207" s="3">
        <v>0</v>
      </c>
      <c r="G207" s="3">
        <v>0</v>
      </c>
      <c r="H207" s="3">
        <v>87</v>
      </c>
      <c r="I207" s="3">
        <v>2.472</v>
      </c>
      <c r="J207" s="3">
        <v>2.88</v>
      </c>
      <c r="K207" s="3">
        <v>0.375</v>
      </c>
    </row>
    <row r="208" spans="2:11" x14ac:dyDescent="0.25">
      <c r="B208" s="2" t="s">
        <v>4687</v>
      </c>
      <c r="C208" s="2" t="s">
        <v>4688</v>
      </c>
      <c r="D208" s="3">
        <v>21.47</v>
      </c>
      <c r="E208" s="3">
        <v>0</v>
      </c>
      <c r="F208" s="3">
        <v>0</v>
      </c>
      <c r="G208" s="3">
        <v>0</v>
      </c>
      <c r="H208" s="3">
        <v>83</v>
      </c>
      <c r="I208" s="3">
        <v>1.8440000000000001</v>
      </c>
      <c r="J208" s="3">
        <v>2.7280000000000002</v>
      </c>
      <c r="K208" s="3">
        <v>0.253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G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G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G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G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F242" s="3"/>
      <c r="G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G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G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G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F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H259" s="3"/>
      <c r="I259" s="3"/>
      <c r="J259" s="3"/>
      <c r="K259" s="3"/>
    </row>
    <row r="260" spans="2:11" x14ac:dyDescent="0.25">
      <c r="B260" s="2"/>
      <c r="C260" s="2"/>
      <c r="D260" s="3"/>
      <c r="E260" s="3"/>
      <c r="F260" s="3"/>
      <c r="G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F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H264" s="3"/>
      <c r="I264" s="3"/>
      <c r="J264" s="3"/>
      <c r="K264" s="3"/>
    </row>
    <row r="265" spans="2:11" x14ac:dyDescent="0.25">
      <c r="B265" s="2"/>
      <c r="C265" s="2"/>
      <c r="D265" s="3"/>
      <c r="E265" s="3"/>
      <c r="F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F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F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G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F271" s="3"/>
      <c r="G271" s="3"/>
      <c r="H271" s="3"/>
      <c r="I271" s="3"/>
      <c r="J271" s="3"/>
      <c r="K271" s="3"/>
    </row>
    <row r="272" spans="2:11" x14ac:dyDescent="0.25">
      <c r="B272" s="2"/>
      <c r="C272" s="2"/>
      <c r="D272" s="3"/>
      <c r="E272" s="3"/>
      <c r="F272" s="3"/>
      <c r="H272" s="3"/>
      <c r="I272" s="3"/>
      <c r="J272" s="3"/>
      <c r="K272" s="3"/>
    </row>
    <row r="273" spans="2:11" x14ac:dyDescent="0.25">
      <c r="B273" s="2"/>
      <c r="C273" s="2"/>
      <c r="D273" s="3"/>
      <c r="E273" s="3"/>
      <c r="F273" s="3"/>
      <c r="G273" s="3"/>
      <c r="H273" s="3"/>
      <c r="I273" s="3"/>
      <c r="J273" s="3"/>
      <c r="K273" s="3"/>
    </row>
    <row r="274" spans="2:11" x14ac:dyDescent="0.25">
      <c r="B274" s="2"/>
      <c r="C274" s="2"/>
      <c r="D274" s="3"/>
      <c r="E274" s="3"/>
      <c r="F274" s="3"/>
      <c r="G274" s="3"/>
      <c r="H274" s="3"/>
      <c r="I274" s="3"/>
      <c r="J274" s="3"/>
      <c r="K274" s="3"/>
    </row>
    <row r="275" spans="2:11" x14ac:dyDescent="0.25">
      <c r="B275" s="2"/>
      <c r="C275" s="2"/>
      <c r="D275" s="3"/>
      <c r="E275" s="3"/>
      <c r="F275" s="3"/>
      <c r="H275" s="3"/>
      <c r="I275" s="3"/>
      <c r="J275" s="3"/>
      <c r="K275" s="3"/>
    </row>
    <row r="276" spans="2:11" x14ac:dyDescent="0.25">
      <c r="B276" s="2"/>
      <c r="C276" s="2"/>
      <c r="D276" s="3"/>
      <c r="E276" s="3"/>
      <c r="F276" s="3"/>
      <c r="G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F277" s="3"/>
      <c r="G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F278" s="3"/>
      <c r="H278" s="3"/>
      <c r="I278" s="3"/>
      <c r="J278" s="3"/>
      <c r="K278" s="3"/>
    </row>
    <row r="279" spans="2:11" x14ac:dyDescent="0.25">
      <c r="B279" s="2"/>
      <c r="C279" s="2"/>
      <c r="D279" s="3"/>
      <c r="E279" s="3"/>
      <c r="F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F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F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F282" s="3"/>
      <c r="G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F283" s="3"/>
      <c r="G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F284" s="3"/>
      <c r="G284" s="3"/>
      <c r="H284" s="3"/>
      <c r="I284" s="3"/>
      <c r="J284" s="3"/>
      <c r="K284" s="3"/>
    </row>
    <row r="285" spans="2:11" x14ac:dyDescent="0.25">
      <c r="B285" s="2"/>
      <c r="C285" s="2"/>
      <c r="D285" s="3"/>
      <c r="E285" s="3"/>
      <c r="F285" s="3"/>
      <c r="G285" s="3"/>
      <c r="H285" s="3"/>
      <c r="I285" s="3"/>
      <c r="J285" s="3"/>
      <c r="K285" s="3"/>
    </row>
    <row r="286" spans="2:11" x14ac:dyDescent="0.25">
      <c r="B286" s="2"/>
      <c r="C286" s="2"/>
      <c r="D286" s="3"/>
      <c r="E286" s="3"/>
      <c r="F286" s="3"/>
      <c r="G286" s="3"/>
      <c r="H286" s="3"/>
      <c r="I286" s="3"/>
      <c r="J286" s="3"/>
      <c r="K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F288" s="3"/>
      <c r="G288" s="3"/>
      <c r="H288" s="3"/>
      <c r="I288" s="3"/>
      <c r="J288" s="3"/>
      <c r="K288" s="3"/>
    </row>
    <row r="289" spans="2:11" x14ac:dyDescent="0.25">
      <c r="B289" s="2"/>
      <c r="C289" s="2"/>
      <c r="D289" s="3"/>
      <c r="E289" s="3"/>
      <c r="F289" s="3"/>
      <c r="G289" s="3"/>
      <c r="H289" s="3"/>
      <c r="I289" s="3"/>
      <c r="J289" s="3"/>
      <c r="K289" s="3"/>
    </row>
    <row r="290" spans="2:11" x14ac:dyDescent="0.25">
      <c r="B290" s="2"/>
      <c r="C290" s="2"/>
      <c r="D290" s="3"/>
      <c r="E290" s="3"/>
      <c r="F290" s="3"/>
      <c r="G290" s="3"/>
      <c r="H290" s="3"/>
      <c r="I290" s="3"/>
      <c r="J290" s="3"/>
      <c r="K290" s="3"/>
    </row>
    <row r="291" spans="2:11" x14ac:dyDescent="0.25">
      <c r="B291" s="2"/>
      <c r="C291" s="2"/>
      <c r="D291" s="3"/>
      <c r="E291" s="3"/>
      <c r="F291" s="3"/>
      <c r="G291" s="3"/>
      <c r="H291" s="3"/>
      <c r="I291" s="3"/>
      <c r="J291" s="3"/>
      <c r="K291" s="3"/>
    </row>
    <row r="292" spans="2:11" x14ac:dyDescent="0.25">
      <c r="B292" s="2"/>
      <c r="C292" s="2"/>
      <c r="D292" s="3"/>
      <c r="E292" s="3"/>
      <c r="F292" s="3"/>
      <c r="G292" s="3"/>
      <c r="H292" s="3"/>
      <c r="I292" s="3"/>
      <c r="J292" s="3"/>
      <c r="K292" s="3"/>
    </row>
    <row r="293" spans="2:11" x14ac:dyDescent="0.25">
      <c r="B293" s="2"/>
      <c r="C293" s="2"/>
      <c r="D293" s="3"/>
      <c r="E293" s="3"/>
      <c r="F293" s="3"/>
      <c r="G293" s="3"/>
      <c r="H293" s="3"/>
      <c r="I293" s="3"/>
      <c r="J293" s="3"/>
      <c r="K293" s="3"/>
    </row>
    <row r="294" spans="2:11" x14ac:dyDescent="0.25">
      <c r="B294" s="2"/>
      <c r="C294" s="2"/>
      <c r="D294" s="3"/>
      <c r="E294" s="3"/>
      <c r="F294" s="3"/>
      <c r="G294" s="3"/>
      <c r="H294" s="3"/>
      <c r="I294" s="3"/>
      <c r="J294" s="3"/>
      <c r="K294" s="3"/>
    </row>
    <row r="295" spans="2:11" x14ac:dyDescent="0.25">
      <c r="B295" s="2"/>
      <c r="C295" s="2"/>
      <c r="D295" s="3"/>
      <c r="E295" s="3"/>
      <c r="F295" s="3"/>
      <c r="G295" s="3"/>
      <c r="H295" s="3"/>
      <c r="I295" s="3"/>
      <c r="J295" s="3"/>
      <c r="K295" s="3"/>
    </row>
    <row r="296" spans="2:11" x14ac:dyDescent="0.25">
      <c r="B296" s="2"/>
      <c r="C296" s="2"/>
      <c r="D296" s="3"/>
      <c r="E296" s="3"/>
      <c r="F296" s="3"/>
      <c r="G296" s="3"/>
      <c r="H296" s="3"/>
      <c r="I296" s="3"/>
      <c r="J296" s="3"/>
      <c r="K296" s="3"/>
    </row>
    <row r="297" spans="2:11" x14ac:dyDescent="0.25">
      <c r="B297" s="2"/>
      <c r="C297" s="2"/>
      <c r="D297" s="3"/>
      <c r="E297" s="3"/>
      <c r="F297" s="3"/>
      <c r="G297" s="3"/>
      <c r="H297" s="3"/>
      <c r="I297" s="3"/>
      <c r="J297" s="3"/>
      <c r="K297" s="3"/>
    </row>
    <row r="298" spans="2:11" x14ac:dyDescent="0.25">
      <c r="B298" s="2"/>
      <c r="C298" s="2"/>
      <c r="D298" s="3"/>
      <c r="E298" s="3"/>
      <c r="F298" s="3"/>
      <c r="G298" s="3"/>
      <c r="H298" s="3"/>
      <c r="I298" s="3"/>
      <c r="J298" s="3"/>
      <c r="K298" s="3"/>
    </row>
    <row r="299" spans="2:11" x14ac:dyDescent="0.25">
      <c r="B299" s="2"/>
      <c r="C299" s="2"/>
      <c r="D299" s="3"/>
      <c r="E299" s="3"/>
      <c r="F299" s="3"/>
      <c r="G299" s="3"/>
      <c r="H299" s="3"/>
      <c r="I299" s="3"/>
      <c r="J299" s="3"/>
      <c r="K299" s="3"/>
    </row>
    <row r="300" spans="2:11" x14ac:dyDescent="0.25">
      <c r="B300" s="2"/>
      <c r="C300" s="2"/>
      <c r="D300" s="3"/>
      <c r="E300" s="3"/>
      <c r="F300" s="3"/>
      <c r="G300" s="3"/>
      <c r="H300" s="3"/>
      <c r="I300" s="3"/>
      <c r="J300" s="3"/>
      <c r="K300" s="3"/>
    </row>
    <row r="301" spans="2:11" x14ac:dyDescent="0.25">
      <c r="B301" s="2"/>
      <c r="C301" s="2"/>
      <c r="D301" s="3"/>
      <c r="E301" s="3"/>
      <c r="F301" s="3"/>
      <c r="G301" s="3"/>
      <c r="H301" s="3"/>
      <c r="I301" s="3"/>
      <c r="J301" s="3"/>
      <c r="K301" s="3"/>
    </row>
    <row r="302" spans="2:11" x14ac:dyDescent="0.25">
      <c r="B302" s="2"/>
      <c r="C302" s="2"/>
      <c r="D302" s="3"/>
      <c r="E302" s="3"/>
      <c r="F302" s="3"/>
      <c r="G302" s="3"/>
      <c r="H302" s="3"/>
      <c r="I302" s="3"/>
      <c r="J302" s="3"/>
      <c r="K302" s="3"/>
    </row>
    <row r="303" spans="2:11" x14ac:dyDescent="0.25">
      <c r="B303" s="2"/>
      <c r="C303" s="2"/>
      <c r="D303" s="3"/>
      <c r="E303" s="3"/>
      <c r="F303" s="3"/>
      <c r="H303" s="3"/>
      <c r="I303" s="3"/>
      <c r="J303" s="3"/>
      <c r="K303" s="3"/>
    </row>
    <row r="304" spans="2:11" x14ac:dyDescent="0.25">
      <c r="B304" s="2"/>
      <c r="C304" s="2"/>
      <c r="D304" s="3"/>
      <c r="E304" s="3"/>
      <c r="F304" s="3"/>
      <c r="G304" s="3"/>
      <c r="H304" s="3"/>
      <c r="I304" s="3"/>
      <c r="J304" s="3"/>
      <c r="K304" s="3"/>
    </row>
    <row r="305" spans="2:11" x14ac:dyDescent="0.25">
      <c r="B305" s="2"/>
      <c r="C305" s="2"/>
      <c r="D305" s="3"/>
      <c r="E305" s="3"/>
      <c r="F305" s="3"/>
      <c r="G305" s="3"/>
      <c r="H305" s="3"/>
      <c r="I305" s="3"/>
      <c r="J305" s="3"/>
      <c r="K305" s="3"/>
    </row>
    <row r="306" spans="2:11" x14ac:dyDescent="0.25">
      <c r="B306" s="2"/>
      <c r="C306" s="2"/>
      <c r="D306" s="3"/>
      <c r="E306" s="3"/>
      <c r="F306" s="3"/>
      <c r="G306" s="3"/>
      <c r="H306" s="3"/>
      <c r="I306" s="3"/>
      <c r="J306" s="3"/>
      <c r="K306" s="3"/>
    </row>
    <row r="307" spans="2:11" x14ac:dyDescent="0.25">
      <c r="B307" s="2"/>
      <c r="C307" s="2"/>
      <c r="D307" s="3"/>
      <c r="E307" s="3"/>
      <c r="F307" s="3"/>
      <c r="G307" s="3"/>
      <c r="H307" s="3"/>
      <c r="I307" s="3"/>
      <c r="J307" s="3"/>
      <c r="K307" s="3"/>
    </row>
    <row r="308" spans="2:11" x14ac:dyDescent="0.25">
      <c r="B308" s="2"/>
      <c r="C308" s="2"/>
      <c r="D308" s="3"/>
      <c r="E308" s="3"/>
      <c r="F308" s="3"/>
      <c r="G308" s="3"/>
      <c r="H308" s="3"/>
      <c r="I308" s="3"/>
      <c r="J308" s="3"/>
      <c r="K308" s="3"/>
    </row>
    <row r="309" spans="2:11" x14ac:dyDescent="0.25">
      <c r="B309" s="2"/>
      <c r="C309" s="2"/>
      <c r="D309" s="3"/>
      <c r="E309" s="3"/>
      <c r="F309" s="3"/>
      <c r="G309" s="3"/>
      <c r="H309" s="3"/>
      <c r="I309" s="3"/>
      <c r="J309" s="3"/>
      <c r="K309" s="3"/>
    </row>
    <row r="310" spans="2:11" x14ac:dyDescent="0.25">
      <c r="B310" s="2"/>
      <c r="C310" s="2"/>
      <c r="D310" s="3"/>
      <c r="E310" s="3"/>
      <c r="F310" s="3"/>
      <c r="G310" s="3"/>
      <c r="H310" s="3"/>
      <c r="I310" s="3"/>
      <c r="J310" s="3"/>
      <c r="K310" s="3"/>
    </row>
    <row r="311" spans="2:11" x14ac:dyDescent="0.25">
      <c r="B311" s="2"/>
      <c r="C311" s="2"/>
      <c r="D311" s="3"/>
      <c r="E311" s="3"/>
      <c r="F311" s="3"/>
      <c r="G311" s="3"/>
      <c r="H311" s="3"/>
      <c r="I311" s="3"/>
      <c r="J311" s="3"/>
      <c r="K311" s="3"/>
    </row>
    <row r="312" spans="2:11" x14ac:dyDescent="0.25">
      <c r="B312" s="2"/>
      <c r="C312" s="2"/>
      <c r="D312" s="3"/>
      <c r="E312" s="3"/>
      <c r="F312" s="3"/>
      <c r="G312" s="3"/>
      <c r="H312" s="3"/>
      <c r="I312" s="3"/>
      <c r="J312" s="3"/>
      <c r="K312" s="3"/>
    </row>
    <row r="313" spans="2:11" x14ac:dyDescent="0.25">
      <c r="B313" s="2"/>
      <c r="C313" s="2"/>
      <c r="D313" s="3"/>
      <c r="E313" s="3"/>
      <c r="F313" s="3"/>
      <c r="G313" s="3"/>
      <c r="H313" s="3"/>
      <c r="I313" s="3"/>
      <c r="J313" s="3"/>
      <c r="K313" s="3"/>
    </row>
    <row r="314" spans="2:11" x14ac:dyDescent="0.25">
      <c r="B314" s="2"/>
      <c r="C314" s="2"/>
      <c r="D314" s="3"/>
      <c r="E314" s="3"/>
      <c r="F314" s="3"/>
      <c r="G314" s="3"/>
      <c r="H314" s="3"/>
      <c r="I314" s="3"/>
      <c r="J314" s="3"/>
      <c r="K314" s="3"/>
    </row>
    <row r="315" spans="2:11" x14ac:dyDescent="0.25">
      <c r="B315" s="2"/>
      <c r="C315" s="2"/>
      <c r="D315" s="3"/>
      <c r="E315" s="3"/>
      <c r="F315" s="3"/>
      <c r="G315" s="3"/>
      <c r="H315" s="3"/>
      <c r="I315" s="3"/>
      <c r="J315" s="3"/>
      <c r="K315" s="3"/>
    </row>
    <row r="316" spans="2:11" x14ac:dyDescent="0.25">
      <c r="B316" s="2"/>
      <c r="C316" s="2"/>
      <c r="D316" s="3"/>
      <c r="E316" s="3"/>
      <c r="F316" s="3"/>
      <c r="G316" s="3"/>
      <c r="H316" s="3"/>
      <c r="I316" s="3"/>
      <c r="J316" s="3"/>
      <c r="K316" s="3"/>
    </row>
    <row r="317" spans="2:11" x14ac:dyDescent="0.25">
      <c r="B317" s="2"/>
      <c r="C317" s="2"/>
      <c r="D317" s="3"/>
      <c r="E317" s="3"/>
      <c r="F317" s="3"/>
      <c r="G317" s="3"/>
      <c r="H317" s="3"/>
      <c r="I317" s="3"/>
      <c r="J317" s="3"/>
      <c r="K317" s="3"/>
    </row>
    <row r="318" spans="2:11" x14ac:dyDescent="0.25">
      <c r="B318" s="2"/>
      <c r="C318" s="2"/>
      <c r="D318" s="3"/>
      <c r="E318" s="3"/>
      <c r="F318" s="3"/>
      <c r="G318" s="3"/>
      <c r="H318" s="3"/>
      <c r="I318" s="3"/>
      <c r="J318" s="3"/>
      <c r="K318" s="3"/>
    </row>
    <row r="319" spans="2:11" x14ac:dyDescent="0.25">
      <c r="B319" s="2"/>
      <c r="C319" s="2"/>
      <c r="D319" s="3"/>
      <c r="E319" s="3"/>
      <c r="F319" s="3"/>
      <c r="G319" s="3"/>
      <c r="H319" s="3"/>
      <c r="I319" s="3"/>
      <c r="J319" s="3"/>
      <c r="K319" s="3"/>
    </row>
    <row r="320" spans="2:11" x14ac:dyDescent="0.25">
      <c r="B320" s="2"/>
      <c r="C320" s="2"/>
      <c r="D320" s="3"/>
      <c r="E320" s="3"/>
      <c r="F320" s="3"/>
      <c r="G320" s="3"/>
      <c r="H320" s="3"/>
      <c r="I320" s="3"/>
      <c r="J320" s="3"/>
      <c r="K320" s="3"/>
    </row>
    <row r="321" spans="2:11" x14ac:dyDescent="0.25">
      <c r="B321" s="2"/>
      <c r="C321" s="2"/>
      <c r="D321" s="3"/>
      <c r="E321" s="3"/>
      <c r="F321" s="3"/>
      <c r="G321" s="3"/>
      <c r="H321" s="3"/>
      <c r="I321" s="3"/>
      <c r="J321" s="3"/>
      <c r="K321" s="3"/>
    </row>
    <row r="322" spans="2:11" x14ac:dyDescent="0.25">
      <c r="B322" s="2"/>
      <c r="C322" s="2"/>
      <c r="D322" s="3"/>
      <c r="E322" s="3"/>
      <c r="F322" s="3"/>
      <c r="G322" s="3"/>
      <c r="H322" s="3"/>
      <c r="I322" s="3"/>
      <c r="J322" s="3"/>
      <c r="K322" s="3"/>
    </row>
    <row r="323" spans="2:11" x14ac:dyDescent="0.25">
      <c r="B323" s="2"/>
      <c r="C323" s="2"/>
      <c r="D323" s="3"/>
      <c r="E323" s="3"/>
      <c r="F323" s="3"/>
      <c r="G323" s="3"/>
      <c r="H323" s="3"/>
      <c r="I323" s="3"/>
      <c r="J323" s="3"/>
      <c r="K323" s="3"/>
    </row>
    <row r="324" spans="2:11" x14ac:dyDescent="0.25">
      <c r="B324" s="2"/>
      <c r="C324" s="2"/>
      <c r="D324" s="3"/>
      <c r="E324" s="3"/>
      <c r="F324" s="3"/>
      <c r="G324" s="3"/>
      <c r="H324" s="3"/>
      <c r="I324" s="3"/>
      <c r="J324" s="3"/>
      <c r="K324" s="3"/>
    </row>
    <row r="325" spans="2:11" x14ac:dyDescent="0.25">
      <c r="B325" s="2"/>
      <c r="C325" s="2"/>
      <c r="D325" s="3"/>
      <c r="E325" s="3"/>
      <c r="F325" s="3"/>
      <c r="G325" s="3"/>
      <c r="H325" s="3"/>
      <c r="I325" s="3"/>
      <c r="J325" s="3"/>
      <c r="K325" s="3"/>
    </row>
    <row r="326" spans="2:11" x14ac:dyDescent="0.25">
      <c r="B326" s="2"/>
      <c r="C326" s="2"/>
      <c r="D326" s="3"/>
      <c r="E326" s="3"/>
      <c r="F326" s="3"/>
      <c r="G326" s="3"/>
      <c r="H326" s="3"/>
      <c r="I326" s="3"/>
      <c r="J326" s="3"/>
      <c r="K326" s="3"/>
    </row>
    <row r="327" spans="2:11" x14ac:dyDescent="0.25">
      <c r="B327" s="2"/>
      <c r="C327" s="2"/>
      <c r="D327" s="3"/>
      <c r="E327" s="3"/>
      <c r="F327" s="3"/>
      <c r="G327" s="3"/>
      <c r="H327" s="3"/>
      <c r="I327" s="3"/>
      <c r="J327" s="3"/>
      <c r="K327" s="3"/>
    </row>
    <row r="328" spans="2:11" x14ac:dyDescent="0.25">
      <c r="B328" s="2"/>
      <c r="C328" s="2"/>
      <c r="D328" s="3"/>
      <c r="E328" s="3"/>
      <c r="F328" s="3"/>
      <c r="G328" s="3"/>
      <c r="H328" s="3"/>
      <c r="I328" s="3"/>
      <c r="J328" s="3"/>
      <c r="K328" s="3"/>
    </row>
    <row r="329" spans="2:11" x14ac:dyDescent="0.25">
      <c r="B329" s="2"/>
      <c r="C329" s="2"/>
      <c r="D329" s="3"/>
      <c r="E329" s="3"/>
      <c r="F329" s="3"/>
      <c r="G329" s="3"/>
      <c r="H329" s="3"/>
      <c r="I329" s="3"/>
      <c r="J329" s="3"/>
      <c r="K329" s="3"/>
    </row>
    <row r="330" spans="2:11" x14ac:dyDescent="0.25">
      <c r="B330" s="2"/>
      <c r="C330" s="2"/>
      <c r="D330" s="3"/>
      <c r="E330" s="3"/>
      <c r="F330" s="3"/>
      <c r="G330" s="3"/>
      <c r="H330" s="3"/>
      <c r="I330" s="3"/>
      <c r="J330" s="3"/>
      <c r="K330" s="3"/>
    </row>
    <row r="331" spans="2:11" x14ac:dyDescent="0.25">
      <c r="B331" s="2"/>
      <c r="C331" s="2"/>
      <c r="D331" s="3"/>
      <c r="E331" s="3"/>
      <c r="F331" s="3"/>
      <c r="G331" s="3"/>
      <c r="H331" s="3"/>
      <c r="I331" s="3"/>
      <c r="J331" s="3"/>
      <c r="K331" s="3"/>
    </row>
    <row r="332" spans="2:11" x14ac:dyDescent="0.25">
      <c r="B332" s="2"/>
      <c r="C332" s="2"/>
      <c r="D332" s="3"/>
      <c r="E332" s="3"/>
      <c r="F332" s="3"/>
      <c r="G332" s="3"/>
      <c r="H332" s="3"/>
      <c r="I332" s="3"/>
      <c r="J332" s="3"/>
      <c r="K332" s="3"/>
    </row>
    <row r="333" spans="2:11" x14ac:dyDescent="0.25">
      <c r="B333" s="2"/>
      <c r="C333" s="2"/>
      <c r="D333" s="3"/>
      <c r="E333" s="3"/>
      <c r="F333" s="3"/>
      <c r="G333" s="3"/>
      <c r="H333" s="3"/>
      <c r="I333" s="3"/>
      <c r="J333" s="3"/>
      <c r="K333" s="3"/>
    </row>
    <row r="334" spans="2:11" x14ac:dyDescent="0.25">
      <c r="B334" s="2"/>
      <c r="C334" s="2"/>
      <c r="D334" s="3"/>
      <c r="E334" s="3"/>
      <c r="F334" s="3"/>
      <c r="G334" s="3"/>
      <c r="H334" s="3"/>
      <c r="I334" s="3"/>
      <c r="J334" s="3"/>
      <c r="K334" s="3"/>
    </row>
    <row r="335" spans="2:11" x14ac:dyDescent="0.25">
      <c r="B335" s="2"/>
      <c r="C335" s="2"/>
      <c r="D335" s="3"/>
      <c r="E335" s="3"/>
      <c r="F335" s="3"/>
      <c r="G335" s="3"/>
      <c r="H335" s="3"/>
      <c r="I335" s="3"/>
      <c r="J335" s="3"/>
      <c r="K335" s="3"/>
    </row>
    <row r="336" spans="2:11" x14ac:dyDescent="0.25">
      <c r="B336" s="2"/>
      <c r="C336" s="2"/>
      <c r="D336" s="3"/>
      <c r="E336" s="3"/>
      <c r="F336" s="3"/>
      <c r="G336" s="3"/>
      <c r="H336" s="3"/>
      <c r="I336" s="3"/>
      <c r="J336" s="3"/>
      <c r="K336" s="3"/>
    </row>
    <row r="337" spans="2:11" x14ac:dyDescent="0.25">
      <c r="B337" s="2"/>
      <c r="C337" s="2"/>
      <c r="D337" s="3"/>
      <c r="E337" s="3"/>
      <c r="F337" s="3"/>
      <c r="G337" s="3"/>
      <c r="H337" s="3"/>
      <c r="I337" s="3"/>
      <c r="J337" s="3"/>
      <c r="K337" s="3"/>
    </row>
    <row r="338" spans="2:11" x14ac:dyDescent="0.25">
      <c r="B338" s="2"/>
      <c r="C338" s="2"/>
      <c r="D338" s="3"/>
      <c r="E338" s="3"/>
      <c r="F338" s="3"/>
      <c r="G338" s="3"/>
      <c r="H338" s="3"/>
      <c r="I338" s="3"/>
      <c r="J338" s="3"/>
      <c r="K338" s="3"/>
    </row>
    <row r="339" spans="2:11" x14ac:dyDescent="0.25">
      <c r="B339" s="2"/>
      <c r="C339" s="2"/>
      <c r="D339" s="3"/>
      <c r="E339" s="3"/>
      <c r="F339" s="3"/>
      <c r="G339" s="3"/>
      <c r="H339" s="3"/>
      <c r="I339" s="3"/>
      <c r="J339" s="3"/>
      <c r="K339" s="3"/>
    </row>
    <row r="340" spans="2:11" x14ac:dyDescent="0.25">
      <c r="B340" s="2"/>
      <c r="C340" s="2"/>
      <c r="D340" s="3"/>
      <c r="E340" s="3"/>
      <c r="F340" s="3"/>
      <c r="G340" s="3"/>
      <c r="H340" s="3"/>
      <c r="I340" s="3"/>
      <c r="J340" s="3"/>
      <c r="K340" s="3"/>
    </row>
    <row r="341" spans="2:11" x14ac:dyDescent="0.25">
      <c r="B341" s="2"/>
      <c r="C341" s="2"/>
      <c r="D341" s="3"/>
      <c r="E341" s="3"/>
      <c r="F341" s="3"/>
      <c r="G341" s="3"/>
      <c r="H341" s="3"/>
      <c r="I341" s="3"/>
      <c r="J341" s="3"/>
      <c r="K341" s="3"/>
    </row>
    <row r="342" spans="2:11" x14ac:dyDescent="0.25">
      <c r="B342" s="2"/>
      <c r="C342" s="2"/>
      <c r="D342" s="3"/>
      <c r="E342" s="3"/>
      <c r="F342" s="3"/>
      <c r="G342" s="3"/>
      <c r="H342" s="3"/>
      <c r="I342" s="3"/>
      <c r="J342" s="3"/>
      <c r="K342" s="3"/>
    </row>
    <row r="343" spans="2:11" x14ac:dyDescent="0.25">
      <c r="B343" s="2"/>
      <c r="C343" s="2"/>
      <c r="D343" s="3"/>
      <c r="E343" s="3"/>
      <c r="F343" s="3"/>
      <c r="G343" s="3"/>
      <c r="H343" s="3"/>
      <c r="I343" s="3"/>
      <c r="J343" s="3"/>
      <c r="K343" s="3"/>
    </row>
    <row r="344" spans="2:11" x14ac:dyDescent="0.25">
      <c r="B344" s="2"/>
      <c r="C344" s="2"/>
      <c r="D344" s="3"/>
      <c r="E344" s="3"/>
      <c r="F344" s="3"/>
      <c r="G344" s="3"/>
      <c r="H344" s="3"/>
      <c r="I344" s="3"/>
      <c r="J344" s="3"/>
      <c r="K344" s="3"/>
    </row>
    <row r="345" spans="2:11" x14ac:dyDescent="0.25">
      <c r="B345" s="2"/>
      <c r="C345" s="2"/>
      <c r="D345" s="3"/>
      <c r="E345" s="3"/>
      <c r="F345" s="3"/>
      <c r="G345" s="3"/>
      <c r="H345" s="3"/>
      <c r="I345" s="3"/>
      <c r="J345" s="3"/>
      <c r="K345" s="3"/>
    </row>
    <row r="346" spans="2:11" x14ac:dyDescent="0.25">
      <c r="B346" s="2"/>
      <c r="C346" s="2"/>
      <c r="D346" s="3"/>
      <c r="E346" s="3"/>
      <c r="F346" s="3"/>
      <c r="G346" s="3"/>
      <c r="H346" s="3"/>
      <c r="I346" s="3"/>
      <c r="J346" s="3"/>
      <c r="K346" s="3"/>
    </row>
    <row r="347" spans="2:11" x14ac:dyDescent="0.25">
      <c r="B347" s="2"/>
      <c r="C347" s="2"/>
      <c r="D347" s="3"/>
      <c r="E347" s="3"/>
      <c r="F347" s="3"/>
      <c r="G347" s="3"/>
      <c r="H347" s="3"/>
      <c r="I347" s="3"/>
      <c r="J347" s="3"/>
      <c r="K347" s="3"/>
    </row>
    <row r="348" spans="2:11" x14ac:dyDescent="0.25">
      <c r="B348" s="2"/>
      <c r="C348" s="2"/>
      <c r="D348" s="3"/>
      <c r="E348" s="3"/>
      <c r="F348" s="3"/>
      <c r="G348" s="3"/>
      <c r="H348" s="3"/>
      <c r="I348" s="3"/>
      <c r="J348" s="3"/>
      <c r="K348" s="3"/>
    </row>
    <row r="349" spans="2:11" x14ac:dyDescent="0.25">
      <c r="B349" s="2"/>
      <c r="C349" s="2"/>
      <c r="D349" s="3"/>
      <c r="E349" s="3"/>
      <c r="F349" s="3"/>
      <c r="G349" s="3"/>
      <c r="H349" s="3"/>
      <c r="I349" s="3"/>
      <c r="J349" s="3"/>
      <c r="K349" s="3"/>
    </row>
    <row r="350" spans="2:11" x14ac:dyDescent="0.25">
      <c r="B350" s="2"/>
      <c r="C350" s="2"/>
      <c r="D350" s="3"/>
      <c r="E350" s="3"/>
      <c r="F350" s="3"/>
      <c r="G350" s="3"/>
      <c r="H350" s="3"/>
      <c r="I350" s="3"/>
      <c r="J350" s="3"/>
      <c r="K350" s="3"/>
    </row>
    <row r="351" spans="2:11" x14ac:dyDescent="0.25">
      <c r="B351" s="2"/>
      <c r="C351" s="2"/>
      <c r="D351" s="3"/>
      <c r="E351" s="3"/>
      <c r="F351" s="3"/>
      <c r="G351" s="3"/>
      <c r="H351" s="3"/>
      <c r="I351" s="3"/>
      <c r="J351" s="3"/>
      <c r="K351" s="3"/>
    </row>
    <row r="352" spans="2:11" x14ac:dyDescent="0.25">
      <c r="B352" s="2"/>
      <c r="C352" s="2"/>
      <c r="D352" s="3"/>
      <c r="E352" s="3"/>
      <c r="F352" s="3"/>
      <c r="G352" s="3"/>
      <c r="H352" s="3"/>
      <c r="I352" s="3"/>
      <c r="J352" s="3"/>
      <c r="K352" s="3"/>
    </row>
    <row r="353" spans="2:11" x14ac:dyDescent="0.25">
      <c r="B353" s="2"/>
      <c r="C353" s="2"/>
      <c r="D353" s="3"/>
      <c r="E353" s="3"/>
      <c r="F353" s="3"/>
      <c r="G353" s="3"/>
      <c r="H353" s="3"/>
      <c r="I353" s="3"/>
      <c r="J353" s="3"/>
      <c r="K353" s="3"/>
    </row>
    <row r="354" spans="2:11" x14ac:dyDescent="0.25">
      <c r="B354" s="2"/>
      <c r="C354" s="2"/>
      <c r="D354" s="3"/>
      <c r="E354" s="3"/>
      <c r="F354" s="3"/>
      <c r="G354" s="3"/>
      <c r="H354" s="3"/>
      <c r="I354" s="3"/>
      <c r="J354" s="3"/>
      <c r="K354" s="3"/>
    </row>
    <row r="355" spans="2:11" x14ac:dyDescent="0.25">
      <c r="B355" s="2"/>
      <c r="C355" s="2"/>
      <c r="D355" s="3"/>
      <c r="E355" s="3"/>
      <c r="F355" s="3"/>
      <c r="G355" s="3"/>
      <c r="H355" s="3"/>
      <c r="I355" s="3"/>
      <c r="J355" s="3"/>
      <c r="K355" s="3"/>
    </row>
    <row r="356" spans="2:11" x14ac:dyDescent="0.25">
      <c r="B356" s="2"/>
      <c r="C356" s="2"/>
      <c r="D356" s="3"/>
      <c r="E356" s="3"/>
      <c r="F356" s="3"/>
      <c r="G356" s="3"/>
      <c r="H356" s="3"/>
      <c r="I356" s="3"/>
      <c r="J356" s="3"/>
      <c r="K356" s="3"/>
    </row>
    <row r="357" spans="2:11" x14ac:dyDescent="0.25">
      <c r="B357" s="2"/>
      <c r="C357" s="2"/>
      <c r="D357" s="3"/>
      <c r="E357" s="3"/>
      <c r="F357" s="3"/>
      <c r="G357" s="3"/>
      <c r="H357" s="3"/>
      <c r="I357" s="3"/>
      <c r="J357" s="3"/>
      <c r="K357" s="3"/>
    </row>
    <row r="358" spans="2:11" x14ac:dyDescent="0.25">
      <c r="B358" s="2"/>
      <c r="C358" s="2"/>
      <c r="D358" s="3"/>
      <c r="E358" s="3"/>
      <c r="F358" s="3"/>
      <c r="G358" s="3"/>
      <c r="H358" s="3"/>
      <c r="I358" s="3"/>
      <c r="J358" s="3"/>
      <c r="K358" s="3"/>
    </row>
    <row r="359" spans="2:11" x14ac:dyDescent="0.25">
      <c r="B359" s="2"/>
      <c r="C359" s="2"/>
      <c r="D359" s="3"/>
      <c r="E359" s="3"/>
      <c r="F359" s="3"/>
      <c r="G359" s="3"/>
      <c r="H359" s="3"/>
      <c r="I359" s="3"/>
      <c r="J359" s="3"/>
      <c r="K359" s="3"/>
    </row>
    <row r="360" spans="2:11" x14ac:dyDescent="0.25">
      <c r="B360" s="2"/>
      <c r="C360" s="2"/>
      <c r="D360" s="3"/>
      <c r="E360" s="3"/>
      <c r="F360" s="3"/>
      <c r="G360" s="3"/>
      <c r="H360" s="3"/>
      <c r="I360" s="3"/>
      <c r="J360" s="3"/>
      <c r="K360" s="3"/>
    </row>
    <row r="361" spans="2:11" x14ac:dyDescent="0.25">
      <c r="B361" s="2"/>
      <c r="C361" s="2"/>
      <c r="D361" s="3"/>
      <c r="E361" s="3"/>
      <c r="F361" s="3"/>
      <c r="G361" s="3"/>
      <c r="H361" s="3"/>
      <c r="I361" s="3"/>
      <c r="J361" s="3"/>
      <c r="K361" s="3"/>
    </row>
    <row r="362" spans="2:11" x14ac:dyDescent="0.25">
      <c r="B362" s="2"/>
      <c r="C362" s="2"/>
      <c r="D362" s="3"/>
      <c r="E362" s="3"/>
      <c r="F362" s="3"/>
      <c r="G362" s="3"/>
      <c r="H362" s="3"/>
      <c r="I362" s="3"/>
      <c r="J362" s="3"/>
      <c r="K362" s="3"/>
    </row>
    <row r="363" spans="2:11" x14ac:dyDescent="0.25">
      <c r="B363" s="2"/>
      <c r="C363" s="2"/>
      <c r="D363" s="3"/>
      <c r="E363" s="3"/>
      <c r="F363" s="3"/>
      <c r="G363" s="3"/>
      <c r="H363" s="3"/>
      <c r="I363" s="3"/>
      <c r="J363" s="3"/>
      <c r="K363" s="3"/>
    </row>
    <row r="364" spans="2:11" x14ac:dyDescent="0.25">
      <c r="B364" s="2"/>
      <c r="C364" s="2"/>
      <c r="D364" s="3"/>
      <c r="E364" s="3"/>
      <c r="F364" s="3"/>
      <c r="G364" s="3"/>
      <c r="H364" s="3"/>
      <c r="I364" s="3"/>
      <c r="J364" s="3"/>
      <c r="K364" s="3"/>
    </row>
    <row r="365" spans="2:11" x14ac:dyDescent="0.25">
      <c r="B365" s="2"/>
      <c r="C365" s="2"/>
      <c r="D365" s="3"/>
      <c r="E365" s="3"/>
      <c r="F365" s="3"/>
      <c r="G365" s="3"/>
      <c r="H365" s="3"/>
    </row>
    <row r="366" spans="2:11" x14ac:dyDescent="0.25">
      <c r="B366" s="2"/>
      <c r="C366" s="2"/>
      <c r="D366" s="3"/>
      <c r="E366" s="3"/>
      <c r="F366" s="3"/>
      <c r="G366" s="3"/>
      <c r="H366" s="3"/>
      <c r="I366" s="3"/>
      <c r="J366" s="3"/>
      <c r="K366" s="3"/>
    </row>
    <row r="367" spans="2:11" x14ac:dyDescent="0.25">
      <c r="B367" s="2"/>
      <c r="C367" s="2"/>
      <c r="D367" s="3"/>
      <c r="E367" s="3"/>
      <c r="F367" s="3"/>
      <c r="G367" s="3"/>
      <c r="H367" s="3"/>
      <c r="I367" s="3"/>
      <c r="J367" s="3"/>
      <c r="K367" s="3"/>
    </row>
    <row r="368" spans="2:11" x14ac:dyDescent="0.25">
      <c r="B368" s="2"/>
      <c r="C368" s="2"/>
      <c r="D368" s="3"/>
      <c r="E368" s="3"/>
      <c r="F368" s="3"/>
      <c r="G368" s="3"/>
      <c r="H368" s="3"/>
      <c r="I368" s="3"/>
      <c r="J368" s="3"/>
      <c r="K368" s="3"/>
    </row>
    <row r="369" spans="2:11" x14ac:dyDescent="0.25">
      <c r="B369" s="2"/>
      <c r="C369" s="2"/>
      <c r="D369" s="3"/>
      <c r="E369" s="3"/>
      <c r="F369" s="3"/>
      <c r="G369" s="3"/>
      <c r="H369" s="3"/>
      <c r="I369" s="3"/>
      <c r="J369" s="3"/>
      <c r="K369" s="3"/>
    </row>
    <row r="370" spans="2:11" x14ac:dyDescent="0.25">
      <c r="B370" s="2"/>
      <c r="C370" s="2"/>
      <c r="D370" s="3"/>
      <c r="E370" s="3"/>
      <c r="F370" s="3"/>
      <c r="G370" s="3"/>
      <c r="H370" s="3"/>
      <c r="I370" s="3"/>
      <c r="J370" s="3"/>
      <c r="K370" s="3"/>
    </row>
    <row r="371" spans="2:11" x14ac:dyDescent="0.25">
      <c r="B371" s="2"/>
      <c r="C371" s="2"/>
      <c r="D371" s="3"/>
      <c r="E371" s="3"/>
      <c r="F371" s="3"/>
      <c r="G371" s="3"/>
      <c r="H371" s="3"/>
      <c r="I371" s="3"/>
      <c r="J371" s="3"/>
      <c r="K371" s="3"/>
    </row>
    <row r="372" spans="2:11" x14ac:dyDescent="0.25">
      <c r="B372" s="2"/>
      <c r="C372" s="2"/>
      <c r="D372" s="3"/>
      <c r="E372" s="3"/>
      <c r="F372" s="3"/>
      <c r="G372" s="3"/>
      <c r="H372" s="3"/>
      <c r="I372" s="3"/>
      <c r="J372" s="3"/>
      <c r="K372" s="3"/>
    </row>
    <row r="373" spans="2:11" x14ac:dyDescent="0.25">
      <c r="B373" s="2"/>
      <c r="C373" s="2"/>
      <c r="D373" s="3"/>
      <c r="E373" s="3"/>
      <c r="F373" s="3"/>
      <c r="G373" s="3"/>
      <c r="H373" s="3"/>
      <c r="I373" s="3"/>
      <c r="J373" s="3"/>
      <c r="K373" s="3"/>
    </row>
    <row r="374" spans="2:11" x14ac:dyDescent="0.25">
      <c r="B374" s="2"/>
      <c r="C374" s="2"/>
      <c r="D374" s="3"/>
      <c r="E374" s="3"/>
      <c r="F374" s="3"/>
      <c r="G374" s="3"/>
      <c r="H374" s="3"/>
      <c r="I374" s="3"/>
      <c r="J374" s="3"/>
      <c r="K374" s="3"/>
    </row>
    <row r="375" spans="2:11" x14ac:dyDescent="0.25">
      <c r="B375" s="2"/>
      <c r="C375" s="2"/>
      <c r="D375" s="3"/>
      <c r="E375" s="3"/>
      <c r="F375" s="3"/>
      <c r="G375" s="3"/>
      <c r="H375" s="3"/>
      <c r="I375" s="3"/>
      <c r="J375" s="3"/>
      <c r="K375" s="3"/>
    </row>
    <row r="376" spans="2:11" x14ac:dyDescent="0.25">
      <c r="B376" s="2"/>
      <c r="C376" s="2"/>
      <c r="D376" s="3"/>
      <c r="E376" s="3"/>
      <c r="F376" s="3"/>
      <c r="G376" s="3"/>
      <c r="H376" s="3"/>
      <c r="I376" s="3"/>
      <c r="J376" s="3"/>
      <c r="K376" s="3"/>
    </row>
    <row r="377" spans="2:11" x14ac:dyDescent="0.25">
      <c r="B377" s="2"/>
      <c r="C377" s="2"/>
      <c r="D377" s="3"/>
      <c r="E377" s="3"/>
      <c r="F377" s="3"/>
      <c r="G377" s="3"/>
      <c r="H377" s="3"/>
      <c r="I377" s="3"/>
      <c r="J377" s="3"/>
      <c r="K377" s="3"/>
    </row>
    <row r="378" spans="2:11" x14ac:dyDescent="0.25">
      <c r="B378" s="2"/>
      <c r="C378" s="2"/>
      <c r="D378" s="3"/>
      <c r="E378" s="3"/>
      <c r="F378" s="3"/>
      <c r="G378" s="3"/>
      <c r="H378" s="3"/>
      <c r="I378" s="3"/>
      <c r="J378" s="3"/>
      <c r="K378" s="3"/>
    </row>
    <row r="379" spans="2:11" x14ac:dyDescent="0.25">
      <c r="B379" s="2"/>
      <c r="C379" s="2"/>
      <c r="D379" s="3"/>
      <c r="E379" s="3"/>
      <c r="F379" s="3"/>
      <c r="G379" s="3"/>
      <c r="H379" s="3"/>
      <c r="I379" s="3"/>
      <c r="J379" s="3"/>
      <c r="K379" s="3"/>
    </row>
    <row r="380" spans="2:11" x14ac:dyDescent="0.25">
      <c r="B380" s="2"/>
      <c r="C380" s="2"/>
      <c r="D380" s="3"/>
      <c r="E380" s="3"/>
      <c r="F380" s="3"/>
      <c r="G380" s="3"/>
      <c r="H380" s="3"/>
      <c r="I380" s="3"/>
      <c r="J380" s="3"/>
      <c r="K380" s="3"/>
    </row>
    <row r="381" spans="2:11" x14ac:dyDescent="0.25">
      <c r="B381" s="2"/>
      <c r="C381" s="2"/>
      <c r="D381" s="3"/>
      <c r="E381" s="3"/>
      <c r="F381" s="3"/>
      <c r="G381" s="3"/>
      <c r="H381" s="3"/>
      <c r="I381" s="3"/>
      <c r="J381" s="3"/>
      <c r="K381" s="3"/>
    </row>
    <row r="382" spans="2:11" x14ac:dyDescent="0.25">
      <c r="B382" s="2"/>
      <c r="C382" s="2"/>
      <c r="D382" s="3"/>
      <c r="E382" s="3"/>
      <c r="F382" s="3"/>
      <c r="G382" s="3"/>
      <c r="H382" s="3"/>
      <c r="I382" s="3"/>
      <c r="J382" s="3"/>
      <c r="K382" s="3"/>
    </row>
    <row r="383" spans="2:11" x14ac:dyDescent="0.25">
      <c r="B383" s="2"/>
      <c r="C383" s="2"/>
      <c r="D383" s="3"/>
      <c r="E383" s="3"/>
      <c r="F383" s="3"/>
      <c r="G383" s="3"/>
      <c r="H383" s="3"/>
      <c r="I383" s="3"/>
      <c r="J383" s="3"/>
      <c r="K383" s="3"/>
    </row>
    <row r="384" spans="2:11" x14ac:dyDescent="0.25">
      <c r="B384" s="2"/>
      <c r="C384" s="2"/>
      <c r="D384" s="3"/>
      <c r="E384" s="3"/>
      <c r="F384" s="3"/>
      <c r="G384" s="3"/>
      <c r="H384" s="3"/>
      <c r="I384" s="3"/>
      <c r="J384" s="3"/>
      <c r="K384" s="3"/>
    </row>
    <row r="385" spans="2:11" x14ac:dyDescent="0.25">
      <c r="B385" s="2"/>
      <c r="C385" s="2"/>
      <c r="D385" s="3"/>
      <c r="E385" s="3"/>
      <c r="F385" s="3"/>
      <c r="G385" s="3"/>
      <c r="H385" s="3"/>
      <c r="I385" s="3"/>
      <c r="J385" s="3"/>
      <c r="K385" s="3"/>
    </row>
    <row r="386" spans="2:11" x14ac:dyDescent="0.25">
      <c r="B386" s="2"/>
      <c r="C386" s="2"/>
      <c r="D386" s="3"/>
      <c r="E386" s="3"/>
      <c r="F386" s="3"/>
      <c r="G386" s="3"/>
      <c r="H386" s="3"/>
      <c r="I386" s="3"/>
      <c r="J386" s="3"/>
      <c r="K386" s="3"/>
    </row>
    <row r="387" spans="2:11" x14ac:dyDescent="0.25">
      <c r="B387" s="2"/>
      <c r="C387" s="2"/>
      <c r="D387" s="3"/>
      <c r="E387" s="3"/>
      <c r="F387" s="3"/>
      <c r="G387" s="3"/>
      <c r="H387" s="3"/>
      <c r="I387" s="3"/>
      <c r="J387" s="3"/>
      <c r="K387" s="3"/>
    </row>
    <row r="388" spans="2:11" x14ac:dyDescent="0.25">
      <c r="B388" s="2"/>
      <c r="C388" s="2"/>
      <c r="D388" s="3"/>
      <c r="E388" s="3"/>
      <c r="F388" s="3"/>
      <c r="G388" s="3"/>
      <c r="H388" s="3"/>
      <c r="I388" s="3"/>
      <c r="J388" s="3"/>
      <c r="K388" s="3"/>
    </row>
    <row r="389" spans="2:11" x14ac:dyDescent="0.25">
      <c r="B389" s="2"/>
      <c r="C389" s="2"/>
      <c r="D389" s="3"/>
      <c r="E389" s="3"/>
      <c r="F389" s="3"/>
      <c r="G389" s="3"/>
      <c r="H389" s="3"/>
      <c r="I389" s="3"/>
      <c r="J389" s="3"/>
      <c r="K389" s="3"/>
    </row>
    <row r="390" spans="2:11" x14ac:dyDescent="0.25">
      <c r="B390" s="2"/>
      <c r="C390" s="2"/>
      <c r="D390" s="3"/>
      <c r="E390" s="3"/>
      <c r="F390" s="3"/>
      <c r="G390" s="3"/>
      <c r="H390" s="3"/>
      <c r="I390" s="3"/>
      <c r="J390" s="3"/>
      <c r="K390" s="3"/>
    </row>
    <row r="391" spans="2:11" x14ac:dyDescent="0.25">
      <c r="B391" s="2"/>
      <c r="C391" s="2"/>
      <c r="D391" s="3"/>
      <c r="E391" s="3"/>
      <c r="F391" s="3"/>
      <c r="G391" s="3"/>
      <c r="H391" s="3"/>
      <c r="I391" s="3"/>
      <c r="J391" s="3"/>
      <c r="K391" s="3"/>
    </row>
    <row r="392" spans="2:11" x14ac:dyDescent="0.25">
      <c r="B392" s="2"/>
      <c r="C392" s="2"/>
      <c r="D392" s="3"/>
      <c r="E392" s="3"/>
      <c r="F392" s="3"/>
      <c r="H392" s="3"/>
    </row>
    <row r="393" spans="2:11" x14ac:dyDescent="0.25">
      <c r="B393" s="2"/>
      <c r="C393" s="2"/>
      <c r="D393" s="3"/>
      <c r="E393" s="3"/>
      <c r="F393" s="3"/>
      <c r="H393" s="3"/>
    </row>
    <row r="394" spans="2:11" x14ac:dyDescent="0.25">
      <c r="B394" s="2"/>
      <c r="C394" s="2"/>
      <c r="D394" s="3"/>
      <c r="E394" s="3"/>
      <c r="F394" s="3"/>
      <c r="G394" s="3"/>
      <c r="H394" s="3"/>
      <c r="I394" s="3"/>
      <c r="J394" s="3"/>
      <c r="K394" s="3"/>
    </row>
    <row r="395" spans="2:11" x14ac:dyDescent="0.25">
      <c r="B395" s="2"/>
      <c r="C395" s="2"/>
      <c r="D395" s="3"/>
      <c r="E395" s="3"/>
      <c r="F395" s="3"/>
      <c r="H395" s="3"/>
    </row>
    <row r="396" spans="2:11" x14ac:dyDescent="0.25">
      <c r="B396" s="2"/>
      <c r="C396" s="2"/>
      <c r="D396" s="3"/>
      <c r="E396" s="3"/>
      <c r="F396" s="3"/>
      <c r="H396" s="3"/>
      <c r="I396" s="3"/>
    </row>
    <row r="397" spans="2:11" x14ac:dyDescent="0.25">
      <c r="B397" s="2"/>
      <c r="C397" s="2"/>
      <c r="D397" s="3"/>
      <c r="E397" s="3"/>
      <c r="F397" s="3"/>
      <c r="G397" s="3"/>
      <c r="H397" s="3"/>
      <c r="I397" s="3"/>
      <c r="J397" s="3"/>
      <c r="K397" s="3"/>
    </row>
    <row r="398" spans="2:11" x14ac:dyDescent="0.25">
      <c r="B398" s="2"/>
      <c r="C398" s="2"/>
      <c r="D398" s="3"/>
      <c r="E398" s="3"/>
      <c r="F398" s="3"/>
      <c r="G398" s="3"/>
      <c r="H398" s="3"/>
      <c r="I398" s="3"/>
      <c r="J398" s="3"/>
      <c r="K398" s="3"/>
    </row>
    <row r="399" spans="2:11" x14ac:dyDescent="0.25">
      <c r="B399" s="2"/>
      <c r="C399" s="2"/>
      <c r="D399" s="3"/>
      <c r="E399" s="3"/>
      <c r="F399" s="3"/>
      <c r="H399" s="3"/>
      <c r="I399" s="3"/>
      <c r="J399" s="3"/>
      <c r="K399" s="3"/>
    </row>
    <row r="400" spans="2:11" x14ac:dyDescent="0.25">
      <c r="B400" s="2"/>
      <c r="C400" s="2"/>
      <c r="D400" s="3"/>
      <c r="E400" s="3"/>
      <c r="F400" s="3"/>
      <c r="G400" s="3"/>
      <c r="H400" s="3"/>
      <c r="I400" s="3"/>
      <c r="J400" s="3"/>
      <c r="K400" s="3"/>
    </row>
    <row r="401" spans="2:11" x14ac:dyDescent="0.25">
      <c r="B401" s="2"/>
      <c r="C401" s="2"/>
      <c r="D401" s="3"/>
      <c r="E401" s="3"/>
      <c r="F401" s="3"/>
      <c r="G401" s="3"/>
      <c r="H401" s="3"/>
      <c r="I401" s="3"/>
      <c r="J401" s="3"/>
      <c r="K401" s="3"/>
    </row>
    <row r="402" spans="2:11" x14ac:dyDescent="0.25">
      <c r="B402" s="2"/>
      <c r="C402" s="2"/>
      <c r="D402" s="3"/>
      <c r="E402" s="3"/>
      <c r="F402" s="3"/>
      <c r="H402" s="3"/>
    </row>
    <row r="403" spans="2:11" x14ac:dyDescent="0.25">
      <c r="B403" s="2"/>
      <c r="C403" s="2"/>
      <c r="D403" s="3"/>
      <c r="E403" s="3"/>
      <c r="F403" s="3"/>
      <c r="G403" s="3"/>
      <c r="H403" s="3"/>
      <c r="I403" s="3"/>
      <c r="J403" s="3"/>
      <c r="K403" s="3"/>
    </row>
    <row r="404" spans="2:11" x14ac:dyDescent="0.25">
      <c r="B404" s="2"/>
      <c r="C404" s="2"/>
      <c r="D404" s="3"/>
      <c r="E404" s="3"/>
      <c r="F404" s="3"/>
      <c r="G404" s="3"/>
      <c r="H404" s="3"/>
      <c r="I404" s="3"/>
      <c r="J404" s="3"/>
      <c r="K404" s="3"/>
    </row>
    <row r="405" spans="2:11" x14ac:dyDescent="0.25">
      <c r="B405" s="2"/>
      <c r="C405" s="2"/>
      <c r="D405" s="3"/>
      <c r="E405" s="3"/>
      <c r="F405" s="3"/>
      <c r="G405" s="3"/>
      <c r="H405" s="3"/>
      <c r="I405" s="3"/>
      <c r="J405" s="3"/>
      <c r="K405" s="3"/>
    </row>
    <row r="406" spans="2:11" x14ac:dyDescent="0.25">
      <c r="B406" s="2"/>
      <c r="C406" s="2"/>
      <c r="D406" s="3"/>
      <c r="E406" s="3"/>
      <c r="F406" s="3"/>
      <c r="G406" s="3"/>
      <c r="H406" s="3"/>
      <c r="I406" s="3"/>
      <c r="J406" s="3"/>
      <c r="K406" s="3"/>
    </row>
    <row r="407" spans="2:11" x14ac:dyDescent="0.25">
      <c r="B407" s="2"/>
      <c r="C407" s="2"/>
      <c r="D407" s="3"/>
      <c r="E407" s="3"/>
      <c r="F407" s="3"/>
      <c r="G407" s="3"/>
      <c r="H407" s="3"/>
      <c r="I407" s="3"/>
      <c r="J407" s="3"/>
      <c r="K407" s="3"/>
    </row>
    <row r="408" spans="2:11" x14ac:dyDescent="0.25">
      <c r="B408" s="2"/>
      <c r="C408" s="2"/>
      <c r="D408" s="3"/>
      <c r="E408" s="3"/>
      <c r="F408" s="3"/>
      <c r="H408" s="3"/>
    </row>
    <row r="409" spans="2:11" x14ac:dyDescent="0.25">
      <c r="B409" s="2"/>
      <c r="C409" s="2"/>
      <c r="D409" s="3"/>
      <c r="E409" s="3"/>
      <c r="F409" s="3"/>
      <c r="G409" s="3"/>
      <c r="H409" s="3"/>
      <c r="I409" s="3"/>
      <c r="J409" s="3"/>
      <c r="K409" s="3"/>
    </row>
    <row r="410" spans="2:11" x14ac:dyDescent="0.25">
      <c r="B410" s="2"/>
      <c r="C410" s="2"/>
      <c r="D410" s="3"/>
      <c r="E410" s="3"/>
      <c r="F410" s="3"/>
      <c r="G410" s="3"/>
      <c r="H410" s="3"/>
      <c r="I410" s="3"/>
      <c r="J410" s="3"/>
      <c r="K410" s="3"/>
    </row>
    <row r="411" spans="2:11" x14ac:dyDescent="0.25">
      <c r="B411" s="2"/>
      <c r="C411" s="2"/>
      <c r="D411" s="3"/>
      <c r="E411" s="3"/>
      <c r="F411" s="3"/>
      <c r="G411" s="3"/>
      <c r="H411" s="3"/>
      <c r="I411" s="3"/>
      <c r="J411" s="3"/>
      <c r="K411" s="3"/>
    </row>
    <row r="412" spans="2:11" x14ac:dyDescent="0.25">
      <c r="B412" s="2"/>
      <c r="C412" s="2"/>
      <c r="D412" s="3"/>
      <c r="E412" s="3"/>
      <c r="F412" s="3"/>
      <c r="G412" s="3"/>
      <c r="H412" s="3"/>
      <c r="I412" s="3"/>
      <c r="J412" s="3"/>
      <c r="K412" s="3"/>
    </row>
    <row r="413" spans="2:11" x14ac:dyDescent="0.25">
      <c r="B413" s="2"/>
      <c r="C413" s="2"/>
      <c r="D413" s="3"/>
      <c r="E413" s="3"/>
      <c r="F413" s="3"/>
      <c r="G413" s="3"/>
      <c r="H413" s="3"/>
      <c r="I413" s="3"/>
      <c r="J413" s="3"/>
      <c r="K413" s="3"/>
    </row>
    <row r="414" spans="2:11" x14ac:dyDescent="0.25">
      <c r="B414" s="2"/>
      <c r="C414" s="2"/>
      <c r="D414" s="3"/>
      <c r="E414" s="3"/>
      <c r="F414" s="3"/>
      <c r="G414" s="3"/>
      <c r="H414" s="3"/>
      <c r="I414" s="3"/>
      <c r="J414" s="3"/>
      <c r="K414" s="3"/>
    </row>
    <row r="415" spans="2:11" x14ac:dyDescent="0.25">
      <c r="B415" s="2"/>
      <c r="C415" s="2"/>
      <c r="D415" s="3"/>
      <c r="E415" s="3"/>
      <c r="F415" s="3"/>
      <c r="G415" s="3"/>
      <c r="H415" s="3"/>
      <c r="I415" s="3"/>
      <c r="J415" s="3"/>
      <c r="K415" s="3"/>
    </row>
    <row r="416" spans="2:11" x14ac:dyDescent="0.25">
      <c r="B416" s="2"/>
      <c r="C416" s="2"/>
      <c r="D416" s="3"/>
      <c r="E416" s="3"/>
      <c r="F416" s="3"/>
      <c r="G416" s="3"/>
      <c r="H416" s="3"/>
      <c r="I416" s="3"/>
      <c r="J416" s="3"/>
      <c r="K416" s="3"/>
    </row>
    <row r="417" spans="2:11" x14ac:dyDescent="0.25">
      <c r="B417" s="2"/>
      <c r="C417" s="2"/>
      <c r="D417" s="3"/>
      <c r="E417" s="3"/>
      <c r="F417" s="3"/>
      <c r="G417" s="3"/>
      <c r="H417" s="3"/>
      <c r="I417" s="3"/>
      <c r="J417" s="3"/>
      <c r="K417" s="3"/>
    </row>
    <row r="418" spans="2:11" x14ac:dyDescent="0.25">
      <c r="B418" s="2"/>
      <c r="C418" s="2"/>
      <c r="D418" s="3"/>
      <c r="E418" s="3"/>
      <c r="F418" s="3"/>
      <c r="G418" s="3"/>
      <c r="H418" s="3"/>
      <c r="I418" s="3"/>
      <c r="J418" s="3"/>
      <c r="K418" s="3"/>
    </row>
    <row r="419" spans="2:11" x14ac:dyDescent="0.25">
      <c r="B419" s="2"/>
      <c r="C419" s="2"/>
      <c r="D419" s="3"/>
      <c r="E419" s="3"/>
      <c r="F419" s="3"/>
      <c r="G419" s="3"/>
      <c r="H419" s="3"/>
      <c r="I419" s="3"/>
      <c r="J419" s="3"/>
      <c r="K419" s="3"/>
    </row>
    <row r="420" spans="2:11" x14ac:dyDescent="0.25">
      <c r="B420" s="2"/>
      <c r="C420" s="2"/>
      <c r="D420" s="3"/>
      <c r="E420" s="3"/>
      <c r="F420" s="3"/>
      <c r="G420" s="3"/>
      <c r="H420" s="3"/>
      <c r="I420" s="3"/>
      <c r="J420" s="3"/>
      <c r="K420" s="3"/>
    </row>
    <row r="421" spans="2:11" x14ac:dyDescent="0.25">
      <c r="B421" s="2"/>
      <c r="C421" s="2"/>
      <c r="D421" s="3"/>
      <c r="E421" s="3"/>
      <c r="F421" s="3"/>
      <c r="G421" s="3"/>
      <c r="H421" s="3"/>
      <c r="I421" s="3"/>
      <c r="J421" s="3"/>
      <c r="K421" s="3"/>
    </row>
    <row r="422" spans="2:11" x14ac:dyDescent="0.25">
      <c r="B422" s="2"/>
      <c r="C422" s="2"/>
      <c r="D422" s="3"/>
      <c r="E422" s="3"/>
      <c r="F422" s="3"/>
      <c r="G422" s="3"/>
      <c r="H422" s="3"/>
      <c r="I422" s="3"/>
      <c r="J422" s="3"/>
      <c r="K422" s="3"/>
    </row>
    <row r="423" spans="2:11" x14ac:dyDescent="0.25">
      <c r="B423" s="2"/>
      <c r="C423" s="2"/>
      <c r="D423" s="3"/>
      <c r="E423" s="3"/>
      <c r="F423" s="3"/>
      <c r="G423" s="3"/>
      <c r="H423" s="3"/>
      <c r="I423" s="3"/>
      <c r="J423" s="3"/>
      <c r="K423" s="3"/>
    </row>
    <row r="424" spans="2:11" x14ac:dyDescent="0.25">
      <c r="B424" s="2"/>
      <c r="C424" s="2"/>
      <c r="D424" s="3"/>
      <c r="E424" s="3"/>
      <c r="F424" s="3"/>
      <c r="G424" s="3"/>
      <c r="H424" s="3"/>
      <c r="I424" s="3"/>
      <c r="J424" s="3"/>
      <c r="K424" s="3"/>
    </row>
    <row r="425" spans="2:11" x14ac:dyDescent="0.25">
      <c r="B425" s="2"/>
      <c r="C425" s="2"/>
      <c r="D425" s="3"/>
      <c r="E425" s="3"/>
      <c r="F425" s="3"/>
      <c r="G425" s="3"/>
      <c r="H425" s="3"/>
      <c r="I425" s="3"/>
      <c r="J425" s="3"/>
      <c r="K425" s="3"/>
    </row>
    <row r="426" spans="2:11" x14ac:dyDescent="0.25">
      <c r="B426" s="2"/>
      <c r="C426" s="2"/>
      <c r="D426" s="3"/>
      <c r="E426" s="3"/>
      <c r="F426" s="3"/>
      <c r="G426" s="3"/>
      <c r="H426" s="3"/>
      <c r="I426" s="3"/>
      <c r="J426" s="3"/>
      <c r="K426" s="3"/>
    </row>
    <row r="427" spans="2:11" x14ac:dyDescent="0.25">
      <c r="B427" s="2"/>
      <c r="C427" s="2"/>
      <c r="D427" s="3"/>
      <c r="E427" s="3"/>
      <c r="F427" s="3"/>
      <c r="G427" s="3"/>
      <c r="H427" s="3"/>
      <c r="I427" s="3"/>
      <c r="J427" s="3"/>
      <c r="K427" s="3"/>
    </row>
    <row r="428" spans="2:11" x14ac:dyDescent="0.25">
      <c r="B428" s="2"/>
      <c r="C428" s="2"/>
      <c r="D428" s="3"/>
      <c r="E428" s="3"/>
      <c r="F428" s="3"/>
      <c r="G428" s="3"/>
      <c r="H428" s="3"/>
      <c r="I428" s="3"/>
      <c r="J428" s="3"/>
      <c r="K428" s="3"/>
    </row>
    <row r="429" spans="2:11" x14ac:dyDescent="0.25">
      <c r="B429" s="2"/>
      <c r="C429" s="2"/>
      <c r="D429" s="3"/>
      <c r="E429" s="3"/>
      <c r="F429" s="3"/>
      <c r="G429" s="3"/>
      <c r="H429" s="3"/>
      <c r="I429" s="3"/>
      <c r="J429" s="3"/>
      <c r="K429" s="3"/>
    </row>
    <row r="430" spans="2:11" x14ac:dyDescent="0.25">
      <c r="B430" s="2"/>
      <c r="C430" s="2"/>
      <c r="D430" s="3"/>
      <c r="E430" s="3"/>
      <c r="F430" s="3"/>
      <c r="G430" s="3"/>
      <c r="H430" s="3"/>
      <c r="I430" s="3"/>
      <c r="J430" s="3"/>
      <c r="K430" s="3"/>
    </row>
    <row r="431" spans="2:11" x14ac:dyDescent="0.25">
      <c r="B431" s="2"/>
      <c r="C431" s="2"/>
      <c r="D431" s="3"/>
      <c r="E431" s="3"/>
      <c r="F431" s="3"/>
      <c r="G431" s="3"/>
      <c r="H431" s="3"/>
      <c r="I431" s="3"/>
      <c r="J431" s="3"/>
      <c r="K431" s="3"/>
    </row>
    <row r="432" spans="2:11" x14ac:dyDescent="0.25">
      <c r="B432" s="2"/>
      <c r="C432" s="2"/>
      <c r="D432" s="3"/>
      <c r="E432" s="3"/>
      <c r="F432" s="3"/>
      <c r="G432" s="3"/>
      <c r="H432" s="3"/>
      <c r="I432" s="3"/>
      <c r="J432" s="3"/>
      <c r="K432" s="3"/>
    </row>
    <row r="433" spans="2:11" x14ac:dyDescent="0.25">
      <c r="B433" s="2"/>
      <c r="C433" s="2"/>
      <c r="D433" s="3"/>
      <c r="E433" s="3"/>
      <c r="F433" s="3"/>
      <c r="G433" s="3"/>
      <c r="H433" s="3"/>
      <c r="I433" s="3"/>
      <c r="J433" s="3"/>
      <c r="K433" s="3"/>
    </row>
    <row r="434" spans="2:11" x14ac:dyDescent="0.25">
      <c r="B434" s="2"/>
      <c r="C434" s="2"/>
      <c r="D434" s="3"/>
      <c r="E434" s="3"/>
      <c r="F434" s="3"/>
      <c r="G434" s="3"/>
      <c r="H434" s="3"/>
      <c r="I434" s="3"/>
      <c r="J434" s="3"/>
      <c r="K434" s="3"/>
    </row>
    <row r="435" spans="2:11" x14ac:dyDescent="0.25">
      <c r="B435" s="2"/>
      <c r="C435" s="2"/>
      <c r="D435" s="3"/>
      <c r="E435" s="3"/>
      <c r="F435" s="3"/>
      <c r="G435" s="3"/>
      <c r="H435" s="3"/>
      <c r="I435" s="3"/>
      <c r="J435" s="3"/>
      <c r="K435" s="3"/>
    </row>
    <row r="436" spans="2:11" x14ac:dyDescent="0.25">
      <c r="B436" s="2"/>
      <c r="C436" s="2"/>
      <c r="D436" s="3"/>
      <c r="E436" s="3"/>
      <c r="F436" s="3"/>
      <c r="G436" s="3"/>
      <c r="H436" s="3"/>
      <c r="I436" s="3"/>
      <c r="J436" s="3"/>
      <c r="K436" s="3"/>
    </row>
    <row r="437" spans="2:11" x14ac:dyDescent="0.25">
      <c r="B437" s="2"/>
      <c r="C437" s="2"/>
      <c r="D437" s="3"/>
      <c r="E437" s="3"/>
      <c r="F437" s="3"/>
      <c r="G437" s="3"/>
      <c r="H437" s="3"/>
      <c r="I437" s="3"/>
      <c r="J437" s="3"/>
      <c r="K437" s="3"/>
    </row>
    <row r="438" spans="2:11" x14ac:dyDescent="0.25">
      <c r="B438" s="2"/>
      <c r="C438" s="2"/>
      <c r="D438" s="3"/>
      <c r="E438" s="3"/>
      <c r="F438" s="3"/>
      <c r="G438" s="3"/>
      <c r="H438" s="3"/>
      <c r="I438" s="3"/>
      <c r="J438" s="3"/>
      <c r="K438" s="3"/>
    </row>
    <row r="439" spans="2:11" x14ac:dyDescent="0.25">
      <c r="B439" s="2"/>
      <c r="C439" s="2"/>
      <c r="D439" s="3"/>
      <c r="E439" s="3"/>
      <c r="F439" s="3"/>
      <c r="G439" s="3"/>
      <c r="H439" s="3"/>
      <c r="I439" s="3"/>
      <c r="J439" s="3"/>
      <c r="K439" s="3"/>
    </row>
    <row r="440" spans="2:11" x14ac:dyDescent="0.25">
      <c r="B440" s="2"/>
      <c r="C440" s="2"/>
      <c r="D440" s="3"/>
      <c r="E440" s="3"/>
      <c r="F440" s="3"/>
      <c r="G440" s="3"/>
      <c r="H440" s="3"/>
      <c r="I440" s="3"/>
      <c r="J440" s="3"/>
      <c r="K440" s="3"/>
    </row>
    <row r="441" spans="2:11" x14ac:dyDescent="0.25">
      <c r="B441" s="2"/>
      <c r="C441" s="2"/>
      <c r="D441" s="3"/>
      <c r="E441" s="3"/>
      <c r="F441" s="3"/>
      <c r="G441" s="3"/>
      <c r="H441" s="3"/>
      <c r="I441" s="3"/>
      <c r="J441" s="3"/>
      <c r="K441" s="3"/>
    </row>
    <row r="442" spans="2:11" x14ac:dyDescent="0.25">
      <c r="B442" s="2"/>
      <c r="C442" s="2"/>
      <c r="D442" s="3"/>
      <c r="E442" s="3"/>
      <c r="F442" s="3"/>
      <c r="G442" s="3"/>
      <c r="H442" s="3"/>
      <c r="I442" s="3"/>
      <c r="J442" s="3"/>
      <c r="K442" s="3"/>
    </row>
    <row r="443" spans="2:11" x14ac:dyDescent="0.25">
      <c r="B443" s="2"/>
      <c r="C443" s="2"/>
      <c r="D443" s="3"/>
      <c r="E443" s="3"/>
      <c r="F443" s="3"/>
      <c r="G443" s="3"/>
      <c r="H443" s="3"/>
      <c r="I443" s="3"/>
      <c r="J443" s="3"/>
      <c r="K443" s="3"/>
    </row>
    <row r="444" spans="2:11" x14ac:dyDescent="0.25">
      <c r="B444" s="2"/>
      <c r="C444" s="2"/>
      <c r="D444" s="3"/>
      <c r="E444" s="3"/>
      <c r="F444" s="3"/>
      <c r="G444" s="3"/>
      <c r="H444" s="3"/>
      <c r="I444" s="3"/>
      <c r="J444" s="3"/>
      <c r="K444" s="3"/>
    </row>
    <row r="445" spans="2:11" x14ac:dyDescent="0.25">
      <c r="B445" s="2"/>
      <c r="C445" s="2"/>
      <c r="D445" s="3"/>
      <c r="E445" s="3"/>
      <c r="F445" s="3"/>
      <c r="G445" s="3"/>
      <c r="H445" s="3"/>
      <c r="I445" s="3"/>
      <c r="J445" s="3"/>
      <c r="K445" s="3"/>
    </row>
    <row r="446" spans="2:11" x14ac:dyDescent="0.25">
      <c r="B446" s="2"/>
      <c r="C446" s="2"/>
      <c r="D446" s="3"/>
      <c r="E446" s="3"/>
      <c r="F446" s="3"/>
      <c r="G446" s="3"/>
      <c r="H446" s="3"/>
      <c r="I446" s="3"/>
      <c r="J446" s="3"/>
      <c r="K446" s="3"/>
    </row>
    <row r="447" spans="2:11" x14ac:dyDescent="0.25">
      <c r="B447" s="2"/>
      <c r="C447" s="2"/>
      <c r="D447" s="3"/>
      <c r="E447" s="3"/>
      <c r="F447" s="3"/>
      <c r="G447" s="3"/>
      <c r="H447" s="3"/>
      <c r="I447" s="3"/>
      <c r="J447" s="3"/>
      <c r="K447" s="3"/>
    </row>
    <row r="448" spans="2:11" x14ac:dyDescent="0.25">
      <c r="B448" s="2"/>
      <c r="C448" s="2"/>
      <c r="D448" s="3"/>
      <c r="E448" s="3"/>
      <c r="F448" s="3"/>
      <c r="G448" s="3"/>
      <c r="H448" s="3"/>
      <c r="I448" s="3"/>
      <c r="J448" s="3"/>
      <c r="K448" s="3"/>
    </row>
    <row r="449" spans="2:11" x14ac:dyDescent="0.25">
      <c r="B449" s="2"/>
      <c r="C449" s="2"/>
      <c r="D449" s="3"/>
      <c r="E449" s="3"/>
      <c r="F449" s="3"/>
      <c r="G449" s="3"/>
      <c r="H449" s="3"/>
      <c r="I449" s="3"/>
      <c r="J449" s="3"/>
      <c r="K449" s="3"/>
    </row>
    <row r="450" spans="2:11" x14ac:dyDescent="0.25">
      <c r="B450" s="2"/>
      <c r="C450" s="2"/>
      <c r="D450" s="3"/>
      <c r="E450" s="3"/>
      <c r="F450" s="3"/>
      <c r="G450" s="3"/>
      <c r="H450" s="3"/>
      <c r="I450" s="3"/>
      <c r="J450" s="3"/>
      <c r="K450" s="3"/>
    </row>
    <row r="451" spans="2:11" x14ac:dyDescent="0.25">
      <c r="B451" s="2"/>
      <c r="C451" s="2"/>
      <c r="D451" s="3"/>
      <c r="E451" s="3"/>
      <c r="F451" s="3"/>
      <c r="G451" s="3"/>
      <c r="H451" s="3"/>
      <c r="I451" s="3"/>
      <c r="J451" s="3"/>
      <c r="K451" s="3"/>
    </row>
    <row r="452" spans="2:11" x14ac:dyDescent="0.25">
      <c r="B452" s="2"/>
      <c r="C452" s="2"/>
      <c r="D452" s="3"/>
      <c r="E452" s="3"/>
      <c r="F452" s="3"/>
      <c r="G452" s="3"/>
      <c r="H452" s="3"/>
      <c r="I452" s="3"/>
    </row>
    <row r="453" spans="2:11" x14ac:dyDescent="0.25">
      <c r="B453" s="2"/>
      <c r="C453" s="2"/>
      <c r="D453" s="3"/>
      <c r="E453" s="3"/>
      <c r="F453" s="3"/>
      <c r="G453" s="3"/>
      <c r="H453" s="3"/>
      <c r="I453" s="3"/>
    </row>
    <row r="454" spans="2:11" x14ac:dyDescent="0.25">
      <c r="B454" s="2"/>
      <c r="C454" s="2"/>
      <c r="D454" s="3"/>
      <c r="E454" s="3"/>
      <c r="F454" s="3"/>
      <c r="G454" s="3"/>
      <c r="H454" s="3"/>
      <c r="I454" s="3"/>
    </row>
    <row r="455" spans="2:11" x14ac:dyDescent="0.25">
      <c r="B455" s="2"/>
      <c r="C455" s="2"/>
      <c r="D455" s="3"/>
      <c r="E455" s="3"/>
      <c r="F455" s="3"/>
      <c r="G455" s="3"/>
      <c r="H455" s="3"/>
      <c r="I455" s="3"/>
      <c r="J455" s="3"/>
      <c r="K455" s="3"/>
    </row>
    <row r="456" spans="2:11" x14ac:dyDescent="0.25">
      <c r="B456" s="2"/>
      <c r="C456" s="2"/>
      <c r="D456" s="3"/>
      <c r="E456" s="3"/>
      <c r="F456" s="3"/>
      <c r="G456" s="3"/>
      <c r="H456" s="3"/>
      <c r="I456" s="3"/>
      <c r="J456" s="3"/>
      <c r="K456" s="3"/>
    </row>
    <row r="457" spans="2:11" x14ac:dyDescent="0.25">
      <c r="B457" s="2"/>
      <c r="C457" s="2"/>
      <c r="D457" s="3"/>
      <c r="E457" s="3"/>
      <c r="F457" s="3"/>
      <c r="G457" s="3"/>
      <c r="H457" s="3"/>
      <c r="I457" s="3"/>
      <c r="J457" s="3"/>
      <c r="K457" s="3"/>
    </row>
    <row r="458" spans="2:11" x14ac:dyDescent="0.25">
      <c r="B458" s="2"/>
      <c r="C458" s="2"/>
      <c r="D458" s="3"/>
      <c r="E458" s="3"/>
      <c r="F458" s="3"/>
      <c r="G458" s="3"/>
      <c r="H458" s="3"/>
      <c r="I458" s="3"/>
      <c r="J458" s="3"/>
      <c r="K458" s="3"/>
    </row>
    <row r="459" spans="2:11" x14ac:dyDescent="0.25">
      <c r="B459" s="2"/>
      <c r="C459" s="2"/>
      <c r="D459" s="3"/>
      <c r="E459" s="3"/>
      <c r="F459" s="3"/>
      <c r="G459" s="3"/>
      <c r="H459" s="3"/>
      <c r="I459" s="3"/>
      <c r="J459" s="3"/>
      <c r="K459" s="3"/>
    </row>
    <row r="460" spans="2:11" x14ac:dyDescent="0.25">
      <c r="B460" s="2"/>
      <c r="C460" s="2"/>
      <c r="D460" s="3"/>
      <c r="E460" s="3"/>
      <c r="F460" s="3"/>
      <c r="G460" s="3"/>
      <c r="H460" s="3"/>
      <c r="I460" s="3"/>
      <c r="J460" s="3"/>
      <c r="K460" s="3"/>
    </row>
    <row r="461" spans="2:11" x14ac:dyDescent="0.25">
      <c r="B461" s="2"/>
      <c r="C461" s="2"/>
      <c r="D461" s="3"/>
      <c r="E461" s="3"/>
    </row>
    <row r="462" spans="2:11" x14ac:dyDescent="0.25">
      <c r="B462" s="2"/>
      <c r="C462" s="2"/>
      <c r="D462" s="3"/>
      <c r="E462" s="3"/>
    </row>
    <row r="463" spans="2:11" x14ac:dyDescent="0.25">
      <c r="B463" s="2"/>
      <c r="C463" s="2"/>
      <c r="D463" s="3"/>
      <c r="E463" s="3"/>
    </row>
    <row r="464" spans="2:11" x14ac:dyDescent="0.25">
      <c r="B464" s="2"/>
      <c r="C464" s="2"/>
      <c r="D464" s="3"/>
      <c r="E464" s="3"/>
    </row>
    <row r="465" spans="2:11" x14ac:dyDescent="0.25">
      <c r="B465" s="2"/>
      <c r="C465" s="2"/>
      <c r="D465" s="3"/>
      <c r="E465" s="3"/>
    </row>
    <row r="466" spans="2:11" x14ac:dyDescent="0.25">
      <c r="B466" s="2"/>
      <c r="C466" s="2"/>
      <c r="D466" s="3"/>
      <c r="E466" s="3"/>
    </row>
    <row r="467" spans="2:11" x14ac:dyDescent="0.25">
      <c r="B467" s="2"/>
      <c r="C467" s="2"/>
      <c r="D467" s="3"/>
      <c r="E467" s="3"/>
    </row>
    <row r="468" spans="2:11" x14ac:dyDescent="0.25">
      <c r="B468" s="2"/>
      <c r="C468" s="2"/>
      <c r="D468" s="3"/>
      <c r="E468" s="3"/>
    </row>
    <row r="469" spans="2:11" x14ac:dyDescent="0.25">
      <c r="B469" s="2"/>
      <c r="C469" s="2"/>
      <c r="D469" s="3"/>
      <c r="E469" s="3"/>
      <c r="F469" s="3"/>
      <c r="G469" s="3"/>
      <c r="H469" s="3"/>
      <c r="I469" s="3"/>
      <c r="J469" s="3"/>
      <c r="K469" s="3"/>
    </row>
    <row r="470" spans="2:11" x14ac:dyDescent="0.25">
      <c r="B470" s="2"/>
      <c r="C470" s="2"/>
      <c r="D470" s="3"/>
      <c r="E470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E2E9-0090-7F4C-A6BA-1F6316323BAD}">
  <sheetPr codeName="Sheet16"/>
  <dimension ref="A1:K460"/>
  <sheetViews>
    <sheetView workbookViewId="0">
      <selection activeCell="D220" sqref="D220"/>
    </sheetView>
  </sheetViews>
  <sheetFormatPr defaultColWidth="11" defaultRowHeight="15.75" x14ac:dyDescent="0.25"/>
  <cols>
    <col min="3" max="3" width="60.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14003</v>
      </c>
      <c r="C3" s="10" t="str" cm="1">
        <f t="array" ref="C3">INDEX($B$11:$K$208, $A$3, C1)</f>
        <v>ALCOHOLIC BEV,BEER,REG,ALL</v>
      </c>
      <c r="D3" s="10" cm="1">
        <f t="array" ref="D3">INDEX($B$11:$K$74, $A$3, D1)</f>
        <v>0.46</v>
      </c>
      <c r="E3" s="10" cm="1">
        <f t="array" ref="E3">INDEX($B$11:$K$74, $A$3, E1)</f>
        <v>3.55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4</v>
      </c>
      <c r="I3" s="10" cm="1">
        <f t="array" ref="I3">INDEX($B$11:$K$74, $A$3, I1)</f>
        <v>0</v>
      </c>
      <c r="J3" s="10" cm="1">
        <f t="array" ref="J3">INDEX($B$11:$K$74, $A$3, J1)</f>
        <v>0</v>
      </c>
      <c r="K3" s="10" cm="1">
        <f t="array" ref="K3">INDEX($B$11:$K$74, $A$3, K1)</f>
        <v>0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7.1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0</v>
      </c>
      <c r="K6" s="10">
        <f>A7*K3</f>
        <v>0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 t="e">
        <f t="shared" si="1"/>
        <v>#DIV/0!</v>
      </c>
      <c r="J7" s="10" t="e">
        <f t="shared" si="1"/>
        <v>#DIV/0!</v>
      </c>
      <c r="K7" s="10" t="e">
        <f>K4/K3</f>
        <v>#DIV/0!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4689</v>
      </c>
      <c r="C11" s="2" t="s">
        <v>4690</v>
      </c>
      <c r="D11" s="3">
        <v>0.46</v>
      </c>
      <c r="E11" s="3">
        <v>3.55</v>
      </c>
      <c r="F11" s="3">
        <v>0</v>
      </c>
      <c r="G11" s="3">
        <v>0</v>
      </c>
      <c r="H11" s="3">
        <v>4</v>
      </c>
      <c r="I11" s="3">
        <v>0</v>
      </c>
      <c r="J11" s="3">
        <v>0</v>
      </c>
      <c r="K11" s="3">
        <v>0</v>
      </c>
    </row>
    <row r="12" spans="1:11" x14ac:dyDescent="0.25">
      <c r="B12" s="2" t="s">
        <v>4691</v>
      </c>
      <c r="C12" s="2" t="s">
        <v>4692</v>
      </c>
      <c r="D12" s="3">
        <v>0.36</v>
      </c>
      <c r="E12" s="3">
        <v>2.97</v>
      </c>
      <c r="F12" s="3">
        <v>0</v>
      </c>
      <c r="H12" s="3">
        <v>3</v>
      </c>
    </row>
    <row r="13" spans="1:11" x14ac:dyDescent="0.25">
      <c r="B13" s="2" t="s">
        <v>4693</v>
      </c>
      <c r="C13" s="2" t="s">
        <v>4694</v>
      </c>
      <c r="D13" s="3">
        <v>0.2</v>
      </c>
      <c r="E13" s="3">
        <v>0.87</v>
      </c>
      <c r="F13" s="3">
        <v>0</v>
      </c>
      <c r="H13" s="3">
        <v>3</v>
      </c>
    </row>
    <row r="14" spans="1:11" x14ac:dyDescent="0.25">
      <c r="B14" s="2" t="s">
        <v>4695</v>
      </c>
      <c r="C14" s="2" t="s">
        <v>4696</v>
      </c>
      <c r="D14" s="3">
        <v>0.24</v>
      </c>
      <c r="E14" s="3">
        <v>1.64</v>
      </c>
      <c r="F14" s="3">
        <v>0</v>
      </c>
      <c r="G14" s="3">
        <v>0.09</v>
      </c>
      <c r="H14" s="3">
        <v>4</v>
      </c>
      <c r="I14" s="3">
        <v>0</v>
      </c>
      <c r="J14" s="3">
        <v>0</v>
      </c>
      <c r="K14" s="3">
        <v>0</v>
      </c>
    </row>
    <row r="15" spans="1:11" x14ac:dyDescent="0.25">
      <c r="B15" s="2" t="s">
        <v>4697</v>
      </c>
      <c r="C15" s="2" t="s">
        <v>4698</v>
      </c>
      <c r="D15" s="3">
        <v>0.25</v>
      </c>
      <c r="E15" s="3">
        <v>1.3</v>
      </c>
      <c r="F15" s="3">
        <v>0</v>
      </c>
      <c r="H15" s="3">
        <v>3</v>
      </c>
    </row>
    <row r="16" spans="1:11" x14ac:dyDescent="0.25">
      <c r="B16" s="2" t="s">
        <v>4699</v>
      </c>
      <c r="C16" s="2" t="s">
        <v>4700</v>
      </c>
      <c r="D16" s="3">
        <v>0</v>
      </c>
      <c r="E16" s="3">
        <v>15.7</v>
      </c>
      <c r="F16" s="3">
        <v>0</v>
      </c>
      <c r="H16" s="3">
        <v>40</v>
      </c>
      <c r="I16" s="3">
        <v>0</v>
      </c>
    </row>
    <row r="17" spans="2:11" x14ac:dyDescent="0.25">
      <c r="B17" s="2" t="s">
        <v>4701</v>
      </c>
      <c r="C17" s="2" t="s">
        <v>4702</v>
      </c>
      <c r="D17" s="3">
        <v>0.06</v>
      </c>
      <c r="E17" s="3">
        <v>6.94</v>
      </c>
      <c r="F17" s="3">
        <v>0.1</v>
      </c>
      <c r="G17" s="3">
        <v>5.58</v>
      </c>
      <c r="H17" s="3">
        <v>5</v>
      </c>
      <c r="I17" s="3">
        <v>6.0000000000000001E-3</v>
      </c>
      <c r="J17" s="3">
        <v>6.0000000000000001E-3</v>
      </c>
      <c r="K17" s="3">
        <v>1.6E-2</v>
      </c>
    </row>
    <row r="18" spans="2:11" x14ac:dyDescent="0.25">
      <c r="B18" s="2" t="s">
        <v>4703</v>
      </c>
      <c r="C18" s="2" t="s">
        <v>4704</v>
      </c>
      <c r="D18" s="3">
        <v>0.17</v>
      </c>
      <c r="E18" s="3">
        <v>0.73</v>
      </c>
      <c r="F18" s="3">
        <v>0</v>
      </c>
      <c r="G18" s="3">
        <v>0</v>
      </c>
      <c r="H18" s="3">
        <v>3</v>
      </c>
      <c r="I18" s="3">
        <v>0</v>
      </c>
      <c r="J18" s="3">
        <v>0</v>
      </c>
      <c r="K18" s="3">
        <v>0</v>
      </c>
    </row>
    <row r="19" spans="2:11" x14ac:dyDescent="0.25">
      <c r="B19" s="2" t="s">
        <v>4705</v>
      </c>
      <c r="C19" s="2" t="s">
        <v>4706</v>
      </c>
      <c r="D19" s="3">
        <v>0.6</v>
      </c>
      <c r="E19" s="3">
        <v>27.6</v>
      </c>
      <c r="F19" s="3">
        <v>0.1</v>
      </c>
      <c r="H19" s="3">
        <v>71</v>
      </c>
      <c r="I19" s="3">
        <v>6.5709999999999997</v>
      </c>
      <c r="J19" s="3">
        <v>0.442</v>
      </c>
      <c r="K19" s="3">
        <v>0.13700000000000001</v>
      </c>
    </row>
    <row r="20" spans="2:11" x14ac:dyDescent="0.25">
      <c r="B20" s="2" t="s">
        <v>4707</v>
      </c>
      <c r="C20" s="2" t="s">
        <v>4708</v>
      </c>
      <c r="D20" s="3">
        <v>0.42</v>
      </c>
      <c r="E20" s="3">
        <v>6.59</v>
      </c>
      <c r="F20" s="3">
        <v>0.4</v>
      </c>
      <c r="G20" s="3">
        <v>6.25</v>
      </c>
      <c r="H20" s="3">
        <v>63</v>
      </c>
      <c r="I20" s="3">
        <v>0</v>
      </c>
      <c r="J20" s="3">
        <v>0.625</v>
      </c>
      <c r="K20" s="3">
        <v>0.20799999999999999</v>
      </c>
    </row>
    <row r="21" spans="2:11" x14ac:dyDescent="0.25">
      <c r="B21" s="2" t="s">
        <v>4709</v>
      </c>
      <c r="C21" s="2" t="s">
        <v>4710</v>
      </c>
      <c r="D21" s="3">
        <v>0.42</v>
      </c>
      <c r="E21" s="3">
        <v>22.66</v>
      </c>
      <c r="F21" s="3">
        <v>0.3</v>
      </c>
      <c r="G21" s="3">
        <v>22.33</v>
      </c>
      <c r="H21" s="3">
        <v>6</v>
      </c>
      <c r="I21" s="3">
        <v>1.6359999999999999</v>
      </c>
      <c r="J21" s="3">
        <v>8.2000000000000003E-2</v>
      </c>
      <c r="K21" s="3">
        <v>3.3000000000000002E-2</v>
      </c>
    </row>
    <row r="22" spans="2:11" x14ac:dyDescent="0.25">
      <c r="B22" s="2" t="s">
        <v>4711</v>
      </c>
      <c r="C22" s="2" t="s">
        <v>4712</v>
      </c>
      <c r="D22" s="3">
        <v>0.3</v>
      </c>
      <c r="E22" s="3">
        <v>11.3</v>
      </c>
      <c r="F22" s="3">
        <v>0</v>
      </c>
      <c r="H22" s="3">
        <v>57</v>
      </c>
    </row>
    <row r="23" spans="2:11" x14ac:dyDescent="0.25">
      <c r="B23" s="2" t="s">
        <v>4713</v>
      </c>
      <c r="C23" s="2" t="s">
        <v>4714</v>
      </c>
      <c r="D23" s="3">
        <v>0</v>
      </c>
      <c r="E23" s="3">
        <v>11.27</v>
      </c>
      <c r="F23" s="3">
        <v>0</v>
      </c>
      <c r="G23" s="3">
        <v>10.42</v>
      </c>
      <c r="H23" s="3">
        <v>10</v>
      </c>
      <c r="I23" s="3">
        <v>0</v>
      </c>
      <c r="J23" s="3">
        <v>0</v>
      </c>
      <c r="K23" s="3">
        <v>0</v>
      </c>
    </row>
    <row r="24" spans="2:11" x14ac:dyDescent="0.25">
      <c r="B24" s="2" t="s">
        <v>4715</v>
      </c>
      <c r="C24" s="2" t="s">
        <v>4716</v>
      </c>
      <c r="D24" s="3">
        <v>0</v>
      </c>
      <c r="E24" s="3">
        <v>1.38</v>
      </c>
      <c r="F24" s="3">
        <v>0</v>
      </c>
      <c r="G24" s="3">
        <v>1.38</v>
      </c>
      <c r="H24" s="3">
        <v>75</v>
      </c>
      <c r="I24" s="3">
        <v>0</v>
      </c>
      <c r="J24" s="3">
        <v>0</v>
      </c>
      <c r="K24" s="3">
        <v>0</v>
      </c>
    </row>
    <row r="25" spans="2:11" x14ac:dyDescent="0.25">
      <c r="B25" s="2" t="s">
        <v>4717</v>
      </c>
      <c r="C25" s="2" t="s">
        <v>4718</v>
      </c>
      <c r="D25" s="3">
        <v>0.6</v>
      </c>
      <c r="E25" s="3">
        <v>97.3</v>
      </c>
      <c r="F25" s="3">
        <v>0</v>
      </c>
      <c r="G25" s="3">
        <v>97.3</v>
      </c>
      <c r="H25" s="3">
        <v>274</v>
      </c>
      <c r="I25" s="3">
        <v>1.9E-2</v>
      </c>
      <c r="J25" s="3">
        <v>6.0000000000000001E-3</v>
      </c>
      <c r="K25" s="3">
        <v>3.6999999999999998E-2</v>
      </c>
    </row>
    <row r="26" spans="2:11" x14ac:dyDescent="0.25">
      <c r="B26" s="2" t="s">
        <v>4719</v>
      </c>
      <c r="C26" s="2" t="s">
        <v>4720</v>
      </c>
      <c r="D26" s="3">
        <v>0.1</v>
      </c>
      <c r="E26" s="3">
        <v>15.85</v>
      </c>
      <c r="F26" s="3">
        <v>0</v>
      </c>
      <c r="G26" s="3">
        <v>15.81</v>
      </c>
      <c r="H26" s="3">
        <v>47</v>
      </c>
      <c r="I26" s="3">
        <v>3.0000000000000001E-3</v>
      </c>
      <c r="J26" s="3">
        <v>1E-3</v>
      </c>
      <c r="K26" s="3">
        <v>6.0000000000000001E-3</v>
      </c>
    </row>
    <row r="27" spans="2:11" x14ac:dyDescent="0.25">
      <c r="B27" s="2" t="s">
        <v>4721</v>
      </c>
      <c r="C27" s="2" t="s">
        <v>4722</v>
      </c>
      <c r="D27" s="3">
        <v>0</v>
      </c>
      <c r="E27" s="3">
        <v>1.03</v>
      </c>
      <c r="F27" s="3">
        <v>0</v>
      </c>
      <c r="G27" s="3">
        <v>0</v>
      </c>
      <c r="H27" s="3">
        <v>85</v>
      </c>
      <c r="I27" s="3">
        <v>0</v>
      </c>
      <c r="J27" s="3">
        <v>0</v>
      </c>
      <c r="K27" s="3">
        <v>0</v>
      </c>
    </row>
    <row r="28" spans="2:11" x14ac:dyDescent="0.25">
      <c r="B28" s="2" t="s">
        <v>4723</v>
      </c>
      <c r="C28" s="2" t="s">
        <v>4724</v>
      </c>
      <c r="D28" s="3">
        <v>0</v>
      </c>
      <c r="E28" s="3">
        <v>13.4</v>
      </c>
      <c r="F28" s="3">
        <v>0.1</v>
      </c>
      <c r="H28" s="3">
        <v>44</v>
      </c>
    </row>
    <row r="29" spans="2:11" x14ac:dyDescent="0.25">
      <c r="B29" s="2" t="s">
        <v>4725</v>
      </c>
      <c r="C29" s="2" t="s">
        <v>4726</v>
      </c>
      <c r="D29" s="3">
        <v>0.1</v>
      </c>
      <c r="E29" s="3">
        <v>21.4</v>
      </c>
      <c r="F29" s="3">
        <v>0</v>
      </c>
      <c r="G29" s="3">
        <v>21.4</v>
      </c>
      <c r="H29" s="3">
        <v>102</v>
      </c>
      <c r="I29" s="3">
        <v>8.0000000000000002E-3</v>
      </c>
      <c r="J29" s="3">
        <v>2E-3</v>
      </c>
      <c r="K29" s="3">
        <v>0.02</v>
      </c>
    </row>
    <row r="30" spans="2:11" x14ac:dyDescent="0.25">
      <c r="B30" s="2" t="s">
        <v>4727</v>
      </c>
      <c r="C30" s="2" t="s">
        <v>4728</v>
      </c>
      <c r="D30" s="3">
        <v>0.06</v>
      </c>
      <c r="E30" s="3">
        <v>12.82</v>
      </c>
      <c r="F30" s="3">
        <v>0</v>
      </c>
      <c r="G30" s="3">
        <v>12.78</v>
      </c>
      <c r="H30" s="3">
        <v>61</v>
      </c>
      <c r="I30" s="3">
        <v>5.0000000000000001E-3</v>
      </c>
      <c r="J30" s="3">
        <v>1E-3</v>
      </c>
      <c r="K30" s="3">
        <v>1.0999999999999999E-2</v>
      </c>
    </row>
    <row r="31" spans="2:11" x14ac:dyDescent="0.25">
      <c r="B31" s="2" t="s">
        <v>4729</v>
      </c>
      <c r="C31" s="2" t="s">
        <v>4730</v>
      </c>
      <c r="D31" s="3">
        <v>0</v>
      </c>
      <c r="E31" s="3">
        <v>11.25</v>
      </c>
      <c r="F31" s="3">
        <v>0</v>
      </c>
      <c r="G31" s="3">
        <v>11.25</v>
      </c>
      <c r="H31" s="3">
        <v>85</v>
      </c>
      <c r="I31" s="3">
        <v>0</v>
      </c>
      <c r="J31" s="3">
        <v>0</v>
      </c>
      <c r="K31" s="3">
        <v>0</v>
      </c>
    </row>
    <row r="32" spans="2:11" x14ac:dyDescent="0.25">
      <c r="B32" s="2" t="s">
        <v>4731</v>
      </c>
      <c r="C32" s="2" t="s">
        <v>4732</v>
      </c>
      <c r="D32" s="3">
        <v>0</v>
      </c>
      <c r="E32" s="3">
        <v>1.25</v>
      </c>
      <c r="F32" s="3">
        <v>0</v>
      </c>
      <c r="G32" s="3">
        <v>0</v>
      </c>
      <c r="H32" s="3">
        <v>10</v>
      </c>
      <c r="I32" s="3">
        <v>0</v>
      </c>
      <c r="J32" s="3">
        <v>0</v>
      </c>
      <c r="K32" s="3">
        <v>0</v>
      </c>
    </row>
    <row r="33" spans="2:11" x14ac:dyDescent="0.25">
      <c r="B33" s="2" t="s">
        <v>4733</v>
      </c>
      <c r="C33" s="2" t="s">
        <v>4734</v>
      </c>
      <c r="D33" s="3">
        <v>66.67</v>
      </c>
      <c r="E33" s="3">
        <v>17.95</v>
      </c>
      <c r="F33" s="3">
        <v>0</v>
      </c>
      <c r="G33" s="3">
        <v>5.13</v>
      </c>
      <c r="H33" s="3">
        <v>385</v>
      </c>
      <c r="I33" s="3">
        <v>2.5640000000000001</v>
      </c>
      <c r="J33" s="3">
        <v>0.28100000000000003</v>
      </c>
      <c r="K33" s="3">
        <v>0.92600000000000005</v>
      </c>
    </row>
    <row r="34" spans="2:11" x14ac:dyDescent="0.25">
      <c r="B34" s="2" t="s">
        <v>4735</v>
      </c>
      <c r="C34" s="2" t="s">
        <v>4736</v>
      </c>
      <c r="D34" s="3">
        <v>0</v>
      </c>
      <c r="E34" s="3">
        <v>41.6</v>
      </c>
      <c r="F34" s="3">
        <v>0</v>
      </c>
      <c r="G34" s="3">
        <v>41.6</v>
      </c>
      <c r="H34" s="3">
        <v>5</v>
      </c>
      <c r="I34" s="3">
        <v>1.4E-2</v>
      </c>
      <c r="J34" s="3">
        <v>1.4999999999999999E-2</v>
      </c>
      <c r="K34" s="3">
        <v>0.16700000000000001</v>
      </c>
    </row>
    <row r="35" spans="2:11" x14ac:dyDescent="0.25">
      <c r="B35" s="2" t="s">
        <v>4737</v>
      </c>
      <c r="C35" s="2" t="s">
        <v>4738</v>
      </c>
      <c r="D35" s="3">
        <v>47.62</v>
      </c>
      <c r="E35" s="3">
        <v>43.94</v>
      </c>
      <c r="F35" s="3">
        <v>0</v>
      </c>
      <c r="G35" s="3">
        <v>40.479999999999997</v>
      </c>
      <c r="H35" s="3">
        <v>452</v>
      </c>
      <c r="I35" s="3">
        <v>0</v>
      </c>
      <c r="J35" s="3">
        <v>0.64400000000000002</v>
      </c>
      <c r="K35" s="3">
        <v>1.956</v>
      </c>
    </row>
    <row r="36" spans="2:11" x14ac:dyDescent="0.25">
      <c r="B36" s="2" t="s">
        <v>4739</v>
      </c>
      <c r="C36" s="2" t="s">
        <v>4740</v>
      </c>
      <c r="D36" s="3">
        <v>5.87</v>
      </c>
      <c r="E36" s="3">
        <v>2.06</v>
      </c>
      <c r="F36" s="3">
        <v>0.2</v>
      </c>
      <c r="G36" s="3">
        <v>0.78</v>
      </c>
      <c r="H36" s="3">
        <v>95</v>
      </c>
      <c r="I36" s="3">
        <v>0.221</v>
      </c>
      <c r="J36" s="3">
        <v>0.88400000000000001</v>
      </c>
      <c r="K36" s="3">
        <v>0.221</v>
      </c>
    </row>
    <row r="37" spans="2:11" x14ac:dyDescent="0.25">
      <c r="B37" s="2" t="s">
        <v>4741</v>
      </c>
      <c r="C37" s="2" t="s">
        <v>4742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  <c r="J37" s="3">
        <v>0</v>
      </c>
      <c r="K37" s="3">
        <v>0</v>
      </c>
    </row>
    <row r="38" spans="2:11" x14ac:dyDescent="0.25">
      <c r="B38" s="2" t="s">
        <v>4743</v>
      </c>
      <c r="C38" s="2" t="s">
        <v>4744</v>
      </c>
      <c r="D38" s="3">
        <v>0</v>
      </c>
      <c r="E38" s="3">
        <v>3.75</v>
      </c>
      <c r="F38" s="3">
        <v>0</v>
      </c>
      <c r="G38" s="3">
        <v>3.75</v>
      </c>
      <c r="H38" s="3">
        <v>21</v>
      </c>
      <c r="I38" s="3">
        <v>0</v>
      </c>
      <c r="J38" s="3">
        <v>0</v>
      </c>
      <c r="K38" s="3">
        <v>0</v>
      </c>
    </row>
    <row r="39" spans="2:11" x14ac:dyDescent="0.25">
      <c r="B39" s="2" t="s">
        <v>4745</v>
      </c>
      <c r="C39" s="2" t="s">
        <v>4746</v>
      </c>
      <c r="D39" s="3">
        <v>5.38</v>
      </c>
      <c r="E39" s="3">
        <v>17.29</v>
      </c>
      <c r="F39" s="3">
        <v>1.2</v>
      </c>
      <c r="G39" s="3">
        <v>8.4600000000000009</v>
      </c>
      <c r="H39" s="3">
        <v>77</v>
      </c>
      <c r="I39" s="3">
        <v>0.42</v>
      </c>
      <c r="J39" s="3">
        <v>2.5510000000000002</v>
      </c>
      <c r="K39" s="3">
        <v>0.122</v>
      </c>
    </row>
    <row r="40" spans="2:11" x14ac:dyDescent="0.25">
      <c r="B40" s="2" t="s">
        <v>4747</v>
      </c>
      <c r="C40" s="2" t="s">
        <v>4748</v>
      </c>
      <c r="D40" s="3">
        <v>6.59</v>
      </c>
      <c r="E40" s="3">
        <v>0.85</v>
      </c>
      <c r="F40" s="3">
        <v>0.4</v>
      </c>
      <c r="G40" s="3">
        <v>0.6</v>
      </c>
      <c r="H40" s="3">
        <v>72</v>
      </c>
      <c r="I40" s="3">
        <v>0.45</v>
      </c>
      <c r="J40" s="3">
        <v>2.1</v>
      </c>
      <c r="K40" s="3">
        <v>0.28999999999999998</v>
      </c>
    </row>
    <row r="41" spans="2:11" x14ac:dyDescent="0.25">
      <c r="B41" s="2" t="s">
        <v>4749</v>
      </c>
      <c r="C41" s="2" t="s">
        <v>4750</v>
      </c>
      <c r="D41" s="3">
        <v>3.32</v>
      </c>
      <c r="E41" s="3">
        <v>7.74</v>
      </c>
      <c r="F41" s="3">
        <v>1.6</v>
      </c>
      <c r="G41" s="3">
        <v>5.95</v>
      </c>
      <c r="H41" s="3">
        <v>68</v>
      </c>
      <c r="I41" s="3">
        <v>0.54</v>
      </c>
      <c r="J41" s="3">
        <v>0.97</v>
      </c>
      <c r="K41" s="3">
        <v>0.32</v>
      </c>
    </row>
    <row r="42" spans="2:11" x14ac:dyDescent="0.25">
      <c r="B42" s="2" t="s">
        <v>4751</v>
      </c>
      <c r="C42" s="2" t="s">
        <v>4752</v>
      </c>
      <c r="D42" s="3">
        <v>8.1300000000000008</v>
      </c>
      <c r="E42" s="3">
        <v>73.92</v>
      </c>
      <c r="F42" s="3">
        <v>18.100000000000001</v>
      </c>
      <c r="G42" s="3">
        <v>38.020000000000003</v>
      </c>
      <c r="H42" s="3">
        <v>472</v>
      </c>
      <c r="I42" s="3">
        <v>1.45</v>
      </c>
      <c r="J42" s="3">
        <v>10.51</v>
      </c>
      <c r="K42" s="3">
        <v>1.19</v>
      </c>
    </row>
    <row r="43" spans="2:11" x14ac:dyDescent="0.25">
      <c r="B43" s="2" t="s">
        <v>4753</v>
      </c>
      <c r="C43" s="2" t="s">
        <v>4754</v>
      </c>
      <c r="D43" s="3">
        <v>0.68</v>
      </c>
      <c r="E43" s="3">
        <v>9.1999999999999993</v>
      </c>
      <c r="F43" s="3">
        <v>0.2</v>
      </c>
      <c r="G43" s="3">
        <v>9</v>
      </c>
      <c r="H43" s="3">
        <v>10</v>
      </c>
      <c r="I43" s="3">
        <v>7.0000000000000001E-3</v>
      </c>
      <c r="J43" s="3">
        <v>1.0999999999999999E-2</v>
      </c>
      <c r="K43" s="3">
        <v>1.2E-2</v>
      </c>
    </row>
    <row r="44" spans="2:11" x14ac:dyDescent="0.25">
      <c r="B44" s="2" t="s">
        <v>4755</v>
      </c>
      <c r="C44" s="2" t="s">
        <v>4756</v>
      </c>
      <c r="D44" s="3">
        <v>0</v>
      </c>
      <c r="E44" s="3">
        <v>0</v>
      </c>
      <c r="F44" s="3">
        <v>0</v>
      </c>
      <c r="G44" s="3">
        <v>0</v>
      </c>
      <c r="H44" s="3">
        <v>2</v>
      </c>
      <c r="I44" s="3">
        <v>0</v>
      </c>
      <c r="J44" s="3">
        <v>0</v>
      </c>
      <c r="K44" s="3">
        <v>0</v>
      </c>
    </row>
    <row r="45" spans="2:11" x14ac:dyDescent="0.25">
      <c r="B45" s="2" t="s">
        <v>4757</v>
      </c>
      <c r="C45" s="2" t="s">
        <v>4758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0</v>
      </c>
      <c r="J45" s="3">
        <v>0</v>
      </c>
      <c r="K45" s="3">
        <v>0</v>
      </c>
    </row>
    <row r="46" spans="2:11" x14ac:dyDescent="0.25">
      <c r="B46" s="2" t="s">
        <v>4759</v>
      </c>
      <c r="C46" s="2" t="s">
        <v>4760</v>
      </c>
      <c r="D46" s="3">
        <v>0</v>
      </c>
      <c r="E46" s="3">
        <v>0</v>
      </c>
      <c r="F46" s="3">
        <v>0</v>
      </c>
      <c r="G46" s="3">
        <v>0</v>
      </c>
      <c r="H46" s="3">
        <v>1</v>
      </c>
      <c r="I46" s="3">
        <v>0</v>
      </c>
      <c r="J46" s="3">
        <v>0</v>
      </c>
      <c r="K46" s="3">
        <v>0</v>
      </c>
    </row>
    <row r="47" spans="2:11" x14ac:dyDescent="0.25">
      <c r="B47" s="2" t="s">
        <v>4761</v>
      </c>
      <c r="C47" s="2" t="s">
        <v>4762</v>
      </c>
      <c r="D47" s="3">
        <v>0</v>
      </c>
      <c r="E47" s="3">
        <v>0.1</v>
      </c>
      <c r="F47" s="3">
        <v>0</v>
      </c>
      <c r="G47" s="3">
        <v>0.1</v>
      </c>
      <c r="H47" s="3">
        <v>0</v>
      </c>
      <c r="I47" s="3">
        <v>0</v>
      </c>
      <c r="J47" s="3">
        <v>0</v>
      </c>
      <c r="K47" s="3">
        <v>0</v>
      </c>
    </row>
    <row r="48" spans="2:11" x14ac:dyDescent="0.25">
      <c r="B48" s="2" t="s">
        <v>4763</v>
      </c>
      <c r="C48" s="2" t="s">
        <v>4764</v>
      </c>
      <c r="D48" s="3">
        <v>0.63</v>
      </c>
      <c r="E48" s="3">
        <v>9.3800000000000008</v>
      </c>
      <c r="F48" s="3">
        <v>0.4</v>
      </c>
      <c r="G48" s="3">
        <v>8.75</v>
      </c>
      <c r="H48" s="3">
        <v>71</v>
      </c>
      <c r="I48" s="3">
        <v>0</v>
      </c>
      <c r="J48" s="3">
        <v>0.625</v>
      </c>
      <c r="K48" s="3">
        <v>0.20799999999999999</v>
      </c>
    </row>
    <row r="49" spans="2:11" x14ac:dyDescent="0.25">
      <c r="B49" s="2" t="s">
        <v>4765</v>
      </c>
      <c r="C49" s="2" t="s">
        <v>4766</v>
      </c>
      <c r="D49" s="3">
        <v>27.87</v>
      </c>
      <c r="E49" s="3">
        <v>50</v>
      </c>
      <c r="F49" s="3">
        <v>18.2</v>
      </c>
      <c r="G49" s="3">
        <v>20.59</v>
      </c>
      <c r="H49" s="3">
        <v>495</v>
      </c>
      <c r="I49" s="3">
        <v>1.36</v>
      </c>
      <c r="J49" s="3">
        <v>9.11</v>
      </c>
      <c r="K49" s="3">
        <v>1.07</v>
      </c>
    </row>
    <row r="50" spans="2:11" x14ac:dyDescent="0.25">
      <c r="B50" s="2" t="s">
        <v>4767</v>
      </c>
      <c r="C50" s="2" t="s">
        <v>4768</v>
      </c>
      <c r="D50" s="3">
        <v>0.83</v>
      </c>
      <c r="E50" s="3">
        <v>12.83</v>
      </c>
      <c r="F50" s="3">
        <v>1.2</v>
      </c>
      <c r="G50" s="3">
        <v>11.1</v>
      </c>
      <c r="H50" s="3">
        <v>13</v>
      </c>
      <c r="I50" s="3">
        <v>0</v>
      </c>
      <c r="J50" s="3">
        <v>0</v>
      </c>
      <c r="K50" s="3">
        <v>0</v>
      </c>
    </row>
    <row r="51" spans="2:11" x14ac:dyDescent="0.25">
      <c r="B51" s="2" t="s">
        <v>4769</v>
      </c>
      <c r="C51" s="2" t="s">
        <v>4770</v>
      </c>
      <c r="D51" s="3">
        <v>0.2</v>
      </c>
      <c r="E51" s="3">
        <v>13.69</v>
      </c>
      <c r="F51" s="3">
        <v>0</v>
      </c>
      <c r="G51" s="3">
        <v>7.78</v>
      </c>
      <c r="H51" s="3">
        <v>9</v>
      </c>
      <c r="I51" s="3">
        <v>0</v>
      </c>
      <c r="J51" s="3">
        <v>0</v>
      </c>
      <c r="K51" s="3">
        <v>0</v>
      </c>
    </row>
    <row r="52" spans="2:11" x14ac:dyDescent="0.25">
      <c r="B52" s="2" t="s">
        <v>4771</v>
      </c>
      <c r="C52" s="2" t="s">
        <v>4772</v>
      </c>
      <c r="D52" s="3">
        <v>58.14</v>
      </c>
      <c r="E52" s="3">
        <v>29.07</v>
      </c>
      <c r="F52" s="3">
        <v>0</v>
      </c>
      <c r="G52" s="3">
        <v>1.1599999999999999</v>
      </c>
      <c r="H52" s="3">
        <v>372</v>
      </c>
      <c r="I52" s="3">
        <v>0.58099999999999996</v>
      </c>
      <c r="J52" s="3">
        <v>0.14899999999999999</v>
      </c>
      <c r="K52" s="3">
        <v>2.1000000000000001E-2</v>
      </c>
    </row>
    <row r="53" spans="2:11" x14ac:dyDescent="0.25">
      <c r="B53" s="2" t="s">
        <v>4773</v>
      </c>
      <c r="C53" s="2" t="s">
        <v>4774</v>
      </c>
      <c r="D53" s="3">
        <v>3.2</v>
      </c>
      <c r="E53" s="3">
        <v>9.1999999999999993</v>
      </c>
      <c r="F53" s="3">
        <v>1.7</v>
      </c>
      <c r="G53" s="3">
        <v>5.95</v>
      </c>
      <c r="H53" s="3">
        <v>73</v>
      </c>
      <c r="I53" s="3">
        <v>0.20799999999999999</v>
      </c>
      <c r="J53" s="3">
        <v>0.83399999999999996</v>
      </c>
      <c r="K53" s="3">
        <v>0.52100000000000002</v>
      </c>
    </row>
    <row r="54" spans="2:11" x14ac:dyDescent="0.25">
      <c r="B54" s="2" t="s">
        <v>4775</v>
      </c>
      <c r="C54" s="2" t="s">
        <v>4776</v>
      </c>
      <c r="D54" s="3">
        <v>0.42</v>
      </c>
      <c r="E54" s="3">
        <v>15</v>
      </c>
      <c r="F54" s="3">
        <v>0</v>
      </c>
      <c r="G54" s="3">
        <v>13.75</v>
      </c>
      <c r="H54" s="3">
        <v>48</v>
      </c>
      <c r="I54" s="3">
        <v>0</v>
      </c>
      <c r="J54" s="3">
        <v>0</v>
      </c>
      <c r="K54" s="3">
        <v>0</v>
      </c>
    </row>
    <row r="55" spans="2:11" x14ac:dyDescent="0.25">
      <c r="B55" s="2" t="s">
        <v>4777</v>
      </c>
      <c r="C55" s="2" t="s">
        <v>4778</v>
      </c>
      <c r="D55" s="3">
        <v>0.42</v>
      </c>
      <c r="E55" s="3">
        <v>0.42</v>
      </c>
      <c r="F55" s="3">
        <v>0</v>
      </c>
      <c r="G55" s="3">
        <v>0</v>
      </c>
      <c r="H55" s="3">
        <v>42</v>
      </c>
      <c r="I55" s="3">
        <v>0</v>
      </c>
      <c r="J55" s="3">
        <v>0</v>
      </c>
      <c r="K55" s="3">
        <v>0</v>
      </c>
    </row>
    <row r="56" spans="2:11" x14ac:dyDescent="0.25">
      <c r="B56" s="2" t="s">
        <v>4779</v>
      </c>
      <c r="C56" s="2" t="s">
        <v>4780</v>
      </c>
      <c r="D56" s="3">
        <v>3.8</v>
      </c>
      <c r="E56" s="3">
        <v>16.88</v>
      </c>
      <c r="F56" s="3">
        <v>0</v>
      </c>
      <c r="G56" s="3">
        <v>9.6999999999999993</v>
      </c>
      <c r="H56" s="3">
        <v>84</v>
      </c>
      <c r="I56" s="3">
        <v>0.42199999999999999</v>
      </c>
      <c r="J56" s="3">
        <v>0.84399999999999997</v>
      </c>
      <c r="K56" s="3">
        <v>1.266</v>
      </c>
    </row>
    <row r="57" spans="2:11" x14ac:dyDescent="0.25">
      <c r="B57" s="2" t="s">
        <v>4781</v>
      </c>
      <c r="C57" s="2" t="s">
        <v>4782</v>
      </c>
      <c r="D57" s="3">
        <v>9.09</v>
      </c>
      <c r="E57" s="3">
        <v>63.64</v>
      </c>
      <c r="F57" s="3">
        <v>9.1</v>
      </c>
      <c r="G57" s="3">
        <v>27.27</v>
      </c>
      <c r="H57" s="3">
        <v>636</v>
      </c>
      <c r="I57" s="3">
        <v>4.5449999999999999</v>
      </c>
      <c r="J57" s="3">
        <v>2.1190000000000002</v>
      </c>
      <c r="K57" s="3">
        <v>1.831</v>
      </c>
    </row>
    <row r="58" spans="2:11" x14ac:dyDescent="0.25">
      <c r="B58" s="2" t="s">
        <v>4783</v>
      </c>
      <c r="C58" s="2" t="s">
        <v>4784</v>
      </c>
      <c r="D58" s="3">
        <v>0.21</v>
      </c>
      <c r="E58" s="3">
        <v>5.42</v>
      </c>
      <c r="F58" s="3">
        <v>0</v>
      </c>
      <c r="G58" s="3">
        <v>4.17</v>
      </c>
      <c r="H58" s="3">
        <v>4</v>
      </c>
      <c r="I58" s="3">
        <v>0</v>
      </c>
      <c r="J58" s="3">
        <v>0</v>
      </c>
      <c r="K58" s="3">
        <v>0</v>
      </c>
    </row>
    <row r="59" spans="2:11" x14ac:dyDescent="0.25">
      <c r="B59" s="2" t="s">
        <v>4785</v>
      </c>
      <c r="C59" s="2" t="s">
        <v>4786</v>
      </c>
      <c r="D59" s="3">
        <v>0</v>
      </c>
      <c r="E59" s="3">
        <v>12.5</v>
      </c>
      <c r="F59" s="3">
        <v>0</v>
      </c>
      <c r="G59" s="3">
        <v>12.5</v>
      </c>
      <c r="H59" s="3">
        <v>8</v>
      </c>
      <c r="I59" s="3">
        <v>0</v>
      </c>
      <c r="J59" s="3">
        <v>0</v>
      </c>
      <c r="K59" s="3">
        <v>0</v>
      </c>
    </row>
    <row r="60" spans="2:11" x14ac:dyDescent="0.25">
      <c r="B60" s="2" t="s">
        <v>4787</v>
      </c>
      <c r="C60" s="2" t="s">
        <v>4788</v>
      </c>
      <c r="D60" s="3">
        <v>78.13</v>
      </c>
      <c r="E60" s="3">
        <v>6.25</v>
      </c>
      <c r="F60" s="3">
        <v>3.1</v>
      </c>
      <c r="G60" s="3">
        <v>0</v>
      </c>
      <c r="H60" s="3">
        <v>156</v>
      </c>
      <c r="I60" s="3">
        <v>0.78100000000000003</v>
      </c>
      <c r="J60" s="3">
        <v>0.158</v>
      </c>
      <c r="K60" s="3">
        <v>0.29899999999999999</v>
      </c>
    </row>
    <row r="61" spans="2:11" x14ac:dyDescent="0.25">
      <c r="B61" s="2" t="s">
        <v>4789</v>
      </c>
      <c r="C61" s="2" t="s">
        <v>4790</v>
      </c>
      <c r="D61" s="3">
        <v>55.56</v>
      </c>
      <c r="E61" s="3">
        <v>28.89</v>
      </c>
      <c r="F61" s="3">
        <v>6.7</v>
      </c>
      <c r="G61" s="3">
        <v>22.22</v>
      </c>
      <c r="H61" s="3">
        <v>733</v>
      </c>
      <c r="I61" s="3">
        <v>1.111</v>
      </c>
      <c r="J61" s="3">
        <v>1.0569999999999999</v>
      </c>
      <c r="K61" s="3">
        <v>2.7010000000000001</v>
      </c>
    </row>
    <row r="62" spans="2:11" x14ac:dyDescent="0.25">
      <c r="B62" s="2" t="s">
        <v>4791</v>
      </c>
      <c r="C62" s="2" t="s">
        <v>4792</v>
      </c>
      <c r="D62" s="3">
        <v>35.200000000000003</v>
      </c>
      <c r="E62" s="3">
        <v>58.4</v>
      </c>
      <c r="F62" s="3">
        <v>37.5</v>
      </c>
      <c r="G62" s="3">
        <v>2</v>
      </c>
      <c r="H62" s="3">
        <v>280</v>
      </c>
      <c r="I62" s="3">
        <v>0.23599999999999999</v>
      </c>
      <c r="J62" s="3">
        <v>0.14599999999999999</v>
      </c>
      <c r="K62" s="3">
        <v>0.4</v>
      </c>
    </row>
    <row r="63" spans="2:11" x14ac:dyDescent="0.25">
      <c r="B63" s="2" t="s">
        <v>4793</v>
      </c>
      <c r="C63" s="2" t="s">
        <v>4794</v>
      </c>
      <c r="D63" s="3">
        <v>0</v>
      </c>
      <c r="E63" s="3">
        <v>1.1299999999999999</v>
      </c>
      <c r="F63" s="3">
        <v>0</v>
      </c>
      <c r="G63" s="3">
        <v>0</v>
      </c>
      <c r="H63" s="3">
        <v>6</v>
      </c>
      <c r="I63" s="3">
        <v>0</v>
      </c>
      <c r="J63" s="3">
        <v>0</v>
      </c>
      <c r="K63" s="3">
        <v>0</v>
      </c>
    </row>
    <row r="64" spans="2:11" x14ac:dyDescent="0.25">
      <c r="B64" s="2" t="s">
        <v>4795</v>
      </c>
      <c r="C64" s="2" t="s">
        <v>4796</v>
      </c>
      <c r="D64" s="3">
        <v>0</v>
      </c>
      <c r="E64" s="3">
        <v>1.1299999999999999</v>
      </c>
      <c r="F64" s="3">
        <v>0</v>
      </c>
      <c r="G64" s="3">
        <v>0</v>
      </c>
      <c r="H64" s="3">
        <v>6</v>
      </c>
      <c r="I64" s="3">
        <v>0</v>
      </c>
      <c r="J64" s="3">
        <v>0</v>
      </c>
      <c r="K64" s="3">
        <v>0</v>
      </c>
    </row>
    <row r="65" spans="2:11" x14ac:dyDescent="0.25">
      <c r="B65" s="2" t="s">
        <v>4797</v>
      </c>
      <c r="C65" s="2" t="s">
        <v>4798</v>
      </c>
      <c r="D65" s="3">
        <v>0</v>
      </c>
      <c r="E65" s="3">
        <v>0</v>
      </c>
      <c r="F65" s="3">
        <v>0</v>
      </c>
      <c r="G65" s="3">
        <v>0</v>
      </c>
      <c r="H65" s="3">
        <v>13</v>
      </c>
      <c r="I65" s="3">
        <v>0</v>
      </c>
      <c r="J65" s="3">
        <v>0</v>
      </c>
      <c r="K65" s="3">
        <v>0</v>
      </c>
    </row>
    <row r="66" spans="2:11" x14ac:dyDescent="0.25">
      <c r="B66" s="2" t="s">
        <v>4799</v>
      </c>
      <c r="C66" s="2" t="s">
        <v>4800</v>
      </c>
      <c r="D66" s="3">
        <v>0</v>
      </c>
      <c r="E66" s="3">
        <v>0</v>
      </c>
      <c r="F66" s="3">
        <v>0</v>
      </c>
      <c r="G66" s="3">
        <v>0</v>
      </c>
      <c r="H66" s="3">
        <v>1</v>
      </c>
      <c r="I66" s="3">
        <v>0</v>
      </c>
      <c r="J66" s="3">
        <v>0</v>
      </c>
      <c r="K66" s="3">
        <v>0</v>
      </c>
    </row>
    <row r="67" spans="2:11" x14ac:dyDescent="0.25">
      <c r="B67" s="2" t="s">
        <v>4801</v>
      </c>
      <c r="C67" s="2" t="s">
        <v>4802</v>
      </c>
      <c r="D67" s="3">
        <v>0</v>
      </c>
      <c r="E67" s="3">
        <v>12.83</v>
      </c>
      <c r="F67" s="3">
        <v>0</v>
      </c>
      <c r="G67" s="3">
        <v>12.9</v>
      </c>
      <c r="H67" s="3">
        <v>18</v>
      </c>
      <c r="I67" s="3">
        <v>0</v>
      </c>
      <c r="J67" s="3">
        <v>0</v>
      </c>
      <c r="K67" s="3">
        <v>0</v>
      </c>
    </row>
    <row r="68" spans="2:11" x14ac:dyDescent="0.25">
      <c r="B68" s="2" t="s">
        <v>4803</v>
      </c>
      <c r="C68" s="2" t="s">
        <v>4804</v>
      </c>
      <c r="D68" s="3">
        <v>0</v>
      </c>
      <c r="E68" s="3">
        <v>92.96</v>
      </c>
      <c r="F68" s="3">
        <v>0</v>
      </c>
      <c r="G68" s="3">
        <v>81.819999999999993</v>
      </c>
      <c r="H68" s="3">
        <v>636</v>
      </c>
      <c r="I68" s="3">
        <v>0</v>
      </c>
      <c r="J68" s="3">
        <v>0</v>
      </c>
      <c r="K68" s="3">
        <v>0</v>
      </c>
    </row>
    <row r="69" spans="2:11" x14ac:dyDescent="0.25">
      <c r="B69" s="2" t="s">
        <v>4805</v>
      </c>
      <c r="C69" s="2" t="s">
        <v>4806</v>
      </c>
      <c r="D69" s="3">
        <v>0</v>
      </c>
      <c r="E69" s="3">
        <v>0</v>
      </c>
      <c r="F69" s="3">
        <v>0</v>
      </c>
      <c r="G69" s="3">
        <v>0</v>
      </c>
      <c r="H69" s="3">
        <v>13</v>
      </c>
      <c r="I69" s="3">
        <v>0</v>
      </c>
      <c r="J69" s="3">
        <v>0</v>
      </c>
      <c r="K69" s="3">
        <v>0</v>
      </c>
    </row>
    <row r="70" spans="2:11" x14ac:dyDescent="0.25">
      <c r="B70" s="2" t="s">
        <v>4807</v>
      </c>
      <c r="C70" s="2" t="s">
        <v>4808</v>
      </c>
      <c r="D70" s="3">
        <v>3.25</v>
      </c>
      <c r="E70" s="3">
        <v>8.64</v>
      </c>
      <c r="F70" s="3">
        <v>0</v>
      </c>
      <c r="G70" s="3">
        <v>7.77</v>
      </c>
      <c r="H70" s="3">
        <v>77</v>
      </c>
      <c r="I70" s="3">
        <v>0.112</v>
      </c>
      <c r="J70" s="3">
        <v>4.4999999999999998E-2</v>
      </c>
      <c r="K70" s="3">
        <v>7.0000000000000001E-3</v>
      </c>
    </row>
    <row r="71" spans="2:11" x14ac:dyDescent="0.25">
      <c r="B71" s="2" t="s">
        <v>4809</v>
      </c>
      <c r="C71" s="2" t="s">
        <v>4810</v>
      </c>
      <c r="D71" s="3">
        <v>7.0000000000000007E-2</v>
      </c>
      <c r="E71" s="3">
        <v>2.72</v>
      </c>
      <c r="F71" s="3">
        <v>0</v>
      </c>
      <c r="G71" s="3">
        <v>0.79</v>
      </c>
      <c r="H71" s="3">
        <v>5</v>
      </c>
      <c r="I71" s="3">
        <v>0</v>
      </c>
      <c r="J71" s="3">
        <v>0</v>
      </c>
      <c r="K71" s="3">
        <v>0</v>
      </c>
    </row>
    <row r="72" spans="2:11" x14ac:dyDescent="0.25">
      <c r="B72" s="2" t="s">
        <v>4811</v>
      </c>
      <c r="C72" s="2" t="s">
        <v>4812</v>
      </c>
      <c r="D72" s="3">
        <v>1.22</v>
      </c>
      <c r="E72" s="3">
        <v>7.76</v>
      </c>
      <c r="F72" s="3">
        <v>0</v>
      </c>
      <c r="G72" s="3">
        <v>7.35</v>
      </c>
      <c r="H72" s="3">
        <v>29</v>
      </c>
      <c r="I72" s="3">
        <v>0</v>
      </c>
    </row>
    <row r="73" spans="2:11" x14ac:dyDescent="0.25">
      <c r="B73" s="2" t="s">
        <v>4813</v>
      </c>
      <c r="C73" s="2" t="s">
        <v>4814</v>
      </c>
      <c r="D73" s="3">
        <v>1.22</v>
      </c>
      <c r="E73" s="3">
        <v>8.16</v>
      </c>
      <c r="F73" s="3">
        <v>0</v>
      </c>
      <c r="G73" s="3">
        <v>7.35</v>
      </c>
      <c r="H73" s="3">
        <v>29</v>
      </c>
      <c r="I73" s="3">
        <v>0</v>
      </c>
    </row>
    <row r="74" spans="2:11" x14ac:dyDescent="0.25">
      <c r="B74" s="2" t="s">
        <v>4815</v>
      </c>
      <c r="C74" s="2" t="s">
        <v>4816</v>
      </c>
      <c r="D74" s="3">
        <v>1.22</v>
      </c>
      <c r="E74" s="3">
        <v>8.5399999999999991</v>
      </c>
      <c r="F74" s="3">
        <v>0.4</v>
      </c>
      <c r="G74" s="3">
        <v>7.32</v>
      </c>
      <c r="H74" s="3">
        <v>20</v>
      </c>
      <c r="I74" s="3">
        <v>0</v>
      </c>
    </row>
    <row r="75" spans="2:11" x14ac:dyDescent="0.25">
      <c r="B75" s="2" t="s">
        <v>4817</v>
      </c>
      <c r="C75" s="2" t="s">
        <v>4818</v>
      </c>
      <c r="D75" s="3">
        <v>0.22</v>
      </c>
      <c r="E75" s="3">
        <v>4.24</v>
      </c>
      <c r="F75" s="3">
        <v>0</v>
      </c>
      <c r="G75" s="3">
        <v>3.92</v>
      </c>
      <c r="H75" s="3">
        <v>26</v>
      </c>
      <c r="I75" s="3">
        <v>0</v>
      </c>
      <c r="J75" s="3">
        <v>0</v>
      </c>
      <c r="K75" s="3">
        <v>0</v>
      </c>
    </row>
    <row r="76" spans="2:11" x14ac:dyDescent="0.25">
      <c r="B76" s="2" t="s">
        <v>4819</v>
      </c>
      <c r="C76" s="2" t="s">
        <v>4820</v>
      </c>
      <c r="D76" s="3">
        <v>0.59</v>
      </c>
      <c r="E76" s="3">
        <v>0.57999999999999996</v>
      </c>
      <c r="F76" s="3">
        <v>0</v>
      </c>
      <c r="G76" s="3">
        <v>0</v>
      </c>
      <c r="H76" s="3">
        <v>71</v>
      </c>
      <c r="I76" s="3">
        <v>0</v>
      </c>
      <c r="J76" s="3">
        <v>0.70799999999999996</v>
      </c>
      <c r="K76" s="3">
        <v>0.23599999999999999</v>
      </c>
    </row>
    <row r="77" spans="2:11" x14ac:dyDescent="0.25">
      <c r="B77" s="2" t="s">
        <v>4821</v>
      </c>
      <c r="C77" s="2" t="s">
        <v>4822</v>
      </c>
      <c r="D77" s="3">
        <v>0.83</v>
      </c>
      <c r="E77" s="3">
        <v>1.25</v>
      </c>
      <c r="F77" s="3">
        <v>0.4</v>
      </c>
      <c r="G77" s="3">
        <v>0</v>
      </c>
      <c r="H77" s="3">
        <v>75</v>
      </c>
      <c r="I77" s="3">
        <v>0</v>
      </c>
      <c r="J77" s="3">
        <v>0.72899999999999998</v>
      </c>
      <c r="K77" s="3">
        <v>0.24299999999999999</v>
      </c>
    </row>
    <row r="78" spans="2:11" x14ac:dyDescent="0.25">
      <c r="B78" s="2" t="s">
        <v>4823</v>
      </c>
      <c r="C78" s="2" t="s">
        <v>4824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</row>
    <row r="79" spans="2:11" x14ac:dyDescent="0.25">
      <c r="B79" s="2" t="s">
        <v>4825</v>
      </c>
      <c r="C79" s="2" t="s">
        <v>4826</v>
      </c>
      <c r="D79" s="3">
        <v>0</v>
      </c>
      <c r="E79" s="3">
        <v>13.75</v>
      </c>
      <c r="F79" s="3">
        <v>0</v>
      </c>
      <c r="G79" s="3">
        <v>12.92</v>
      </c>
      <c r="H79" s="3">
        <v>6</v>
      </c>
      <c r="I79" s="3">
        <v>0</v>
      </c>
      <c r="J79" s="3">
        <v>0</v>
      </c>
      <c r="K79" s="3">
        <v>0</v>
      </c>
    </row>
    <row r="80" spans="2:11" x14ac:dyDescent="0.25">
      <c r="B80" s="2" t="s">
        <v>4827</v>
      </c>
      <c r="C80" s="2" t="s">
        <v>4828</v>
      </c>
      <c r="D80" s="3">
        <v>7.0000000000000007E-2</v>
      </c>
      <c r="E80" s="3">
        <v>2.61</v>
      </c>
      <c r="F80" s="3">
        <v>0</v>
      </c>
      <c r="G80" s="3">
        <v>0.62</v>
      </c>
      <c r="H80" s="3">
        <v>4</v>
      </c>
      <c r="I80" s="3">
        <v>0</v>
      </c>
      <c r="J80" s="3">
        <v>0</v>
      </c>
      <c r="K80" s="3">
        <v>0</v>
      </c>
    </row>
    <row r="81" spans="2:11" x14ac:dyDescent="0.25">
      <c r="B81" s="2" t="s">
        <v>4829</v>
      </c>
      <c r="C81" s="2" t="s">
        <v>4830</v>
      </c>
      <c r="D81" s="3">
        <v>7.0000000000000007E-2</v>
      </c>
      <c r="E81" s="3">
        <v>2.6</v>
      </c>
    </row>
    <row r="82" spans="2:11" x14ac:dyDescent="0.25">
      <c r="B82" s="2" t="s">
        <v>4831</v>
      </c>
      <c r="C82" s="2" t="s">
        <v>4832</v>
      </c>
      <c r="D82" s="3">
        <v>7.0000000000000007E-2</v>
      </c>
      <c r="E82" s="3">
        <v>2.4500000000000002</v>
      </c>
    </row>
    <row r="83" spans="2:11" x14ac:dyDescent="0.25">
      <c r="B83" s="2" t="s">
        <v>4833</v>
      </c>
      <c r="C83" s="2" t="s">
        <v>4834</v>
      </c>
      <c r="D83" s="3">
        <v>7.0000000000000007E-2</v>
      </c>
      <c r="E83" s="3">
        <v>2.31</v>
      </c>
    </row>
    <row r="84" spans="2:11" x14ac:dyDescent="0.25">
      <c r="B84" s="2" t="s">
        <v>4835</v>
      </c>
      <c r="C84" s="2" t="s">
        <v>4836</v>
      </c>
      <c r="D84" s="3">
        <v>7.0000000000000007E-2</v>
      </c>
      <c r="E84" s="3">
        <v>2.58</v>
      </c>
    </row>
    <row r="85" spans="2:11" x14ac:dyDescent="0.25">
      <c r="B85" s="2" t="s">
        <v>4837</v>
      </c>
      <c r="C85" s="2" t="s">
        <v>4838</v>
      </c>
      <c r="D85" s="3">
        <v>7.0000000000000007E-2</v>
      </c>
      <c r="E85" s="3">
        <v>2.79</v>
      </c>
    </row>
    <row r="86" spans="2:11" x14ac:dyDescent="0.25">
      <c r="B86" s="2" t="s">
        <v>4839</v>
      </c>
      <c r="C86" s="2" t="s">
        <v>4840</v>
      </c>
      <c r="D86" s="3">
        <v>7.0000000000000007E-2</v>
      </c>
      <c r="E86" s="3">
        <v>2.86</v>
      </c>
    </row>
    <row r="87" spans="2:11" x14ac:dyDescent="0.25">
      <c r="B87" s="2" t="s">
        <v>4841</v>
      </c>
      <c r="C87" s="2" t="s">
        <v>4842</v>
      </c>
      <c r="D87" s="3">
        <v>7.0000000000000007E-2</v>
      </c>
      <c r="E87" s="3">
        <v>2.68</v>
      </c>
    </row>
    <row r="88" spans="2:11" x14ac:dyDescent="0.25">
      <c r="B88" s="2" t="s">
        <v>4843</v>
      </c>
      <c r="C88" s="2" t="s">
        <v>4844</v>
      </c>
      <c r="D88" s="3">
        <v>7.0000000000000007E-2</v>
      </c>
      <c r="E88" s="3">
        <v>3.01</v>
      </c>
    </row>
    <row r="89" spans="2:11" x14ac:dyDescent="0.25">
      <c r="B89" s="2" t="s">
        <v>4845</v>
      </c>
      <c r="C89" s="2" t="s">
        <v>4846</v>
      </c>
      <c r="D89" s="3">
        <v>7.0000000000000007E-2</v>
      </c>
      <c r="E89" s="3">
        <v>2.6</v>
      </c>
      <c r="F89" s="3">
        <v>0</v>
      </c>
      <c r="G89" s="3">
        <v>0.96</v>
      </c>
      <c r="H89" s="3">
        <v>5</v>
      </c>
      <c r="I89" s="3">
        <v>0</v>
      </c>
      <c r="J89" s="3">
        <v>0</v>
      </c>
      <c r="K89" s="3">
        <v>0</v>
      </c>
    </row>
    <row r="90" spans="2:11" x14ac:dyDescent="0.25">
      <c r="B90" s="2" t="s">
        <v>4847</v>
      </c>
      <c r="C90" s="2" t="s">
        <v>4848</v>
      </c>
      <c r="D90" s="3">
        <v>7.0000000000000007E-2</v>
      </c>
      <c r="E90" s="3">
        <v>2.46</v>
      </c>
    </row>
    <row r="91" spans="2:11" x14ac:dyDescent="0.25">
      <c r="B91" s="2" t="s">
        <v>4849</v>
      </c>
      <c r="C91" s="2" t="s">
        <v>4850</v>
      </c>
      <c r="D91" s="3">
        <v>7.0000000000000007E-2</v>
      </c>
      <c r="E91" s="3">
        <v>2.62</v>
      </c>
    </row>
    <row r="92" spans="2:11" x14ac:dyDescent="0.25">
      <c r="B92" s="2" t="s">
        <v>4851</v>
      </c>
      <c r="C92" s="2" t="s">
        <v>4852</v>
      </c>
      <c r="D92" s="3">
        <v>7.0000000000000007E-2</v>
      </c>
      <c r="E92" s="3">
        <v>2.4</v>
      </c>
    </row>
    <row r="93" spans="2:11" x14ac:dyDescent="0.25">
      <c r="B93" s="2" t="s">
        <v>4853</v>
      </c>
      <c r="C93" s="2" t="s">
        <v>4854</v>
      </c>
      <c r="D93" s="3">
        <v>7.0000000000000007E-2</v>
      </c>
      <c r="E93" s="3">
        <v>2.06</v>
      </c>
    </row>
    <row r="94" spans="2:11" x14ac:dyDescent="0.25">
      <c r="B94" s="2" t="s">
        <v>4855</v>
      </c>
      <c r="C94" s="2" t="s">
        <v>4856</v>
      </c>
      <c r="D94" s="3">
        <v>7.0000000000000007E-2</v>
      </c>
      <c r="E94" s="3">
        <v>3.31</v>
      </c>
    </row>
    <row r="95" spans="2:11" x14ac:dyDescent="0.25">
      <c r="B95" s="2" t="s">
        <v>4857</v>
      </c>
      <c r="C95" s="2" t="s">
        <v>4858</v>
      </c>
      <c r="D95" s="3">
        <v>7.0000000000000007E-2</v>
      </c>
      <c r="E95" s="3">
        <v>2.27</v>
      </c>
    </row>
    <row r="96" spans="2:11" x14ac:dyDescent="0.25">
      <c r="B96" s="2" t="s">
        <v>4859</v>
      </c>
      <c r="C96" s="2" t="s">
        <v>4860</v>
      </c>
      <c r="D96" s="3">
        <v>0.04</v>
      </c>
      <c r="E96" s="3">
        <v>7.47</v>
      </c>
      <c r="F96" s="3">
        <v>0</v>
      </c>
      <c r="G96" s="3">
        <v>2.1</v>
      </c>
      <c r="H96" s="3">
        <v>21</v>
      </c>
      <c r="I96" s="3">
        <v>0</v>
      </c>
      <c r="J96" s="3">
        <v>0</v>
      </c>
      <c r="K96" s="3">
        <v>0</v>
      </c>
    </row>
    <row r="97" spans="2:11" x14ac:dyDescent="0.25">
      <c r="B97" s="2" t="s">
        <v>4861</v>
      </c>
      <c r="C97" s="2" t="s">
        <v>4862</v>
      </c>
      <c r="D97" s="3">
        <v>7.0000000000000007E-2</v>
      </c>
      <c r="E97" s="3">
        <v>3.48</v>
      </c>
    </row>
    <row r="98" spans="2:11" x14ac:dyDescent="0.25">
      <c r="B98" s="2" t="s">
        <v>4863</v>
      </c>
      <c r="C98" s="2" t="s">
        <v>4864</v>
      </c>
      <c r="D98" s="3">
        <v>0</v>
      </c>
      <c r="E98" s="3">
        <v>0</v>
      </c>
      <c r="F98" s="3">
        <v>0</v>
      </c>
      <c r="G98" s="3">
        <v>0</v>
      </c>
      <c r="H98" s="3">
        <v>21</v>
      </c>
      <c r="I98" s="3">
        <v>0</v>
      </c>
      <c r="J98" s="3">
        <v>0</v>
      </c>
      <c r="K98" s="3">
        <v>0</v>
      </c>
    </row>
    <row r="99" spans="2:11" x14ac:dyDescent="0.25">
      <c r="B99" s="2" t="s">
        <v>4865</v>
      </c>
      <c r="C99" s="2" t="s">
        <v>4866</v>
      </c>
      <c r="D99" s="3">
        <v>7.0000000000000007E-2</v>
      </c>
      <c r="E99" s="3">
        <v>2.6</v>
      </c>
    </row>
    <row r="100" spans="2:11" x14ac:dyDescent="0.25">
      <c r="B100" s="2" t="s">
        <v>4867</v>
      </c>
      <c r="C100" s="2" t="s">
        <v>4868</v>
      </c>
      <c r="D100" s="3">
        <v>7.0000000000000007E-2</v>
      </c>
      <c r="E100" s="3">
        <v>11.39</v>
      </c>
    </row>
    <row r="101" spans="2:11" x14ac:dyDescent="0.25">
      <c r="B101" s="2" t="s">
        <v>4869</v>
      </c>
      <c r="C101" s="2" t="s">
        <v>4870</v>
      </c>
      <c r="D101" s="3">
        <v>7.0000000000000007E-2</v>
      </c>
      <c r="E101" s="3">
        <v>3.12</v>
      </c>
    </row>
    <row r="102" spans="2:11" x14ac:dyDescent="0.25">
      <c r="B102" s="2" t="s">
        <v>4871</v>
      </c>
      <c r="C102" s="2" t="s">
        <v>4872</v>
      </c>
      <c r="D102" s="3">
        <v>0</v>
      </c>
      <c r="E102" s="3">
        <v>13.3</v>
      </c>
      <c r="F102" s="3">
        <v>0</v>
      </c>
      <c r="G102" s="3">
        <v>13.3</v>
      </c>
      <c r="H102" s="3">
        <v>12</v>
      </c>
      <c r="I102" s="3">
        <v>0</v>
      </c>
      <c r="J102" s="3">
        <v>0</v>
      </c>
      <c r="K102" s="3">
        <v>0</v>
      </c>
    </row>
    <row r="103" spans="2:11" x14ac:dyDescent="0.25">
      <c r="B103" s="2" t="s">
        <v>4873</v>
      </c>
      <c r="C103" s="2" t="s">
        <v>4874</v>
      </c>
      <c r="D103" s="3">
        <v>7.0000000000000007E-2</v>
      </c>
      <c r="E103" s="3">
        <v>3.74</v>
      </c>
    </row>
    <row r="104" spans="2:11" x14ac:dyDescent="0.25">
      <c r="B104" s="2" t="s">
        <v>4875</v>
      </c>
      <c r="C104" s="2" t="s">
        <v>4876</v>
      </c>
      <c r="D104" s="3">
        <v>7.0000000000000007E-2</v>
      </c>
      <c r="E104" s="3">
        <v>2.0499999999999998</v>
      </c>
    </row>
    <row r="105" spans="2:11" x14ac:dyDescent="0.25">
      <c r="B105" s="2" t="s">
        <v>4877</v>
      </c>
      <c r="C105" s="2" t="s">
        <v>4878</v>
      </c>
      <c r="D105" s="3">
        <v>7.0000000000000007E-2</v>
      </c>
      <c r="E105" s="3">
        <v>13.39</v>
      </c>
    </row>
    <row r="106" spans="2:11" x14ac:dyDescent="0.25">
      <c r="B106" s="2" t="s">
        <v>4879</v>
      </c>
      <c r="C106" s="2" t="s">
        <v>4880</v>
      </c>
      <c r="D106" s="3">
        <v>0</v>
      </c>
      <c r="E106" s="3">
        <v>8.76</v>
      </c>
      <c r="F106" s="3">
        <v>0</v>
      </c>
      <c r="G106" s="3">
        <v>8.9</v>
      </c>
      <c r="H106" s="3">
        <v>7</v>
      </c>
      <c r="I106" s="3">
        <v>0</v>
      </c>
      <c r="J106" s="3">
        <v>0</v>
      </c>
      <c r="K106" s="3">
        <v>0</v>
      </c>
    </row>
    <row r="107" spans="2:11" x14ac:dyDescent="0.25">
      <c r="B107" s="2" t="s">
        <v>4881</v>
      </c>
      <c r="C107" s="2" t="s">
        <v>4882</v>
      </c>
      <c r="D107" s="3">
        <v>0</v>
      </c>
      <c r="E107" s="3">
        <v>9.09</v>
      </c>
      <c r="F107" s="3">
        <v>0</v>
      </c>
      <c r="G107" s="3">
        <v>9.09</v>
      </c>
      <c r="H107" s="3">
        <v>21</v>
      </c>
    </row>
    <row r="108" spans="2:11" x14ac:dyDescent="0.25">
      <c r="B108" s="2" t="s">
        <v>4883</v>
      </c>
      <c r="C108" s="2" t="s">
        <v>4884</v>
      </c>
      <c r="D108" s="3">
        <v>7.0000000000000007E-2</v>
      </c>
      <c r="E108" s="3">
        <v>1.94</v>
      </c>
    </row>
    <row r="109" spans="2:11" x14ac:dyDescent="0.25">
      <c r="B109" s="2" t="s">
        <v>4885</v>
      </c>
      <c r="C109" s="2" t="s">
        <v>4886</v>
      </c>
      <c r="D109" s="3">
        <v>7.0000000000000007E-2</v>
      </c>
      <c r="E109" s="3">
        <v>5.23</v>
      </c>
    </row>
    <row r="110" spans="2:11" x14ac:dyDescent="0.25">
      <c r="B110" s="2" t="s">
        <v>4887</v>
      </c>
      <c r="C110" s="2" t="s">
        <v>4888</v>
      </c>
      <c r="D110" s="3">
        <v>0</v>
      </c>
      <c r="E110" s="3">
        <v>11.2</v>
      </c>
      <c r="F110" s="3">
        <v>0</v>
      </c>
      <c r="H110" s="3">
        <v>15</v>
      </c>
      <c r="I110" s="3">
        <v>0</v>
      </c>
      <c r="J110" s="3">
        <v>0</v>
      </c>
      <c r="K110" s="3">
        <v>0</v>
      </c>
    </row>
    <row r="111" spans="2:11" x14ac:dyDescent="0.25">
      <c r="B111" s="2" t="s">
        <v>4889</v>
      </c>
      <c r="C111" s="2" t="s">
        <v>4890</v>
      </c>
      <c r="D111" s="3">
        <v>0.1</v>
      </c>
      <c r="E111" s="3">
        <v>0</v>
      </c>
      <c r="F111" s="3">
        <v>0</v>
      </c>
      <c r="G111" s="3">
        <v>0</v>
      </c>
      <c r="H111" s="3">
        <v>6</v>
      </c>
      <c r="I111" s="3">
        <v>0</v>
      </c>
      <c r="J111" s="3">
        <v>0</v>
      </c>
      <c r="K111" s="3">
        <v>0</v>
      </c>
    </row>
    <row r="112" spans="2:11" x14ac:dyDescent="0.25">
      <c r="B112" s="2" t="s">
        <v>4891</v>
      </c>
      <c r="C112" s="2" t="s">
        <v>4892</v>
      </c>
      <c r="D112" s="3">
        <v>0.09</v>
      </c>
      <c r="E112" s="3">
        <v>10.42</v>
      </c>
      <c r="F112" s="3">
        <v>0</v>
      </c>
      <c r="G112" s="3">
        <v>10.38</v>
      </c>
      <c r="H112" s="3">
        <v>10</v>
      </c>
      <c r="I112" s="3">
        <v>0</v>
      </c>
      <c r="J112" s="3">
        <v>0</v>
      </c>
      <c r="K112" s="3">
        <v>0</v>
      </c>
    </row>
    <row r="113" spans="2:11" x14ac:dyDescent="0.25">
      <c r="B113" s="2" t="s">
        <v>4893</v>
      </c>
      <c r="C113" s="2" t="s">
        <v>4894</v>
      </c>
      <c r="D113" s="3">
        <v>0.05</v>
      </c>
      <c r="E113" s="3">
        <v>10.14</v>
      </c>
      <c r="F113" s="3">
        <v>0</v>
      </c>
      <c r="G113" s="3">
        <v>8.98</v>
      </c>
      <c r="H113" s="3">
        <v>9</v>
      </c>
      <c r="I113" s="3">
        <v>0</v>
      </c>
      <c r="J113" s="3">
        <v>0</v>
      </c>
      <c r="K113" s="3">
        <v>0</v>
      </c>
    </row>
    <row r="114" spans="2:11" x14ac:dyDescent="0.25">
      <c r="B114" s="2" t="s">
        <v>4895</v>
      </c>
      <c r="C114" s="2" t="s">
        <v>4896</v>
      </c>
      <c r="D114" s="3">
        <v>0.12</v>
      </c>
      <c r="E114" s="3">
        <v>0.12</v>
      </c>
      <c r="F114" s="3">
        <v>0</v>
      </c>
      <c r="G114" s="3">
        <v>0</v>
      </c>
      <c r="H114" s="3">
        <v>4</v>
      </c>
      <c r="I114" s="3">
        <v>0</v>
      </c>
      <c r="J114" s="3">
        <v>0</v>
      </c>
      <c r="K114" s="3">
        <v>0</v>
      </c>
    </row>
    <row r="115" spans="2:11" x14ac:dyDescent="0.25">
      <c r="B115" s="2" t="s">
        <v>4897</v>
      </c>
      <c r="C115" s="2" t="s">
        <v>4898</v>
      </c>
      <c r="D115" s="3">
        <v>0</v>
      </c>
      <c r="E115" s="3">
        <v>10.58</v>
      </c>
      <c r="F115" s="3">
        <v>0</v>
      </c>
      <c r="G115" s="3">
        <v>10.58</v>
      </c>
      <c r="H115" s="3">
        <v>4</v>
      </c>
      <c r="I115" s="3">
        <v>0</v>
      </c>
      <c r="J115" s="3">
        <v>0</v>
      </c>
      <c r="K115" s="3">
        <v>0</v>
      </c>
    </row>
    <row r="116" spans="2:11" x14ac:dyDescent="0.25">
      <c r="B116" s="2" t="s">
        <v>4899</v>
      </c>
      <c r="C116" s="2" t="s">
        <v>4900</v>
      </c>
      <c r="D116" s="3">
        <v>0</v>
      </c>
      <c r="E116" s="3">
        <v>10.36</v>
      </c>
      <c r="F116" s="3">
        <v>0</v>
      </c>
      <c r="G116" s="3">
        <v>9.94</v>
      </c>
      <c r="H116" s="3">
        <v>3</v>
      </c>
      <c r="I116" s="3">
        <v>0</v>
      </c>
      <c r="J116" s="3">
        <v>0</v>
      </c>
      <c r="K116" s="3">
        <v>0</v>
      </c>
    </row>
    <row r="117" spans="2:11" x14ac:dyDescent="0.25">
      <c r="B117" s="2" t="s">
        <v>4901</v>
      </c>
      <c r="C117" s="2" t="s">
        <v>4902</v>
      </c>
      <c r="D117" s="3">
        <v>0</v>
      </c>
      <c r="E117" s="3">
        <v>5.16</v>
      </c>
      <c r="F117" s="3">
        <v>0</v>
      </c>
      <c r="G117" s="3">
        <v>5.16</v>
      </c>
      <c r="H117" s="3">
        <v>4</v>
      </c>
      <c r="I117" s="3">
        <v>0</v>
      </c>
      <c r="J117" s="3">
        <v>0</v>
      </c>
      <c r="K117" s="3">
        <v>0</v>
      </c>
    </row>
    <row r="118" spans="2:11" x14ac:dyDescent="0.25">
      <c r="B118" s="2" t="s">
        <v>4903</v>
      </c>
      <c r="C118" s="2" t="s">
        <v>4904</v>
      </c>
      <c r="D118" s="3">
        <v>0</v>
      </c>
      <c r="E118" s="3">
        <v>12.3</v>
      </c>
      <c r="F118" s="3">
        <v>0</v>
      </c>
      <c r="H118" s="3">
        <v>12</v>
      </c>
      <c r="I118" s="3">
        <v>0</v>
      </c>
      <c r="J118" s="3">
        <v>0</v>
      </c>
      <c r="K118" s="3">
        <v>0</v>
      </c>
    </row>
    <row r="119" spans="2:11" x14ac:dyDescent="0.25">
      <c r="B119" s="2" t="s">
        <v>4905</v>
      </c>
      <c r="C119" s="2" t="s">
        <v>4906</v>
      </c>
      <c r="D119" s="3">
        <v>0.1</v>
      </c>
      <c r="E119" s="3">
        <v>0</v>
      </c>
      <c r="F119" s="3">
        <v>0</v>
      </c>
      <c r="G119" s="3">
        <v>0</v>
      </c>
      <c r="H119" s="3">
        <v>6</v>
      </c>
      <c r="I119" s="3">
        <v>0</v>
      </c>
      <c r="J119" s="3">
        <v>0</v>
      </c>
      <c r="K119" s="3">
        <v>0</v>
      </c>
    </row>
    <row r="120" spans="2:11" x14ac:dyDescent="0.25">
      <c r="B120" s="2" t="s">
        <v>4907</v>
      </c>
      <c r="C120" s="2" t="s">
        <v>4908</v>
      </c>
      <c r="D120" s="3">
        <v>7.0000000000000007E-2</v>
      </c>
      <c r="E120" s="3">
        <v>3.69</v>
      </c>
    </row>
    <row r="121" spans="2:11" x14ac:dyDescent="0.25">
      <c r="B121" s="2" t="s">
        <v>4909</v>
      </c>
      <c r="C121" s="2" t="s">
        <v>4910</v>
      </c>
      <c r="D121" s="3">
        <v>0</v>
      </c>
      <c r="E121" s="3">
        <v>10.4</v>
      </c>
      <c r="F121" s="3">
        <v>0</v>
      </c>
      <c r="H121" s="3">
        <v>10</v>
      </c>
      <c r="I121" s="3">
        <v>7.0000000000000007E-2</v>
      </c>
      <c r="J121" s="3">
        <v>0</v>
      </c>
      <c r="K121" s="3">
        <v>0</v>
      </c>
    </row>
    <row r="122" spans="2:11" x14ac:dyDescent="0.25">
      <c r="B122" s="2" t="s">
        <v>4911</v>
      </c>
      <c r="C122" s="2" t="s">
        <v>4912</v>
      </c>
      <c r="D122" s="3">
        <v>0.46</v>
      </c>
      <c r="E122" s="3">
        <v>10.23</v>
      </c>
      <c r="F122" s="3">
        <v>0</v>
      </c>
      <c r="G122" s="3">
        <v>10.220000000000001</v>
      </c>
      <c r="H122" s="3">
        <v>39</v>
      </c>
      <c r="I122" s="3">
        <v>0</v>
      </c>
      <c r="J122" s="3">
        <v>0</v>
      </c>
      <c r="K122" s="3">
        <v>0</v>
      </c>
    </row>
    <row r="123" spans="2:11" x14ac:dyDescent="0.25">
      <c r="B123" s="2" t="s">
        <v>4913</v>
      </c>
      <c r="C123" s="2" t="s">
        <v>4914</v>
      </c>
      <c r="D123" s="3">
        <v>0</v>
      </c>
      <c r="E123" s="3">
        <v>8.8000000000000007</v>
      </c>
      <c r="F123" s="3">
        <v>0</v>
      </c>
      <c r="G123" s="3">
        <v>8.8000000000000007</v>
      </c>
      <c r="H123" s="3">
        <v>12</v>
      </c>
      <c r="I123" s="3">
        <v>0</v>
      </c>
      <c r="J123" s="3">
        <v>0</v>
      </c>
      <c r="K123" s="3">
        <v>0</v>
      </c>
    </row>
    <row r="124" spans="2:11" x14ac:dyDescent="0.25">
      <c r="B124" s="2" t="s">
        <v>4915</v>
      </c>
      <c r="C124" s="2" t="s">
        <v>4916</v>
      </c>
      <c r="D124" s="3">
        <v>0.25</v>
      </c>
      <c r="E124" s="3">
        <v>0.7</v>
      </c>
      <c r="F124" s="3">
        <v>0</v>
      </c>
      <c r="G124" s="3">
        <v>0</v>
      </c>
      <c r="H124" s="3">
        <v>83</v>
      </c>
      <c r="I124" s="3">
        <v>0</v>
      </c>
      <c r="J124" s="3">
        <v>0</v>
      </c>
      <c r="K124" s="3">
        <v>0</v>
      </c>
    </row>
    <row r="125" spans="2:11" x14ac:dyDescent="0.25">
      <c r="B125" s="2" t="s">
        <v>4917</v>
      </c>
      <c r="C125" s="2" t="s">
        <v>4918</v>
      </c>
      <c r="D125" s="3">
        <v>0</v>
      </c>
      <c r="E125" s="3">
        <v>10.6</v>
      </c>
      <c r="F125" s="3">
        <v>0</v>
      </c>
      <c r="G125" s="3">
        <v>10.6</v>
      </c>
      <c r="H125" s="3">
        <v>13</v>
      </c>
      <c r="I125" s="3">
        <v>0</v>
      </c>
      <c r="J125" s="3">
        <v>0</v>
      </c>
      <c r="K125" s="3">
        <v>0</v>
      </c>
    </row>
    <row r="126" spans="2:11" x14ac:dyDescent="0.25">
      <c r="B126" s="2" t="s">
        <v>4919</v>
      </c>
      <c r="C126" s="2" t="s">
        <v>4920</v>
      </c>
      <c r="D126" s="3">
        <v>7.0000000000000007E-2</v>
      </c>
      <c r="E126" s="3">
        <v>2.38</v>
      </c>
    </row>
    <row r="127" spans="2:11" x14ac:dyDescent="0.25">
      <c r="B127" s="2" t="s">
        <v>4921</v>
      </c>
      <c r="C127" s="2" t="s">
        <v>4922</v>
      </c>
      <c r="D127" s="3">
        <v>7.0000000000000007E-2</v>
      </c>
      <c r="E127" s="3">
        <v>2.64</v>
      </c>
    </row>
    <row r="128" spans="2:11" x14ac:dyDescent="0.25">
      <c r="B128" s="2" t="s">
        <v>4923</v>
      </c>
      <c r="C128" s="2" t="s">
        <v>4924</v>
      </c>
      <c r="D128" s="3">
        <v>7.0000000000000007E-2</v>
      </c>
      <c r="E128" s="3">
        <v>2.16</v>
      </c>
      <c r="F128" s="3">
        <v>0</v>
      </c>
      <c r="G128" s="3">
        <v>0.96</v>
      </c>
      <c r="H128" s="3">
        <v>5</v>
      </c>
    </row>
    <row r="129" spans="2:11" x14ac:dyDescent="0.25">
      <c r="B129" s="2" t="s">
        <v>4925</v>
      </c>
      <c r="C129" s="2" t="s">
        <v>4926</v>
      </c>
      <c r="D129" s="3">
        <v>0</v>
      </c>
      <c r="E129" s="3">
        <v>12.26</v>
      </c>
      <c r="F129" s="3">
        <v>0</v>
      </c>
      <c r="G129" s="3">
        <v>11.63</v>
      </c>
      <c r="H129" s="3">
        <v>11</v>
      </c>
      <c r="I129" s="3">
        <v>0</v>
      </c>
      <c r="J129" s="3">
        <v>0</v>
      </c>
      <c r="K129" s="3">
        <v>0</v>
      </c>
    </row>
    <row r="130" spans="2:11" x14ac:dyDescent="0.25">
      <c r="B130" s="2" t="s">
        <v>4927</v>
      </c>
      <c r="C130" s="2" t="s">
        <v>4928</v>
      </c>
      <c r="D130" s="3">
        <v>0</v>
      </c>
      <c r="E130" s="3">
        <v>5.0999999999999996</v>
      </c>
      <c r="F130" s="3">
        <v>0</v>
      </c>
      <c r="G130" s="3">
        <v>4.8</v>
      </c>
      <c r="H130" s="3">
        <v>13</v>
      </c>
      <c r="I130" s="3">
        <v>0</v>
      </c>
      <c r="J130" s="3">
        <v>0</v>
      </c>
      <c r="K130" s="3">
        <v>0</v>
      </c>
    </row>
    <row r="131" spans="2:11" x14ac:dyDescent="0.25">
      <c r="B131" s="2" t="s">
        <v>4929</v>
      </c>
      <c r="C131" s="2" t="s">
        <v>4930</v>
      </c>
      <c r="D131" s="3">
        <v>4.22</v>
      </c>
      <c r="E131" s="3">
        <v>17.3</v>
      </c>
      <c r="F131" s="3">
        <v>1.3</v>
      </c>
      <c r="G131" s="3">
        <v>8.44</v>
      </c>
      <c r="H131" s="3">
        <v>63</v>
      </c>
      <c r="I131" s="3">
        <v>0.42199999999999999</v>
      </c>
      <c r="J131" s="3">
        <v>1.1539999999999999</v>
      </c>
      <c r="K131" s="3">
        <v>5.7000000000000002E-2</v>
      </c>
    </row>
    <row r="132" spans="2:11" x14ac:dyDescent="0.25">
      <c r="B132" s="2" t="s">
        <v>4931</v>
      </c>
      <c r="C132" s="2" t="s">
        <v>4932</v>
      </c>
      <c r="D132" s="3">
        <v>3.32</v>
      </c>
      <c r="E132" s="3">
        <v>8.81</v>
      </c>
      <c r="F132" s="3">
        <v>0</v>
      </c>
      <c r="G132" s="3">
        <v>7.81</v>
      </c>
      <c r="H132" s="3">
        <v>60</v>
      </c>
      <c r="I132" s="3">
        <v>0.63</v>
      </c>
      <c r="J132" s="3">
        <v>0.27600000000000002</v>
      </c>
      <c r="K132" s="3">
        <v>3.5000000000000003E-2</v>
      </c>
    </row>
    <row r="133" spans="2:11" x14ac:dyDescent="0.25">
      <c r="B133" s="2" t="s">
        <v>4933</v>
      </c>
      <c r="C133" s="2" t="s">
        <v>4934</v>
      </c>
      <c r="D133" s="3">
        <v>0</v>
      </c>
      <c r="E133" s="3">
        <v>4.16</v>
      </c>
      <c r="F133" s="3">
        <v>0</v>
      </c>
      <c r="G133" s="3">
        <v>3.97</v>
      </c>
      <c r="H133" s="3">
        <v>40</v>
      </c>
      <c r="I133" s="3">
        <v>0</v>
      </c>
      <c r="J133" s="3">
        <v>0</v>
      </c>
      <c r="K133" s="3">
        <v>0</v>
      </c>
    </row>
    <row r="134" spans="2:11" x14ac:dyDescent="0.25">
      <c r="B134" s="2" t="s">
        <v>4935</v>
      </c>
      <c r="C134" s="2" t="s">
        <v>4936</v>
      </c>
      <c r="D134" s="3">
        <v>0</v>
      </c>
      <c r="E134" s="3">
        <v>0.1</v>
      </c>
      <c r="F134" s="3">
        <v>0</v>
      </c>
      <c r="G134" s="3">
        <v>0</v>
      </c>
      <c r="H134" s="3">
        <v>16</v>
      </c>
      <c r="I134" s="3">
        <v>0</v>
      </c>
      <c r="J134" s="3">
        <v>0</v>
      </c>
      <c r="K134" s="3">
        <v>0</v>
      </c>
    </row>
    <row r="135" spans="2:11" x14ac:dyDescent="0.25">
      <c r="B135" s="2" t="s">
        <v>4937</v>
      </c>
      <c r="C135" s="2" t="s">
        <v>4938</v>
      </c>
      <c r="D135" s="3">
        <v>0</v>
      </c>
      <c r="E135" s="3">
        <v>0.14000000000000001</v>
      </c>
      <c r="F135" s="3">
        <v>0</v>
      </c>
      <c r="G135" s="3">
        <v>0</v>
      </c>
      <c r="H135" s="3">
        <v>42</v>
      </c>
      <c r="I135" s="3">
        <v>0</v>
      </c>
      <c r="J135" s="3">
        <v>0</v>
      </c>
      <c r="K135" s="3">
        <v>0</v>
      </c>
    </row>
    <row r="136" spans="2:11" x14ac:dyDescent="0.25">
      <c r="B136" s="2" t="s">
        <v>4939</v>
      </c>
      <c r="C136" s="2" t="s">
        <v>4940</v>
      </c>
      <c r="D136" s="3">
        <v>1.8</v>
      </c>
      <c r="E136" s="3">
        <v>93.3</v>
      </c>
      <c r="F136" s="3">
        <v>8</v>
      </c>
      <c r="H136" s="3">
        <v>103</v>
      </c>
      <c r="I136" s="3">
        <v>0.03</v>
      </c>
      <c r="J136" s="3">
        <v>0.06</v>
      </c>
      <c r="K136" s="3">
        <v>6.8000000000000005E-2</v>
      </c>
    </row>
    <row r="137" spans="2:11" x14ac:dyDescent="0.25">
      <c r="B137" s="2" t="s">
        <v>4941</v>
      </c>
      <c r="C137" s="2" t="s">
        <v>4942</v>
      </c>
      <c r="D137" s="3">
        <v>3.16</v>
      </c>
      <c r="E137" s="3">
        <v>8.68</v>
      </c>
      <c r="F137" s="3">
        <v>0.4</v>
      </c>
      <c r="H137" s="3">
        <v>46</v>
      </c>
      <c r="I137" s="3">
        <v>1.7789999999999999</v>
      </c>
      <c r="J137" s="3">
        <v>0.77700000000000002</v>
      </c>
      <c r="K137" s="3">
        <v>0.189</v>
      </c>
    </row>
    <row r="138" spans="2:11" x14ac:dyDescent="0.25">
      <c r="B138" s="2" t="s">
        <v>4943</v>
      </c>
      <c r="C138" s="2" t="s">
        <v>4944</v>
      </c>
      <c r="D138" s="3">
        <v>0.21</v>
      </c>
      <c r="E138" s="3">
        <v>2.92</v>
      </c>
      <c r="F138" s="3">
        <v>0</v>
      </c>
      <c r="G138" s="3">
        <v>2.5</v>
      </c>
      <c r="H138" s="3">
        <v>19</v>
      </c>
      <c r="I138" s="3">
        <v>2.0830000000000002</v>
      </c>
      <c r="J138" s="3">
        <v>0</v>
      </c>
      <c r="K138" s="3">
        <v>0</v>
      </c>
    </row>
    <row r="139" spans="2:11" x14ac:dyDescent="0.25">
      <c r="B139" s="2" t="s">
        <v>4945</v>
      </c>
      <c r="C139" s="2" t="s">
        <v>4946</v>
      </c>
      <c r="D139" s="3">
        <v>2.14</v>
      </c>
      <c r="E139" s="3">
        <v>4.2699999999999996</v>
      </c>
      <c r="F139" s="3">
        <v>0</v>
      </c>
      <c r="G139" s="3">
        <v>3.91</v>
      </c>
      <c r="H139" s="3">
        <v>34</v>
      </c>
      <c r="I139" s="3">
        <v>0</v>
      </c>
      <c r="J139" s="3">
        <v>0.29299999999999998</v>
      </c>
      <c r="K139" s="3">
        <v>3.7999999999999999E-2</v>
      </c>
    </row>
    <row r="140" spans="2:11" x14ac:dyDescent="0.25">
      <c r="B140" s="2" t="s">
        <v>4947</v>
      </c>
      <c r="C140" s="2" t="s">
        <v>4948</v>
      </c>
      <c r="D140" s="3">
        <v>0</v>
      </c>
      <c r="E140" s="3">
        <v>5</v>
      </c>
      <c r="F140" s="3">
        <v>0</v>
      </c>
      <c r="G140" s="3">
        <v>5</v>
      </c>
      <c r="H140" s="3">
        <v>5</v>
      </c>
      <c r="I140" s="3">
        <v>0</v>
      </c>
      <c r="J140" s="3">
        <v>0</v>
      </c>
      <c r="K140" s="3">
        <v>0</v>
      </c>
    </row>
    <row r="141" spans="2:11" x14ac:dyDescent="0.25">
      <c r="B141" s="2" t="s">
        <v>4949</v>
      </c>
      <c r="C141" s="2" t="s">
        <v>4950</v>
      </c>
      <c r="D141" s="3">
        <v>3.23</v>
      </c>
      <c r="E141" s="3">
        <v>11.91</v>
      </c>
      <c r="F141" s="3">
        <v>0.4</v>
      </c>
      <c r="H141" s="3">
        <v>58</v>
      </c>
      <c r="I141" s="3">
        <v>1.86</v>
      </c>
      <c r="J141" s="3">
        <v>0.82899999999999996</v>
      </c>
      <c r="K141" s="3">
        <v>0.186</v>
      </c>
    </row>
    <row r="142" spans="2:11" x14ac:dyDescent="0.25">
      <c r="B142" s="2" t="s">
        <v>4951</v>
      </c>
      <c r="C142" s="2" t="s">
        <v>4952</v>
      </c>
      <c r="D142" s="3">
        <v>1.98</v>
      </c>
      <c r="E142" s="3">
        <v>12.6</v>
      </c>
      <c r="F142" s="3">
        <v>0</v>
      </c>
      <c r="G142" s="3">
        <v>10.67</v>
      </c>
      <c r="H142" s="3">
        <v>26</v>
      </c>
      <c r="I142" s="3">
        <v>0</v>
      </c>
      <c r="J142" s="3">
        <v>0.29299999999999998</v>
      </c>
      <c r="K142" s="3">
        <v>3.7999999999999999E-2</v>
      </c>
    </row>
    <row r="143" spans="2:11" x14ac:dyDescent="0.25">
      <c r="B143" s="2" t="s">
        <v>4953</v>
      </c>
      <c r="C143" s="2" t="s">
        <v>4954</v>
      </c>
      <c r="D143" s="3">
        <v>0.3</v>
      </c>
      <c r="E143" s="3">
        <v>0.23</v>
      </c>
      <c r="F143" s="3">
        <v>0</v>
      </c>
      <c r="G143" s="3">
        <v>0</v>
      </c>
      <c r="H143" s="3">
        <v>1</v>
      </c>
      <c r="I143" s="3">
        <v>0</v>
      </c>
      <c r="J143" s="3">
        <v>0</v>
      </c>
      <c r="K143" s="3">
        <v>0</v>
      </c>
    </row>
    <row r="144" spans="2:11" x14ac:dyDescent="0.25">
      <c r="B144" s="2" t="s">
        <v>4955</v>
      </c>
      <c r="C144" s="2" t="s">
        <v>4956</v>
      </c>
      <c r="D144" s="3">
        <v>2.1</v>
      </c>
      <c r="E144" s="3">
        <v>65.099999999999994</v>
      </c>
      <c r="F144" s="3">
        <v>2.6</v>
      </c>
      <c r="G144" s="3">
        <v>49.65</v>
      </c>
      <c r="H144" s="3">
        <v>72</v>
      </c>
      <c r="I144" s="3">
        <v>0.51900000000000002</v>
      </c>
      <c r="J144" s="3">
        <v>0.28599999999999998</v>
      </c>
      <c r="K144" s="3">
        <v>2.5999999999999999E-2</v>
      </c>
    </row>
    <row r="145" spans="2:11" x14ac:dyDescent="0.25">
      <c r="B145" s="2" t="s">
        <v>4957</v>
      </c>
      <c r="C145" s="2" t="s">
        <v>4958</v>
      </c>
      <c r="D145" s="3">
        <v>3.07</v>
      </c>
      <c r="E145" s="3">
        <v>12.78</v>
      </c>
      <c r="F145" s="3">
        <v>0.3</v>
      </c>
      <c r="G145" s="3">
        <v>11.31</v>
      </c>
      <c r="H145" s="3">
        <v>47</v>
      </c>
      <c r="I145" s="3">
        <v>1.681</v>
      </c>
      <c r="J145" s="3">
        <v>0.74</v>
      </c>
      <c r="K145" s="3">
        <v>0.17199999999999999</v>
      </c>
    </row>
    <row r="146" spans="2:11" x14ac:dyDescent="0.25">
      <c r="B146" s="2" t="s">
        <v>4959</v>
      </c>
      <c r="C146" s="2" t="s">
        <v>4960</v>
      </c>
      <c r="D146" s="3">
        <v>1.48</v>
      </c>
      <c r="E146" s="3">
        <v>11.42</v>
      </c>
      <c r="F146" s="3">
        <v>0</v>
      </c>
      <c r="G146" s="3">
        <v>9.23</v>
      </c>
      <c r="H146" s="3">
        <v>31</v>
      </c>
      <c r="I146" s="3">
        <v>0</v>
      </c>
      <c r="J146" s="3">
        <v>0</v>
      </c>
      <c r="K146" s="3">
        <v>0</v>
      </c>
    </row>
    <row r="147" spans="2:11" x14ac:dyDescent="0.25">
      <c r="B147" s="2" t="s">
        <v>4961</v>
      </c>
      <c r="C147" s="2" t="s">
        <v>4962</v>
      </c>
      <c r="D147" s="3">
        <v>0</v>
      </c>
      <c r="E147" s="3">
        <v>0.15</v>
      </c>
      <c r="F147" s="3">
        <v>0</v>
      </c>
      <c r="G147" s="3">
        <v>0</v>
      </c>
      <c r="H147" s="3">
        <v>3</v>
      </c>
      <c r="I147" s="3">
        <v>0</v>
      </c>
      <c r="J147" s="3">
        <v>0</v>
      </c>
      <c r="K147" s="3">
        <v>0</v>
      </c>
    </row>
    <row r="148" spans="2:11" x14ac:dyDescent="0.25">
      <c r="B148" s="2" t="s">
        <v>4963</v>
      </c>
      <c r="C148" s="2" t="s">
        <v>4964</v>
      </c>
      <c r="D148" s="3">
        <v>0.6</v>
      </c>
      <c r="E148" s="3">
        <v>10.95</v>
      </c>
      <c r="F148" s="3">
        <v>0.4</v>
      </c>
      <c r="G148" s="3">
        <v>3.31</v>
      </c>
      <c r="H148" s="3">
        <v>362</v>
      </c>
      <c r="I148" s="3">
        <v>0</v>
      </c>
      <c r="J148" s="3">
        <v>0</v>
      </c>
      <c r="K148" s="3">
        <v>0</v>
      </c>
    </row>
    <row r="149" spans="2:11" x14ac:dyDescent="0.25">
      <c r="B149" s="2" t="s">
        <v>4965</v>
      </c>
      <c r="C149" s="2" t="s">
        <v>4966</v>
      </c>
      <c r="D149" s="3">
        <v>0</v>
      </c>
      <c r="E149" s="3">
        <v>7.16</v>
      </c>
      <c r="F149" s="3">
        <v>0</v>
      </c>
      <c r="G149" s="3">
        <v>6.87</v>
      </c>
      <c r="H149" s="3">
        <v>2</v>
      </c>
      <c r="I149" s="3">
        <v>0</v>
      </c>
      <c r="J149" s="3">
        <v>0</v>
      </c>
      <c r="K149" s="3">
        <v>0</v>
      </c>
    </row>
    <row r="150" spans="2:11" x14ac:dyDescent="0.25">
      <c r="B150" s="2" t="s">
        <v>4967</v>
      </c>
      <c r="C150" s="2" t="s">
        <v>4968</v>
      </c>
      <c r="D150" s="3">
        <v>0</v>
      </c>
      <c r="E150" s="3">
        <v>12.08</v>
      </c>
      <c r="F150" s="3">
        <v>0</v>
      </c>
      <c r="G150" s="3">
        <v>11.67</v>
      </c>
      <c r="H150" s="3">
        <v>6</v>
      </c>
      <c r="I150" s="3">
        <v>0</v>
      </c>
      <c r="J150" s="3">
        <v>0</v>
      </c>
      <c r="K150" s="3">
        <v>0</v>
      </c>
    </row>
    <row r="151" spans="2:11" x14ac:dyDescent="0.25">
      <c r="B151" s="2" t="s">
        <v>4969</v>
      </c>
      <c r="C151" s="2" t="s">
        <v>4970</v>
      </c>
      <c r="D151" s="3">
        <v>0</v>
      </c>
      <c r="E151" s="3">
        <v>0</v>
      </c>
      <c r="F151" s="3">
        <v>0</v>
      </c>
      <c r="G151" s="3">
        <v>0.93</v>
      </c>
      <c r="H151" s="3">
        <v>6</v>
      </c>
      <c r="I151" s="3">
        <v>0</v>
      </c>
      <c r="J151" s="3">
        <v>0</v>
      </c>
      <c r="K151" s="3">
        <v>0</v>
      </c>
    </row>
    <row r="152" spans="2:11" x14ac:dyDescent="0.25">
      <c r="B152" s="2" t="s">
        <v>4971</v>
      </c>
      <c r="C152" s="2" t="s">
        <v>4972</v>
      </c>
      <c r="D152" s="3">
        <v>0</v>
      </c>
      <c r="E152" s="3">
        <v>0.31</v>
      </c>
      <c r="F152" s="3">
        <v>0</v>
      </c>
      <c r="G152" s="3">
        <v>0</v>
      </c>
      <c r="H152" s="3">
        <v>26</v>
      </c>
      <c r="I152" s="3">
        <v>0</v>
      </c>
      <c r="J152" s="3">
        <v>0</v>
      </c>
      <c r="K152" s="3">
        <v>0</v>
      </c>
    </row>
    <row r="153" spans="2:11" x14ac:dyDescent="0.25">
      <c r="B153" s="2" t="s">
        <v>4973</v>
      </c>
      <c r="C153" s="2" t="s">
        <v>4974</v>
      </c>
      <c r="D153" s="3">
        <v>6.67</v>
      </c>
      <c r="E153" s="3">
        <v>83.73</v>
      </c>
      <c r="F153" s="3">
        <v>3.7</v>
      </c>
      <c r="G153" s="3">
        <v>65.55</v>
      </c>
      <c r="H153" s="3">
        <v>504</v>
      </c>
      <c r="I153" s="3">
        <v>2.3769999999999998</v>
      </c>
      <c r="J153" s="3">
        <v>1.325</v>
      </c>
      <c r="K153" s="3">
        <v>0.114</v>
      </c>
    </row>
    <row r="154" spans="2:11" x14ac:dyDescent="0.25">
      <c r="B154" s="2" t="s">
        <v>4975</v>
      </c>
      <c r="C154" s="2" t="s">
        <v>4976</v>
      </c>
      <c r="D154" s="3">
        <v>0.92</v>
      </c>
      <c r="E154" s="3">
        <v>11.54</v>
      </c>
      <c r="F154" s="3">
        <v>0.5</v>
      </c>
      <c r="G154" s="3">
        <v>9.0299999999999994</v>
      </c>
      <c r="H154" s="3">
        <v>73</v>
      </c>
      <c r="I154" s="3">
        <v>0.32800000000000001</v>
      </c>
      <c r="J154" s="3">
        <v>0.183</v>
      </c>
      <c r="K154" s="3">
        <v>1.6E-2</v>
      </c>
    </row>
    <row r="155" spans="2:11" x14ac:dyDescent="0.25">
      <c r="B155" s="2" t="s">
        <v>4977</v>
      </c>
      <c r="C155" s="2" t="s">
        <v>4978</v>
      </c>
      <c r="D155" s="3">
        <v>2.8</v>
      </c>
      <c r="E155" s="3">
        <v>75</v>
      </c>
      <c r="F155" s="3">
        <v>3.7</v>
      </c>
      <c r="G155" s="3">
        <v>65</v>
      </c>
      <c r="H155" s="3">
        <v>800</v>
      </c>
      <c r="I155" s="3">
        <v>15</v>
      </c>
    </row>
    <row r="156" spans="2:11" x14ac:dyDescent="0.25">
      <c r="B156" s="2" t="s">
        <v>4979</v>
      </c>
      <c r="C156" s="2" t="s">
        <v>4980</v>
      </c>
      <c r="D156" s="3">
        <v>15.49</v>
      </c>
      <c r="E156" s="3">
        <v>71.930000000000007</v>
      </c>
      <c r="F156" s="3">
        <v>7.5</v>
      </c>
      <c r="G156" s="3">
        <v>37.65</v>
      </c>
      <c r="H156" s="3">
        <v>876</v>
      </c>
      <c r="I156" s="3">
        <v>1.7769999999999999</v>
      </c>
      <c r="J156" s="3">
        <v>0.97899999999999998</v>
      </c>
      <c r="K156" s="3">
        <v>8.7999999999999995E-2</v>
      </c>
    </row>
    <row r="157" spans="2:11" x14ac:dyDescent="0.25">
      <c r="B157" s="2" t="s">
        <v>4981</v>
      </c>
      <c r="C157" s="2" t="s">
        <v>4982</v>
      </c>
      <c r="D157" s="3">
        <v>3</v>
      </c>
      <c r="E157" s="3">
        <v>75</v>
      </c>
      <c r="F157" s="3">
        <v>4</v>
      </c>
      <c r="G157" s="3">
        <v>60</v>
      </c>
      <c r="H157" s="3">
        <v>850</v>
      </c>
      <c r="I157" s="3">
        <v>10</v>
      </c>
    </row>
    <row r="158" spans="2:11" x14ac:dyDescent="0.25">
      <c r="B158" s="2" t="s">
        <v>4983</v>
      </c>
      <c r="C158" s="2" t="s">
        <v>4984</v>
      </c>
      <c r="D158" s="3">
        <v>0</v>
      </c>
      <c r="E158" s="3">
        <v>10.8</v>
      </c>
      <c r="F158" s="3">
        <v>0</v>
      </c>
      <c r="G158" s="3">
        <v>9.49</v>
      </c>
      <c r="H158" s="3">
        <v>3</v>
      </c>
      <c r="I158" s="3">
        <v>0</v>
      </c>
      <c r="J158" s="3">
        <v>0</v>
      </c>
      <c r="K158" s="3">
        <v>0</v>
      </c>
    </row>
    <row r="159" spans="2:11" x14ac:dyDescent="0.25">
      <c r="B159" s="2" t="s">
        <v>4985</v>
      </c>
      <c r="C159" s="2" t="s">
        <v>4986</v>
      </c>
      <c r="D159" s="3">
        <v>0.1</v>
      </c>
      <c r="E159" s="3">
        <v>0</v>
      </c>
      <c r="F159" s="3">
        <v>0</v>
      </c>
      <c r="G159" s="3">
        <v>0</v>
      </c>
      <c r="H159" s="3">
        <v>2</v>
      </c>
      <c r="I159" s="3">
        <v>2E-3</v>
      </c>
      <c r="J159" s="3">
        <v>0</v>
      </c>
      <c r="K159" s="3">
        <v>2E-3</v>
      </c>
    </row>
    <row r="160" spans="2:11" x14ac:dyDescent="0.25">
      <c r="B160" s="2" t="s">
        <v>4987</v>
      </c>
      <c r="C160" s="2" t="s">
        <v>4988</v>
      </c>
      <c r="D160" s="3">
        <v>0.1</v>
      </c>
      <c r="E160" s="3">
        <v>1.69</v>
      </c>
      <c r="F160" s="3">
        <v>0</v>
      </c>
      <c r="G160" s="3">
        <v>0</v>
      </c>
      <c r="H160" s="3">
        <v>14</v>
      </c>
      <c r="I160" s="3">
        <v>9.1999999999999998E-2</v>
      </c>
      <c r="J160" s="3">
        <v>0</v>
      </c>
      <c r="K160" s="3">
        <v>9.1999999999999998E-2</v>
      </c>
    </row>
    <row r="161" spans="2:11" x14ac:dyDescent="0.25">
      <c r="B161" s="2" t="s">
        <v>4989</v>
      </c>
      <c r="C161" s="2" t="s">
        <v>4990</v>
      </c>
      <c r="D161" s="3">
        <v>14.42</v>
      </c>
      <c r="E161" s="3">
        <v>73.180000000000007</v>
      </c>
      <c r="F161" s="3">
        <v>0</v>
      </c>
      <c r="G161" s="3">
        <v>0</v>
      </c>
      <c r="H161" s="3">
        <v>37</v>
      </c>
      <c r="I161" s="3">
        <v>0.19700000000000001</v>
      </c>
      <c r="J161" s="3">
        <v>4.1000000000000002E-2</v>
      </c>
      <c r="K161" s="3">
        <v>0.19600000000000001</v>
      </c>
    </row>
    <row r="162" spans="2:11" x14ac:dyDescent="0.25">
      <c r="B162" s="2" t="s">
        <v>4991</v>
      </c>
      <c r="C162" s="2" t="s">
        <v>4992</v>
      </c>
      <c r="D162" s="3">
        <v>9</v>
      </c>
      <c r="E162" s="3">
        <v>71.400000000000006</v>
      </c>
      <c r="F162" s="3">
        <v>4.8</v>
      </c>
      <c r="G162" s="3">
        <v>34.979999999999997</v>
      </c>
      <c r="H162" s="3">
        <v>500</v>
      </c>
      <c r="I162" s="3">
        <v>11.375999999999999</v>
      </c>
      <c r="J162" s="3">
        <v>0.95399999999999996</v>
      </c>
      <c r="K162" s="3">
        <v>0.34899999999999998</v>
      </c>
    </row>
    <row r="163" spans="2:11" x14ac:dyDescent="0.25">
      <c r="B163" s="2" t="s">
        <v>4993</v>
      </c>
      <c r="C163" s="2" t="s">
        <v>4994</v>
      </c>
      <c r="D163" s="3">
        <v>0</v>
      </c>
      <c r="E163" s="3">
        <v>6.2</v>
      </c>
      <c r="F163" s="3">
        <v>0</v>
      </c>
      <c r="G163" s="3">
        <v>5.32</v>
      </c>
      <c r="H163" s="3">
        <v>21</v>
      </c>
      <c r="I163" s="3">
        <v>0</v>
      </c>
      <c r="J163" s="3">
        <v>0</v>
      </c>
      <c r="K163" s="3">
        <v>0</v>
      </c>
    </row>
    <row r="164" spans="2:11" x14ac:dyDescent="0.25">
      <c r="B164" s="2" t="s">
        <v>4995</v>
      </c>
      <c r="C164" s="2" t="s">
        <v>4996</v>
      </c>
      <c r="D164" s="3">
        <v>0</v>
      </c>
      <c r="E164" s="3">
        <v>0.41</v>
      </c>
      <c r="F164" s="3">
        <v>0</v>
      </c>
      <c r="G164" s="3">
        <v>0</v>
      </c>
      <c r="H164" s="3">
        <v>1</v>
      </c>
      <c r="I164" s="3">
        <v>0</v>
      </c>
      <c r="J164" s="3">
        <v>0</v>
      </c>
      <c r="K164" s="3">
        <v>0</v>
      </c>
    </row>
    <row r="165" spans="2:11" x14ac:dyDescent="0.25">
      <c r="B165" s="2" t="s">
        <v>4997</v>
      </c>
      <c r="C165" s="2" t="s">
        <v>4998</v>
      </c>
      <c r="D165" s="3">
        <v>0.12</v>
      </c>
      <c r="E165" s="3">
        <v>0</v>
      </c>
      <c r="F165" s="3">
        <v>0</v>
      </c>
      <c r="G165" s="3">
        <v>0</v>
      </c>
      <c r="H165" s="3">
        <v>2</v>
      </c>
      <c r="I165" s="3">
        <v>2E-3</v>
      </c>
      <c r="J165" s="3">
        <v>1.4999999999999999E-2</v>
      </c>
      <c r="K165" s="3">
        <v>1E-3</v>
      </c>
    </row>
    <row r="166" spans="2:11" x14ac:dyDescent="0.25">
      <c r="B166" s="2" t="s">
        <v>4999</v>
      </c>
      <c r="C166" s="2" t="s">
        <v>5000</v>
      </c>
      <c r="D166" s="3">
        <v>0.12</v>
      </c>
      <c r="E166" s="3">
        <v>1.67</v>
      </c>
      <c r="F166" s="3">
        <v>0</v>
      </c>
      <c r="G166" s="3">
        <v>0</v>
      </c>
      <c r="H166" s="3">
        <v>14</v>
      </c>
      <c r="I166" s="3">
        <v>9.1999999999999998E-2</v>
      </c>
      <c r="J166" s="3">
        <v>0</v>
      </c>
      <c r="K166" s="3">
        <v>9.1999999999999998E-2</v>
      </c>
    </row>
    <row r="167" spans="2:11" x14ac:dyDescent="0.25">
      <c r="B167" s="2" t="s">
        <v>5001</v>
      </c>
      <c r="C167" s="2" t="s">
        <v>5002</v>
      </c>
      <c r="D167" s="3">
        <v>0</v>
      </c>
      <c r="E167" s="3">
        <v>0.22</v>
      </c>
      <c r="F167" s="3">
        <v>0</v>
      </c>
      <c r="G167" s="3">
        <v>0</v>
      </c>
      <c r="H167" s="3">
        <v>17</v>
      </c>
      <c r="I167" s="3">
        <v>0</v>
      </c>
      <c r="J167" s="3">
        <v>0</v>
      </c>
      <c r="K167" s="3">
        <v>0</v>
      </c>
    </row>
    <row r="168" spans="2:11" x14ac:dyDescent="0.25">
      <c r="B168" s="2" t="s">
        <v>5003</v>
      </c>
      <c r="C168" s="2" t="s">
        <v>5004</v>
      </c>
      <c r="D168" s="3">
        <v>12.2</v>
      </c>
      <c r="E168" s="3">
        <v>75.400000000000006</v>
      </c>
      <c r="F168" s="3">
        <v>0</v>
      </c>
      <c r="G168" s="3">
        <v>0</v>
      </c>
      <c r="H168" s="3">
        <v>37</v>
      </c>
      <c r="I168" s="3">
        <v>0.19700000000000001</v>
      </c>
      <c r="J168" s="3">
        <v>4.1000000000000002E-2</v>
      </c>
      <c r="K168" s="3">
        <v>0.19600000000000001</v>
      </c>
    </row>
    <row r="169" spans="2:11" x14ac:dyDescent="0.25">
      <c r="B169" s="2" t="s">
        <v>5005</v>
      </c>
      <c r="C169" s="2" t="s">
        <v>5006</v>
      </c>
      <c r="D169" s="3">
        <v>0.1</v>
      </c>
      <c r="E169" s="3">
        <v>0.34</v>
      </c>
      <c r="F169" s="3">
        <v>0</v>
      </c>
      <c r="G169" s="3">
        <v>0</v>
      </c>
      <c r="H169" s="3">
        <v>4</v>
      </c>
      <c r="I169" s="3">
        <v>2E-3</v>
      </c>
      <c r="J169" s="3">
        <v>0</v>
      </c>
      <c r="K169" s="3">
        <v>2E-3</v>
      </c>
    </row>
    <row r="170" spans="2:11" x14ac:dyDescent="0.25">
      <c r="B170" s="2" t="s">
        <v>5007</v>
      </c>
      <c r="C170" s="2" t="s">
        <v>5008</v>
      </c>
      <c r="D170" s="3">
        <v>0</v>
      </c>
      <c r="E170" s="3">
        <v>3.75</v>
      </c>
      <c r="F170" s="3">
        <v>0</v>
      </c>
      <c r="G170" s="3">
        <v>3.75</v>
      </c>
      <c r="H170" s="3">
        <v>8</v>
      </c>
      <c r="I170" s="3">
        <v>0</v>
      </c>
      <c r="J170" s="3">
        <v>0</v>
      </c>
      <c r="K170" s="3">
        <v>0</v>
      </c>
    </row>
    <row r="171" spans="2:11" x14ac:dyDescent="0.25">
      <c r="B171" s="2" t="s">
        <v>5009</v>
      </c>
      <c r="C171" s="2" t="s">
        <v>5010</v>
      </c>
      <c r="D171" s="3">
        <v>0.21</v>
      </c>
      <c r="E171" s="3">
        <v>13.16</v>
      </c>
      <c r="F171" s="3">
        <v>0.6</v>
      </c>
      <c r="G171" s="3">
        <v>12.6</v>
      </c>
      <c r="H171" s="3">
        <v>19</v>
      </c>
      <c r="I171" s="3">
        <v>1E-3</v>
      </c>
      <c r="J171" s="3">
        <v>1E-3</v>
      </c>
      <c r="K171" s="3">
        <v>1E-3</v>
      </c>
    </row>
    <row r="172" spans="2:11" x14ac:dyDescent="0.25">
      <c r="B172" s="2" t="s">
        <v>5011</v>
      </c>
      <c r="C172" s="2" t="s">
        <v>5012</v>
      </c>
      <c r="D172" s="3">
        <v>11.6</v>
      </c>
      <c r="E172" s="3">
        <v>76</v>
      </c>
      <c r="F172" s="3">
        <v>0</v>
      </c>
      <c r="G172" s="3">
        <v>0</v>
      </c>
      <c r="H172" s="3">
        <v>23</v>
      </c>
      <c r="I172" s="3">
        <v>0.10100000000000001</v>
      </c>
      <c r="J172" s="3">
        <v>2.1000000000000001E-2</v>
      </c>
      <c r="K172" s="3">
        <v>0.10100000000000001</v>
      </c>
    </row>
    <row r="173" spans="2:11" x14ac:dyDescent="0.25">
      <c r="B173" s="2" t="s">
        <v>5013</v>
      </c>
      <c r="C173" s="2" t="s">
        <v>5014</v>
      </c>
      <c r="D173" s="3">
        <v>0.12</v>
      </c>
      <c r="E173" s="3">
        <v>0.43</v>
      </c>
      <c r="F173" s="3">
        <v>0</v>
      </c>
      <c r="G173" s="3">
        <v>0</v>
      </c>
      <c r="H173" s="3">
        <v>4</v>
      </c>
      <c r="I173" s="3">
        <v>1E-3</v>
      </c>
      <c r="J173" s="3">
        <v>0</v>
      </c>
      <c r="K173" s="3">
        <v>1E-3</v>
      </c>
    </row>
    <row r="174" spans="2:11" x14ac:dyDescent="0.25">
      <c r="B174" s="2" t="s">
        <v>5015</v>
      </c>
      <c r="C174" s="2" t="s">
        <v>5016</v>
      </c>
      <c r="D174" s="3">
        <v>0.28999999999999998</v>
      </c>
      <c r="E174" s="3">
        <v>13.68</v>
      </c>
      <c r="F174" s="3">
        <v>0.6</v>
      </c>
      <c r="G174" s="3">
        <v>13.12</v>
      </c>
      <c r="H174" s="3">
        <v>19</v>
      </c>
      <c r="I174" s="3">
        <v>1E-3</v>
      </c>
      <c r="J174" s="3">
        <v>1E-3</v>
      </c>
      <c r="K174" s="3">
        <v>1E-3</v>
      </c>
    </row>
    <row r="175" spans="2:11" x14ac:dyDescent="0.25">
      <c r="B175" s="2" t="s">
        <v>5017</v>
      </c>
      <c r="C175" s="2" t="s">
        <v>5018</v>
      </c>
      <c r="D175" s="3">
        <v>7.0000000000000007E-2</v>
      </c>
      <c r="E175" s="3">
        <v>0.8</v>
      </c>
      <c r="F175" s="3">
        <v>0.6</v>
      </c>
      <c r="G175" s="3">
        <v>0.25</v>
      </c>
      <c r="H175" s="3">
        <v>7</v>
      </c>
      <c r="I175" s="3">
        <v>1E-3</v>
      </c>
      <c r="J175" s="3">
        <v>1E-3</v>
      </c>
      <c r="K175" s="3">
        <v>1E-3</v>
      </c>
    </row>
    <row r="176" spans="2:11" x14ac:dyDescent="0.25">
      <c r="B176" s="2" t="s">
        <v>5019</v>
      </c>
      <c r="C176" s="2" t="s">
        <v>5020</v>
      </c>
      <c r="D176" s="3">
        <v>9.3000000000000007</v>
      </c>
      <c r="E176" s="3">
        <v>78.900000000000006</v>
      </c>
      <c r="F176" s="3">
        <v>0.5</v>
      </c>
      <c r="H176" s="3">
        <v>277</v>
      </c>
      <c r="I176" s="3">
        <v>7.0999999999999994E-2</v>
      </c>
      <c r="J176" s="3">
        <v>1.4999999999999999E-2</v>
      </c>
      <c r="K176" s="3">
        <v>7.0000000000000007E-2</v>
      </c>
    </row>
    <row r="177" spans="2:11" x14ac:dyDescent="0.25">
      <c r="B177" s="2" t="s">
        <v>5021</v>
      </c>
      <c r="C177" s="2" t="s">
        <v>5022</v>
      </c>
      <c r="D177" s="3">
        <v>0.09</v>
      </c>
      <c r="E177" s="3">
        <v>0.75</v>
      </c>
      <c r="F177" s="3">
        <v>0</v>
      </c>
      <c r="G177" s="3">
        <v>0</v>
      </c>
      <c r="H177" s="3">
        <v>7</v>
      </c>
      <c r="I177" s="3">
        <v>1E-3</v>
      </c>
      <c r="J177" s="3">
        <v>0</v>
      </c>
      <c r="K177" s="3">
        <v>1E-3</v>
      </c>
    </row>
    <row r="178" spans="2:11" x14ac:dyDescent="0.25">
      <c r="B178" s="2" t="s">
        <v>5023</v>
      </c>
      <c r="C178" s="2" t="s">
        <v>5024</v>
      </c>
      <c r="D178" s="3">
        <v>5.29</v>
      </c>
      <c r="E178" s="3">
        <v>74.040000000000006</v>
      </c>
      <c r="F178" s="3">
        <v>1.9</v>
      </c>
      <c r="G178" s="3">
        <v>58.2</v>
      </c>
      <c r="H178" s="3">
        <v>317</v>
      </c>
      <c r="I178" s="3">
        <v>4.9340000000000002</v>
      </c>
      <c r="J178" s="3">
        <v>8.9339999999999993</v>
      </c>
      <c r="K178" s="3">
        <v>1.0529999999999999</v>
      </c>
    </row>
    <row r="179" spans="2:11" x14ac:dyDescent="0.25">
      <c r="B179" s="2" t="s">
        <v>5025</v>
      </c>
      <c r="C179" s="2" t="s">
        <v>5026</v>
      </c>
      <c r="D179" s="3">
        <v>0.73</v>
      </c>
      <c r="E179" s="3">
        <v>5.77</v>
      </c>
      <c r="F179" s="3">
        <v>0.7</v>
      </c>
      <c r="G179" s="3">
        <v>5.0199999999999996</v>
      </c>
      <c r="H179" s="3">
        <v>2</v>
      </c>
      <c r="I179" s="3">
        <v>1E-3</v>
      </c>
      <c r="J179" s="3">
        <v>1E-3</v>
      </c>
      <c r="K179" s="3">
        <v>1E-3</v>
      </c>
    </row>
    <row r="180" spans="2:11" x14ac:dyDescent="0.25">
      <c r="B180" s="2" t="s">
        <v>5027</v>
      </c>
      <c r="C180" s="2" t="s">
        <v>5028</v>
      </c>
      <c r="D180" s="3">
        <v>0.22</v>
      </c>
      <c r="E180" s="3">
        <v>11.98</v>
      </c>
      <c r="F180" s="3">
        <v>0.6</v>
      </c>
      <c r="G180" s="3">
        <v>11.42</v>
      </c>
      <c r="H180" s="3">
        <v>3</v>
      </c>
      <c r="I180" s="3">
        <v>1E-3</v>
      </c>
      <c r="J180" s="3">
        <v>2E-3</v>
      </c>
      <c r="K180" s="3">
        <v>1E-3</v>
      </c>
    </row>
    <row r="181" spans="2:11" x14ac:dyDescent="0.25">
      <c r="B181" s="2" t="s">
        <v>5029</v>
      </c>
      <c r="C181" s="2" t="s">
        <v>5030</v>
      </c>
      <c r="D181" s="3">
        <v>2.5</v>
      </c>
      <c r="E181" s="3">
        <v>74.599999999999994</v>
      </c>
      <c r="F181" s="3">
        <v>1.4</v>
      </c>
      <c r="G181" s="3">
        <v>54.3</v>
      </c>
      <c r="H181" s="3">
        <v>399</v>
      </c>
      <c r="I181" s="3">
        <v>4.5999999999999996</v>
      </c>
    </row>
    <row r="182" spans="2:11" x14ac:dyDescent="0.25">
      <c r="B182" s="2" t="s">
        <v>5031</v>
      </c>
      <c r="C182" s="2" t="s">
        <v>5032</v>
      </c>
      <c r="D182" s="3">
        <v>0.28000000000000003</v>
      </c>
      <c r="E182" s="3">
        <v>11.96</v>
      </c>
      <c r="F182" s="3">
        <v>0.6</v>
      </c>
      <c r="G182" s="3">
        <v>11.4</v>
      </c>
      <c r="H182" s="3">
        <v>14</v>
      </c>
      <c r="I182" s="3">
        <v>1E-3</v>
      </c>
      <c r="J182" s="3">
        <v>1E-3</v>
      </c>
      <c r="K182" s="3">
        <v>1E-3</v>
      </c>
    </row>
    <row r="183" spans="2:11" x14ac:dyDescent="0.25">
      <c r="B183" s="2" t="s">
        <v>5033</v>
      </c>
      <c r="C183" s="2" t="s">
        <v>5034</v>
      </c>
      <c r="D183" s="3">
        <v>7.0000000000000007E-2</v>
      </c>
      <c r="E183" s="3">
        <v>11.12</v>
      </c>
      <c r="F183" s="3">
        <v>0.6</v>
      </c>
      <c r="G183" s="3">
        <v>10.4</v>
      </c>
      <c r="H183" s="3">
        <v>52</v>
      </c>
      <c r="I183" s="3">
        <v>1E-3</v>
      </c>
      <c r="J183" s="3">
        <v>1E-3</v>
      </c>
      <c r="K183" s="3">
        <v>1E-3</v>
      </c>
    </row>
    <row r="184" spans="2:11" x14ac:dyDescent="0.25">
      <c r="B184" s="2" t="s">
        <v>5035</v>
      </c>
      <c r="C184" s="2" t="s">
        <v>5036</v>
      </c>
      <c r="D184" s="3">
        <v>0.21</v>
      </c>
      <c r="E184" s="3">
        <v>0.7</v>
      </c>
      <c r="F184" s="3">
        <v>0.6</v>
      </c>
      <c r="G184" s="3">
        <v>0.22</v>
      </c>
      <c r="H184" s="3">
        <v>8</v>
      </c>
      <c r="I184" s="3">
        <v>1E-3</v>
      </c>
      <c r="J184" s="3">
        <v>1E-3</v>
      </c>
      <c r="K184" s="3">
        <v>1E-3</v>
      </c>
    </row>
    <row r="185" spans="2:11" x14ac:dyDescent="0.25">
      <c r="B185" s="2" t="s">
        <v>5037</v>
      </c>
      <c r="C185" s="2" t="s">
        <v>5038</v>
      </c>
      <c r="D185" s="3">
        <v>6.01</v>
      </c>
      <c r="E185" s="3">
        <v>78.42</v>
      </c>
      <c r="F185" s="3">
        <v>23.3</v>
      </c>
      <c r="G185" s="3">
        <v>4.63</v>
      </c>
      <c r="H185" s="3">
        <v>83</v>
      </c>
      <c r="I185" s="3">
        <v>0.60299999999999998</v>
      </c>
      <c r="J185" s="3">
        <v>0.35599999999999998</v>
      </c>
      <c r="K185" s="3">
        <v>1.2250000000000001</v>
      </c>
    </row>
    <row r="186" spans="2:11" x14ac:dyDescent="0.25">
      <c r="B186" s="2" t="s">
        <v>5039</v>
      </c>
      <c r="C186" s="2" t="s">
        <v>5040</v>
      </c>
      <c r="D186" s="3">
        <v>0.1</v>
      </c>
      <c r="E186" s="3">
        <v>1.3</v>
      </c>
      <c r="F186" s="3">
        <v>0.4</v>
      </c>
      <c r="G186" s="3">
        <v>0.08</v>
      </c>
      <c r="H186" s="3">
        <v>5</v>
      </c>
      <c r="I186" s="3">
        <v>0.01</v>
      </c>
      <c r="J186" s="3">
        <v>6.0000000000000001E-3</v>
      </c>
      <c r="K186" s="3">
        <v>0.02</v>
      </c>
    </row>
    <row r="187" spans="2:11" x14ac:dyDescent="0.25">
      <c r="B187" s="2" t="s">
        <v>5041</v>
      </c>
      <c r="C187" s="2" t="s">
        <v>5042</v>
      </c>
      <c r="D187" s="3">
        <v>0</v>
      </c>
      <c r="E187" s="3">
        <v>15.85</v>
      </c>
      <c r="F187" s="3">
        <v>0</v>
      </c>
      <c r="G187" s="3">
        <v>14.5</v>
      </c>
      <c r="H187" s="3">
        <v>2</v>
      </c>
      <c r="I187" s="3">
        <v>1.2999999999999999E-2</v>
      </c>
      <c r="J187" s="3">
        <v>1.4E-2</v>
      </c>
      <c r="K187" s="3">
        <v>5.1999999999999998E-2</v>
      </c>
    </row>
    <row r="188" spans="2:11" x14ac:dyDescent="0.25">
      <c r="B188" s="2" t="s">
        <v>5043</v>
      </c>
      <c r="C188" s="2" t="s">
        <v>5044</v>
      </c>
      <c r="D188" s="3">
        <v>0</v>
      </c>
      <c r="E188" s="3">
        <v>10.07</v>
      </c>
      <c r="F188" s="3">
        <v>0</v>
      </c>
      <c r="G188" s="3">
        <v>9.77</v>
      </c>
      <c r="H188" s="3">
        <v>5</v>
      </c>
      <c r="I188" s="3">
        <v>0</v>
      </c>
      <c r="J188" s="3">
        <v>0</v>
      </c>
      <c r="K188" s="3">
        <v>0</v>
      </c>
    </row>
    <row r="189" spans="2:11" x14ac:dyDescent="0.25">
      <c r="B189" s="2" t="s">
        <v>5045</v>
      </c>
      <c r="C189" s="2" t="s">
        <v>5046</v>
      </c>
      <c r="D189" s="3">
        <v>0.2</v>
      </c>
      <c r="E189" s="3">
        <v>16.2</v>
      </c>
      <c r="F189" s="3">
        <v>0.1</v>
      </c>
      <c r="H189" s="3">
        <v>2</v>
      </c>
      <c r="I189" s="3">
        <v>0</v>
      </c>
      <c r="J189" s="3">
        <v>0</v>
      </c>
      <c r="K189" s="3">
        <v>0</v>
      </c>
    </row>
    <row r="190" spans="2:11" x14ac:dyDescent="0.25">
      <c r="B190" s="2" t="s">
        <v>5047</v>
      </c>
      <c r="C190" s="2" t="s">
        <v>5048</v>
      </c>
      <c r="D190" s="3">
        <v>0.2</v>
      </c>
      <c r="E190" s="3">
        <v>14</v>
      </c>
      <c r="F190" s="3">
        <v>0.1</v>
      </c>
      <c r="H190" s="3">
        <v>3</v>
      </c>
      <c r="I190" s="3">
        <v>3.3000000000000002E-2</v>
      </c>
      <c r="J190" s="3">
        <v>4.0000000000000001E-3</v>
      </c>
      <c r="K190" s="3">
        <v>2.3E-2</v>
      </c>
    </row>
    <row r="191" spans="2:11" x14ac:dyDescent="0.25">
      <c r="B191" s="2" t="s">
        <v>5049</v>
      </c>
      <c r="C191" s="2" t="s">
        <v>5050</v>
      </c>
      <c r="D191" s="3">
        <v>0</v>
      </c>
      <c r="E191" s="3">
        <v>13.52</v>
      </c>
      <c r="F191" s="3">
        <v>0</v>
      </c>
      <c r="G191" s="3">
        <v>11.87</v>
      </c>
      <c r="H191" s="3">
        <v>2</v>
      </c>
      <c r="I191" s="3">
        <v>8.9999999999999993E-3</v>
      </c>
      <c r="J191" s="3">
        <v>1.9E-2</v>
      </c>
      <c r="K191" s="3">
        <v>5.8999999999999997E-2</v>
      </c>
    </row>
    <row r="192" spans="2:11" x14ac:dyDescent="0.25">
      <c r="B192" s="2" t="s">
        <v>5051</v>
      </c>
      <c r="C192" s="2" t="s">
        <v>5052</v>
      </c>
      <c r="D192" s="3">
        <v>0.02</v>
      </c>
      <c r="E192" s="3">
        <v>4.5999999999999996</v>
      </c>
      <c r="F192" s="3">
        <v>0</v>
      </c>
      <c r="G192" s="3">
        <v>4.59</v>
      </c>
      <c r="H192" s="3">
        <v>3</v>
      </c>
      <c r="I192" s="3">
        <v>0</v>
      </c>
      <c r="J192" s="3">
        <v>0</v>
      </c>
      <c r="K192" s="3">
        <v>0</v>
      </c>
    </row>
    <row r="193" spans="2:11" x14ac:dyDescent="0.25">
      <c r="B193" s="2" t="s">
        <v>5053</v>
      </c>
      <c r="C193" s="2" t="s">
        <v>5054</v>
      </c>
      <c r="D193" s="3">
        <v>2.93</v>
      </c>
      <c r="E193" s="3">
        <v>14.2</v>
      </c>
      <c r="F193" s="3">
        <v>0</v>
      </c>
      <c r="G193" s="3">
        <v>12.66</v>
      </c>
      <c r="H193" s="3">
        <v>55</v>
      </c>
      <c r="I193" s="3">
        <v>1.7010000000000001</v>
      </c>
      <c r="J193" s="3">
        <v>0.76700000000000002</v>
      </c>
      <c r="K193" s="3">
        <v>0.186</v>
      </c>
    </row>
    <row r="194" spans="2:11" x14ac:dyDescent="0.25">
      <c r="B194" s="2" t="s">
        <v>5055</v>
      </c>
      <c r="C194" s="2" t="s">
        <v>5056</v>
      </c>
      <c r="D194" s="3">
        <v>0</v>
      </c>
      <c r="E194" s="3">
        <v>94.45</v>
      </c>
      <c r="F194" s="3">
        <v>0</v>
      </c>
      <c r="G194" s="3">
        <v>0</v>
      </c>
      <c r="H194" s="3">
        <v>0</v>
      </c>
      <c r="I194" s="3">
        <v>0</v>
      </c>
      <c r="J194" s="3">
        <v>0</v>
      </c>
      <c r="K194" s="3">
        <v>0</v>
      </c>
    </row>
    <row r="195" spans="2:11" x14ac:dyDescent="0.25">
      <c r="B195" s="2" t="s">
        <v>5057</v>
      </c>
      <c r="C195" s="2" t="s">
        <v>5058</v>
      </c>
      <c r="D195" s="3">
        <v>0</v>
      </c>
      <c r="E195" s="3">
        <v>0</v>
      </c>
      <c r="F195" s="3">
        <v>0</v>
      </c>
      <c r="G195" s="3">
        <v>0</v>
      </c>
      <c r="H195" s="3">
        <v>2</v>
      </c>
      <c r="I195" s="3">
        <v>0</v>
      </c>
      <c r="J195" s="3">
        <v>0</v>
      </c>
      <c r="K195" s="3">
        <v>0</v>
      </c>
    </row>
    <row r="196" spans="2:11" x14ac:dyDescent="0.25">
      <c r="B196" s="2" t="s">
        <v>5059</v>
      </c>
      <c r="C196" s="2" t="s">
        <v>5060</v>
      </c>
      <c r="D196" s="3">
        <v>0.25</v>
      </c>
      <c r="E196" s="3">
        <v>0.77</v>
      </c>
      <c r="F196" s="3">
        <v>0</v>
      </c>
      <c r="G196" s="3">
        <v>0.09</v>
      </c>
      <c r="H196" s="3">
        <v>4</v>
      </c>
      <c r="I196" s="3">
        <v>0</v>
      </c>
      <c r="J196" s="3">
        <v>0</v>
      </c>
      <c r="K196" s="3">
        <v>0</v>
      </c>
    </row>
    <row r="197" spans="2:11" x14ac:dyDescent="0.25">
      <c r="B197" s="2" t="s">
        <v>5061</v>
      </c>
      <c r="C197" s="2" t="s">
        <v>5062</v>
      </c>
      <c r="D197" s="3">
        <v>0</v>
      </c>
      <c r="E197" s="3">
        <v>5.92</v>
      </c>
      <c r="F197" s="3">
        <v>0</v>
      </c>
      <c r="G197" s="3">
        <v>5.92</v>
      </c>
      <c r="H197" s="3">
        <v>4</v>
      </c>
      <c r="I197" s="3">
        <v>0</v>
      </c>
      <c r="J197" s="3">
        <v>0</v>
      </c>
      <c r="K197" s="3">
        <v>0</v>
      </c>
    </row>
    <row r="198" spans="2:11" x14ac:dyDescent="0.25">
      <c r="B198" s="2" t="s">
        <v>5063</v>
      </c>
      <c r="C198" s="2" t="s">
        <v>5064</v>
      </c>
      <c r="D198" s="3">
        <v>0.9</v>
      </c>
      <c r="E198" s="3">
        <v>0.27</v>
      </c>
      <c r="F198" s="3">
        <v>0</v>
      </c>
      <c r="G198" s="3">
        <v>0</v>
      </c>
      <c r="H198" s="3">
        <v>4</v>
      </c>
      <c r="I198" s="3">
        <v>0</v>
      </c>
      <c r="J198" s="3">
        <v>0</v>
      </c>
      <c r="K198" s="3">
        <v>0</v>
      </c>
    </row>
    <row r="199" spans="2:11" x14ac:dyDescent="0.25">
      <c r="B199" s="2" t="s">
        <v>5065</v>
      </c>
      <c r="C199" s="2" t="s">
        <v>5066</v>
      </c>
      <c r="D199" s="3">
        <v>0.35</v>
      </c>
      <c r="E199" s="3">
        <v>0</v>
      </c>
      <c r="F199" s="3">
        <v>0</v>
      </c>
      <c r="G199" s="3">
        <v>0</v>
      </c>
      <c r="H199" s="3">
        <v>3</v>
      </c>
      <c r="I199" s="3">
        <v>0</v>
      </c>
      <c r="J199" s="3">
        <v>0</v>
      </c>
      <c r="K199" s="3">
        <v>0</v>
      </c>
    </row>
    <row r="200" spans="2:11" x14ac:dyDescent="0.25">
      <c r="B200" s="2" t="s">
        <v>5067</v>
      </c>
      <c r="C200" s="2" t="s">
        <v>5068</v>
      </c>
      <c r="D200" s="3">
        <v>0.36</v>
      </c>
      <c r="E200" s="3">
        <v>3.8</v>
      </c>
      <c r="F200" s="3">
        <v>0</v>
      </c>
      <c r="G200" s="3">
        <v>3.8</v>
      </c>
      <c r="H200" s="3">
        <v>5</v>
      </c>
      <c r="I200" s="3">
        <v>0</v>
      </c>
      <c r="J200" s="3">
        <v>0</v>
      </c>
      <c r="K200" s="3">
        <v>0</v>
      </c>
    </row>
    <row r="201" spans="2:11" x14ac:dyDescent="0.25">
      <c r="B201" s="2" t="s">
        <v>5069</v>
      </c>
      <c r="C201" s="2" t="s">
        <v>5070</v>
      </c>
      <c r="D201" s="3">
        <v>7.0000000000000007E-2</v>
      </c>
      <c r="E201" s="3">
        <v>12.56</v>
      </c>
      <c r="F201" s="3">
        <v>0.6</v>
      </c>
      <c r="G201" s="3">
        <v>12</v>
      </c>
      <c r="H201" s="3">
        <v>12</v>
      </c>
      <c r="I201" s="3">
        <v>1E-3</v>
      </c>
      <c r="J201" s="3">
        <v>1E-3</v>
      </c>
      <c r="K201" s="3">
        <v>1E-3</v>
      </c>
    </row>
    <row r="202" spans="2:11" x14ac:dyDescent="0.25">
      <c r="B202" s="2" t="s">
        <v>5071</v>
      </c>
      <c r="C202" s="2" t="s">
        <v>5072</v>
      </c>
      <c r="D202" s="3">
        <v>0.19</v>
      </c>
      <c r="E202" s="3">
        <v>12.76</v>
      </c>
      <c r="F202" s="3">
        <v>0.6</v>
      </c>
      <c r="G202" s="3">
        <v>12.2</v>
      </c>
      <c r="H202" s="3">
        <v>7</v>
      </c>
      <c r="I202" s="3">
        <v>1E-3</v>
      </c>
      <c r="J202" s="3">
        <v>1E-3</v>
      </c>
      <c r="K202" s="3">
        <v>1E-3</v>
      </c>
    </row>
    <row r="203" spans="2:11" x14ac:dyDescent="0.25">
      <c r="B203" s="2" t="s">
        <v>5073</v>
      </c>
      <c r="C203" s="2" t="s">
        <v>5074</v>
      </c>
      <c r="D203" s="3">
        <v>0.22</v>
      </c>
      <c r="E203" s="3">
        <v>4.72</v>
      </c>
      <c r="F203" s="3">
        <v>0.7</v>
      </c>
      <c r="G203" s="3">
        <v>3.97</v>
      </c>
      <c r="H203" s="3">
        <v>15</v>
      </c>
      <c r="I203" s="3">
        <v>4.0000000000000001E-3</v>
      </c>
      <c r="J203" s="3">
        <v>4.0000000000000001E-3</v>
      </c>
      <c r="K203" s="3">
        <v>3.0000000000000001E-3</v>
      </c>
    </row>
    <row r="204" spans="2:11" x14ac:dyDescent="0.25">
      <c r="B204" s="2" t="s">
        <v>5075</v>
      </c>
      <c r="C204" s="2" t="s">
        <v>5076</v>
      </c>
      <c r="D204" s="3">
        <v>0.13</v>
      </c>
      <c r="E204" s="3">
        <v>11.88</v>
      </c>
      <c r="F204" s="3">
        <v>0.6</v>
      </c>
      <c r="G204" s="3">
        <v>11.32</v>
      </c>
      <c r="H204" s="3">
        <v>11</v>
      </c>
      <c r="I204" s="3">
        <v>2E-3</v>
      </c>
      <c r="J204" s="3">
        <v>3.0000000000000001E-3</v>
      </c>
      <c r="K204" s="3">
        <v>2E-3</v>
      </c>
    </row>
    <row r="205" spans="2:11" x14ac:dyDescent="0.25">
      <c r="B205" s="2" t="s">
        <v>5077</v>
      </c>
      <c r="C205" s="2" t="s">
        <v>5078</v>
      </c>
      <c r="D205" s="3">
        <v>0.36</v>
      </c>
      <c r="E205" s="3">
        <v>5.78</v>
      </c>
      <c r="F205" s="3">
        <v>0.7</v>
      </c>
      <c r="G205" s="3">
        <v>5.0199999999999996</v>
      </c>
      <c r="H205" s="3">
        <v>8</v>
      </c>
      <c r="I205" s="3">
        <v>6.0000000000000001E-3</v>
      </c>
      <c r="J205" s="3">
        <v>7.0000000000000001E-3</v>
      </c>
      <c r="K205" s="3">
        <v>6.0000000000000001E-3</v>
      </c>
    </row>
    <row r="206" spans="2:11" x14ac:dyDescent="0.25">
      <c r="B206" s="2" t="s">
        <v>5079</v>
      </c>
      <c r="C206" s="2" t="s">
        <v>5080</v>
      </c>
      <c r="D206" s="3">
        <v>0</v>
      </c>
      <c r="E206" s="3">
        <v>0</v>
      </c>
      <c r="F206" s="3">
        <v>0</v>
      </c>
      <c r="G206" s="3">
        <v>0</v>
      </c>
      <c r="H206" s="3">
        <v>0</v>
      </c>
      <c r="I206" s="3">
        <v>0</v>
      </c>
      <c r="J206" s="3">
        <v>0</v>
      </c>
      <c r="K206" s="3">
        <v>0</v>
      </c>
    </row>
    <row r="207" spans="2:11" x14ac:dyDescent="0.25">
      <c r="B207" s="2" t="s">
        <v>5081</v>
      </c>
      <c r="C207" s="2" t="s">
        <v>5082</v>
      </c>
      <c r="D207" s="3">
        <v>0</v>
      </c>
      <c r="E207" s="3">
        <v>0</v>
      </c>
      <c r="F207" s="3">
        <v>0</v>
      </c>
      <c r="G207" s="3">
        <v>0</v>
      </c>
      <c r="H207" s="3">
        <v>7</v>
      </c>
      <c r="I207" s="3">
        <v>0</v>
      </c>
      <c r="J207" s="3">
        <v>0</v>
      </c>
      <c r="K207" s="3">
        <v>0</v>
      </c>
    </row>
    <row r="208" spans="2:11" x14ac:dyDescent="0.25">
      <c r="B208" s="2" t="s">
        <v>5083</v>
      </c>
      <c r="C208" s="2" t="s">
        <v>5084</v>
      </c>
      <c r="D208" s="3">
        <v>1.2</v>
      </c>
      <c r="E208" s="3">
        <v>40.200000000000003</v>
      </c>
      <c r="F208" s="3">
        <v>0.2</v>
      </c>
      <c r="G208" s="3">
        <v>28.63</v>
      </c>
      <c r="H208" s="3">
        <v>3</v>
      </c>
      <c r="I208" s="3">
        <v>7.0000000000000001E-3</v>
      </c>
      <c r="J208" s="3">
        <v>7.0000000000000001E-3</v>
      </c>
      <c r="K208" s="3">
        <v>1.4999999999999999E-2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G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G222" s="3"/>
      <c r="H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G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G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G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F242" s="3"/>
      <c r="G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G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G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G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G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G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G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G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G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G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F254" s="3"/>
      <c r="G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G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G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G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G259" s="3"/>
      <c r="H259" s="3"/>
      <c r="I259" s="3"/>
      <c r="J259" s="3"/>
      <c r="K259" s="3"/>
    </row>
    <row r="260" spans="2:11" x14ac:dyDescent="0.25">
      <c r="B260" s="2"/>
      <c r="C260" s="2"/>
      <c r="D260" s="3"/>
      <c r="E260" s="3"/>
      <c r="F260" s="3"/>
      <c r="G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G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G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F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H264" s="3"/>
      <c r="I264" s="3"/>
      <c r="J264" s="3"/>
      <c r="K264" s="3"/>
    </row>
    <row r="265" spans="2:11" x14ac:dyDescent="0.25">
      <c r="B265" s="2"/>
      <c r="C265" s="2"/>
      <c r="D265" s="3"/>
      <c r="E265" s="3"/>
      <c r="F265" s="3"/>
      <c r="G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G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F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G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F269" s="3"/>
      <c r="G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G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F271" s="3"/>
      <c r="G271" s="3"/>
      <c r="H271" s="3"/>
      <c r="I271" s="3"/>
      <c r="J271" s="3"/>
      <c r="K271" s="3"/>
    </row>
    <row r="272" spans="2:11" x14ac:dyDescent="0.25">
      <c r="B272" s="2"/>
      <c r="C272" s="2"/>
      <c r="D272" s="3"/>
      <c r="E272" s="3"/>
      <c r="F272" s="3"/>
      <c r="G272" s="3"/>
      <c r="H272" s="3"/>
      <c r="I272" s="3"/>
      <c r="J272" s="3"/>
      <c r="K272" s="3"/>
    </row>
    <row r="273" spans="2:11" x14ac:dyDescent="0.25">
      <c r="B273" s="2"/>
      <c r="C273" s="2"/>
      <c r="D273" s="3"/>
      <c r="E273" s="3"/>
      <c r="F273" s="3"/>
      <c r="H273" s="3"/>
    </row>
    <row r="274" spans="2:11" x14ac:dyDescent="0.25">
      <c r="B274" s="2"/>
      <c r="C274" s="2"/>
      <c r="D274" s="3"/>
      <c r="E274" s="3"/>
      <c r="F274" s="3"/>
      <c r="G274" s="3"/>
      <c r="H274" s="3"/>
      <c r="I274" s="3"/>
      <c r="J274" s="3"/>
      <c r="K274" s="3"/>
    </row>
    <row r="275" spans="2:11" x14ac:dyDescent="0.25">
      <c r="B275" s="2"/>
      <c r="C275" s="2"/>
      <c r="D275" s="3"/>
      <c r="E275" s="3"/>
      <c r="F275" s="3"/>
      <c r="G275" s="3"/>
      <c r="H275" s="3"/>
      <c r="I275" s="3"/>
      <c r="J275" s="3"/>
      <c r="K275" s="3"/>
    </row>
    <row r="276" spans="2:11" x14ac:dyDescent="0.25">
      <c r="B276" s="2"/>
      <c r="C276" s="2"/>
      <c r="D276" s="3"/>
      <c r="E276" s="3"/>
      <c r="F276" s="3"/>
      <c r="G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F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F278" s="3"/>
      <c r="G278" s="3"/>
      <c r="H278" s="3"/>
      <c r="I278" s="3"/>
      <c r="J278" s="3"/>
      <c r="K278" s="3"/>
    </row>
    <row r="279" spans="2:11" x14ac:dyDescent="0.25">
      <c r="B279" s="2"/>
      <c r="C279" s="2"/>
      <c r="D279" s="3"/>
      <c r="E279" s="3"/>
      <c r="F279" s="3"/>
      <c r="G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F280" s="3"/>
      <c r="G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F281" s="3"/>
      <c r="G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F282" s="3"/>
      <c r="G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F283" s="3"/>
      <c r="G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F284" s="3"/>
      <c r="H284" s="3"/>
      <c r="I284" s="3"/>
    </row>
    <row r="285" spans="2:11" x14ac:dyDescent="0.25">
      <c r="B285" s="2"/>
      <c r="C285" s="2"/>
      <c r="D285" s="3"/>
      <c r="E285" s="3"/>
      <c r="F285" s="3"/>
      <c r="G285" s="3"/>
      <c r="H285" s="3"/>
      <c r="I285" s="3"/>
      <c r="J285" s="3"/>
      <c r="K285" s="3"/>
    </row>
    <row r="286" spans="2:11" x14ac:dyDescent="0.25">
      <c r="B286" s="2"/>
      <c r="C286" s="2"/>
      <c r="D286" s="3"/>
      <c r="E286" s="3"/>
      <c r="F286" s="3"/>
      <c r="G286" s="3"/>
      <c r="H286" s="3"/>
      <c r="I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H288" s="3"/>
    </row>
    <row r="289" spans="2:11" x14ac:dyDescent="0.25">
      <c r="B289" s="2"/>
      <c r="C289" s="2"/>
      <c r="D289" s="3"/>
      <c r="E289" s="3"/>
      <c r="H289" s="3"/>
    </row>
    <row r="290" spans="2:11" x14ac:dyDescent="0.25">
      <c r="B290" s="2"/>
      <c r="C290" s="2"/>
      <c r="D290" s="3"/>
      <c r="E290" s="3"/>
      <c r="H290" s="3"/>
    </row>
    <row r="291" spans="2:11" x14ac:dyDescent="0.25">
      <c r="B291" s="2"/>
      <c r="C291" s="2"/>
      <c r="D291" s="3"/>
      <c r="E291" s="3"/>
      <c r="F291" s="3"/>
      <c r="G291" s="3"/>
      <c r="H291" s="3"/>
      <c r="I291" s="3"/>
      <c r="J291" s="3"/>
      <c r="K291" s="3"/>
    </row>
    <row r="292" spans="2:11" x14ac:dyDescent="0.25">
      <c r="B292" s="2"/>
      <c r="C292" s="2"/>
      <c r="D292" s="3"/>
      <c r="E292" s="3"/>
      <c r="H292" s="3"/>
    </row>
    <row r="293" spans="2:11" x14ac:dyDescent="0.25">
      <c r="B293" s="2"/>
      <c r="C293" s="2"/>
      <c r="D293" s="3"/>
      <c r="E293" s="3"/>
      <c r="H293" s="3"/>
    </row>
    <row r="294" spans="2:11" x14ac:dyDescent="0.25">
      <c r="B294" s="2"/>
      <c r="C294" s="2"/>
      <c r="D294" s="3"/>
      <c r="E294" s="3"/>
      <c r="H294" s="3"/>
    </row>
    <row r="295" spans="2:11" x14ac:dyDescent="0.25">
      <c r="B295" s="2"/>
      <c r="C295" s="2"/>
      <c r="D295" s="3"/>
      <c r="E295" s="3"/>
      <c r="H295" s="3"/>
    </row>
    <row r="296" spans="2:11" x14ac:dyDescent="0.25">
      <c r="B296" s="2"/>
      <c r="C296" s="2"/>
      <c r="D296" s="3"/>
      <c r="E296" s="3"/>
      <c r="F296" s="3"/>
      <c r="G296" s="3"/>
      <c r="H296" s="3"/>
      <c r="I296" s="3"/>
      <c r="J296" s="3"/>
      <c r="K296" s="3"/>
    </row>
    <row r="297" spans="2:11" x14ac:dyDescent="0.25">
      <c r="B297" s="2"/>
      <c r="C297" s="2"/>
      <c r="D297" s="3"/>
      <c r="E297" s="3"/>
      <c r="F297" s="3"/>
      <c r="G297" s="3"/>
      <c r="H297" s="3"/>
      <c r="I297" s="3"/>
      <c r="J297" s="3"/>
      <c r="K297" s="3"/>
    </row>
    <row r="298" spans="2:11" x14ac:dyDescent="0.25">
      <c r="B298" s="2"/>
      <c r="C298" s="2"/>
      <c r="D298" s="3"/>
      <c r="E298" s="3"/>
      <c r="F298" s="3"/>
      <c r="G298" s="3"/>
      <c r="H298" s="3"/>
      <c r="I298" s="3"/>
      <c r="J298" s="3"/>
      <c r="K298" s="3"/>
    </row>
    <row r="299" spans="2:11" x14ac:dyDescent="0.25">
      <c r="B299" s="2"/>
      <c r="C299" s="2"/>
      <c r="D299" s="3"/>
      <c r="E299" s="3"/>
      <c r="F299" s="3"/>
      <c r="G299" s="3"/>
      <c r="H299" s="3"/>
      <c r="I299" s="3"/>
      <c r="J299" s="3"/>
      <c r="K299" s="3"/>
    </row>
    <row r="300" spans="2:11" x14ac:dyDescent="0.25">
      <c r="B300" s="2"/>
      <c r="C300" s="2"/>
      <c r="D300" s="3"/>
      <c r="E300" s="3"/>
      <c r="F300" s="3"/>
      <c r="G300" s="3"/>
      <c r="H300" s="3"/>
      <c r="I300" s="3"/>
    </row>
    <row r="301" spans="2:11" x14ac:dyDescent="0.25">
      <c r="B301" s="2"/>
      <c r="C301" s="2"/>
      <c r="D301" s="3"/>
      <c r="E301" s="3"/>
      <c r="F301" s="3"/>
      <c r="G301" s="3"/>
      <c r="H301" s="3"/>
      <c r="I301" s="3"/>
      <c r="J301" s="3"/>
    </row>
    <row r="302" spans="2:11" x14ac:dyDescent="0.25">
      <c r="B302" s="2"/>
      <c r="C302" s="2"/>
      <c r="D302" s="3"/>
      <c r="E302" s="3"/>
      <c r="F302" s="3"/>
      <c r="H302" s="3"/>
      <c r="I302" s="3"/>
      <c r="J302" s="3"/>
      <c r="K302" s="3"/>
    </row>
    <row r="303" spans="2:11" x14ac:dyDescent="0.25">
      <c r="B303" s="2"/>
      <c r="C303" s="2"/>
      <c r="D303" s="3"/>
      <c r="E303" s="3"/>
      <c r="F303" s="3"/>
      <c r="H303" s="3"/>
      <c r="I303" s="3"/>
      <c r="J303" s="3"/>
      <c r="K303" s="3"/>
    </row>
    <row r="304" spans="2:11" x14ac:dyDescent="0.25">
      <c r="B304" s="2"/>
      <c r="C304" s="2"/>
      <c r="D304" s="3"/>
      <c r="E304" s="3"/>
      <c r="F304" s="3"/>
      <c r="H304" s="3"/>
      <c r="I304" s="3"/>
      <c r="J304" s="3"/>
      <c r="K304" s="3"/>
    </row>
    <row r="305" spans="2:11" x14ac:dyDescent="0.25">
      <c r="B305" s="2"/>
      <c r="C305" s="2"/>
      <c r="D305" s="3"/>
      <c r="E305" s="3"/>
      <c r="F305" s="3"/>
      <c r="H305" s="3"/>
      <c r="I305" s="3"/>
      <c r="J305" s="3"/>
      <c r="K305" s="3"/>
    </row>
    <row r="306" spans="2:11" x14ac:dyDescent="0.25">
      <c r="B306" s="2"/>
      <c r="C306" s="2"/>
      <c r="D306" s="3"/>
      <c r="E306" s="3"/>
      <c r="F306" s="3"/>
      <c r="G306" s="3"/>
      <c r="H306" s="3"/>
      <c r="I306" s="3"/>
      <c r="J306" s="3"/>
      <c r="K306" s="3"/>
    </row>
    <row r="307" spans="2:11" x14ac:dyDescent="0.25">
      <c r="B307" s="2"/>
      <c r="C307" s="2"/>
      <c r="D307" s="3"/>
      <c r="E307" s="3"/>
      <c r="F307" s="3"/>
      <c r="G307" s="3"/>
      <c r="H307" s="3"/>
      <c r="I307" s="3"/>
      <c r="J307" s="3"/>
      <c r="K307" s="3"/>
    </row>
    <row r="308" spans="2:11" x14ac:dyDescent="0.25">
      <c r="B308" s="2"/>
      <c r="C308" s="2"/>
      <c r="D308" s="3"/>
      <c r="E308" s="3"/>
      <c r="F308" s="3"/>
      <c r="H308" s="3"/>
      <c r="I308" s="3"/>
      <c r="J308" s="3"/>
      <c r="K308" s="3"/>
    </row>
    <row r="309" spans="2:11" x14ac:dyDescent="0.25">
      <c r="B309" s="2"/>
      <c r="C309" s="2"/>
      <c r="D309" s="3"/>
      <c r="E309" s="3"/>
      <c r="F309" s="3"/>
      <c r="G309" s="3"/>
      <c r="H309" s="3"/>
      <c r="I309" s="3"/>
      <c r="J309" s="3"/>
      <c r="K309" s="3"/>
    </row>
    <row r="310" spans="2:11" x14ac:dyDescent="0.25">
      <c r="B310" s="2"/>
      <c r="C310" s="2"/>
      <c r="D310" s="3"/>
      <c r="E310" s="3"/>
      <c r="F310" s="3"/>
      <c r="G310" s="3"/>
      <c r="H310" s="3"/>
      <c r="I310" s="3"/>
      <c r="J310" s="3"/>
      <c r="K310" s="3"/>
    </row>
    <row r="311" spans="2:11" x14ac:dyDescent="0.25">
      <c r="B311" s="2"/>
      <c r="C311" s="2"/>
      <c r="D311" s="3"/>
      <c r="E311" s="3"/>
      <c r="F311" s="3"/>
      <c r="G311" s="3"/>
      <c r="H311" s="3"/>
      <c r="I311" s="3"/>
      <c r="J311" s="3"/>
      <c r="K311" s="3"/>
    </row>
    <row r="312" spans="2:11" x14ac:dyDescent="0.25">
      <c r="B312" s="2"/>
      <c r="C312" s="2"/>
      <c r="D312" s="3"/>
      <c r="E312" s="3"/>
      <c r="F312" s="3"/>
      <c r="G312" s="3"/>
      <c r="H312" s="3"/>
      <c r="I312" s="3"/>
      <c r="J312" s="3"/>
      <c r="K312" s="3"/>
    </row>
    <row r="313" spans="2:11" x14ac:dyDescent="0.25">
      <c r="B313" s="2"/>
      <c r="C313" s="2"/>
      <c r="D313" s="3"/>
      <c r="E313" s="3"/>
      <c r="F313" s="3"/>
      <c r="H313" s="3"/>
      <c r="I313" s="3"/>
      <c r="J313" s="3"/>
      <c r="K313" s="3"/>
    </row>
    <row r="314" spans="2:11" x14ac:dyDescent="0.25">
      <c r="B314" s="2"/>
      <c r="C314" s="2"/>
      <c r="D314" s="3"/>
      <c r="E314" s="3"/>
      <c r="F314" s="3"/>
      <c r="G314" s="3"/>
      <c r="H314" s="3"/>
      <c r="I314" s="3"/>
      <c r="J314" s="3"/>
      <c r="K314" s="3"/>
    </row>
    <row r="315" spans="2:11" x14ac:dyDescent="0.25">
      <c r="B315" s="2"/>
      <c r="C315" s="2"/>
      <c r="D315" s="3"/>
      <c r="E315" s="3"/>
      <c r="F315" s="3"/>
      <c r="H315" s="3"/>
      <c r="I315" s="3"/>
      <c r="J315" s="3"/>
      <c r="K315" s="3"/>
    </row>
    <row r="316" spans="2:11" x14ac:dyDescent="0.25">
      <c r="B316" s="2"/>
      <c r="C316" s="2"/>
      <c r="D316" s="3"/>
      <c r="E316" s="3"/>
      <c r="F316" s="3"/>
      <c r="G316" s="3"/>
      <c r="H316" s="3"/>
      <c r="I316" s="3"/>
      <c r="J316" s="3"/>
      <c r="K316" s="3"/>
    </row>
    <row r="317" spans="2:11" x14ac:dyDescent="0.25">
      <c r="B317" s="2"/>
      <c r="C317" s="2"/>
      <c r="D317" s="3"/>
      <c r="E317" s="3"/>
      <c r="F317" s="3"/>
      <c r="G317" s="3"/>
      <c r="H317" s="3"/>
      <c r="I317" s="3"/>
      <c r="J317" s="3"/>
      <c r="K317" s="3"/>
    </row>
    <row r="318" spans="2:11" x14ac:dyDescent="0.25">
      <c r="B318" s="2"/>
      <c r="C318" s="2"/>
      <c r="D318" s="3"/>
      <c r="E318" s="3"/>
      <c r="F318" s="3"/>
      <c r="G318" s="3"/>
      <c r="H318" s="3"/>
      <c r="I318" s="3"/>
      <c r="J318" s="3"/>
      <c r="K318" s="3"/>
    </row>
    <row r="319" spans="2:11" x14ac:dyDescent="0.25">
      <c r="B319" s="2"/>
      <c r="C319" s="2"/>
      <c r="D319" s="3"/>
      <c r="E319" s="3"/>
      <c r="F319" s="3"/>
      <c r="G319" s="3"/>
      <c r="H319" s="3"/>
      <c r="I319" s="3"/>
      <c r="J319" s="3"/>
      <c r="K319" s="3"/>
    </row>
    <row r="320" spans="2:11" x14ac:dyDescent="0.25">
      <c r="B320" s="2"/>
      <c r="C320" s="2"/>
      <c r="D320" s="3"/>
      <c r="E320" s="3"/>
      <c r="F320" s="3"/>
      <c r="G320" s="3"/>
      <c r="H320" s="3"/>
      <c r="I320" s="3"/>
      <c r="J320" s="3"/>
      <c r="K320" s="3"/>
    </row>
    <row r="321" spans="2:11" x14ac:dyDescent="0.25">
      <c r="B321" s="2"/>
      <c r="C321" s="2"/>
      <c r="D321" s="3"/>
      <c r="E321" s="3"/>
      <c r="F321" s="3"/>
      <c r="G321" s="3"/>
      <c r="H321" s="3"/>
      <c r="I321" s="3"/>
      <c r="J321" s="3"/>
      <c r="K321" s="3"/>
    </row>
    <row r="322" spans="2:11" x14ac:dyDescent="0.25">
      <c r="B322" s="2"/>
      <c r="C322" s="2"/>
      <c r="D322" s="3"/>
      <c r="E322" s="3"/>
      <c r="F322" s="3"/>
      <c r="G322" s="3"/>
      <c r="H322" s="3"/>
      <c r="I322" s="3"/>
      <c r="J322" s="3"/>
      <c r="K322" s="3"/>
    </row>
    <row r="323" spans="2:11" x14ac:dyDescent="0.25">
      <c r="B323" s="2"/>
      <c r="C323" s="2"/>
      <c r="D323" s="3"/>
      <c r="E323" s="3"/>
      <c r="H323" s="3"/>
    </row>
    <row r="324" spans="2:11" x14ac:dyDescent="0.25">
      <c r="B324" s="2"/>
      <c r="C324" s="2"/>
      <c r="D324" s="3"/>
      <c r="E324" s="3"/>
      <c r="F324" s="3"/>
      <c r="G324" s="3"/>
      <c r="H324" s="3"/>
      <c r="I324" s="3"/>
      <c r="J324" s="3"/>
      <c r="K324" s="3"/>
    </row>
    <row r="325" spans="2:11" x14ac:dyDescent="0.25">
      <c r="B325" s="2"/>
      <c r="C325" s="2"/>
      <c r="D325" s="3"/>
      <c r="E325" s="3"/>
      <c r="H325" s="3"/>
      <c r="I325" s="3"/>
      <c r="J325" s="3"/>
      <c r="K325" s="3"/>
    </row>
    <row r="326" spans="2:11" x14ac:dyDescent="0.25">
      <c r="B326" s="2"/>
      <c r="C326" s="2"/>
      <c r="D326" s="3"/>
      <c r="E326" s="3"/>
      <c r="F326" s="3"/>
      <c r="G326" s="3"/>
      <c r="H326" s="3"/>
    </row>
    <row r="327" spans="2:11" x14ac:dyDescent="0.25">
      <c r="B327" s="2"/>
      <c r="C327" s="2"/>
      <c r="D327" s="3"/>
      <c r="E327" s="3"/>
      <c r="F327" s="3"/>
      <c r="G327" s="3"/>
      <c r="H327" s="3"/>
      <c r="I327" s="3"/>
      <c r="J327" s="3"/>
      <c r="K327" s="3"/>
    </row>
    <row r="328" spans="2:11" x14ac:dyDescent="0.25">
      <c r="B328" s="2"/>
      <c r="C328" s="2"/>
      <c r="D328" s="3"/>
      <c r="E328" s="3"/>
      <c r="F328" s="3"/>
      <c r="G328" s="3"/>
      <c r="H328" s="3"/>
      <c r="I328" s="3"/>
      <c r="J328" s="3"/>
      <c r="K328" s="3"/>
    </row>
    <row r="329" spans="2:11" x14ac:dyDescent="0.25">
      <c r="B329" s="2"/>
      <c r="C329" s="2"/>
      <c r="D329" s="3"/>
      <c r="E329" s="3"/>
      <c r="G329" s="3"/>
      <c r="H329" s="3"/>
    </row>
    <row r="330" spans="2:11" x14ac:dyDescent="0.25">
      <c r="B330" s="2"/>
      <c r="C330" s="2"/>
      <c r="D330" s="3"/>
      <c r="E330" s="3"/>
      <c r="G330" s="3"/>
      <c r="H330" s="3"/>
    </row>
    <row r="331" spans="2:11" x14ac:dyDescent="0.25">
      <c r="B331" s="2"/>
      <c r="C331" s="2"/>
      <c r="D331" s="3"/>
      <c r="E331" s="3"/>
      <c r="G331" s="3"/>
      <c r="H331" s="3"/>
    </row>
    <row r="332" spans="2:11" x14ac:dyDescent="0.25">
      <c r="B332" s="2"/>
      <c r="C332" s="2"/>
      <c r="D332" s="3"/>
      <c r="E332" s="3"/>
      <c r="G332" s="3"/>
      <c r="H332" s="3"/>
    </row>
    <row r="333" spans="2:11" x14ac:dyDescent="0.25">
      <c r="B333" s="2"/>
      <c r="C333" s="2"/>
      <c r="D333" s="3"/>
      <c r="E333" s="3"/>
      <c r="G333" s="3"/>
      <c r="H333" s="3"/>
    </row>
    <row r="334" spans="2:11" x14ac:dyDescent="0.25">
      <c r="B334" s="2"/>
      <c r="C334" s="2"/>
      <c r="D334" s="3"/>
      <c r="E334" s="3"/>
      <c r="G334" s="3"/>
      <c r="H334" s="3"/>
    </row>
    <row r="335" spans="2:11" x14ac:dyDescent="0.25">
      <c r="B335" s="2"/>
      <c r="C335" s="2"/>
      <c r="D335" s="3"/>
      <c r="E335" s="3"/>
      <c r="G335" s="3"/>
      <c r="H335" s="3"/>
    </row>
    <row r="336" spans="2:11" x14ac:dyDescent="0.25">
      <c r="B336" s="2"/>
      <c r="C336" s="2"/>
      <c r="D336" s="3"/>
      <c r="E336" s="3"/>
      <c r="G336" s="3"/>
      <c r="H336" s="3"/>
    </row>
    <row r="337" spans="2:11" x14ac:dyDescent="0.25">
      <c r="B337" s="2"/>
      <c r="C337" s="2"/>
      <c r="D337" s="3"/>
      <c r="E337" s="3"/>
      <c r="G337" s="3"/>
      <c r="H337" s="3"/>
    </row>
    <row r="338" spans="2:11" x14ac:dyDescent="0.25">
      <c r="B338" s="2"/>
      <c r="C338" s="2"/>
      <c r="D338" s="3"/>
      <c r="E338" s="3"/>
      <c r="G338" s="3"/>
      <c r="H338" s="3"/>
    </row>
    <row r="339" spans="2:11" x14ac:dyDescent="0.25">
      <c r="B339" s="2"/>
      <c r="C339" s="2"/>
      <c r="D339" s="3"/>
      <c r="E339" s="3"/>
      <c r="G339" s="3"/>
      <c r="H339" s="3"/>
    </row>
    <row r="340" spans="2:11" x14ac:dyDescent="0.25">
      <c r="B340" s="2"/>
      <c r="C340" s="2"/>
      <c r="D340" s="3"/>
      <c r="E340" s="3"/>
      <c r="G340" s="3"/>
      <c r="H340" s="3"/>
    </row>
    <row r="341" spans="2:11" x14ac:dyDescent="0.25">
      <c r="B341" s="2"/>
      <c r="C341" s="2"/>
      <c r="D341" s="3"/>
      <c r="E341" s="3"/>
      <c r="G341" s="3"/>
      <c r="H341" s="3"/>
    </row>
    <row r="342" spans="2:11" x14ac:dyDescent="0.25">
      <c r="B342" s="2"/>
      <c r="C342" s="2"/>
      <c r="D342" s="3"/>
      <c r="E342" s="3"/>
      <c r="F342" s="3"/>
      <c r="G342" s="3"/>
      <c r="H342" s="3"/>
    </row>
    <row r="343" spans="2:11" x14ac:dyDescent="0.25">
      <c r="B343" s="2"/>
      <c r="C343" s="2"/>
      <c r="D343" s="3"/>
      <c r="E343" s="3"/>
      <c r="F343" s="3"/>
      <c r="G343" s="3"/>
      <c r="H343" s="3"/>
    </row>
    <row r="344" spans="2:11" x14ac:dyDescent="0.25">
      <c r="B344" s="2"/>
      <c r="C344" s="2"/>
      <c r="D344" s="3"/>
      <c r="E344" s="3"/>
      <c r="F344" s="3"/>
      <c r="G344" s="3"/>
      <c r="H344" s="3"/>
    </row>
    <row r="345" spans="2:11" x14ac:dyDescent="0.25">
      <c r="B345" s="2"/>
      <c r="C345" s="2"/>
      <c r="D345" s="3"/>
      <c r="E345" s="3"/>
      <c r="F345" s="3"/>
      <c r="G345" s="3"/>
      <c r="H345" s="3"/>
      <c r="I345" s="3"/>
      <c r="J345" s="3"/>
      <c r="K345" s="3"/>
    </row>
    <row r="346" spans="2:11" x14ac:dyDescent="0.25">
      <c r="B346" s="2"/>
      <c r="C346" s="2"/>
      <c r="D346" s="3"/>
      <c r="E346" s="3"/>
      <c r="F346" s="3"/>
      <c r="G346" s="3"/>
      <c r="H346" s="3"/>
      <c r="I346" s="3"/>
      <c r="J346" s="3"/>
      <c r="K346" s="3"/>
    </row>
    <row r="347" spans="2:11" x14ac:dyDescent="0.25">
      <c r="B347" s="2"/>
      <c r="C347" s="2"/>
      <c r="D347" s="3"/>
      <c r="E347" s="3"/>
      <c r="F347" s="3"/>
      <c r="G347" s="3"/>
      <c r="H347" s="3"/>
      <c r="I347" s="3"/>
      <c r="J347" s="3"/>
      <c r="K347" s="3"/>
    </row>
    <row r="348" spans="2:11" x14ac:dyDescent="0.25">
      <c r="B348" s="2"/>
      <c r="C348" s="2"/>
      <c r="D348" s="3"/>
      <c r="E348" s="3"/>
      <c r="F348" s="3"/>
      <c r="G348" s="3"/>
      <c r="H348" s="3"/>
      <c r="I348" s="3"/>
      <c r="J348" s="3"/>
      <c r="K348" s="3"/>
    </row>
    <row r="349" spans="2:11" x14ac:dyDescent="0.25">
      <c r="B349" s="2"/>
      <c r="C349" s="2"/>
      <c r="D349" s="3"/>
      <c r="E349" s="3"/>
      <c r="F349" s="3"/>
      <c r="G349" s="3"/>
      <c r="H349" s="3"/>
      <c r="I349" s="3"/>
      <c r="J349" s="3"/>
      <c r="K349" s="3"/>
    </row>
    <row r="350" spans="2:11" x14ac:dyDescent="0.25">
      <c r="B350" s="2"/>
      <c r="C350" s="2"/>
      <c r="D350" s="3"/>
      <c r="E350" s="3"/>
      <c r="F350" s="3"/>
      <c r="G350" s="3"/>
      <c r="H350" s="3"/>
      <c r="I350" s="3"/>
      <c r="J350" s="3"/>
      <c r="K350" s="3"/>
    </row>
    <row r="351" spans="2:11" x14ac:dyDescent="0.25">
      <c r="B351" s="2"/>
      <c r="C351" s="2"/>
      <c r="D351" s="3"/>
      <c r="E351" s="3"/>
      <c r="F351" s="3"/>
      <c r="G351" s="3"/>
      <c r="H351" s="3"/>
      <c r="I351" s="3"/>
      <c r="J351" s="3"/>
      <c r="K351" s="3"/>
    </row>
    <row r="352" spans="2:11" x14ac:dyDescent="0.25">
      <c r="B352" s="2"/>
      <c r="C352" s="2"/>
      <c r="D352" s="3"/>
      <c r="E352" s="3"/>
      <c r="F352" s="3"/>
      <c r="G352" s="3"/>
      <c r="H352" s="3"/>
      <c r="I352" s="3"/>
      <c r="J352" s="3"/>
      <c r="K352" s="3"/>
    </row>
    <row r="353" spans="2:11" x14ac:dyDescent="0.25">
      <c r="B353" s="2"/>
      <c r="C353" s="2"/>
      <c r="D353" s="3"/>
      <c r="E353" s="3"/>
      <c r="H353" s="3"/>
      <c r="I353" s="3"/>
      <c r="J353" s="3"/>
      <c r="K353" s="3"/>
    </row>
    <row r="354" spans="2:11" x14ac:dyDescent="0.25">
      <c r="B354" s="2"/>
      <c r="C354" s="2"/>
      <c r="D354" s="3"/>
      <c r="E354" s="3"/>
      <c r="F354" s="3"/>
      <c r="G354" s="3"/>
      <c r="H354" s="3"/>
      <c r="I354" s="3"/>
      <c r="J354" s="3"/>
      <c r="K354" s="3"/>
    </row>
    <row r="355" spans="2:11" x14ac:dyDescent="0.25">
      <c r="B355" s="2"/>
      <c r="C355" s="2"/>
      <c r="D355" s="3"/>
      <c r="E355" s="3"/>
      <c r="F355" s="3"/>
      <c r="G355" s="3"/>
      <c r="H355" s="3"/>
      <c r="I355" s="3"/>
      <c r="J355" s="3"/>
      <c r="K355" s="3"/>
    </row>
    <row r="356" spans="2:11" x14ac:dyDescent="0.25">
      <c r="B356" s="2"/>
      <c r="C356" s="2"/>
      <c r="D356" s="3"/>
      <c r="E356" s="3"/>
      <c r="F356" s="3"/>
      <c r="G356" s="3"/>
      <c r="H356" s="3"/>
      <c r="I356" s="3"/>
      <c r="J356" s="3"/>
      <c r="K356" s="3"/>
    </row>
    <row r="357" spans="2:11" x14ac:dyDescent="0.25">
      <c r="B357" s="2"/>
      <c r="C357" s="2"/>
      <c r="D357" s="3"/>
      <c r="E357" s="3"/>
      <c r="F357" s="3"/>
      <c r="G357" s="3"/>
      <c r="H357" s="3"/>
      <c r="I357" s="3"/>
      <c r="J357" s="3"/>
      <c r="K357" s="3"/>
    </row>
    <row r="358" spans="2:11" x14ac:dyDescent="0.25">
      <c r="B358" s="2"/>
      <c r="C358" s="2"/>
      <c r="D358" s="3"/>
      <c r="E358" s="3"/>
      <c r="F358" s="3"/>
      <c r="G358" s="3"/>
      <c r="H358" s="3"/>
      <c r="I358" s="3"/>
      <c r="J358" s="3"/>
      <c r="K358" s="3"/>
    </row>
    <row r="359" spans="2:11" x14ac:dyDescent="0.25">
      <c r="B359" s="2"/>
      <c r="C359" s="2"/>
      <c r="D359" s="3"/>
      <c r="E359" s="3"/>
      <c r="F359" s="3"/>
      <c r="G359" s="3"/>
      <c r="H359" s="3"/>
    </row>
    <row r="360" spans="2:11" x14ac:dyDescent="0.25">
      <c r="B360" s="2"/>
      <c r="C360" s="2"/>
      <c r="D360" s="3"/>
      <c r="E360" s="3"/>
      <c r="F360" s="3"/>
      <c r="G360" s="3"/>
      <c r="H360" s="3"/>
      <c r="I360" s="3"/>
      <c r="J360" s="3"/>
      <c r="K360" s="3"/>
    </row>
    <row r="361" spans="2:11" x14ac:dyDescent="0.25">
      <c r="B361" s="2"/>
      <c r="C361" s="2"/>
      <c r="D361" s="3"/>
      <c r="E361" s="3"/>
      <c r="F361" s="3"/>
      <c r="G361" s="3"/>
      <c r="H361" s="3"/>
      <c r="I361" s="3"/>
      <c r="J361" s="3"/>
      <c r="K361" s="3"/>
    </row>
    <row r="362" spans="2:11" x14ac:dyDescent="0.25">
      <c r="B362" s="2"/>
      <c r="C362" s="2"/>
      <c r="D362" s="3"/>
      <c r="E362" s="3"/>
      <c r="F362" s="3"/>
      <c r="G362" s="3"/>
      <c r="H362" s="3"/>
      <c r="I362" s="3"/>
      <c r="J362" s="3"/>
      <c r="K362" s="3"/>
    </row>
    <row r="363" spans="2:11" x14ac:dyDescent="0.25">
      <c r="B363" s="2"/>
      <c r="C363" s="2"/>
      <c r="D363" s="3"/>
      <c r="E363" s="3"/>
      <c r="F363" s="3"/>
      <c r="G363" s="3"/>
      <c r="H363" s="3"/>
      <c r="I363" s="3"/>
      <c r="J363" s="3"/>
      <c r="K363" s="3"/>
    </row>
    <row r="364" spans="2:11" x14ac:dyDescent="0.25">
      <c r="B364" s="2"/>
      <c r="C364" s="2"/>
      <c r="D364" s="3"/>
      <c r="E364" s="3"/>
      <c r="F364" s="3"/>
      <c r="G364" s="3"/>
      <c r="H364" s="3"/>
      <c r="I364" s="3"/>
      <c r="J364" s="3"/>
      <c r="K364" s="3"/>
    </row>
    <row r="365" spans="2:11" x14ac:dyDescent="0.25">
      <c r="B365" s="2"/>
      <c r="C365" s="2"/>
      <c r="D365" s="3"/>
      <c r="E365" s="3"/>
      <c r="F365" s="3"/>
      <c r="G365" s="3"/>
      <c r="H365" s="3"/>
      <c r="I365" s="3"/>
      <c r="J365" s="3"/>
      <c r="K365" s="3"/>
    </row>
    <row r="366" spans="2:11" x14ac:dyDescent="0.25">
      <c r="B366" s="2"/>
      <c r="C366" s="2"/>
      <c r="D366" s="3"/>
      <c r="E366" s="3"/>
      <c r="F366" s="3"/>
      <c r="G366" s="3"/>
      <c r="H366" s="3"/>
      <c r="I366" s="3"/>
      <c r="J366" s="3"/>
      <c r="K366" s="3"/>
    </row>
    <row r="367" spans="2:11" x14ac:dyDescent="0.25">
      <c r="B367" s="2"/>
      <c r="C367" s="2"/>
      <c r="D367" s="3"/>
      <c r="E367" s="3"/>
      <c r="F367" s="3"/>
      <c r="G367" s="3"/>
      <c r="H367" s="3"/>
      <c r="I367" s="3"/>
      <c r="J367" s="3"/>
      <c r="K367" s="3"/>
    </row>
    <row r="368" spans="2:11" x14ac:dyDescent="0.25">
      <c r="B368" s="2"/>
      <c r="C368" s="2"/>
      <c r="D368" s="3"/>
      <c r="E368" s="3"/>
      <c r="F368" s="3"/>
      <c r="G368" s="3"/>
      <c r="H368" s="3"/>
      <c r="I368" s="3"/>
      <c r="J368" s="3"/>
      <c r="K368" s="3"/>
    </row>
    <row r="369" spans="2:11" x14ac:dyDescent="0.25">
      <c r="B369" s="2"/>
      <c r="C369" s="2"/>
      <c r="D369" s="3"/>
      <c r="E369" s="3"/>
      <c r="F369" s="3"/>
      <c r="G369" s="3"/>
      <c r="H369" s="3"/>
      <c r="I369" s="3"/>
      <c r="J369" s="3"/>
      <c r="K369" s="3"/>
    </row>
    <row r="370" spans="2:11" x14ac:dyDescent="0.25">
      <c r="B370" s="2"/>
      <c r="C370" s="2"/>
      <c r="D370" s="3"/>
      <c r="E370" s="3"/>
      <c r="F370" s="3"/>
      <c r="G370" s="3"/>
      <c r="H370" s="3"/>
      <c r="I370" s="3"/>
      <c r="J370" s="3"/>
      <c r="K370" s="3"/>
    </row>
    <row r="371" spans="2:11" x14ac:dyDescent="0.25">
      <c r="B371" s="2"/>
      <c r="C371" s="2"/>
      <c r="D371" s="3"/>
      <c r="E371" s="3"/>
      <c r="F371" s="3"/>
      <c r="G371" s="3"/>
      <c r="H371" s="3"/>
      <c r="I371" s="3"/>
      <c r="J371" s="3"/>
      <c r="K371" s="3"/>
    </row>
    <row r="372" spans="2:11" x14ac:dyDescent="0.25">
      <c r="B372" s="2"/>
      <c r="C372" s="2"/>
      <c r="D372" s="3"/>
      <c r="E372" s="3"/>
      <c r="F372" s="3"/>
      <c r="G372" s="3"/>
      <c r="H372" s="3"/>
      <c r="I372" s="3"/>
      <c r="J372" s="3"/>
      <c r="K372" s="3"/>
    </row>
    <row r="373" spans="2:11" x14ac:dyDescent="0.25">
      <c r="B373" s="2"/>
      <c r="C373" s="2"/>
      <c r="D373" s="3"/>
      <c r="E373" s="3"/>
      <c r="F373" s="3"/>
      <c r="H373" s="3"/>
      <c r="I373" s="3"/>
      <c r="J373" s="3"/>
      <c r="K373" s="3"/>
    </row>
    <row r="374" spans="2:11" x14ac:dyDescent="0.25">
      <c r="B374" s="2"/>
      <c r="C374" s="2"/>
      <c r="D374" s="3"/>
      <c r="E374" s="3"/>
      <c r="F374" s="3"/>
      <c r="H374" s="3"/>
      <c r="I374" s="3"/>
      <c r="J374" s="3"/>
      <c r="K374" s="3"/>
    </row>
    <row r="375" spans="2:11" x14ac:dyDescent="0.25">
      <c r="B375" s="2"/>
      <c r="C375" s="2"/>
      <c r="D375" s="3"/>
      <c r="E375" s="3"/>
      <c r="F375" s="3"/>
      <c r="H375" s="3"/>
      <c r="I375" s="3"/>
      <c r="J375" s="3"/>
      <c r="K375" s="3"/>
    </row>
    <row r="376" spans="2:11" x14ac:dyDescent="0.25">
      <c r="B376" s="2"/>
      <c r="C376" s="2"/>
      <c r="D376" s="3"/>
      <c r="E376" s="3"/>
      <c r="F376" s="3"/>
      <c r="H376" s="3"/>
      <c r="I376" s="3"/>
      <c r="J376" s="3"/>
      <c r="K376" s="3"/>
    </row>
    <row r="377" spans="2:11" x14ac:dyDescent="0.25">
      <c r="B377" s="2"/>
      <c r="C377" s="2"/>
      <c r="D377" s="3"/>
      <c r="E377" s="3"/>
      <c r="F377" s="3"/>
      <c r="H377" s="3"/>
      <c r="I377" s="3"/>
      <c r="J377" s="3"/>
      <c r="K377" s="3"/>
    </row>
    <row r="378" spans="2:11" x14ac:dyDescent="0.25">
      <c r="B378" s="2"/>
      <c r="C378" s="2"/>
      <c r="D378" s="3"/>
      <c r="E378" s="3"/>
      <c r="F378" s="3"/>
      <c r="G378" s="3"/>
      <c r="H378" s="3"/>
      <c r="I378" s="3"/>
      <c r="J378" s="3"/>
      <c r="K378" s="3"/>
    </row>
    <row r="379" spans="2:11" x14ac:dyDescent="0.25">
      <c r="B379" s="2"/>
      <c r="C379" s="2"/>
      <c r="D379" s="3"/>
      <c r="E379" s="3"/>
      <c r="F379" s="3"/>
      <c r="H379" s="3"/>
      <c r="I379" s="3"/>
      <c r="J379" s="3"/>
      <c r="K379" s="3"/>
    </row>
    <row r="380" spans="2:11" x14ac:dyDescent="0.25">
      <c r="B380" s="2"/>
      <c r="C380" s="2"/>
      <c r="D380" s="3"/>
      <c r="E380" s="3"/>
      <c r="F380" s="3"/>
      <c r="H380" s="3"/>
      <c r="I380" s="3"/>
      <c r="J380" s="3"/>
      <c r="K380" s="3"/>
    </row>
    <row r="381" spans="2:11" x14ac:dyDescent="0.25">
      <c r="B381" s="2"/>
      <c r="C381" s="2"/>
      <c r="D381" s="3"/>
      <c r="E381" s="3"/>
      <c r="F381" s="3"/>
      <c r="H381" s="3"/>
      <c r="I381" s="3"/>
      <c r="J381" s="3"/>
      <c r="K381" s="3"/>
    </row>
    <row r="382" spans="2:11" x14ac:dyDescent="0.25">
      <c r="B382" s="2"/>
      <c r="C382" s="2"/>
      <c r="D382" s="3"/>
      <c r="E382" s="3"/>
      <c r="F382" s="3"/>
      <c r="G382" s="3"/>
      <c r="H382" s="3"/>
      <c r="I382" s="3"/>
      <c r="J382" s="3"/>
      <c r="K382" s="3"/>
    </row>
    <row r="383" spans="2:11" x14ac:dyDescent="0.25">
      <c r="B383" s="2"/>
      <c r="C383" s="2"/>
      <c r="D383" s="3"/>
      <c r="E383" s="3"/>
      <c r="F383" s="3"/>
      <c r="H383" s="3"/>
      <c r="I383" s="3"/>
      <c r="J383" s="3"/>
      <c r="K383" s="3"/>
    </row>
    <row r="384" spans="2:11" x14ac:dyDescent="0.25">
      <c r="B384" s="2"/>
      <c r="C384" s="2"/>
      <c r="D384" s="3"/>
      <c r="E384" s="3"/>
      <c r="F384" s="3"/>
      <c r="G384" s="3"/>
      <c r="H384" s="3"/>
      <c r="I384" s="3"/>
      <c r="J384" s="3"/>
      <c r="K384" s="3"/>
    </row>
    <row r="385" spans="2:11" x14ac:dyDescent="0.25">
      <c r="B385" s="2"/>
      <c r="C385" s="2"/>
      <c r="D385" s="3"/>
      <c r="E385" s="3"/>
      <c r="F385" s="3"/>
      <c r="G385" s="3"/>
      <c r="H385" s="3"/>
      <c r="I385" s="3"/>
      <c r="J385" s="3"/>
      <c r="K385" s="3"/>
    </row>
    <row r="386" spans="2:11" x14ac:dyDescent="0.25">
      <c r="B386" s="2"/>
      <c r="C386" s="2"/>
      <c r="D386" s="3"/>
      <c r="E386" s="3"/>
      <c r="F386" s="3"/>
      <c r="G386" s="3"/>
      <c r="H386" s="3"/>
      <c r="I386" s="3"/>
      <c r="J386" s="3"/>
      <c r="K386" s="3"/>
    </row>
    <row r="387" spans="2:11" x14ac:dyDescent="0.25">
      <c r="B387" s="2"/>
      <c r="C387" s="2"/>
      <c r="D387" s="3"/>
      <c r="E387" s="3"/>
      <c r="F387" s="3"/>
      <c r="G387" s="3"/>
      <c r="H387" s="3"/>
      <c r="I387" s="3"/>
      <c r="J387" s="3"/>
      <c r="K387" s="3"/>
    </row>
    <row r="388" spans="2:11" x14ac:dyDescent="0.25">
      <c r="B388" s="2"/>
      <c r="C388" s="2"/>
      <c r="D388" s="3"/>
      <c r="E388" s="3"/>
      <c r="F388" s="3"/>
      <c r="G388" s="3"/>
      <c r="H388" s="3"/>
      <c r="I388" s="3"/>
      <c r="J388" s="3"/>
      <c r="K388" s="3"/>
    </row>
    <row r="389" spans="2:11" x14ac:dyDescent="0.25">
      <c r="B389" s="2"/>
      <c r="C389" s="2"/>
      <c r="D389" s="3"/>
      <c r="E389" s="3"/>
      <c r="F389" s="3"/>
      <c r="G389" s="3"/>
      <c r="H389" s="3"/>
      <c r="I389" s="3"/>
      <c r="J389" s="3"/>
      <c r="K389" s="3"/>
    </row>
    <row r="390" spans="2:11" x14ac:dyDescent="0.25">
      <c r="B390" s="2"/>
      <c r="C390" s="2"/>
      <c r="D390" s="3"/>
      <c r="E390" s="3"/>
      <c r="F390" s="3"/>
      <c r="G390" s="3"/>
      <c r="H390" s="3"/>
      <c r="I390" s="3"/>
      <c r="J390" s="3"/>
      <c r="K390" s="3"/>
    </row>
    <row r="391" spans="2:11" x14ac:dyDescent="0.25">
      <c r="B391" s="2"/>
      <c r="C391" s="2"/>
      <c r="D391" s="3"/>
      <c r="E391" s="3"/>
      <c r="F391" s="3"/>
      <c r="H391" s="3"/>
      <c r="I391" s="3"/>
      <c r="J391" s="3"/>
      <c r="K391" s="3"/>
    </row>
    <row r="392" spans="2:11" x14ac:dyDescent="0.25">
      <c r="B392" s="2"/>
      <c r="C392" s="2"/>
      <c r="D392" s="3"/>
      <c r="E392" s="3"/>
      <c r="F392" s="3"/>
      <c r="H392" s="3"/>
      <c r="I392" s="3"/>
      <c r="J392" s="3"/>
      <c r="K392" s="3"/>
    </row>
    <row r="393" spans="2:11" x14ac:dyDescent="0.25">
      <c r="B393" s="2"/>
      <c r="C393" s="2"/>
      <c r="D393" s="3"/>
      <c r="E393" s="3"/>
      <c r="F393" s="3"/>
      <c r="H393" s="3"/>
      <c r="I393" s="3"/>
      <c r="J393" s="3"/>
      <c r="K393" s="3"/>
    </row>
    <row r="394" spans="2:11" x14ac:dyDescent="0.25">
      <c r="B394" s="2"/>
      <c r="C394" s="2"/>
      <c r="D394" s="3"/>
      <c r="E394" s="3"/>
      <c r="F394" s="3"/>
      <c r="H394" s="3"/>
      <c r="I394" s="3"/>
      <c r="J394" s="3"/>
      <c r="K394" s="3"/>
    </row>
    <row r="395" spans="2:11" x14ac:dyDescent="0.25">
      <c r="B395" s="2"/>
      <c r="C395" s="2"/>
      <c r="D395" s="3"/>
      <c r="E395" s="3"/>
      <c r="F395" s="3"/>
      <c r="G395" s="3"/>
      <c r="H395" s="3"/>
      <c r="I395" s="3"/>
      <c r="J395" s="3"/>
      <c r="K395" s="3"/>
    </row>
    <row r="396" spans="2:11" x14ac:dyDescent="0.25">
      <c r="B396" s="2"/>
      <c r="C396" s="2"/>
      <c r="D396" s="3"/>
      <c r="E396" s="3"/>
      <c r="F396" s="3"/>
      <c r="H396" s="3"/>
      <c r="I396" s="3"/>
      <c r="J396" s="3"/>
      <c r="K396" s="3"/>
    </row>
    <row r="397" spans="2:11" x14ac:dyDescent="0.25">
      <c r="B397" s="2"/>
      <c r="C397" s="2"/>
      <c r="D397" s="3"/>
      <c r="E397" s="3"/>
      <c r="F397" s="3"/>
      <c r="G397" s="3"/>
      <c r="H397" s="3"/>
      <c r="I397" s="3"/>
      <c r="J397" s="3"/>
      <c r="K397" s="3"/>
    </row>
    <row r="398" spans="2:11" x14ac:dyDescent="0.25">
      <c r="B398" s="2"/>
      <c r="C398" s="2"/>
      <c r="D398" s="3"/>
      <c r="E398" s="3"/>
      <c r="F398" s="3"/>
      <c r="G398" s="3"/>
      <c r="H398" s="3"/>
      <c r="I398" s="3"/>
      <c r="J398" s="3"/>
      <c r="K398" s="3"/>
    </row>
    <row r="399" spans="2:11" x14ac:dyDescent="0.25">
      <c r="B399" s="2"/>
      <c r="C399" s="2"/>
      <c r="D399" s="3"/>
      <c r="E399" s="3"/>
      <c r="F399" s="3"/>
      <c r="G399" s="3"/>
      <c r="H399" s="3"/>
      <c r="I399" s="3"/>
      <c r="J399" s="3"/>
      <c r="K399" s="3"/>
    </row>
    <row r="400" spans="2:11" x14ac:dyDescent="0.25">
      <c r="B400" s="2"/>
      <c r="C400" s="2"/>
      <c r="D400" s="3"/>
      <c r="E400" s="3"/>
      <c r="F400" s="3"/>
      <c r="H400" s="3"/>
      <c r="I400" s="3"/>
      <c r="J400" s="3"/>
      <c r="K400" s="3"/>
    </row>
    <row r="401" spans="2:11" x14ac:dyDescent="0.25">
      <c r="B401" s="2"/>
      <c r="C401" s="2"/>
      <c r="D401" s="3"/>
      <c r="E401" s="3"/>
      <c r="F401" s="3"/>
      <c r="H401" s="3"/>
      <c r="I401" s="3"/>
      <c r="J401" s="3"/>
      <c r="K401" s="3"/>
    </row>
    <row r="402" spans="2:11" x14ac:dyDescent="0.25">
      <c r="B402" s="2"/>
      <c r="C402" s="2"/>
      <c r="D402" s="3"/>
      <c r="E402" s="3"/>
      <c r="F402" s="3"/>
      <c r="H402" s="3"/>
      <c r="I402" s="3"/>
      <c r="J402" s="3"/>
      <c r="K402" s="3"/>
    </row>
    <row r="403" spans="2:11" x14ac:dyDescent="0.25">
      <c r="B403" s="2"/>
      <c r="C403" s="2"/>
      <c r="D403" s="3"/>
      <c r="E403" s="3"/>
      <c r="F403" s="3"/>
      <c r="G403" s="3"/>
      <c r="H403" s="3"/>
      <c r="I403" s="3"/>
      <c r="J403" s="3"/>
      <c r="K403" s="3"/>
    </row>
    <row r="404" spans="2:11" x14ac:dyDescent="0.25">
      <c r="B404" s="2"/>
      <c r="C404" s="2"/>
      <c r="D404" s="3"/>
      <c r="E404" s="3"/>
      <c r="F404" s="3"/>
      <c r="G404" s="3"/>
      <c r="H404" s="3"/>
      <c r="I404" s="3"/>
      <c r="J404" s="3"/>
      <c r="K404" s="3"/>
    </row>
    <row r="405" spans="2:11" x14ac:dyDescent="0.25">
      <c r="B405" s="2"/>
      <c r="C405" s="2"/>
      <c r="D405" s="3"/>
      <c r="E405" s="3"/>
      <c r="F405" s="3"/>
      <c r="G405" s="3"/>
      <c r="H405" s="3"/>
      <c r="I405" s="3"/>
      <c r="J405" s="3"/>
      <c r="K405" s="3"/>
    </row>
    <row r="406" spans="2:11" x14ac:dyDescent="0.25">
      <c r="B406" s="2"/>
      <c r="C406" s="2"/>
      <c r="D406" s="3"/>
      <c r="E406" s="3"/>
      <c r="F406" s="3"/>
      <c r="G406" s="3"/>
      <c r="H406" s="3"/>
      <c r="I406" s="3"/>
      <c r="J406" s="3"/>
      <c r="K406" s="3"/>
    </row>
    <row r="407" spans="2:11" x14ac:dyDescent="0.25">
      <c r="B407" s="2"/>
      <c r="C407" s="2"/>
      <c r="D407" s="3"/>
      <c r="E407" s="3"/>
      <c r="F407" s="3"/>
      <c r="G407" s="3"/>
      <c r="H407" s="3"/>
      <c r="I407" s="3"/>
      <c r="J407" s="3"/>
      <c r="K407" s="3"/>
    </row>
    <row r="408" spans="2:11" x14ac:dyDescent="0.25">
      <c r="B408" s="2"/>
      <c r="C408" s="2"/>
      <c r="D408" s="3"/>
      <c r="E408" s="3"/>
      <c r="F408" s="3"/>
      <c r="G408" s="3"/>
      <c r="H408" s="3"/>
      <c r="I408" s="3"/>
      <c r="J408" s="3"/>
      <c r="K408" s="3"/>
    </row>
    <row r="409" spans="2:11" x14ac:dyDescent="0.25">
      <c r="B409" s="2"/>
      <c r="C409" s="2"/>
      <c r="D409" s="3"/>
      <c r="E409" s="3"/>
      <c r="F409" s="3"/>
      <c r="G409" s="3"/>
      <c r="H409" s="3"/>
      <c r="I409" s="3"/>
      <c r="J409" s="3"/>
      <c r="K409" s="3"/>
    </row>
    <row r="410" spans="2:11" x14ac:dyDescent="0.25">
      <c r="B410" s="2"/>
      <c r="C410" s="2"/>
      <c r="D410" s="3"/>
      <c r="E410" s="3"/>
      <c r="F410" s="3"/>
      <c r="G410" s="3"/>
      <c r="H410" s="3"/>
      <c r="I410" s="3"/>
      <c r="J410" s="3"/>
      <c r="K410" s="3"/>
    </row>
    <row r="411" spans="2:11" x14ac:dyDescent="0.25">
      <c r="B411" s="2"/>
      <c r="C411" s="2"/>
      <c r="D411" s="3"/>
      <c r="E411" s="3"/>
      <c r="F411" s="3"/>
      <c r="G411" s="3"/>
      <c r="H411" s="3"/>
      <c r="I411" s="3"/>
      <c r="J411" s="3"/>
      <c r="K411" s="3"/>
    </row>
    <row r="412" spans="2:11" x14ac:dyDescent="0.25">
      <c r="B412" s="2"/>
      <c r="C412" s="2"/>
      <c r="D412" s="3"/>
      <c r="E412" s="3"/>
      <c r="F412" s="3"/>
      <c r="G412" s="3"/>
      <c r="H412" s="3"/>
      <c r="I412" s="3"/>
      <c r="J412" s="3"/>
      <c r="K412" s="3"/>
    </row>
    <row r="413" spans="2:11" x14ac:dyDescent="0.25">
      <c r="B413" s="2"/>
      <c r="C413" s="2"/>
      <c r="D413" s="3"/>
      <c r="E413" s="3"/>
      <c r="F413" s="3"/>
      <c r="H413" s="3"/>
      <c r="I413" s="3"/>
      <c r="J413" s="3"/>
      <c r="K413" s="3"/>
    </row>
    <row r="414" spans="2:11" x14ac:dyDescent="0.25">
      <c r="B414" s="2"/>
      <c r="C414" s="2"/>
      <c r="D414" s="3"/>
      <c r="E414" s="3"/>
      <c r="F414" s="3"/>
      <c r="H414" s="3"/>
      <c r="I414" s="3"/>
      <c r="J414" s="3"/>
      <c r="K414" s="3"/>
    </row>
    <row r="415" spans="2:11" x14ac:dyDescent="0.25">
      <c r="B415" s="2"/>
      <c r="C415" s="2"/>
      <c r="D415" s="3"/>
      <c r="E415" s="3"/>
      <c r="F415" s="3"/>
      <c r="H415" s="3"/>
      <c r="I415" s="3"/>
      <c r="J415" s="3"/>
      <c r="K415" s="3"/>
    </row>
    <row r="416" spans="2:11" x14ac:dyDescent="0.25">
      <c r="B416" s="2"/>
      <c r="C416" s="2"/>
      <c r="D416" s="3"/>
      <c r="E416" s="3"/>
      <c r="F416" s="3"/>
      <c r="G416" s="3"/>
      <c r="H416" s="3"/>
      <c r="I416" s="3"/>
      <c r="J416" s="3"/>
      <c r="K416" s="3"/>
    </row>
    <row r="417" spans="2:11" x14ac:dyDescent="0.25">
      <c r="B417" s="2"/>
      <c r="C417" s="2"/>
      <c r="D417" s="3"/>
      <c r="E417" s="3"/>
      <c r="F417" s="3"/>
      <c r="H417" s="3"/>
      <c r="I417" s="3"/>
      <c r="J417" s="3"/>
      <c r="K417" s="3"/>
    </row>
    <row r="418" spans="2:11" x14ac:dyDescent="0.25">
      <c r="B418" s="2"/>
      <c r="C418" s="2"/>
      <c r="D418" s="3"/>
      <c r="E418" s="3"/>
      <c r="F418" s="3"/>
      <c r="G418" s="3"/>
      <c r="H418" s="3"/>
      <c r="I418" s="3"/>
      <c r="J418" s="3"/>
      <c r="K418" s="3"/>
    </row>
    <row r="419" spans="2:11" x14ac:dyDescent="0.25">
      <c r="B419" s="2"/>
      <c r="C419" s="2"/>
      <c r="D419" s="3"/>
      <c r="E419" s="3"/>
      <c r="F419" s="3"/>
      <c r="H419" s="3"/>
      <c r="I419" s="3"/>
      <c r="J419" s="3"/>
      <c r="K419" s="3"/>
    </row>
    <row r="420" spans="2:11" x14ac:dyDescent="0.25">
      <c r="B420" s="2"/>
      <c r="C420" s="2"/>
      <c r="D420" s="3"/>
      <c r="E420" s="3"/>
      <c r="F420" s="3"/>
      <c r="G420" s="3"/>
      <c r="H420" s="3"/>
      <c r="I420" s="3"/>
      <c r="J420" s="3"/>
      <c r="K420" s="3"/>
    </row>
    <row r="421" spans="2:11" x14ac:dyDescent="0.25">
      <c r="B421" s="2"/>
      <c r="C421" s="2"/>
      <c r="D421" s="3"/>
      <c r="E421" s="3"/>
      <c r="F421" s="3"/>
      <c r="G421" s="3"/>
      <c r="H421" s="3"/>
      <c r="I421" s="3"/>
      <c r="J421" s="3"/>
      <c r="K421" s="3"/>
    </row>
    <row r="422" spans="2:11" x14ac:dyDescent="0.25">
      <c r="B422" s="2"/>
      <c r="C422" s="2"/>
      <c r="D422" s="3"/>
      <c r="E422" s="3"/>
      <c r="F422" s="3"/>
      <c r="H422" s="3"/>
      <c r="I422" s="3"/>
      <c r="J422" s="3"/>
      <c r="K422" s="3"/>
    </row>
    <row r="423" spans="2:11" x14ac:dyDescent="0.25">
      <c r="B423" s="2"/>
      <c r="C423" s="2"/>
      <c r="D423" s="3"/>
      <c r="E423" s="3"/>
      <c r="F423" s="3"/>
      <c r="H423" s="3"/>
      <c r="I423" s="3"/>
      <c r="J423" s="3"/>
      <c r="K423" s="3"/>
    </row>
    <row r="424" spans="2:11" x14ac:dyDescent="0.25">
      <c r="B424" s="2"/>
      <c r="C424" s="2"/>
      <c r="D424" s="3"/>
      <c r="E424" s="3"/>
      <c r="F424" s="3"/>
      <c r="H424" s="3"/>
      <c r="I424" s="3"/>
      <c r="J424" s="3"/>
      <c r="K424" s="3"/>
    </row>
    <row r="425" spans="2:11" x14ac:dyDescent="0.25">
      <c r="B425" s="2"/>
      <c r="C425" s="2"/>
      <c r="D425" s="3"/>
      <c r="E425" s="3"/>
      <c r="F425" s="3"/>
      <c r="G425" s="3"/>
      <c r="H425" s="3"/>
      <c r="I425" s="3"/>
      <c r="J425" s="3"/>
      <c r="K425" s="3"/>
    </row>
    <row r="426" spans="2:11" x14ac:dyDescent="0.25">
      <c r="B426" s="2"/>
      <c r="C426" s="2"/>
      <c r="D426" s="3"/>
      <c r="E426" s="3"/>
      <c r="F426" s="3"/>
      <c r="H426" s="3"/>
      <c r="I426" s="3"/>
      <c r="J426" s="3"/>
      <c r="K426" s="3"/>
    </row>
    <row r="427" spans="2:11" x14ac:dyDescent="0.25">
      <c r="B427" s="2"/>
      <c r="C427" s="2"/>
      <c r="D427" s="3"/>
      <c r="E427" s="3"/>
      <c r="F427" s="3"/>
      <c r="G427" s="3"/>
      <c r="H427" s="3"/>
      <c r="I427" s="3"/>
      <c r="J427" s="3"/>
      <c r="K427" s="3"/>
    </row>
    <row r="428" spans="2:11" x14ac:dyDescent="0.25">
      <c r="B428" s="2"/>
      <c r="C428" s="2"/>
      <c r="D428" s="3"/>
      <c r="E428" s="3"/>
      <c r="F428" s="3"/>
      <c r="G428" s="3"/>
      <c r="H428" s="3"/>
      <c r="I428" s="3"/>
      <c r="J428" s="3"/>
      <c r="K428" s="3"/>
    </row>
    <row r="429" spans="2:11" x14ac:dyDescent="0.25">
      <c r="B429" s="2"/>
      <c r="C429" s="2"/>
      <c r="D429" s="3"/>
      <c r="E429" s="3"/>
      <c r="F429" s="3"/>
      <c r="H429" s="3"/>
      <c r="I429" s="3"/>
      <c r="J429" s="3"/>
      <c r="K429" s="3"/>
    </row>
    <row r="430" spans="2:11" x14ac:dyDescent="0.25">
      <c r="B430" s="2"/>
      <c r="C430" s="2"/>
      <c r="D430" s="3"/>
      <c r="E430" s="3"/>
      <c r="F430" s="3"/>
      <c r="G430" s="3"/>
      <c r="H430" s="3"/>
      <c r="I430" s="3"/>
      <c r="J430" s="3"/>
      <c r="K430" s="3"/>
    </row>
    <row r="431" spans="2:11" x14ac:dyDescent="0.25">
      <c r="B431" s="2"/>
      <c r="C431" s="2"/>
      <c r="D431" s="3"/>
      <c r="E431" s="3"/>
      <c r="F431" s="3"/>
      <c r="H431" s="3"/>
      <c r="I431" s="3"/>
      <c r="J431" s="3"/>
      <c r="K431" s="3"/>
    </row>
    <row r="432" spans="2:11" x14ac:dyDescent="0.25">
      <c r="B432" s="2"/>
      <c r="C432" s="2"/>
      <c r="D432" s="3"/>
      <c r="E432" s="3"/>
      <c r="F432" s="3"/>
      <c r="G432" s="3"/>
      <c r="H432" s="3"/>
      <c r="I432" s="3"/>
      <c r="J432" s="3"/>
      <c r="K432" s="3"/>
    </row>
    <row r="433" spans="2:11" x14ac:dyDescent="0.25">
      <c r="B433" s="2"/>
      <c r="C433" s="2"/>
      <c r="D433" s="3"/>
      <c r="E433" s="3"/>
      <c r="F433" s="3"/>
      <c r="H433" s="3"/>
      <c r="I433" s="3"/>
      <c r="J433" s="3"/>
      <c r="K433" s="3"/>
    </row>
    <row r="434" spans="2:11" x14ac:dyDescent="0.25">
      <c r="B434" s="2"/>
      <c r="C434" s="2"/>
      <c r="D434" s="3"/>
      <c r="E434" s="3"/>
      <c r="F434" s="3"/>
      <c r="H434" s="3"/>
      <c r="I434" s="3"/>
      <c r="J434" s="3"/>
      <c r="K434" s="3"/>
    </row>
    <row r="435" spans="2:11" x14ac:dyDescent="0.25">
      <c r="B435" s="2"/>
      <c r="C435" s="2"/>
      <c r="D435" s="3"/>
      <c r="E435" s="3"/>
      <c r="F435" s="3"/>
      <c r="G435" s="3"/>
      <c r="H435" s="3"/>
      <c r="I435" s="3"/>
      <c r="J435" s="3"/>
      <c r="K435" s="3"/>
    </row>
    <row r="436" spans="2:11" x14ac:dyDescent="0.25">
      <c r="B436" s="2"/>
      <c r="C436" s="2"/>
      <c r="D436" s="3"/>
      <c r="E436" s="3"/>
      <c r="F436" s="3"/>
      <c r="G436" s="3"/>
      <c r="H436" s="3"/>
      <c r="I436" s="3"/>
      <c r="J436" s="3"/>
      <c r="K436" s="3"/>
    </row>
    <row r="437" spans="2:11" x14ac:dyDescent="0.25">
      <c r="B437" s="2"/>
      <c r="C437" s="2"/>
      <c r="D437" s="3"/>
      <c r="E437" s="3"/>
      <c r="F437" s="3"/>
      <c r="G437" s="3"/>
      <c r="H437" s="3"/>
      <c r="I437" s="3"/>
      <c r="J437" s="3"/>
      <c r="K437" s="3"/>
    </row>
    <row r="438" spans="2:11" x14ac:dyDescent="0.25">
      <c r="B438" s="2"/>
      <c r="C438" s="2"/>
      <c r="D438" s="3"/>
      <c r="E438" s="3"/>
      <c r="F438" s="3"/>
      <c r="G438" s="3"/>
      <c r="H438" s="3"/>
      <c r="I438" s="3"/>
      <c r="J438" s="3"/>
      <c r="K438" s="3"/>
    </row>
    <row r="439" spans="2:11" x14ac:dyDescent="0.25">
      <c r="B439" s="2"/>
      <c r="C439" s="2"/>
      <c r="D439" s="3"/>
      <c r="E439" s="3"/>
      <c r="F439" s="3"/>
      <c r="H439" s="3"/>
      <c r="I439" s="3"/>
      <c r="J439" s="3"/>
      <c r="K439" s="3"/>
    </row>
    <row r="440" spans="2:11" x14ac:dyDescent="0.25">
      <c r="B440" s="2"/>
      <c r="C440" s="2"/>
      <c r="D440" s="3"/>
      <c r="E440" s="3"/>
      <c r="F440" s="3"/>
      <c r="G440" s="3"/>
      <c r="H440" s="3"/>
      <c r="I440" s="3"/>
      <c r="J440" s="3"/>
      <c r="K440" s="3"/>
    </row>
    <row r="441" spans="2:11" x14ac:dyDescent="0.25">
      <c r="B441" s="2"/>
      <c r="C441" s="2"/>
      <c r="D441" s="3"/>
      <c r="E441" s="3"/>
      <c r="F441" s="3"/>
      <c r="G441" s="3"/>
      <c r="H441" s="3"/>
      <c r="I441" s="3"/>
      <c r="J441" s="3"/>
      <c r="K441" s="3"/>
    </row>
    <row r="442" spans="2:11" x14ac:dyDescent="0.25">
      <c r="B442" s="2"/>
      <c r="C442" s="2"/>
      <c r="D442" s="3"/>
      <c r="E442" s="3"/>
      <c r="F442" s="3"/>
      <c r="G442" s="3"/>
      <c r="H442" s="3"/>
      <c r="I442" s="3"/>
      <c r="J442" s="3"/>
      <c r="K442" s="3"/>
    </row>
    <row r="443" spans="2:11" x14ac:dyDescent="0.25">
      <c r="B443" s="2"/>
      <c r="C443" s="2"/>
      <c r="D443" s="3"/>
      <c r="E443" s="3"/>
      <c r="F443" s="3"/>
      <c r="G443" s="3"/>
      <c r="H443" s="3"/>
      <c r="I443" s="3"/>
      <c r="J443" s="3"/>
      <c r="K443" s="3"/>
    </row>
    <row r="444" spans="2:11" x14ac:dyDescent="0.25">
      <c r="B444" s="2"/>
      <c r="C444" s="2"/>
      <c r="D444" s="3"/>
      <c r="E444" s="3"/>
      <c r="F444" s="3"/>
      <c r="H444" s="3"/>
      <c r="I444" s="3"/>
      <c r="J444" s="3"/>
      <c r="K444" s="3"/>
    </row>
    <row r="445" spans="2:11" x14ac:dyDescent="0.25">
      <c r="B445" s="2"/>
      <c r="C445" s="2"/>
      <c r="D445" s="3"/>
      <c r="E445" s="3"/>
      <c r="F445" s="3"/>
      <c r="H445" s="3"/>
      <c r="I445" s="3"/>
      <c r="J445" s="3"/>
      <c r="K445" s="3"/>
    </row>
    <row r="446" spans="2:11" x14ac:dyDescent="0.25">
      <c r="B446" s="2"/>
      <c r="C446" s="2"/>
      <c r="D446" s="3"/>
      <c r="E446" s="3"/>
      <c r="F446" s="3"/>
      <c r="H446" s="3"/>
      <c r="I446" s="3"/>
      <c r="J446" s="3"/>
      <c r="K446" s="3"/>
    </row>
    <row r="447" spans="2:11" x14ac:dyDescent="0.25">
      <c r="B447" s="2"/>
      <c r="C447" s="2"/>
      <c r="D447" s="3"/>
      <c r="E447" s="3"/>
      <c r="F447" s="3"/>
      <c r="G447" s="3"/>
      <c r="H447" s="3"/>
      <c r="I447" s="3"/>
      <c r="J447" s="3"/>
      <c r="K447" s="3"/>
    </row>
    <row r="448" spans="2:11" x14ac:dyDescent="0.25">
      <c r="B448" s="2"/>
      <c r="C448" s="2"/>
      <c r="D448" s="3"/>
      <c r="E448" s="3"/>
      <c r="F448" s="3"/>
      <c r="G448" s="3"/>
      <c r="H448" s="3"/>
      <c r="I448" s="3"/>
      <c r="J448" s="3"/>
      <c r="K448" s="3"/>
    </row>
    <row r="449" spans="2:11" x14ac:dyDescent="0.25">
      <c r="B449" s="2"/>
      <c r="C449" s="2"/>
      <c r="D449" s="3"/>
      <c r="E449" s="3"/>
      <c r="F449" s="3"/>
      <c r="H449" s="3"/>
      <c r="I449" s="3"/>
      <c r="J449" s="3"/>
      <c r="K449" s="3"/>
    </row>
    <row r="450" spans="2:11" x14ac:dyDescent="0.25">
      <c r="B450" s="2"/>
      <c r="C450" s="2"/>
      <c r="D450" s="3"/>
      <c r="E450" s="3"/>
      <c r="F450" s="3"/>
      <c r="G450" s="3"/>
      <c r="H450" s="3"/>
      <c r="I450" s="3"/>
      <c r="J450" s="3"/>
      <c r="K450" s="3"/>
    </row>
    <row r="451" spans="2:11" x14ac:dyDescent="0.25">
      <c r="B451" s="2"/>
      <c r="C451" s="2"/>
      <c r="D451" s="3"/>
      <c r="E451" s="3"/>
      <c r="F451" s="3"/>
      <c r="G451" s="3"/>
      <c r="H451" s="3"/>
      <c r="I451" s="3"/>
      <c r="J451" s="3"/>
      <c r="K451" s="3"/>
    </row>
    <row r="452" spans="2:11" x14ac:dyDescent="0.25">
      <c r="B452" s="2"/>
      <c r="C452" s="2"/>
      <c r="D452" s="3"/>
      <c r="E452" s="3"/>
      <c r="F452" s="3"/>
      <c r="H452" s="3"/>
      <c r="I452" s="3"/>
      <c r="J452" s="3"/>
      <c r="K452" s="3"/>
    </row>
    <row r="453" spans="2:11" x14ac:dyDescent="0.25">
      <c r="B453" s="2"/>
      <c r="C453" s="2"/>
      <c r="D453" s="3"/>
      <c r="E453" s="3"/>
      <c r="F453" s="3"/>
      <c r="G453" s="3"/>
      <c r="H453" s="3"/>
      <c r="I453" s="3"/>
      <c r="J453" s="3"/>
      <c r="K453" s="3"/>
    </row>
    <row r="454" spans="2:11" x14ac:dyDescent="0.25">
      <c r="B454" s="2"/>
      <c r="C454" s="2"/>
      <c r="D454" s="3"/>
      <c r="E454" s="3"/>
      <c r="F454" s="3"/>
      <c r="G454" s="3"/>
      <c r="H454" s="3"/>
      <c r="I454" s="3"/>
      <c r="J454" s="3"/>
      <c r="K454" s="3"/>
    </row>
    <row r="455" spans="2:11" x14ac:dyDescent="0.25">
      <c r="B455" s="2"/>
      <c r="C455" s="2"/>
      <c r="D455" s="3"/>
      <c r="E455" s="3"/>
      <c r="F455" s="3"/>
      <c r="G455" s="3"/>
      <c r="H455" s="3"/>
      <c r="I455" s="3"/>
      <c r="J455" s="3"/>
      <c r="K455" s="3"/>
    </row>
    <row r="456" spans="2:11" x14ac:dyDescent="0.25">
      <c r="B456" s="2"/>
      <c r="C456" s="2"/>
      <c r="D456" s="3"/>
      <c r="E456" s="3"/>
      <c r="F456" s="3"/>
      <c r="G456" s="3"/>
      <c r="H456" s="3"/>
      <c r="I456" s="3"/>
      <c r="J456" s="3"/>
      <c r="K456" s="3"/>
    </row>
    <row r="457" spans="2:11" x14ac:dyDescent="0.25">
      <c r="B457" s="2"/>
      <c r="C457" s="2"/>
      <c r="D457" s="3"/>
      <c r="E457" s="3"/>
      <c r="F457" s="3"/>
      <c r="G457" s="3"/>
      <c r="H457" s="3"/>
      <c r="I457" s="3"/>
      <c r="J457" s="3"/>
      <c r="K457" s="3"/>
    </row>
    <row r="458" spans="2:11" x14ac:dyDescent="0.25">
      <c r="B458" s="2"/>
      <c r="C458" s="2"/>
      <c r="D458" s="3"/>
      <c r="E458" s="3"/>
      <c r="F458" s="3"/>
      <c r="G458" s="3"/>
      <c r="H458" s="3"/>
      <c r="I458" s="3"/>
      <c r="J458" s="3"/>
      <c r="K458" s="3"/>
    </row>
    <row r="459" spans="2:11" x14ac:dyDescent="0.25">
      <c r="B459" s="2"/>
      <c r="C459" s="2"/>
      <c r="D459" s="3"/>
      <c r="E459" s="3"/>
      <c r="F459" s="3"/>
      <c r="G459" s="3"/>
      <c r="H459" s="3"/>
      <c r="I459" s="3"/>
      <c r="J459" s="3"/>
      <c r="K459" s="3"/>
    </row>
    <row r="460" spans="2:11" x14ac:dyDescent="0.25">
      <c r="B460" s="2"/>
      <c r="C460" s="2"/>
      <c r="D460" s="3"/>
      <c r="E460" s="3"/>
      <c r="F460" s="3"/>
      <c r="G460" s="3"/>
      <c r="H460" s="3"/>
      <c r="I460" s="3"/>
      <c r="J460" s="3"/>
      <c r="K460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6F531-44BB-484B-87A6-D0C3E34E9CF8}">
  <sheetPr codeName="Sheet17"/>
  <dimension ref="A1:K208"/>
  <sheetViews>
    <sheetView workbookViewId="0">
      <selection sqref="A1:XFD10"/>
    </sheetView>
  </sheetViews>
  <sheetFormatPr defaultColWidth="11" defaultRowHeight="15.75" x14ac:dyDescent="0.25"/>
  <cols>
    <col min="3" max="3" width="54.6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15001</v>
      </c>
      <c r="C3" s="10" t="str" cm="1">
        <f t="array" ref="C3">INDEX($B$11:$K$208, $A$3, C1)</f>
        <v>ANCHOVY,EUROPEAN,RAW</v>
      </c>
      <c r="D3" s="10" cm="1">
        <f t="array" ref="D3">INDEX($B$11:$K$74, $A$3, D1)</f>
        <v>20.350000000000001</v>
      </c>
      <c r="E3" s="10" cm="1">
        <f t="array" ref="E3">INDEX($B$11:$K$74, $A$3, E1)</f>
        <v>0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104</v>
      </c>
      <c r="I3" s="10" cm="1">
        <f t="array" ref="I3">INDEX($B$11:$K$74, $A$3, I1)</f>
        <v>1.282</v>
      </c>
      <c r="J3" s="10" cm="1">
        <f t="array" ref="J3">INDEX($B$11:$K$74, $A$3, J1)</f>
        <v>1.1819999999999999</v>
      </c>
      <c r="K3" s="10" cm="1">
        <f t="array" ref="K3">INDEX($B$11:$K$74, $A$3, K1)</f>
        <v>1.637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0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2.3639999999999999</v>
      </c>
      <c r="K6" s="10">
        <f>A7*K3</f>
        <v>3.274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 t="e">
        <f>E4/E3</f>
        <v>#DIV/0!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5085</v>
      </c>
      <c r="C11" s="2" t="s">
        <v>5086</v>
      </c>
      <c r="D11" s="3">
        <v>20.350000000000001</v>
      </c>
      <c r="E11" s="3">
        <v>0</v>
      </c>
      <c r="F11" s="3">
        <v>0</v>
      </c>
      <c r="G11" s="3">
        <v>0</v>
      </c>
      <c r="H11" s="3">
        <v>104</v>
      </c>
      <c r="I11" s="3">
        <v>1.282</v>
      </c>
      <c r="J11" s="3">
        <v>1.1819999999999999</v>
      </c>
      <c r="K11" s="3">
        <v>1.637</v>
      </c>
    </row>
    <row r="12" spans="1:11" x14ac:dyDescent="0.25">
      <c r="B12" s="2" t="s">
        <v>5087</v>
      </c>
      <c r="C12" s="2" t="s">
        <v>5088</v>
      </c>
      <c r="D12" s="3">
        <v>28.89</v>
      </c>
      <c r="E12" s="3">
        <v>0</v>
      </c>
      <c r="F12" s="3">
        <v>0</v>
      </c>
      <c r="G12" s="3">
        <v>0</v>
      </c>
      <c r="H12" s="3">
        <v>3668</v>
      </c>
      <c r="I12" s="3">
        <v>2.2029999999999998</v>
      </c>
      <c r="J12" s="3">
        <v>3.77</v>
      </c>
      <c r="K12" s="3">
        <v>2.5619999999999998</v>
      </c>
    </row>
    <row r="13" spans="1:11" x14ac:dyDescent="0.25">
      <c r="B13" s="2" t="s">
        <v>5089</v>
      </c>
      <c r="C13" s="2" t="s">
        <v>5090</v>
      </c>
      <c r="D13" s="3">
        <v>18.86</v>
      </c>
      <c r="E13" s="3">
        <v>0</v>
      </c>
      <c r="F13" s="3">
        <v>0</v>
      </c>
      <c r="H13" s="3">
        <v>70</v>
      </c>
      <c r="I13" s="3">
        <v>0.78</v>
      </c>
      <c r="J13" s="3">
        <v>1.431</v>
      </c>
      <c r="K13" s="3">
        <v>1.0620000000000001</v>
      </c>
    </row>
    <row r="14" spans="1:11" x14ac:dyDescent="0.25">
      <c r="B14" s="2" t="s">
        <v>5091</v>
      </c>
      <c r="C14" s="2" t="s">
        <v>5092</v>
      </c>
      <c r="D14" s="3">
        <v>17.73</v>
      </c>
      <c r="E14" s="3">
        <v>0</v>
      </c>
      <c r="F14" s="3">
        <v>0</v>
      </c>
      <c r="H14" s="3">
        <v>69</v>
      </c>
      <c r="I14" s="3">
        <v>0.50700000000000001</v>
      </c>
      <c r="J14" s="3">
        <v>0.66</v>
      </c>
      <c r="K14" s="3">
        <v>0.78400000000000003</v>
      </c>
    </row>
    <row r="15" spans="1:11" x14ac:dyDescent="0.25">
      <c r="B15" s="2" t="s">
        <v>5093</v>
      </c>
      <c r="C15" s="2" t="s">
        <v>5094</v>
      </c>
      <c r="D15" s="3">
        <v>20.04</v>
      </c>
      <c r="E15" s="3">
        <v>0</v>
      </c>
      <c r="F15" s="3">
        <v>0</v>
      </c>
      <c r="H15" s="3">
        <v>60</v>
      </c>
      <c r="I15" s="3">
        <v>0.91500000000000004</v>
      </c>
      <c r="J15" s="3">
        <v>1.7929999999999999</v>
      </c>
      <c r="K15" s="3">
        <v>1.06</v>
      </c>
    </row>
    <row r="16" spans="1:11" x14ac:dyDescent="0.25">
      <c r="B16" s="2" t="s">
        <v>5095</v>
      </c>
      <c r="C16" s="2" t="s">
        <v>5096</v>
      </c>
      <c r="D16" s="3">
        <v>19.309999999999999</v>
      </c>
      <c r="E16" s="3">
        <v>0</v>
      </c>
      <c r="F16" s="3">
        <v>0</v>
      </c>
      <c r="H16" s="3">
        <v>97</v>
      </c>
      <c r="I16" s="3">
        <v>0.16300000000000001</v>
      </c>
      <c r="J16" s="3">
        <v>0.13300000000000001</v>
      </c>
      <c r="K16" s="3">
        <v>0.29699999999999999</v>
      </c>
    </row>
    <row r="17" spans="2:11" x14ac:dyDescent="0.25">
      <c r="B17" s="2" t="s">
        <v>5097</v>
      </c>
      <c r="C17" s="2" t="s">
        <v>5098</v>
      </c>
      <c r="D17" s="3">
        <v>17.28</v>
      </c>
      <c r="E17" s="3">
        <v>0</v>
      </c>
      <c r="F17" s="3">
        <v>0</v>
      </c>
      <c r="H17" s="3">
        <v>89</v>
      </c>
      <c r="I17" s="3">
        <v>3.38</v>
      </c>
      <c r="J17" s="3">
        <v>3.38</v>
      </c>
      <c r="K17" s="3">
        <v>0.59</v>
      </c>
    </row>
    <row r="18" spans="2:11" x14ac:dyDescent="0.25">
      <c r="B18" s="2" t="s">
        <v>5099</v>
      </c>
      <c r="C18" s="2" t="s">
        <v>5100</v>
      </c>
      <c r="D18" s="3">
        <v>17.829999999999998</v>
      </c>
      <c r="E18" s="3">
        <v>0</v>
      </c>
      <c r="F18" s="3">
        <v>0</v>
      </c>
      <c r="G18" s="3">
        <v>0</v>
      </c>
      <c r="H18" s="3">
        <v>49</v>
      </c>
      <c r="I18" s="3">
        <v>1.083</v>
      </c>
      <c r="J18" s="3">
        <v>2.3279999999999998</v>
      </c>
      <c r="K18" s="3">
        <v>1.431</v>
      </c>
    </row>
    <row r="19" spans="2:11" x14ac:dyDescent="0.25">
      <c r="B19" s="2" t="s">
        <v>5101</v>
      </c>
      <c r="C19" s="2" t="s">
        <v>5102</v>
      </c>
      <c r="D19" s="3">
        <v>22.86</v>
      </c>
      <c r="E19" s="3">
        <v>0</v>
      </c>
      <c r="F19" s="3">
        <v>0</v>
      </c>
      <c r="H19" s="3">
        <v>63</v>
      </c>
      <c r="I19" s="3">
        <v>1.3879999999999999</v>
      </c>
      <c r="J19" s="3">
        <v>2.9849999999999999</v>
      </c>
      <c r="K19" s="3">
        <v>1.835</v>
      </c>
    </row>
    <row r="20" spans="2:11" x14ac:dyDescent="0.25">
      <c r="B20" s="2" t="s">
        <v>5103</v>
      </c>
      <c r="C20" s="2" t="s">
        <v>5104</v>
      </c>
      <c r="D20" s="3">
        <v>16.38</v>
      </c>
      <c r="E20" s="3">
        <v>0</v>
      </c>
      <c r="F20" s="3">
        <v>0</v>
      </c>
      <c r="H20" s="3">
        <v>43</v>
      </c>
      <c r="I20" s="3">
        <v>0.72199999999999998</v>
      </c>
      <c r="J20" s="3">
        <v>0.84399999999999997</v>
      </c>
      <c r="K20" s="3">
        <v>0.86499999999999999</v>
      </c>
    </row>
    <row r="21" spans="2:11" x14ac:dyDescent="0.25">
      <c r="B21" s="2" t="s">
        <v>5105</v>
      </c>
      <c r="C21" s="2" t="s">
        <v>5106</v>
      </c>
      <c r="D21" s="3">
        <v>18.09</v>
      </c>
      <c r="E21" s="3">
        <v>8.0399999999999991</v>
      </c>
      <c r="F21" s="3">
        <v>0.7</v>
      </c>
      <c r="H21" s="3">
        <v>280</v>
      </c>
      <c r="I21" s="3">
        <v>3.2879999999999998</v>
      </c>
      <c r="J21" s="3">
        <v>5.6109999999999998</v>
      </c>
      <c r="K21" s="3">
        <v>3.3250000000000002</v>
      </c>
    </row>
    <row r="22" spans="2:11" x14ac:dyDescent="0.25">
      <c r="B22" s="2" t="s">
        <v>5107</v>
      </c>
      <c r="C22" s="2" t="s">
        <v>5108</v>
      </c>
      <c r="D22" s="3">
        <v>24.6</v>
      </c>
      <c r="E22" s="3">
        <v>4</v>
      </c>
      <c r="F22" s="3">
        <v>0</v>
      </c>
      <c r="G22" s="3">
        <v>0</v>
      </c>
      <c r="H22" s="3">
        <v>1500</v>
      </c>
      <c r="I22" s="3">
        <v>4.0599999999999996</v>
      </c>
      <c r="J22" s="3">
        <v>4.6310000000000002</v>
      </c>
      <c r="K22" s="3">
        <v>7.4050000000000002</v>
      </c>
    </row>
    <row r="23" spans="2:11" x14ac:dyDescent="0.25">
      <c r="B23" s="2" t="s">
        <v>5109</v>
      </c>
      <c r="C23" s="2" t="s">
        <v>5110</v>
      </c>
      <c r="D23" s="3">
        <v>18.989999999999998</v>
      </c>
      <c r="E23" s="3">
        <v>0</v>
      </c>
      <c r="F23" s="3">
        <v>0</v>
      </c>
      <c r="H23" s="3">
        <v>55</v>
      </c>
      <c r="I23" s="3">
        <v>0.42099999999999999</v>
      </c>
      <c r="J23" s="3">
        <v>0.46899999999999997</v>
      </c>
      <c r="K23" s="3">
        <v>0.61299999999999999</v>
      </c>
    </row>
    <row r="24" spans="2:11" x14ac:dyDescent="0.25">
      <c r="B24" s="2" t="s">
        <v>5111</v>
      </c>
      <c r="C24" s="2" t="s">
        <v>5112</v>
      </c>
      <c r="D24" s="3">
        <v>16.36</v>
      </c>
      <c r="E24" s="3">
        <v>0</v>
      </c>
      <c r="F24" s="3">
        <v>0</v>
      </c>
      <c r="G24" s="3">
        <v>0</v>
      </c>
      <c r="H24" s="3">
        <v>481</v>
      </c>
      <c r="I24" s="3">
        <v>1.7410000000000001</v>
      </c>
      <c r="J24" s="3">
        <v>5.484</v>
      </c>
      <c r="K24" s="3">
        <v>2.274</v>
      </c>
    </row>
    <row r="25" spans="2:11" x14ac:dyDescent="0.25">
      <c r="B25" s="2" t="s">
        <v>5113</v>
      </c>
      <c r="C25" s="2" t="s">
        <v>5114</v>
      </c>
      <c r="D25" s="3">
        <v>17.809999999999999</v>
      </c>
      <c r="E25" s="3">
        <v>0</v>
      </c>
      <c r="F25" s="3">
        <v>0</v>
      </c>
      <c r="G25" s="3">
        <v>0</v>
      </c>
      <c r="H25" s="3">
        <v>54</v>
      </c>
      <c r="I25" s="3">
        <v>0.13100000000000001</v>
      </c>
      <c r="J25" s="3">
        <v>9.4E-2</v>
      </c>
      <c r="K25" s="3">
        <v>0.23100000000000001</v>
      </c>
    </row>
    <row r="26" spans="2:11" x14ac:dyDescent="0.25">
      <c r="B26" s="2" t="s">
        <v>5115</v>
      </c>
      <c r="C26" s="2" t="s">
        <v>5116</v>
      </c>
      <c r="D26" s="3">
        <v>22.83</v>
      </c>
      <c r="E26" s="3">
        <v>0</v>
      </c>
      <c r="F26" s="3">
        <v>0</v>
      </c>
      <c r="G26" s="3">
        <v>0</v>
      </c>
      <c r="H26" s="3">
        <v>78</v>
      </c>
      <c r="I26" s="3">
        <v>0.16800000000000001</v>
      </c>
      <c r="J26" s="3">
        <v>0.124</v>
      </c>
      <c r="K26" s="3">
        <v>0.29199999999999998</v>
      </c>
    </row>
    <row r="27" spans="2:11" x14ac:dyDescent="0.25">
      <c r="B27" s="2" t="s">
        <v>5117</v>
      </c>
      <c r="C27" s="2" t="s">
        <v>5118</v>
      </c>
      <c r="D27" s="3">
        <v>22.76</v>
      </c>
      <c r="E27" s="3">
        <v>0</v>
      </c>
      <c r="F27" s="3">
        <v>0</v>
      </c>
      <c r="G27" s="3">
        <v>0</v>
      </c>
      <c r="H27" s="3">
        <v>218</v>
      </c>
      <c r="I27" s="3">
        <v>0.16700000000000001</v>
      </c>
      <c r="J27" s="3">
        <v>0.124</v>
      </c>
      <c r="K27" s="3">
        <v>0.29099999999999998</v>
      </c>
    </row>
    <row r="28" spans="2:11" x14ac:dyDescent="0.25">
      <c r="B28" s="2" t="s">
        <v>5119</v>
      </c>
      <c r="C28" s="2" t="s">
        <v>5120</v>
      </c>
      <c r="D28" s="3">
        <v>62.82</v>
      </c>
      <c r="E28" s="3">
        <v>0</v>
      </c>
      <c r="F28" s="3">
        <v>0</v>
      </c>
      <c r="G28" s="3">
        <v>0</v>
      </c>
      <c r="H28" s="3">
        <v>7027</v>
      </c>
      <c r="I28" s="3">
        <v>0.46200000000000002</v>
      </c>
      <c r="J28" s="3">
        <v>0.34200000000000003</v>
      </c>
      <c r="K28" s="3">
        <v>0.80400000000000005</v>
      </c>
    </row>
    <row r="29" spans="2:11" x14ac:dyDescent="0.25">
      <c r="B29" s="2" t="s">
        <v>5121</v>
      </c>
      <c r="C29" s="2" t="s">
        <v>5122</v>
      </c>
      <c r="D29" s="3">
        <v>15.27</v>
      </c>
      <c r="E29" s="3">
        <v>0</v>
      </c>
      <c r="F29" s="3">
        <v>0</v>
      </c>
      <c r="G29" s="3">
        <v>0</v>
      </c>
      <c r="H29" s="3">
        <v>303</v>
      </c>
      <c r="I29" s="3">
        <v>8.5000000000000006E-2</v>
      </c>
      <c r="J29" s="3">
        <v>7.2999999999999995E-2</v>
      </c>
      <c r="K29" s="3">
        <v>0.16400000000000001</v>
      </c>
    </row>
    <row r="30" spans="2:11" x14ac:dyDescent="0.25">
      <c r="B30" s="2" t="s">
        <v>5123</v>
      </c>
      <c r="C30" s="2" t="s">
        <v>5124</v>
      </c>
      <c r="D30" s="3">
        <v>17.78</v>
      </c>
      <c r="E30" s="3">
        <v>0</v>
      </c>
      <c r="F30" s="3">
        <v>0</v>
      </c>
      <c r="G30" s="3">
        <v>0</v>
      </c>
      <c r="H30" s="3">
        <v>56</v>
      </c>
      <c r="I30" s="3">
        <v>1.0880000000000001</v>
      </c>
      <c r="J30" s="3">
        <v>1.149</v>
      </c>
      <c r="K30" s="3">
        <v>0.46400000000000002</v>
      </c>
    </row>
    <row r="31" spans="2:11" x14ac:dyDescent="0.25">
      <c r="B31" s="2" t="s">
        <v>5125</v>
      </c>
      <c r="C31" s="2" t="s">
        <v>5126</v>
      </c>
      <c r="D31" s="3">
        <v>18.2</v>
      </c>
      <c r="E31" s="3">
        <v>7.54</v>
      </c>
      <c r="F31" s="3">
        <v>0.4</v>
      </c>
      <c r="H31" s="3">
        <v>348</v>
      </c>
      <c r="I31" s="3">
        <v>3.476</v>
      </c>
      <c r="J31" s="3">
        <v>5.32</v>
      </c>
      <c r="K31" s="3">
        <v>2.9169999999999998</v>
      </c>
    </row>
    <row r="32" spans="2:11" x14ac:dyDescent="0.25">
      <c r="B32" s="2" t="s">
        <v>5127</v>
      </c>
      <c r="C32" s="2" t="s">
        <v>5128</v>
      </c>
      <c r="D32" s="3">
        <v>18.989999999999998</v>
      </c>
      <c r="E32" s="3">
        <v>0</v>
      </c>
      <c r="F32" s="3">
        <v>0</v>
      </c>
      <c r="H32" s="3">
        <v>31</v>
      </c>
      <c r="I32" s="3">
        <v>0.13</v>
      </c>
      <c r="J32" s="3">
        <v>0.09</v>
      </c>
      <c r="K32" s="3">
        <v>0.28000000000000003</v>
      </c>
    </row>
    <row r="33" spans="2:11" x14ac:dyDescent="0.25">
      <c r="B33" s="2" t="s">
        <v>5129</v>
      </c>
      <c r="C33" s="2" t="s">
        <v>5130</v>
      </c>
      <c r="D33" s="3">
        <v>18.5</v>
      </c>
      <c r="E33" s="3">
        <v>0</v>
      </c>
      <c r="F33" s="3">
        <v>0</v>
      </c>
      <c r="H33" s="3">
        <v>88</v>
      </c>
      <c r="I33" s="3">
        <v>0.188</v>
      </c>
      <c r="J33" s="3">
        <v>0.121</v>
      </c>
      <c r="K33" s="3">
        <v>0.16500000000000001</v>
      </c>
    </row>
    <row r="34" spans="2:11" x14ac:dyDescent="0.25">
      <c r="B34" s="2" t="s">
        <v>5131</v>
      </c>
      <c r="C34" s="2" t="s">
        <v>5132</v>
      </c>
      <c r="D34" s="3">
        <v>17.54</v>
      </c>
      <c r="E34" s="3">
        <v>0</v>
      </c>
      <c r="F34" s="3">
        <v>0</v>
      </c>
      <c r="H34" s="3">
        <v>75</v>
      </c>
      <c r="I34" s="3">
        <v>1.119</v>
      </c>
      <c r="J34" s="3">
        <v>2.19</v>
      </c>
      <c r="K34" s="3">
        <v>1.1539999999999999</v>
      </c>
    </row>
    <row r="35" spans="2:11" x14ac:dyDescent="0.25">
      <c r="B35" s="2" t="s">
        <v>5133</v>
      </c>
      <c r="C35" s="2" t="s">
        <v>5134</v>
      </c>
      <c r="D35" s="3">
        <v>18.440000000000001</v>
      </c>
      <c r="E35" s="3">
        <v>0</v>
      </c>
      <c r="F35" s="3">
        <v>0</v>
      </c>
      <c r="G35" s="3">
        <v>0</v>
      </c>
      <c r="H35" s="3">
        <v>51</v>
      </c>
      <c r="I35" s="3">
        <v>2.3580000000000001</v>
      </c>
      <c r="J35" s="3">
        <v>7.19</v>
      </c>
      <c r="K35" s="3">
        <v>0.94699999999999995</v>
      </c>
    </row>
    <row r="36" spans="2:11" x14ac:dyDescent="0.25">
      <c r="B36" s="2" t="s">
        <v>5135</v>
      </c>
      <c r="C36" s="2" t="s">
        <v>5136</v>
      </c>
      <c r="D36" s="3">
        <v>23.65</v>
      </c>
      <c r="E36" s="3">
        <v>0</v>
      </c>
      <c r="F36" s="3">
        <v>0</v>
      </c>
      <c r="H36" s="3">
        <v>65</v>
      </c>
      <c r="I36" s="3">
        <v>3.0230000000000001</v>
      </c>
      <c r="J36" s="3">
        <v>9.218</v>
      </c>
      <c r="K36" s="3">
        <v>1.214</v>
      </c>
    </row>
    <row r="37" spans="2:11" x14ac:dyDescent="0.25">
      <c r="B37" s="2" t="s">
        <v>5137</v>
      </c>
      <c r="C37" s="2" t="s">
        <v>5138</v>
      </c>
      <c r="D37" s="3">
        <v>11.01</v>
      </c>
      <c r="E37" s="3">
        <v>21.66</v>
      </c>
      <c r="F37" s="3">
        <v>1.5</v>
      </c>
      <c r="G37" s="3">
        <v>1.65</v>
      </c>
      <c r="H37" s="3">
        <v>402</v>
      </c>
      <c r="I37" s="3">
        <v>3.7330000000000001</v>
      </c>
      <c r="J37" s="3">
        <v>3.1930000000000001</v>
      </c>
      <c r="K37" s="3">
        <v>7.8239999999999998</v>
      </c>
    </row>
    <row r="38" spans="2:11" x14ac:dyDescent="0.25">
      <c r="B38" s="2" t="s">
        <v>5139</v>
      </c>
      <c r="C38" s="2" t="s">
        <v>5140</v>
      </c>
      <c r="D38" s="3">
        <v>12.41</v>
      </c>
      <c r="E38" s="3">
        <v>0</v>
      </c>
      <c r="F38" s="3">
        <v>0</v>
      </c>
      <c r="G38" s="3">
        <v>0</v>
      </c>
      <c r="H38" s="3">
        <v>296</v>
      </c>
      <c r="I38" s="3">
        <v>0.441</v>
      </c>
      <c r="J38" s="3">
        <v>0.53500000000000003</v>
      </c>
      <c r="K38" s="3">
        <v>0.374</v>
      </c>
    </row>
    <row r="39" spans="2:11" x14ac:dyDescent="0.25">
      <c r="B39" s="2" t="s">
        <v>5141</v>
      </c>
      <c r="C39" s="2" t="s">
        <v>5142</v>
      </c>
      <c r="D39" s="3">
        <v>15.24</v>
      </c>
      <c r="E39" s="3">
        <v>0</v>
      </c>
      <c r="F39" s="3">
        <v>0</v>
      </c>
      <c r="G39" s="3">
        <v>0</v>
      </c>
      <c r="H39" s="3">
        <v>363</v>
      </c>
      <c r="I39" s="3">
        <v>0.54200000000000004</v>
      </c>
      <c r="J39" s="3">
        <v>0.65700000000000003</v>
      </c>
      <c r="K39" s="3">
        <v>0.45900000000000002</v>
      </c>
    </row>
    <row r="40" spans="2:11" x14ac:dyDescent="0.25">
      <c r="B40" s="2" t="s">
        <v>5143</v>
      </c>
      <c r="C40" s="2" t="s">
        <v>5144</v>
      </c>
      <c r="D40" s="3">
        <v>9.07</v>
      </c>
      <c r="E40" s="3">
        <v>7.41</v>
      </c>
      <c r="F40" s="3">
        <v>0</v>
      </c>
      <c r="H40" s="3">
        <v>524</v>
      </c>
      <c r="I40" s="3">
        <v>0.41199999999999998</v>
      </c>
      <c r="J40" s="3">
        <v>0.82399999999999995</v>
      </c>
      <c r="K40" s="3">
        <v>0.28499999999999998</v>
      </c>
    </row>
    <row r="41" spans="2:11" x14ac:dyDescent="0.25">
      <c r="B41" s="2" t="s">
        <v>5145</v>
      </c>
      <c r="C41" s="2" t="s">
        <v>5146</v>
      </c>
      <c r="D41" s="3">
        <v>19.38</v>
      </c>
      <c r="E41" s="3">
        <v>0</v>
      </c>
      <c r="F41" s="3">
        <v>0</v>
      </c>
      <c r="H41" s="3">
        <v>53</v>
      </c>
      <c r="I41" s="3">
        <v>0.23300000000000001</v>
      </c>
      <c r="J41" s="3">
        <v>0.20200000000000001</v>
      </c>
      <c r="K41" s="3">
        <v>0.32100000000000001</v>
      </c>
    </row>
    <row r="42" spans="2:11" x14ac:dyDescent="0.25">
      <c r="B42" s="2" t="s">
        <v>5147</v>
      </c>
      <c r="C42" s="2" t="s">
        <v>5148</v>
      </c>
      <c r="D42" s="3">
        <v>24.84</v>
      </c>
      <c r="E42" s="3">
        <v>0</v>
      </c>
      <c r="F42" s="3">
        <v>0</v>
      </c>
      <c r="H42" s="3">
        <v>53</v>
      </c>
      <c r="I42" s="3">
        <v>0.29899999999999999</v>
      </c>
      <c r="J42" s="3">
        <v>0.26800000000000002</v>
      </c>
      <c r="K42" s="3">
        <v>0.40300000000000002</v>
      </c>
    </row>
    <row r="43" spans="2:11" x14ac:dyDescent="0.25">
      <c r="B43" s="2" t="s">
        <v>5149</v>
      </c>
      <c r="C43" s="2" t="s">
        <v>5150</v>
      </c>
      <c r="D43" s="3">
        <v>16.32</v>
      </c>
      <c r="E43" s="3">
        <v>0</v>
      </c>
      <c r="F43" s="3">
        <v>0</v>
      </c>
      <c r="G43" s="3">
        <v>0</v>
      </c>
      <c r="H43" s="3">
        <v>213</v>
      </c>
      <c r="I43" s="3">
        <v>9.0999999999999998E-2</v>
      </c>
      <c r="J43" s="3">
        <v>6.0999999999999999E-2</v>
      </c>
      <c r="K43" s="3">
        <v>0.16600000000000001</v>
      </c>
    </row>
    <row r="44" spans="2:11" x14ac:dyDescent="0.25">
      <c r="B44" s="2" t="s">
        <v>5151</v>
      </c>
      <c r="C44" s="2" t="s">
        <v>5152</v>
      </c>
      <c r="D44" s="3">
        <v>19.989999999999998</v>
      </c>
      <c r="E44" s="3">
        <v>0</v>
      </c>
      <c r="F44" s="3">
        <v>0</v>
      </c>
      <c r="G44" s="3">
        <v>0</v>
      </c>
      <c r="H44" s="3">
        <v>261</v>
      </c>
      <c r="I44" s="3">
        <v>0.111</v>
      </c>
      <c r="J44" s="3">
        <v>7.3999999999999996E-2</v>
      </c>
      <c r="K44" s="3">
        <v>0.20399999999999999</v>
      </c>
    </row>
    <row r="45" spans="2:11" x14ac:dyDescent="0.25">
      <c r="B45" s="2" t="s">
        <v>5153</v>
      </c>
      <c r="C45" s="2" t="s">
        <v>5154</v>
      </c>
      <c r="D45" s="3">
        <v>25.23</v>
      </c>
      <c r="E45" s="3">
        <v>0</v>
      </c>
      <c r="F45" s="3">
        <v>0</v>
      </c>
      <c r="G45" s="3">
        <v>0</v>
      </c>
      <c r="H45" s="3">
        <v>763</v>
      </c>
      <c r="I45" s="3">
        <v>0.17299999999999999</v>
      </c>
      <c r="J45" s="3">
        <v>0.157</v>
      </c>
      <c r="K45" s="3">
        <v>0.32100000000000001</v>
      </c>
    </row>
    <row r="46" spans="2:11" x14ac:dyDescent="0.25">
      <c r="B46" s="2" t="s">
        <v>5155</v>
      </c>
      <c r="C46" s="2" t="s">
        <v>5156</v>
      </c>
      <c r="D46" s="3">
        <v>18.559999999999999</v>
      </c>
      <c r="E46" s="3">
        <v>0</v>
      </c>
      <c r="F46" s="3">
        <v>0</v>
      </c>
      <c r="G46" s="3">
        <v>0</v>
      </c>
      <c r="H46" s="3">
        <v>68</v>
      </c>
      <c r="I46" s="3">
        <v>0.29199999999999998</v>
      </c>
      <c r="J46" s="3">
        <v>0.47099999999999997</v>
      </c>
      <c r="K46" s="3">
        <v>0.28999999999999998</v>
      </c>
    </row>
    <row r="47" spans="2:11" x14ac:dyDescent="0.25">
      <c r="B47" s="2" t="s">
        <v>5157</v>
      </c>
      <c r="C47" s="2" t="s">
        <v>5158</v>
      </c>
      <c r="D47" s="3">
        <v>22.54</v>
      </c>
      <c r="E47" s="3">
        <v>0</v>
      </c>
      <c r="F47" s="3">
        <v>0</v>
      </c>
      <c r="G47" s="3">
        <v>0</v>
      </c>
      <c r="H47" s="3">
        <v>82</v>
      </c>
      <c r="I47" s="3">
        <v>0.35399999999999998</v>
      </c>
      <c r="J47" s="3">
        <v>0.57299999999999995</v>
      </c>
      <c r="K47" s="3">
        <v>0.35199999999999998</v>
      </c>
    </row>
    <row r="48" spans="2:11" x14ac:dyDescent="0.25">
      <c r="B48" s="2" t="s">
        <v>5159</v>
      </c>
      <c r="C48" s="2" t="s">
        <v>5160</v>
      </c>
      <c r="D48" s="3">
        <v>14.37</v>
      </c>
      <c r="E48" s="3">
        <v>0</v>
      </c>
      <c r="F48" s="3">
        <v>0</v>
      </c>
      <c r="G48" s="3">
        <v>0</v>
      </c>
      <c r="H48" s="3">
        <v>80</v>
      </c>
      <c r="I48" s="3">
        <v>2.419</v>
      </c>
      <c r="J48" s="3">
        <v>8.3780000000000001</v>
      </c>
      <c r="K48" s="3">
        <v>1.367</v>
      </c>
    </row>
    <row r="49" spans="2:11" x14ac:dyDescent="0.25">
      <c r="B49" s="2" t="s">
        <v>5161</v>
      </c>
      <c r="C49" s="2" t="s">
        <v>5162</v>
      </c>
      <c r="D49" s="3">
        <v>17.96</v>
      </c>
      <c r="E49" s="3">
        <v>0</v>
      </c>
      <c r="F49" s="3">
        <v>0</v>
      </c>
      <c r="G49" s="3">
        <v>0</v>
      </c>
      <c r="H49" s="3">
        <v>90</v>
      </c>
      <c r="I49" s="3">
        <v>2.04</v>
      </c>
      <c r="J49" s="3">
        <v>3.7360000000000002</v>
      </c>
      <c r="K49" s="3">
        <v>2.133</v>
      </c>
    </row>
    <row r="50" spans="2:11" x14ac:dyDescent="0.25">
      <c r="B50" s="2" t="s">
        <v>5163</v>
      </c>
      <c r="C50" s="2" t="s">
        <v>5164</v>
      </c>
      <c r="D50" s="3">
        <v>23.03</v>
      </c>
      <c r="E50" s="3">
        <v>0</v>
      </c>
      <c r="F50" s="3">
        <v>0</v>
      </c>
      <c r="G50" s="3">
        <v>0</v>
      </c>
      <c r="H50" s="3">
        <v>115</v>
      </c>
      <c r="I50" s="3">
        <v>2.6150000000000002</v>
      </c>
      <c r="J50" s="3">
        <v>4.79</v>
      </c>
      <c r="K50" s="3">
        <v>2.7349999999999999</v>
      </c>
    </row>
    <row r="51" spans="2:11" x14ac:dyDescent="0.25">
      <c r="B51" s="2" t="s">
        <v>5165</v>
      </c>
      <c r="C51" s="2" t="s">
        <v>5166</v>
      </c>
      <c r="D51" s="3">
        <v>14.19</v>
      </c>
      <c r="E51" s="3">
        <v>9.64</v>
      </c>
      <c r="F51" s="3">
        <v>0</v>
      </c>
      <c r="G51" s="3">
        <v>7.71</v>
      </c>
      <c r="H51" s="3">
        <v>870</v>
      </c>
      <c r="I51" s="3">
        <v>2.3809999999999998</v>
      </c>
      <c r="J51" s="3">
        <v>11.946999999999999</v>
      </c>
      <c r="K51" s="3">
        <v>1.679</v>
      </c>
    </row>
    <row r="52" spans="2:11" x14ac:dyDescent="0.25">
      <c r="B52" s="2" t="s">
        <v>5167</v>
      </c>
      <c r="C52" s="2" t="s">
        <v>5168</v>
      </c>
      <c r="D52" s="3">
        <v>24.58</v>
      </c>
      <c r="E52" s="3">
        <v>0</v>
      </c>
      <c r="F52" s="3">
        <v>0</v>
      </c>
      <c r="G52" s="3">
        <v>0</v>
      </c>
      <c r="H52" s="3">
        <v>918</v>
      </c>
      <c r="I52" s="3">
        <v>2.7909999999999999</v>
      </c>
      <c r="J52" s="3">
        <v>5.1120000000000001</v>
      </c>
      <c r="K52" s="3">
        <v>2.919</v>
      </c>
    </row>
    <row r="53" spans="2:11" x14ac:dyDescent="0.25">
      <c r="B53" s="2" t="s">
        <v>5169</v>
      </c>
      <c r="C53" s="2" t="s">
        <v>5170</v>
      </c>
      <c r="D53" s="3">
        <v>16.39</v>
      </c>
      <c r="E53" s="3">
        <v>0</v>
      </c>
      <c r="F53" s="3">
        <v>0</v>
      </c>
      <c r="H53" s="3">
        <v>74</v>
      </c>
      <c r="I53" s="3">
        <v>3.2570000000000001</v>
      </c>
      <c r="J53" s="3">
        <v>6.8719999999999999</v>
      </c>
      <c r="K53" s="3">
        <v>2.423</v>
      </c>
    </row>
    <row r="54" spans="2:11" x14ac:dyDescent="0.25">
      <c r="B54" s="2" t="s">
        <v>5171</v>
      </c>
      <c r="C54" s="2" t="s">
        <v>5172</v>
      </c>
      <c r="D54" s="3">
        <v>18.989999999999998</v>
      </c>
      <c r="E54" s="3">
        <v>0</v>
      </c>
      <c r="F54" s="3">
        <v>0</v>
      </c>
      <c r="H54" s="3">
        <v>135</v>
      </c>
      <c r="I54" s="3">
        <v>0.12</v>
      </c>
      <c r="J54" s="3">
        <v>0.09</v>
      </c>
      <c r="K54" s="3">
        <v>0.22</v>
      </c>
    </row>
    <row r="55" spans="2:11" x14ac:dyDescent="0.25">
      <c r="B55" s="2" t="s">
        <v>5173</v>
      </c>
      <c r="C55" s="2" t="s">
        <v>5174</v>
      </c>
      <c r="D55" s="3">
        <v>17.66</v>
      </c>
      <c r="E55" s="3">
        <v>0</v>
      </c>
      <c r="F55" s="3">
        <v>0</v>
      </c>
      <c r="H55" s="3">
        <v>59</v>
      </c>
      <c r="I55" s="3">
        <v>0.19700000000000001</v>
      </c>
      <c r="J55" s="3">
        <v>0.35</v>
      </c>
      <c r="K55" s="3">
        <v>0.3</v>
      </c>
    </row>
    <row r="56" spans="2:11" x14ac:dyDescent="0.25">
      <c r="B56" s="2" t="s">
        <v>5175</v>
      </c>
      <c r="C56" s="2" t="s">
        <v>5176</v>
      </c>
      <c r="D56" s="3">
        <v>18.600000000000001</v>
      </c>
      <c r="E56" s="3">
        <v>0</v>
      </c>
      <c r="F56" s="3">
        <v>0</v>
      </c>
      <c r="G56" s="3">
        <v>0</v>
      </c>
      <c r="H56" s="3">
        <v>90</v>
      </c>
      <c r="I56" s="3">
        <v>3.2570000000000001</v>
      </c>
      <c r="J56" s="3">
        <v>5.4560000000000004</v>
      </c>
      <c r="K56" s="3">
        <v>3.35</v>
      </c>
    </row>
    <row r="57" spans="2:11" x14ac:dyDescent="0.25">
      <c r="B57" s="2" t="s">
        <v>5177</v>
      </c>
      <c r="C57" s="2" t="s">
        <v>5178</v>
      </c>
      <c r="D57" s="3">
        <v>23.85</v>
      </c>
      <c r="E57" s="3">
        <v>0</v>
      </c>
      <c r="F57" s="3">
        <v>0</v>
      </c>
      <c r="H57" s="3">
        <v>83</v>
      </c>
      <c r="I57" s="3">
        <v>4.1760000000000002</v>
      </c>
      <c r="J57" s="3">
        <v>7.0060000000000002</v>
      </c>
      <c r="K57" s="3">
        <v>4.3</v>
      </c>
    </row>
    <row r="58" spans="2:11" x14ac:dyDescent="0.25">
      <c r="B58" s="2" t="s">
        <v>5179</v>
      </c>
      <c r="C58" s="2" t="s">
        <v>5180</v>
      </c>
      <c r="D58" s="3">
        <v>23.19</v>
      </c>
      <c r="E58" s="3">
        <v>0</v>
      </c>
      <c r="F58" s="3">
        <v>0</v>
      </c>
      <c r="G58" s="3">
        <v>0</v>
      </c>
      <c r="H58" s="3">
        <v>379</v>
      </c>
      <c r="I58" s="3">
        <v>1.857</v>
      </c>
      <c r="J58" s="3">
        <v>2.2250000000000001</v>
      </c>
      <c r="K58" s="3">
        <v>1.651</v>
      </c>
    </row>
    <row r="59" spans="2:11" x14ac:dyDescent="0.25">
      <c r="B59" s="2" t="s">
        <v>5181</v>
      </c>
      <c r="C59" s="2" t="s">
        <v>5182</v>
      </c>
      <c r="D59" s="3">
        <v>20.28</v>
      </c>
      <c r="E59" s="3">
        <v>0</v>
      </c>
      <c r="F59" s="3">
        <v>0</v>
      </c>
      <c r="H59" s="3">
        <v>158</v>
      </c>
      <c r="I59" s="3">
        <v>0.36299999999999999</v>
      </c>
      <c r="J59" s="3">
        <v>0.76400000000000001</v>
      </c>
      <c r="K59" s="3">
        <v>0.46</v>
      </c>
    </row>
    <row r="60" spans="2:11" x14ac:dyDescent="0.25">
      <c r="B60" s="2" t="s">
        <v>5183</v>
      </c>
      <c r="C60" s="2" t="s">
        <v>5184</v>
      </c>
      <c r="D60" s="3">
        <v>20.07</v>
      </c>
      <c r="E60" s="3">
        <v>0</v>
      </c>
      <c r="F60" s="3">
        <v>0</v>
      </c>
      <c r="G60" s="3">
        <v>0</v>
      </c>
      <c r="H60" s="3">
        <v>86</v>
      </c>
      <c r="I60" s="3">
        <v>2.2469999999999999</v>
      </c>
      <c r="J60" s="3">
        <v>2.629</v>
      </c>
      <c r="K60" s="3">
        <v>1.94</v>
      </c>
    </row>
    <row r="61" spans="2:11" x14ac:dyDescent="0.25">
      <c r="B61" s="2" t="s">
        <v>5185</v>
      </c>
      <c r="C61" s="2" t="s">
        <v>5186</v>
      </c>
      <c r="D61" s="3">
        <v>19.29</v>
      </c>
      <c r="E61" s="3">
        <v>0</v>
      </c>
      <c r="F61" s="3">
        <v>0</v>
      </c>
      <c r="G61" s="3">
        <v>0</v>
      </c>
      <c r="H61" s="3">
        <v>59</v>
      </c>
      <c r="I61" s="3">
        <v>1.8280000000000001</v>
      </c>
      <c r="J61" s="3">
        <v>1.53</v>
      </c>
      <c r="K61" s="3">
        <v>1.7390000000000001</v>
      </c>
    </row>
    <row r="62" spans="2:11" x14ac:dyDescent="0.25">
      <c r="B62" s="2" t="s">
        <v>5187</v>
      </c>
      <c r="C62" s="2" t="s">
        <v>5188</v>
      </c>
      <c r="D62" s="3">
        <v>23.59</v>
      </c>
      <c r="E62" s="3">
        <v>0</v>
      </c>
      <c r="F62" s="3">
        <v>0</v>
      </c>
      <c r="H62" s="3">
        <v>66</v>
      </c>
      <c r="I62" s="3">
        <v>1.8009999999999999</v>
      </c>
      <c r="J62" s="3">
        <v>2.1389999999999998</v>
      </c>
      <c r="K62" s="3">
        <v>1.8049999999999999</v>
      </c>
    </row>
    <row r="63" spans="2:11" x14ac:dyDescent="0.25">
      <c r="B63" s="2" t="s">
        <v>5189</v>
      </c>
      <c r="C63" s="2" t="s">
        <v>5190</v>
      </c>
      <c r="D63" s="3">
        <v>20.53</v>
      </c>
      <c r="E63" s="3">
        <v>0</v>
      </c>
      <c r="F63" s="3">
        <v>0</v>
      </c>
      <c r="H63" s="3">
        <v>72</v>
      </c>
      <c r="I63" s="3">
        <v>1.66</v>
      </c>
      <c r="J63" s="3">
        <v>2.58</v>
      </c>
      <c r="K63" s="3">
        <v>1.84</v>
      </c>
    </row>
    <row r="64" spans="2:11" x14ac:dyDescent="0.25">
      <c r="B64" s="2" t="s">
        <v>5191</v>
      </c>
      <c r="C64" s="2" t="s">
        <v>5192</v>
      </c>
      <c r="D64" s="3">
        <v>14.48</v>
      </c>
      <c r="E64" s="3">
        <v>0</v>
      </c>
      <c r="F64" s="3">
        <v>0</v>
      </c>
      <c r="H64" s="3">
        <v>18</v>
      </c>
      <c r="I64" s="3">
        <v>0.34</v>
      </c>
      <c r="J64" s="3">
        <v>0.24</v>
      </c>
      <c r="K64" s="3">
        <v>0.61</v>
      </c>
    </row>
    <row r="65" spans="2:11" x14ac:dyDescent="0.25">
      <c r="B65" s="2" t="s">
        <v>5193</v>
      </c>
      <c r="C65" s="2" t="s">
        <v>5194</v>
      </c>
      <c r="D65" s="3">
        <v>19.350000000000001</v>
      </c>
      <c r="E65" s="3">
        <v>0</v>
      </c>
      <c r="F65" s="3">
        <v>0</v>
      </c>
      <c r="G65" s="3">
        <v>0</v>
      </c>
      <c r="H65" s="3">
        <v>65</v>
      </c>
      <c r="I65" s="3">
        <v>1.1160000000000001</v>
      </c>
      <c r="J65" s="3">
        <v>1.0780000000000001</v>
      </c>
      <c r="K65" s="3">
        <v>0.71499999999999997</v>
      </c>
    </row>
    <row r="66" spans="2:11" x14ac:dyDescent="0.25">
      <c r="B66" s="2" t="s">
        <v>5195</v>
      </c>
      <c r="C66" s="2" t="s">
        <v>5196</v>
      </c>
      <c r="D66" s="3">
        <v>24.81</v>
      </c>
      <c r="E66" s="3">
        <v>0</v>
      </c>
      <c r="F66" s="3">
        <v>0</v>
      </c>
      <c r="H66" s="3">
        <v>71</v>
      </c>
      <c r="I66" s="3">
        <v>1.431</v>
      </c>
      <c r="J66" s="3">
        <v>1.3819999999999999</v>
      </c>
      <c r="K66" s="3">
        <v>0.91700000000000004</v>
      </c>
    </row>
    <row r="67" spans="2:11" x14ac:dyDescent="0.25">
      <c r="B67" s="2" t="s">
        <v>5197</v>
      </c>
      <c r="C67" s="2" t="s">
        <v>5198</v>
      </c>
      <c r="D67" s="3">
        <v>15.31</v>
      </c>
      <c r="E67" s="3">
        <v>0</v>
      </c>
      <c r="F67" s="3">
        <v>0</v>
      </c>
      <c r="G67" s="3">
        <v>0</v>
      </c>
      <c r="H67" s="3">
        <v>287</v>
      </c>
      <c r="I67" s="3">
        <v>0.27300000000000002</v>
      </c>
      <c r="J67" s="3">
        <v>0.47499999999999998</v>
      </c>
      <c r="K67" s="3">
        <v>0.30399999999999999</v>
      </c>
    </row>
    <row r="68" spans="2:11" x14ac:dyDescent="0.25">
      <c r="B68" s="2" t="s">
        <v>5199</v>
      </c>
      <c r="C68" s="2" t="s">
        <v>5200</v>
      </c>
      <c r="D68" s="3">
        <v>18.510000000000002</v>
      </c>
      <c r="E68" s="3">
        <v>0</v>
      </c>
      <c r="F68" s="3">
        <v>0</v>
      </c>
      <c r="G68" s="3">
        <v>0</v>
      </c>
      <c r="H68" s="3">
        <v>347</v>
      </c>
      <c r="I68" s="3">
        <v>0.33</v>
      </c>
      <c r="J68" s="3">
        <v>0.57499999999999996</v>
      </c>
      <c r="K68" s="3">
        <v>0.36799999999999999</v>
      </c>
    </row>
    <row r="69" spans="2:11" x14ac:dyDescent="0.25">
      <c r="B69" s="2" t="s">
        <v>5201</v>
      </c>
      <c r="C69" s="2" t="s">
        <v>5202</v>
      </c>
      <c r="D69" s="3">
        <v>16.64</v>
      </c>
      <c r="E69" s="3">
        <v>0</v>
      </c>
      <c r="F69" s="3">
        <v>0</v>
      </c>
      <c r="H69" s="3">
        <v>61</v>
      </c>
      <c r="I69" s="3">
        <v>0.32</v>
      </c>
      <c r="J69" s="3">
        <v>0.32900000000000001</v>
      </c>
      <c r="K69" s="3">
        <v>3.2000000000000001E-2</v>
      </c>
    </row>
    <row r="70" spans="2:11" x14ac:dyDescent="0.25">
      <c r="B70" s="2" t="s">
        <v>5203</v>
      </c>
      <c r="C70" s="2" t="s">
        <v>5204</v>
      </c>
      <c r="D70" s="3">
        <v>19.39</v>
      </c>
      <c r="E70" s="3">
        <v>0</v>
      </c>
      <c r="F70" s="3">
        <v>0</v>
      </c>
      <c r="G70" s="3">
        <v>0</v>
      </c>
      <c r="H70" s="3">
        <v>62</v>
      </c>
      <c r="I70" s="3">
        <v>0.185</v>
      </c>
      <c r="J70" s="3">
        <v>0.152</v>
      </c>
      <c r="K70" s="3">
        <v>0.36799999999999999</v>
      </c>
    </row>
    <row r="71" spans="2:11" x14ac:dyDescent="0.25">
      <c r="B71" s="2" t="s">
        <v>5205</v>
      </c>
      <c r="C71" s="2" t="s">
        <v>5206</v>
      </c>
      <c r="D71" s="3">
        <v>24.86</v>
      </c>
      <c r="E71" s="3">
        <v>0</v>
      </c>
      <c r="F71" s="3">
        <v>0</v>
      </c>
      <c r="H71" s="3">
        <v>79</v>
      </c>
      <c r="I71" s="3">
        <v>0.23699999999999999</v>
      </c>
      <c r="J71" s="3">
        <v>0.19500000000000001</v>
      </c>
      <c r="K71" s="3">
        <v>0.47199999999999998</v>
      </c>
    </row>
    <row r="72" spans="2:11" x14ac:dyDescent="0.25">
      <c r="B72" s="2" t="s">
        <v>5207</v>
      </c>
      <c r="C72" s="2" t="s">
        <v>5208</v>
      </c>
      <c r="D72" s="3">
        <v>19.260000000000002</v>
      </c>
      <c r="E72" s="3">
        <v>0</v>
      </c>
      <c r="F72" s="3">
        <v>0</v>
      </c>
      <c r="G72" s="3">
        <v>0</v>
      </c>
      <c r="H72" s="3">
        <v>39</v>
      </c>
      <c r="I72" s="3">
        <v>0.11799999999999999</v>
      </c>
      <c r="J72" s="3">
        <v>0.157</v>
      </c>
      <c r="K72" s="3">
        <v>0.20200000000000001</v>
      </c>
    </row>
    <row r="73" spans="2:11" x14ac:dyDescent="0.25">
      <c r="B73" s="2" t="s">
        <v>5209</v>
      </c>
      <c r="C73" s="2" t="s">
        <v>5210</v>
      </c>
      <c r="D73" s="3">
        <v>24.69</v>
      </c>
      <c r="E73" s="3">
        <v>0</v>
      </c>
      <c r="F73" s="3">
        <v>0</v>
      </c>
      <c r="H73" s="3">
        <v>49</v>
      </c>
      <c r="I73" s="3">
        <v>0.151</v>
      </c>
      <c r="J73" s="3">
        <v>0.20100000000000001</v>
      </c>
      <c r="K73" s="3">
        <v>0.25900000000000001</v>
      </c>
    </row>
    <row r="74" spans="2:11" x14ac:dyDescent="0.25">
      <c r="B74" s="2" t="s">
        <v>5211</v>
      </c>
      <c r="C74" s="2" t="s">
        <v>5212</v>
      </c>
      <c r="D74" s="3">
        <v>19.14</v>
      </c>
      <c r="E74" s="3">
        <v>0</v>
      </c>
      <c r="F74" s="3">
        <v>0</v>
      </c>
      <c r="H74" s="3">
        <v>51</v>
      </c>
      <c r="I74" s="3">
        <v>0.249</v>
      </c>
      <c r="J74" s="3">
        <v>0.29399999999999998</v>
      </c>
      <c r="K74" s="3">
        <v>0.44700000000000001</v>
      </c>
    </row>
    <row r="75" spans="2:11" x14ac:dyDescent="0.25">
      <c r="B75" s="2" t="s">
        <v>5213</v>
      </c>
      <c r="C75" s="2" t="s">
        <v>5214</v>
      </c>
      <c r="D75" s="3">
        <v>19.440000000000001</v>
      </c>
      <c r="E75" s="3">
        <v>0</v>
      </c>
      <c r="F75" s="3">
        <v>0</v>
      </c>
      <c r="G75" s="3">
        <v>0</v>
      </c>
      <c r="H75" s="3">
        <v>86</v>
      </c>
      <c r="I75" s="3">
        <v>0.13500000000000001</v>
      </c>
      <c r="J75" s="3">
        <v>0.112</v>
      </c>
      <c r="K75" s="3">
        <v>0.48299999999999998</v>
      </c>
    </row>
    <row r="76" spans="2:11" x14ac:dyDescent="0.25">
      <c r="B76" s="2" t="s">
        <v>5215</v>
      </c>
      <c r="C76" s="2" t="s">
        <v>5216</v>
      </c>
      <c r="D76" s="3">
        <v>12.19</v>
      </c>
      <c r="E76" s="3">
        <v>0</v>
      </c>
      <c r="F76" s="3">
        <v>0</v>
      </c>
      <c r="G76" s="3">
        <v>0</v>
      </c>
      <c r="H76" s="3">
        <v>333</v>
      </c>
      <c r="I76" s="3">
        <v>0.124</v>
      </c>
      <c r="J76" s="3">
        <v>7.9000000000000001E-2</v>
      </c>
      <c r="K76" s="3">
        <v>0.19500000000000001</v>
      </c>
    </row>
    <row r="77" spans="2:11" x14ac:dyDescent="0.25">
      <c r="B77" s="2" t="s">
        <v>5217</v>
      </c>
      <c r="C77" s="2" t="s">
        <v>5218</v>
      </c>
      <c r="D77" s="3">
        <v>23.48</v>
      </c>
      <c r="E77" s="3">
        <v>0</v>
      </c>
      <c r="F77" s="3">
        <v>0</v>
      </c>
      <c r="G77" s="3">
        <v>0</v>
      </c>
      <c r="H77" s="3">
        <v>419</v>
      </c>
      <c r="I77" s="3">
        <v>0.159</v>
      </c>
      <c r="J77" s="3">
        <v>0.13400000000000001</v>
      </c>
      <c r="K77" s="3">
        <v>0.58299999999999996</v>
      </c>
    </row>
    <row r="78" spans="2:11" x14ac:dyDescent="0.25">
      <c r="B78" s="2" t="s">
        <v>5219</v>
      </c>
      <c r="C78" s="2" t="s">
        <v>5220</v>
      </c>
      <c r="D78" s="3">
        <v>18.48</v>
      </c>
      <c r="E78" s="3">
        <v>0</v>
      </c>
      <c r="F78" s="3">
        <v>0</v>
      </c>
      <c r="G78" s="3">
        <v>0</v>
      </c>
      <c r="H78" s="3">
        <v>65</v>
      </c>
      <c r="I78" s="3">
        <v>3.5089999999999999</v>
      </c>
      <c r="J78" s="3">
        <v>2.5859999999999999</v>
      </c>
      <c r="K78" s="3">
        <v>1.137</v>
      </c>
    </row>
    <row r="79" spans="2:11" x14ac:dyDescent="0.25">
      <c r="B79" s="2" t="s">
        <v>5221</v>
      </c>
      <c r="C79" s="2" t="s">
        <v>5222</v>
      </c>
      <c r="D79" s="3">
        <v>23.69</v>
      </c>
      <c r="E79" s="3">
        <v>0</v>
      </c>
      <c r="F79" s="3">
        <v>0</v>
      </c>
      <c r="H79" s="3">
        <v>76</v>
      </c>
      <c r="I79" s="3">
        <v>4.4989999999999997</v>
      </c>
      <c r="J79" s="3">
        <v>3.3149999999999999</v>
      </c>
      <c r="K79" s="3">
        <v>1.458</v>
      </c>
    </row>
    <row r="80" spans="2:11" x14ac:dyDescent="0.25">
      <c r="B80" s="2" t="s">
        <v>5223</v>
      </c>
      <c r="C80" s="2" t="s">
        <v>5224</v>
      </c>
      <c r="D80" s="3">
        <v>18.36</v>
      </c>
      <c r="E80" s="3">
        <v>0</v>
      </c>
      <c r="F80" s="3">
        <v>0</v>
      </c>
      <c r="G80" s="3">
        <v>0</v>
      </c>
      <c r="H80" s="3">
        <v>74</v>
      </c>
      <c r="I80" s="3">
        <v>0.34699999999999998</v>
      </c>
      <c r="J80" s="3">
        <v>0.38500000000000001</v>
      </c>
      <c r="K80" s="3">
        <v>0.40100000000000002</v>
      </c>
    </row>
    <row r="81" spans="2:11" x14ac:dyDescent="0.25">
      <c r="B81" s="2" t="s">
        <v>5225</v>
      </c>
      <c r="C81" s="2" t="s">
        <v>5226</v>
      </c>
      <c r="D81" s="3">
        <v>22.23</v>
      </c>
      <c r="E81" s="3">
        <v>0</v>
      </c>
      <c r="F81" s="3">
        <v>0</v>
      </c>
      <c r="G81" s="3">
        <v>0</v>
      </c>
      <c r="H81" s="3">
        <v>89</v>
      </c>
      <c r="I81" s="3">
        <v>0.42</v>
      </c>
      <c r="J81" s="3">
        <v>0.46600000000000003</v>
      </c>
      <c r="K81" s="3">
        <v>0.48499999999999999</v>
      </c>
    </row>
    <row r="82" spans="2:11" x14ac:dyDescent="0.25">
      <c r="B82" s="2" t="s">
        <v>5227</v>
      </c>
      <c r="C82" s="2" t="s">
        <v>5228</v>
      </c>
      <c r="D82" s="3">
        <v>22.32</v>
      </c>
      <c r="E82" s="3">
        <v>1.5</v>
      </c>
      <c r="F82" s="3">
        <v>0</v>
      </c>
      <c r="G82" s="3">
        <v>0</v>
      </c>
      <c r="H82" s="3">
        <v>91</v>
      </c>
      <c r="I82" s="3">
        <v>1.456</v>
      </c>
      <c r="J82" s="3">
        <v>1.661</v>
      </c>
      <c r="K82" s="3">
        <v>2.6560000000000001</v>
      </c>
    </row>
    <row r="83" spans="2:11" x14ac:dyDescent="0.25">
      <c r="B83" s="2" t="s">
        <v>5229</v>
      </c>
      <c r="C83" s="2" t="s">
        <v>5230</v>
      </c>
      <c r="D83" s="3">
        <v>16.41</v>
      </c>
      <c r="E83" s="3">
        <v>0</v>
      </c>
      <c r="F83" s="3">
        <v>0</v>
      </c>
      <c r="G83" s="3">
        <v>0</v>
      </c>
      <c r="H83" s="3">
        <v>72</v>
      </c>
      <c r="I83" s="3">
        <v>1.4999999999999999E-2</v>
      </c>
      <c r="J83" s="3">
        <v>0.23899999999999999</v>
      </c>
      <c r="K83" s="3">
        <v>0.109</v>
      </c>
    </row>
    <row r="84" spans="2:11" x14ac:dyDescent="0.25">
      <c r="B84" s="2" t="s">
        <v>5231</v>
      </c>
      <c r="C84" s="2" t="s">
        <v>5232</v>
      </c>
      <c r="D84" s="3">
        <v>13.41</v>
      </c>
      <c r="E84" s="3">
        <v>0</v>
      </c>
      <c r="F84" s="3">
        <v>0</v>
      </c>
      <c r="H84" s="3">
        <v>56</v>
      </c>
      <c r="I84" s="3">
        <v>3.2010000000000001</v>
      </c>
      <c r="J84" s="3">
        <v>8.0570000000000004</v>
      </c>
      <c r="K84" s="3">
        <v>2.0419999999999998</v>
      </c>
    </row>
    <row r="85" spans="2:11" x14ac:dyDescent="0.25">
      <c r="B85" s="2" t="s">
        <v>5233</v>
      </c>
      <c r="C85" s="2" t="s">
        <v>5234</v>
      </c>
      <c r="D85" s="3">
        <v>17.649999999999999</v>
      </c>
      <c r="E85" s="3">
        <v>0</v>
      </c>
      <c r="F85" s="3">
        <v>0</v>
      </c>
      <c r="H85" s="3">
        <v>737</v>
      </c>
      <c r="I85" s="3">
        <v>4.2130000000000001</v>
      </c>
      <c r="J85" s="3">
        <v>10.605</v>
      </c>
      <c r="K85" s="3">
        <v>2.6880000000000002</v>
      </c>
    </row>
    <row r="86" spans="2:11" x14ac:dyDescent="0.25">
      <c r="B86" s="2" t="s">
        <v>5235</v>
      </c>
      <c r="C86" s="2" t="s">
        <v>5236</v>
      </c>
      <c r="D86" s="3">
        <v>19.84</v>
      </c>
      <c r="E86" s="3">
        <v>0</v>
      </c>
      <c r="F86" s="3">
        <v>0</v>
      </c>
      <c r="H86" s="3">
        <v>44</v>
      </c>
      <c r="I86" s="3">
        <v>0.98099999999999998</v>
      </c>
      <c r="J86" s="3">
        <v>2.1030000000000002</v>
      </c>
      <c r="K86" s="3">
        <v>2.5390000000000001</v>
      </c>
    </row>
    <row r="87" spans="2:11" x14ac:dyDescent="0.25">
      <c r="B87" s="2" t="s">
        <v>5237</v>
      </c>
      <c r="C87" s="2" t="s">
        <v>5238</v>
      </c>
      <c r="D87" s="3">
        <v>18.28</v>
      </c>
      <c r="E87" s="3">
        <v>0</v>
      </c>
      <c r="F87" s="3">
        <v>0</v>
      </c>
      <c r="G87" s="3">
        <v>0</v>
      </c>
      <c r="H87" s="3">
        <v>672</v>
      </c>
      <c r="I87" s="3">
        <v>0.92900000000000005</v>
      </c>
      <c r="J87" s="3">
        <v>2.0230000000000001</v>
      </c>
      <c r="K87" s="3">
        <v>0.995</v>
      </c>
    </row>
    <row r="88" spans="2:11" x14ac:dyDescent="0.25">
      <c r="B88" s="2" t="s">
        <v>5239</v>
      </c>
      <c r="C88" s="2" t="s">
        <v>5240</v>
      </c>
      <c r="D88" s="3">
        <v>19.93</v>
      </c>
      <c r="E88" s="3">
        <v>0</v>
      </c>
      <c r="F88" s="3">
        <v>0</v>
      </c>
      <c r="G88" s="3">
        <v>0</v>
      </c>
      <c r="H88" s="3">
        <v>47</v>
      </c>
      <c r="I88" s="3">
        <v>3.1</v>
      </c>
      <c r="J88" s="3">
        <v>4.399</v>
      </c>
      <c r="K88" s="3">
        <v>2.7989999999999999</v>
      </c>
    </row>
    <row r="89" spans="2:11" x14ac:dyDescent="0.25">
      <c r="B89" s="2" t="s">
        <v>5241</v>
      </c>
      <c r="C89" s="2" t="s">
        <v>5242</v>
      </c>
      <c r="D89" s="3">
        <v>20.14</v>
      </c>
      <c r="E89" s="3">
        <v>0</v>
      </c>
      <c r="F89" s="3">
        <v>0</v>
      </c>
      <c r="H89" s="3">
        <v>50</v>
      </c>
      <c r="I89" s="3">
        <v>0.84</v>
      </c>
      <c r="J89" s="3">
        <v>1.5409999999999999</v>
      </c>
      <c r="K89" s="3">
        <v>0.89800000000000002</v>
      </c>
    </row>
    <row r="90" spans="2:11" x14ac:dyDescent="0.25">
      <c r="B90" s="2" t="s">
        <v>5243</v>
      </c>
      <c r="C90" s="2" t="s">
        <v>5244</v>
      </c>
      <c r="D90" s="3">
        <v>21.43</v>
      </c>
      <c r="E90" s="3">
        <v>0</v>
      </c>
      <c r="F90" s="3">
        <v>0</v>
      </c>
      <c r="G90" s="3">
        <v>0</v>
      </c>
      <c r="H90" s="3">
        <v>391</v>
      </c>
      <c r="I90" s="3">
        <v>1.486</v>
      </c>
      <c r="J90" s="3">
        <v>1.919</v>
      </c>
      <c r="K90" s="3">
        <v>1.5169999999999999</v>
      </c>
    </row>
    <row r="91" spans="2:11" x14ac:dyDescent="0.25">
      <c r="B91" s="2" t="s">
        <v>5245</v>
      </c>
      <c r="C91" s="2" t="s">
        <v>5246</v>
      </c>
      <c r="D91" s="3">
        <v>21.62</v>
      </c>
      <c r="E91" s="3">
        <v>0</v>
      </c>
      <c r="F91" s="3">
        <v>0</v>
      </c>
      <c r="G91" s="3">
        <v>0</v>
      </c>
      <c r="H91" s="3">
        <v>46</v>
      </c>
      <c r="I91" s="3">
        <v>1.26</v>
      </c>
      <c r="J91" s="3">
        <v>2.1339999999999999</v>
      </c>
      <c r="K91" s="3">
        <v>1.992</v>
      </c>
    </row>
    <row r="92" spans="2:11" x14ac:dyDescent="0.25">
      <c r="B92" s="2" t="s">
        <v>5247</v>
      </c>
      <c r="C92" s="2" t="s">
        <v>5248</v>
      </c>
      <c r="D92" s="3">
        <v>27.36</v>
      </c>
      <c r="E92" s="3">
        <v>0</v>
      </c>
      <c r="F92" s="3">
        <v>0</v>
      </c>
      <c r="H92" s="3">
        <v>53</v>
      </c>
      <c r="I92" s="3">
        <v>1.595</v>
      </c>
      <c r="J92" s="3">
        <v>2.702</v>
      </c>
      <c r="K92" s="3">
        <v>2.5209999999999999</v>
      </c>
    </row>
    <row r="93" spans="2:11" x14ac:dyDescent="0.25">
      <c r="B93" s="2" t="s">
        <v>5249</v>
      </c>
      <c r="C93" s="2" t="s">
        <v>5250</v>
      </c>
      <c r="D93" s="3">
        <v>20.5</v>
      </c>
      <c r="E93" s="3">
        <v>0</v>
      </c>
      <c r="F93" s="3">
        <v>0</v>
      </c>
      <c r="G93" s="3">
        <v>0</v>
      </c>
      <c r="H93" s="3">
        <v>75</v>
      </c>
      <c r="I93" s="3">
        <v>0.81</v>
      </c>
      <c r="J93" s="3">
        <v>1.3480000000000001</v>
      </c>
      <c r="K93" s="3">
        <v>0.81100000000000005</v>
      </c>
    </row>
    <row r="94" spans="2:11" x14ac:dyDescent="0.25">
      <c r="B94" s="2" t="s">
        <v>5251</v>
      </c>
      <c r="C94" s="2" t="s">
        <v>5252</v>
      </c>
      <c r="D94" s="3">
        <v>19.68</v>
      </c>
      <c r="E94" s="3">
        <v>0</v>
      </c>
      <c r="F94" s="3">
        <v>0</v>
      </c>
      <c r="G94" s="3">
        <v>0</v>
      </c>
      <c r="H94" s="3">
        <v>403</v>
      </c>
      <c r="I94" s="3">
        <v>0.86199999999999999</v>
      </c>
      <c r="J94" s="3">
        <v>1.2050000000000001</v>
      </c>
      <c r="K94" s="3">
        <v>1.42</v>
      </c>
    </row>
    <row r="95" spans="2:11" x14ac:dyDescent="0.25">
      <c r="B95" s="2" t="s">
        <v>5253</v>
      </c>
      <c r="C95" s="2" t="s">
        <v>5254</v>
      </c>
      <c r="D95" s="3">
        <v>22.25</v>
      </c>
      <c r="E95" s="3">
        <v>0</v>
      </c>
      <c r="F95" s="3">
        <v>0</v>
      </c>
      <c r="G95" s="3">
        <v>0</v>
      </c>
      <c r="H95" s="3">
        <v>78</v>
      </c>
      <c r="I95" s="3">
        <v>0.81399999999999995</v>
      </c>
      <c r="J95" s="3">
        <v>1.371</v>
      </c>
      <c r="K95" s="3">
        <v>1.115</v>
      </c>
    </row>
    <row r="96" spans="2:11" x14ac:dyDescent="0.25">
      <c r="B96" s="2" t="s">
        <v>5255</v>
      </c>
      <c r="C96" s="2" t="s">
        <v>5256</v>
      </c>
      <c r="D96" s="3">
        <v>26.48</v>
      </c>
      <c r="E96" s="3">
        <v>0</v>
      </c>
      <c r="F96" s="3">
        <v>0</v>
      </c>
      <c r="G96" s="3">
        <v>0</v>
      </c>
      <c r="H96" s="3">
        <v>92</v>
      </c>
      <c r="I96" s="3">
        <v>0.96899999999999997</v>
      </c>
      <c r="J96" s="3">
        <v>1.8640000000000001</v>
      </c>
      <c r="K96" s="3">
        <v>1.327</v>
      </c>
    </row>
    <row r="97" spans="2:11" x14ac:dyDescent="0.25">
      <c r="B97" s="2" t="s">
        <v>5257</v>
      </c>
      <c r="C97" s="2" t="s">
        <v>5258</v>
      </c>
      <c r="D97" s="3">
        <v>23.59</v>
      </c>
      <c r="E97" s="3">
        <v>0</v>
      </c>
      <c r="F97" s="3">
        <v>0</v>
      </c>
      <c r="G97" s="3">
        <v>0</v>
      </c>
      <c r="H97" s="3">
        <v>408</v>
      </c>
      <c r="I97" s="3">
        <v>1.44</v>
      </c>
      <c r="J97" s="3">
        <v>2.4940000000000002</v>
      </c>
      <c r="K97" s="3">
        <v>1.7829999999999999</v>
      </c>
    </row>
    <row r="98" spans="2:11" x14ac:dyDescent="0.25">
      <c r="B98" s="2" t="s">
        <v>5259</v>
      </c>
      <c r="C98" s="2" t="s">
        <v>5260</v>
      </c>
      <c r="D98" s="3">
        <v>24.62</v>
      </c>
      <c r="E98" s="3">
        <v>0</v>
      </c>
      <c r="F98" s="3">
        <v>0</v>
      </c>
      <c r="G98" s="3">
        <v>0</v>
      </c>
      <c r="H98" s="3">
        <v>307</v>
      </c>
      <c r="I98" s="3">
        <v>1.528</v>
      </c>
      <c r="J98" s="3">
        <v>3.8690000000000002</v>
      </c>
      <c r="K98" s="3">
        <v>5.1479999999999997</v>
      </c>
    </row>
    <row r="99" spans="2:11" x14ac:dyDescent="0.25">
      <c r="B99" s="2" t="s">
        <v>5261</v>
      </c>
      <c r="C99" s="2" t="s">
        <v>5262</v>
      </c>
      <c r="D99" s="3">
        <v>20.86</v>
      </c>
      <c r="E99" s="3">
        <v>0.54</v>
      </c>
      <c r="F99" s="3">
        <v>0.1</v>
      </c>
      <c r="G99" s="3">
        <v>0.43</v>
      </c>
      <c r="H99" s="3">
        <v>414</v>
      </c>
      <c r="I99" s="3">
        <v>2.6840000000000002</v>
      </c>
      <c r="J99" s="3">
        <v>4.8179999999999996</v>
      </c>
      <c r="K99" s="3">
        <v>2.1110000000000002</v>
      </c>
    </row>
    <row r="100" spans="2:11" x14ac:dyDescent="0.25">
      <c r="B100" s="2" t="s">
        <v>5263</v>
      </c>
      <c r="C100" s="2" t="s">
        <v>5264</v>
      </c>
      <c r="D100" s="3">
        <v>18.88</v>
      </c>
      <c r="E100" s="3">
        <v>0</v>
      </c>
      <c r="F100" s="3">
        <v>0</v>
      </c>
      <c r="G100" s="3">
        <v>0</v>
      </c>
      <c r="H100" s="3">
        <v>42</v>
      </c>
      <c r="I100" s="3">
        <v>0.64</v>
      </c>
      <c r="J100" s="3">
        <v>0.56000000000000005</v>
      </c>
      <c r="K100" s="3">
        <v>1.03</v>
      </c>
    </row>
    <row r="101" spans="2:11" x14ac:dyDescent="0.25">
      <c r="B101" s="2" t="s">
        <v>5265</v>
      </c>
      <c r="C101" s="2" t="s">
        <v>5266</v>
      </c>
      <c r="D101" s="3">
        <v>18.43</v>
      </c>
      <c r="E101" s="3">
        <v>0</v>
      </c>
      <c r="F101" s="3">
        <v>0</v>
      </c>
      <c r="G101" s="3">
        <v>0</v>
      </c>
      <c r="H101" s="3">
        <v>68</v>
      </c>
      <c r="I101" s="3">
        <v>0.51100000000000001</v>
      </c>
      <c r="J101" s="3">
        <v>0.42399999999999999</v>
      </c>
      <c r="K101" s="3">
        <v>0.74299999999999999</v>
      </c>
    </row>
    <row r="102" spans="2:11" x14ac:dyDescent="0.25">
      <c r="B102" s="2" t="s">
        <v>5267</v>
      </c>
      <c r="C102" s="2" t="s">
        <v>5268</v>
      </c>
      <c r="D102" s="3">
        <v>23.63</v>
      </c>
      <c r="E102" s="3">
        <v>0</v>
      </c>
      <c r="F102" s="3">
        <v>0</v>
      </c>
      <c r="H102" s="3">
        <v>87</v>
      </c>
      <c r="I102" s="3">
        <v>0.65500000000000003</v>
      </c>
      <c r="J102" s="3">
        <v>0.54400000000000004</v>
      </c>
      <c r="K102" s="3">
        <v>0.95299999999999996</v>
      </c>
    </row>
    <row r="103" spans="2:11" x14ac:dyDescent="0.25">
      <c r="B103" s="2" t="s">
        <v>5269</v>
      </c>
      <c r="C103" s="2" t="s">
        <v>5270</v>
      </c>
      <c r="D103" s="3">
        <v>16.739999999999998</v>
      </c>
      <c r="E103" s="3">
        <v>0</v>
      </c>
      <c r="F103" s="3">
        <v>0</v>
      </c>
      <c r="H103" s="3">
        <v>58</v>
      </c>
      <c r="I103" s="3">
        <v>1.0089999999999999</v>
      </c>
      <c r="J103" s="3">
        <v>0.88400000000000001</v>
      </c>
      <c r="K103" s="3">
        <v>0.72499999999999998</v>
      </c>
    </row>
    <row r="104" spans="2:11" x14ac:dyDescent="0.25">
      <c r="B104" s="2" t="s">
        <v>5271</v>
      </c>
      <c r="C104" s="2" t="s">
        <v>5272</v>
      </c>
      <c r="D104" s="3">
        <v>16.93</v>
      </c>
      <c r="E104" s="3">
        <v>0</v>
      </c>
      <c r="F104" s="3">
        <v>0</v>
      </c>
      <c r="G104" s="3">
        <v>0</v>
      </c>
      <c r="H104" s="3">
        <v>51</v>
      </c>
      <c r="I104" s="3">
        <v>3.1259999999999999</v>
      </c>
      <c r="J104" s="3">
        <v>5.7240000000000002</v>
      </c>
      <c r="K104" s="3">
        <v>3.2679999999999998</v>
      </c>
    </row>
    <row r="105" spans="2:11" x14ac:dyDescent="0.25">
      <c r="B105" s="2" t="s">
        <v>5273</v>
      </c>
      <c r="C105" s="2" t="s">
        <v>5274</v>
      </c>
      <c r="D105" s="3">
        <v>20.98</v>
      </c>
      <c r="E105" s="3">
        <v>0</v>
      </c>
      <c r="F105" s="3">
        <v>0</v>
      </c>
      <c r="G105" s="3">
        <v>0</v>
      </c>
      <c r="H105" s="3">
        <v>79</v>
      </c>
      <c r="I105" s="3">
        <v>0.92500000000000004</v>
      </c>
      <c r="J105" s="3">
        <v>1.8080000000000001</v>
      </c>
      <c r="K105" s="3">
        <v>1.1950000000000001</v>
      </c>
    </row>
    <row r="106" spans="2:11" x14ac:dyDescent="0.25">
      <c r="B106" s="2" t="s">
        <v>5275</v>
      </c>
      <c r="C106" s="2" t="s">
        <v>5276</v>
      </c>
      <c r="D106" s="3">
        <v>18.62</v>
      </c>
      <c r="E106" s="3">
        <v>6.39</v>
      </c>
      <c r="F106" s="3">
        <v>0</v>
      </c>
      <c r="H106" s="3">
        <v>122</v>
      </c>
      <c r="I106" s="3">
        <v>3.2050000000000001</v>
      </c>
      <c r="J106" s="3">
        <v>5.9349999999999996</v>
      </c>
      <c r="K106" s="3">
        <v>3.7010000000000001</v>
      </c>
    </row>
    <row r="107" spans="2:11" x14ac:dyDescent="0.25">
      <c r="B107" s="2" t="s">
        <v>5277</v>
      </c>
      <c r="C107" s="2" t="s">
        <v>5278</v>
      </c>
      <c r="D107" s="3">
        <v>20.21</v>
      </c>
      <c r="E107" s="3">
        <v>0</v>
      </c>
      <c r="F107" s="3">
        <v>0</v>
      </c>
      <c r="H107" s="3">
        <v>71</v>
      </c>
      <c r="I107" s="3">
        <v>0.60899999999999999</v>
      </c>
      <c r="J107" s="3">
        <v>0.72799999999999998</v>
      </c>
      <c r="K107" s="3">
        <v>0.51800000000000002</v>
      </c>
    </row>
    <row r="108" spans="2:11" x14ac:dyDescent="0.25">
      <c r="B108" s="2" t="s">
        <v>5279</v>
      </c>
      <c r="C108" s="2" t="s">
        <v>5280</v>
      </c>
      <c r="D108" s="3">
        <v>26.02</v>
      </c>
      <c r="E108" s="3">
        <v>0</v>
      </c>
      <c r="F108" s="3">
        <v>0</v>
      </c>
      <c r="H108" s="3">
        <v>73</v>
      </c>
      <c r="I108" s="3">
        <v>0.36</v>
      </c>
      <c r="J108" s="3">
        <v>0.35</v>
      </c>
      <c r="K108" s="3">
        <v>0.38200000000000001</v>
      </c>
    </row>
    <row r="109" spans="2:11" x14ac:dyDescent="0.25">
      <c r="B109" s="2" t="s">
        <v>5281</v>
      </c>
      <c r="C109" s="2" t="s">
        <v>5282</v>
      </c>
      <c r="D109" s="3">
        <v>17.63</v>
      </c>
      <c r="E109" s="3">
        <v>0</v>
      </c>
      <c r="F109" s="3">
        <v>0</v>
      </c>
      <c r="G109" s="3">
        <v>0</v>
      </c>
      <c r="H109" s="3">
        <v>60</v>
      </c>
      <c r="I109" s="3">
        <v>0.45200000000000001</v>
      </c>
      <c r="J109" s="3">
        <v>0.64100000000000001</v>
      </c>
      <c r="K109" s="3">
        <v>0.88500000000000001</v>
      </c>
    </row>
    <row r="110" spans="2:11" x14ac:dyDescent="0.25">
      <c r="B110" s="2" t="s">
        <v>5283</v>
      </c>
      <c r="C110" s="2" t="s">
        <v>5284</v>
      </c>
      <c r="D110" s="3">
        <v>22.6</v>
      </c>
      <c r="E110" s="3">
        <v>0</v>
      </c>
      <c r="F110" s="3">
        <v>0</v>
      </c>
      <c r="H110" s="3">
        <v>77</v>
      </c>
      <c r="I110" s="3">
        <v>0.57899999999999996</v>
      </c>
      <c r="J110" s="3">
        <v>0.82199999999999995</v>
      </c>
      <c r="K110" s="3">
        <v>1.135</v>
      </c>
    </row>
    <row r="111" spans="2:11" x14ac:dyDescent="0.25">
      <c r="B111" s="2" t="s">
        <v>5285</v>
      </c>
      <c r="C111" s="2" t="s">
        <v>5286</v>
      </c>
      <c r="D111" s="3">
        <v>20.51</v>
      </c>
      <c r="E111" s="3">
        <v>0</v>
      </c>
      <c r="F111" s="3">
        <v>0</v>
      </c>
      <c r="G111" s="3">
        <v>0</v>
      </c>
      <c r="H111" s="3">
        <v>64</v>
      </c>
      <c r="I111" s="3">
        <v>0.28499999999999998</v>
      </c>
      <c r="J111" s="3">
        <v>0.251</v>
      </c>
      <c r="K111" s="3">
        <v>0.45900000000000002</v>
      </c>
    </row>
    <row r="112" spans="2:11" x14ac:dyDescent="0.25">
      <c r="B112" s="2" t="s">
        <v>5287</v>
      </c>
      <c r="C112" s="2" t="s">
        <v>5288</v>
      </c>
      <c r="D112" s="3">
        <v>26.3</v>
      </c>
      <c r="E112" s="3">
        <v>0</v>
      </c>
      <c r="F112" s="3">
        <v>0</v>
      </c>
      <c r="H112" s="3">
        <v>57</v>
      </c>
      <c r="I112" s="3">
        <v>0.36499999999999999</v>
      </c>
      <c r="J112" s="3">
        <v>0.32200000000000001</v>
      </c>
      <c r="K112" s="3">
        <v>0.58799999999999997</v>
      </c>
    </row>
    <row r="113" spans="2:11" x14ac:dyDescent="0.25">
      <c r="B113" s="2" t="s">
        <v>5289</v>
      </c>
      <c r="C113" s="2" t="s">
        <v>5290</v>
      </c>
      <c r="D113" s="3">
        <v>18.510000000000002</v>
      </c>
      <c r="E113" s="3">
        <v>0</v>
      </c>
      <c r="F113" s="3">
        <v>0</v>
      </c>
      <c r="H113" s="3">
        <v>29</v>
      </c>
      <c r="I113" s="3">
        <v>1.45</v>
      </c>
      <c r="J113" s="3">
        <v>1.33</v>
      </c>
      <c r="K113" s="3">
        <v>1.0900000000000001</v>
      </c>
    </row>
    <row r="114" spans="2:11" x14ac:dyDescent="0.25">
      <c r="B114" s="2" t="s">
        <v>5291</v>
      </c>
      <c r="C114" s="2" t="s">
        <v>5292</v>
      </c>
      <c r="D114" s="3">
        <v>16.14</v>
      </c>
      <c r="E114" s="3">
        <v>0</v>
      </c>
      <c r="F114" s="3">
        <v>0</v>
      </c>
      <c r="G114" s="3">
        <v>0</v>
      </c>
      <c r="H114" s="3">
        <v>54</v>
      </c>
      <c r="I114" s="3">
        <v>0.91500000000000004</v>
      </c>
      <c r="J114" s="3">
        <v>1.9390000000000001</v>
      </c>
      <c r="K114" s="3">
        <v>0.69</v>
      </c>
    </row>
    <row r="115" spans="2:11" x14ac:dyDescent="0.25">
      <c r="B115" s="2" t="s">
        <v>5293</v>
      </c>
      <c r="C115" s="2" t="s">
        <v>5294</v>
      </c>
      <c r="D115" s="3">
        <v>20.7</v>
      </c>
      <c r="E115" s="3">
        <v>0</v>
      </c>
      <c r="F115" s="3">
        <v>0</v>
      </c>
      <c r="G115" s="3">
        <v>0</v>
      </c>
      <c r="H115" s="3">
        <v>69</v>
      </c>
      <c r="I115" s="3">
        <v>1.173</v>
      </c>
      <c r="J115" s="3">
        <v>2.4860000000000002</v>
      </c>
      <c r="K115" s="3">
        <v>0.88500000000000001</v>
      </c>
    </row>
    <row r="116" spans="2:11" x14ac:dyDescent="0.25">
      <c r="B116" s="2" t="s">
        <v>5295</v>
      </c>
      <c r="C116" s="2" t="s">
        <v>5296</v>
      </c>
      <c r="D116" s="3">
        <v>31.2</v>
      </c>
      <c r="E116" s="3">
        <v>0</v>
      </c>
      <c r="F116" s="3">
        <v>0</v>
      </c>
      <c r="G116" s="3">
        <v>0</v>
      </c>
      <c r="H116" s="3">
        <v>739</v>
      </c>
      <c r="I116" s="3">
        <v>1.0369999999999999</v>
      </c>
      <c r="J116" s="3">
        <v>2.3559999999999999</v>
      </c>
      <c r="K116" s="3">
        <v>0.436</v>
      </c>
    </row>
    <row r="117" spans="2:11" x14ac:dyDescent="0.25">
      <c r="B117" s="2" t="s">
        <v>5297</v>
      </c>
      <c r="C117" s="2" t="s">
        <v>5298</v>
      </c>
      <c r="D117" s="3">
        <v>16.760000000000002</v>
      </c>
      <c r="E117" s="3">
        <v>0</v>
      </c>
      <c r="F117" s="3">
        <v>0</v>
      </c>
      <c r="H117" s="3">
        <v>40</v>
      </c>
      <c r="I117" s="3">
        <v>0.45200000000000001</v>
      </c>
      <c r="J117" s="3">
        <v>0.70599999999999996</v>
      </c>
      <c r="K117" s="3">
        <v>0.80700000000000005</v>
      </c>
    </row>
    <row r="118" spans="2:11" x14ac:dyDescent="0.25">
      <c r="B118" s="2" t="s">
        <v>5299</v>
      </c>
      <c r="C118" s="2" t="s">
        <v>5300</v>
      </c>
      <c r="D118" s="3">
        <v>19.399999999999999</v>
      </c>
      <c r="E118" s="3">
        <v>0</v>
      </c>
      <c r="F118" s="3">
        <v>0</v>
      </c>
      <c r="H118" s="3">
        <v>80</v>
      </c>
      <c r="I118" s="3">
        <v>0.13900000000000001</v>
      </c>
      <c r="J118" s="3">
        <v>0.11700000000000001</v>
      </c>
      <c r="K118" s="3">
        <v>0.246</v>
      </c>
    </row>
    <row r="119" spans="2:11" x14ac:dyDescent="0.25">
      <c r="B119" s="2" t="s">
        <v>5301</v>
      </c>
      <c r="C119" s="2" t="s">
        <v>5302</v>
      </c>
      <c r="D119" s="3">
        <v>15.18</v>
      </c>
      <c r="E119" s="3">
        <v>6.85</v>
      </c>
      <c r="F119" s="3">
        <v>0</v>
      </c>
      <c r="G119" s="3">
        <v>0</v>
      </c>
      <c r="H119" s="3">
        <v>143</v>
      </c>
      <c r="I119" s="3">
        <v>0.191</v>
      </c>
      <c r="J119" s="3">
        <v>0.14899999999999999</v>
      </c>
      <c r="K119" s="3">
        <v>0.443</v>
      </c>
    </row>
    <row r="120" spans="2:11" x14ac:dyDescent="0.25">
      <c r="B120" s="2" t="s">
        <v>5303</v>
      </c>
      <c r="C120" s="2" t="s">
        <v>5304</v>
      </c>
      <c r="D120" s="3">
        <v>19.66</v>
      </c>
      <c r="E120" s="3">
        <v>0</v>
      </c>
      <c r="F120" s="3">
        <v>0</v>
      </c>
      <c r="G120" s="3">
        <v>0</v>
      </c>
      <c r="H120" s="3">
        <v>81</v>
      </c>
      <c r="I120" s="3">
        <v>1.6020000000000001</v>
      </c>
      <c r="J120" s="3">
        <v>2.9710000000000001</v>
      </c>
      <c r="K120" s="3">
        <v>1.147</v>
      </c>
    </row>
    <row r="121" spans="2:11" x14ac:dyDescent="0.25">
      <c r="B121" s="2" t="s">
        <v>5305</v>
      </c>
      <c r="C121" s="2" t="s">
        <v>5306</v>
      </c>
      <c r="D121" s="3">
        <v>23.45</v>
      </c>
      <c r="E121" s="3">
        <v>0</v>
      </c>
      <c r="F121" s="3">
        <v>0</v>
      </c>
      <c r="G121" s="3">
        <v>0</v>
      </c>
      <c r="H121" s="3">
        <v>97</v>
      </c>
      <c r="I121" s="3">
        <v>1.911</v>
      </c>
      <c r="J121" s="3">
        <v>3.544</v>
      </c>
      <c r="K121" s="3">
        <v>1.3680000000000001</v>
      </c>
    </row>
    <row r="122" spans="2:11" x14ac:dyDescent="0.25">
      <c r="B122" s="2" t="s">
        <v>5307</v>
      </c>
      <c r="C122" s="2" t="s">
        <v>5308</v>
      </c>
      <c r="D122" s="3">
        <v>17.5</v>
      </c>
      <c r="E122" s="3">
        <v>0</v>
      </c>
      <c r="F122" s="3">
        <v>0</v>
      </c>
      <c r="H122" s="3">
        <v>53</v>
      </c>
      <c r="I122" s="3">
        <v>0.441</v>
      </c>
      <c r="J122" s="3">
        <v>0.57099999999999995</v>
      </c>
      <c r="K122" s="3">
        <v>0.59899999999999998</v>
      </c>
    </row>
    <row r="123" spans="2:11" x14ac:dyDescent="0.25">
      <c r="B123" s="2" t="s">
        <v>5309</v>
      </c>
      <c r="C123" s="2" t="s">
        <v>5310</v>
      </c>
      <c r="D123" s="3">
        <v>24.49</v>
      </c>
      <c r="E123" s="3">
        <v>0</v>
      </c>
      <c r="F123" s="3">
        <v>0</v>
      </c>
      <c r="H123" s="3">
        <v>59</v>
      </c>
      <c r="I123" s="3">
        <v>0.86799999999999999</v>
      </c>
      <c r="J123" s="3">
        <v>1.3320000000000001</v>
      </c>
      <c r="K123" s="3">
        <v>1.246</v>
      </c>
    </row>
    <row r="124" spans="2:11" x14ac:dyDescent="0.25">
      <c r="B124" s="2" t="s">
        <v>5311</v>
      </c>
      <c r="C124" s="2" t="s">
        <v>5312</v>
      </c>
      <c r="D124" s="3">
        <v>20.77</v>
      </c>
      <c r="E124" s="3">
        <v>0</v>
      </c>
      <c r="F124" s="3">
        <v>0</v>
      </c>
      <c r="G124" s="3">
        <v>0</v>
      </c>
      <c r="H124" s="3">
        <v>52</v>
      </c>
      <c r="I124" s="3">
        <v>1.149</v>
      </c>
      <c r="J124" s="3">
        <v>3.254</v>
      </c>
      <c r="K124" s="3">
        <v>1.4990000000000001</v>
      </c>
    </row>
    <row r="125" spans="2:11" x14ac:dyDescent="0.25">
      <c r="B125" s="2" t="s">
        <v>5313</v>
      </c>
      <c r="C125" s="2" t="s">
        <v>5314</v>
      </c>
      <c r="D125" s="3">
        <v>20.48</v>
      </c>
      <c r="E125" s="3">
        <v>0</v>
      </c>
      <c r="F125" s="3">
        <v>0</v>
      </c>
      <c r="H125" s="3">
        <v>31</v>
      </c>
      <c r="I125" s="3">
        <v>0.72199999999999998</v>
      </c>
      <c r="J125" s="3">
        <v>1.129</v>
      </c>
      <c r="K125" s="3">
        <v>1.2370000000000001</v>
      </c>
    </row>
    <row r="126" spans="2:11" x14ac:dyDescent="0.25">
      <c r="B126" s="2" t="s">
        <v>5315</v>
      </c>
      <c r="C126" s="2" t="s">
        <v>5316</v>
      </c>
      <c r="D126" s="3">
        <v>22.92</v>
      </c>
      <c r="E126" s="3">
        <v>0</v>
      </c>
      <c r="F126" s="3">
        <v>0</v>
      </c>
      <c r="H126" s="3">
        <v>56</v>
      </c>
      <c r="I126" s="3">
        <v>1.619</v>
      </c>
      <c r="J126" s="3">
        <v>1.746</v>
      </c>
      <c r="K126" s="3">
        <v>1.831</v>
      </c>
    </row>
    <row r="127" spans="2:11" x14ac:dyDescent="0.25">
      <c r="B127" s="2" t="s">
        <v>5317</v>
      </c>
      <c r="C127" s="2" t="s">
        <v>5318</v>
      </c>
      <c r="D127" s="3">
        <v>23.33</v>
      </c>
      <c r="E127" s="3">
        <v>0</v>
      </c>
      <c r="F127" s="3">
        <v>0</v>
      </c>
      <c r="G127" s="3">
        <v>0</v>
      </c>
      <c r="H127" s="3">
        <v>39</v>
      </c>
      <c r="I127" s="3">
        <v>1.2569999999999999</v>
      </c>
      <c r="J127" s="3">
        <v>1.6</v>
      </c>
      <c r="K127" s="3">
        <v>1.4330000000000001</v>
      </c>
    </row>
    <row r="128" spans="2:11" x14ac:dyDescent="0.25">
      <c r="B128" s="2" t="s">
        <v>5319</v>
      </c>
      <c r="C128" s="2" t="s">
        <v>5320</v>
      </c>
      <c r="D128" s="3">
        <v>29.91</v>
      </c>
      <c r="E128" s="3">
        <v>0</v>
      </c>
      <c r="F128" s="3">
        <v>0</v>
      </c>
      <c r="H128" s="3">
        <v>50</v>
      </c>
      <c r="I128" s="3">
        <v>1.6120000000000001</v>
      </c>
      <c r="J128" s="3">
        <v>2.0529999999999999</v>
      </c>
      <c r="K128" s="3">
        <v>1.8440000000000001</v>
      </c>
    </row>
    <row r="129" spans="2:11" x14ac:dyDescent="0.25">
      <c r="B129" s="2" t="s">
        <v>5321</v>
      </c>
      <c r="C129" s="2" t="s">
        <v>5322</v>
      </c>
      <c r="D129" s="3">
        <v>29.13</v>
      </c>
      <c r="E129" s="3">
        <v>0</v>
      </c>
      <c r="F129" s="3">
        <v>0</v>
      </c>
      <c r="G129" s="3">
        <v>0</v>
      </c>
      <c r="H129" s="3">
        <v>416</v>
      </c>
      <c r="I129" s="3">
        <v>1.534</v>
      </c>
      <c r="J129" s="3">
        <v>2.9489999999999998</v>
      </c>
      <c r="K129" s="3">
        <v>2.8849999999999998</v>
      </c>
    </row>
    <row r="130" spans="2:11" x14ac:dyDescent="0.25">
      <c r="B130" s="2" t="s">
        <v>5323</v>
      </c>
      <c r="C130" s="2" t="s">
        <v>5324</v>
      </c>
      <c r="D130" s="3">
        <v>19.440000000000001</v>
      </c>
      <c r="E130" s="3">
        <v>0</v>
      </c>
      <c r="F130" s="3">
        <v>0</v>
      </c>
      <c r="G130" s="3">
        <v>0</v>
      </c>
      <c r="H130" s="3">
        <v>247</v>
      </c>
      <c r="I130" s="3">
        <v>0.21099999999999999</v>
      </c>
      <c r="J130" s="3">
        <v>0.107</v>
      </c>
      <c r="K130" s="3">
        <v>0.27700000000000002</v>
      </c>
    </row>
    <row r="131" spans="2:11" x14ac:dyDescent="0.25">
      <c r="B131" s="2" t="s">
        <v>5325</v>
      </c>
      <c r="C131" s="2" t="s">
        <v>5326</v>
      </c>
      <c r="D131" s="3">
        <v>22</v>
      </c>
      <c r="E131" s="3">
        <v>0</v>
      </c>
      <c r="F131" s="3">
        <v>0</v>
      </c>
      <c r="H131" s="3">
        <v>37</v>
      </c>
      <c r="I131" s="3">
        <v>0.32800000000000001</v>
      </c>
      <c r="J131" s="3">
        <v>0.19</v>
      </c>
      <c r="K131" s="3">
        <v>0.315</v>
      </c>
    </row>
    <row r="132" spans="2:11" x14ac:dyDescent="0.25">
      <c r="B132" s="2" t="s">
        <v>5327</v>
      </c>
      <c r="C132" s="2" t="s">
        <v>5328</v>
      </c>
      <c r="D132" s="3">
        <v>26.53</v>
      </c>
      <c r="E132" s="3">
        <v>0</v>
      </c>
      <c r="F132" s="3">
        <v>0</v>
      </c>
      <c r="G132" s="3">
        <v>0</v>
      </c>
      <c r="H132" s="3">
        <v>396</v>
      </c>
      <c r="I132" s="3">
        <v>1.28</v>
      </c>
      <c r="J132" s="3">
        <v>3.262</v>
      </c>
      <c r="K132" s="3">
        <v>2.972</v>
      </c>
    </row>
    <row r="133" spans="2:11" x14ac:dyDescent="0.25">
      <c r="B133" s="2" t="s">
        <v>5329</v>
      </c>
      <c r="C133" s="2" t="s">
        <v>5330</v>
      </c>
      <c r="D133" s="3">
        <v>23.62</v>
      </c>
      <c r="E133" s="3">
        <v>0</v>
      </c>
      <c r="F133" s="3">
        <v>0</v>
      </c>
      <c r="G133" s="3">
        <v>0</v>
      </c>
      <c r="H133" s="3">
        <v>377</v>
      </c>
      <c r="I133" s="3">
        <v>0.79200000000000004</v>
      </c>
      <c r="J133" s="3">
        <v>0.78400000000000003</v>
      </c>
      <c r="K133" s="3">
        <v>1.109</v>
      </c>
    </row>
    <row r="134" spans="2:11" x14ac:dyDescent="0.25">
      <c r="B134" s="2" t="s">
        <v>5331</v>
      </c>
      <c r="C134" s="2" t="s">
        <v>5332</v>
      </c>
      <c r="D134" s="3">
        <v>24.4</v>
      </c>
      <c r="E134" s="3">
        <v>0</v>
      </c>
      <c r="F134" s="3">
        <v>0</v>
      </c>
      <c r="G134" s="3">
        <v>0</v>
      </c>
      <c r="H134" s="3">
        <v>45</v>
      </c>
      <c r="I134" s="3">
        <v>0.17199999999999999</v>
      </c>
      <c r="J134" s="3">
        <v>0.11600000000000001</v>
      </c>
      <c r="K134" s="3">
        <v>0.14699999999999999</v>
      </c>
    </row>
    <row r="135" spans="2:11" x14ac:dyDescent="0.25">
      <c r="B135" s="2" t="s">
        <v>5333</v>
      </c>
      <c r="C135" s="2" t="s">
        <v>5334</v>
      </c>
      <c r="D135" s="3">
        <v>16.04</v>
      </c>
      <c r="E135" s="3">
        <v>9.41</v>
      </c>
      <c r="F135" s="3">
        <v>0</v>
      </c>
      <c r="H135" s="3">
        <v>402</v>
      </c>
      <c r="I135" s="3">
        <v>1.544</v>
      </c>
      <c r="J135" s="3">
        <v>2.887</v>
      </c>
      <c r="K135" s="3">
        <v>4.1219999999999999</v>
      </c>
    </row>
    <row r="136" spans="2:11" x14ac:dyDescent="0.25">
      <c r="B136" s="2" t="s">
        <v>5335</v>
      </c>
      <c r="C136" s="2" t="s">
        <v>5336</v>
      </c>
      <c r="D136" s="3">
        <v>16.05</v>
      </c>
      <c r="E136" s="3">
        <v>0</v>
      </c>
      <c r="F136" s="3">
        <v>0</v>
      </c>
      <c r="H136" s="3">
        <v>150</v>
      </c>
      <c r="I136" s="3">
        <v>0.75</v>
      </c>
      <c r="J136" s="3">
        <v>0.61</v>
      </c>
      <c r="K136" s="3">
        <v>0.88</v>
      </c>
    </row>
    <row r="137" spans="2:11" x14ac:dyDescent="0.25">
      <c r="B137" s="2" t="s">
        <v>5337</v>
      </c>
      <c r="C137" s="2" t="s">
        <v>5338</v>
      </c>
      <c r="D137" s="3">
        <v>19.09</v>
      </c>
      <c r="E137" s="3">
        <v>0</v>
      </c>
      <c r="F137" s="3">
        <v>0</v>
      </c>
      <c r="G137" s="3">
        <v>0</v>
      </c>
      <c r="H137" s="3">
        <v>51</v>
      </c>
      <c r="I137" s="3">
        <v>0.90600000000000003</v>
      </c>
      <c r="J137" s="3">
        <v>1.996</v>
      </c>
      <c r="K137" s="3">
        <v>2.149</v>
      </c>
    </row>
    <row r="138" spans="2:11" x14ac:dyDescent="0.25">
      <c r="B138" s="2" t="s">
        <v>5339</v>
      </c>
      <c r="C138" s="2" t="s">
        <v>5340</v>
      </c>
      <c r="D138" s="3">
        <v>23.4</v>
      </c>
      <c r="E138" s="3">
        <v>0</v>
      </c>
      <c r="F138" s="3">
        <v>0</v>
      </c>
      <c r="G138" s="3">
        <v>0</v>
      </c>
      <c r="H138" s="3">
        <v>1019</v>
      </c>
      <c r="I138" s="3">
        <v>0.22800000000000001</v>
      </c>
      <c r="J138" s="3">
        <v>0.27800000000000002</v>
      </c>
      <c r="K138" s="3">
        <v>0.29299999999999998</v>
      </c>
    </row>
    <row r="139" spans="2:11" x14ac:dyDescent="0.25">
      <c r="B139" s="2" t="s">
        <v>5341</v>
      </c>
      <c r="C139" s="2" t="s">
        <v>5342</v>
      </c>
      <c r="D139" s="3">
        <v>18.309999999999999</v>
      </c>
      <c r="E139" s="3">
        <v>0</v>
      </c>
      <c r="F139" s="3">
        <v>0</v>
      </c>
      <c r="G139" s="3">
        <v>0</v>
      </c>
      <c r="H139" s="3">
        <v>72</v>
      </c>
      <c r="I139" s="3">
        <v>0.247</v>
      </c>
      <c r="J139" s="3">
        <v>0.27900000000000003</v>
      </c>
      <c r="K139" s="3">
        <v>0.42199999999999999</v>
      </c>
    </row>
    <row r="140" spans="2:11" x14ac:dyDescent="0.25">
      <c r="B140" s="2" t="s">
        <v>5343</v>
      </c>
      <c r="C140" s="2" t="s">
        <v>5344</v>
      </c>
      <c r="D140" s="3">
        <v>23.48</v>
      </c>
      <c r="E140" s="3">
        <v>0</v>
      </c>
      <c r="F140" s="3">
        <v>0</v>
      </c>
      <c r="G140" s="3">
        <v>0</v>
      </c>
      <c r="H140" s="3">
        <v>132</v>
      </c>
      <c r="I140" s="3">
        <v>0.4</v>
      </c>
      <c r="J140" s="3">
        <v>0.44500000000000001</v>
      </c>
      <c r="K140" s="3">
        <v>0.58699999999999997</v>
      </c>
    </row>
    <row r="141" spans="2:11" x14ac:dyDescent="0.25">
      <c r="B141" s="2" t="s">
        <v>5345</v>
      </c>
      <c r="C141" s="2" t="s">
        <v>5346</v>
      </c>
      <c r="D141" s="3">
        <v>17.5</v>
      </c>
      <c r="E141" s="3">
        <v>0</v>
      </c>
      <c r="F141" s="3">
        <v>0</v>
      </c>
      <c r="H141" s="3">
        <v>85</v>
      </c>
      <c r="I141" s="3">
        <v>0.36499999999999999</v>
      </c>
      <c r="J141" s="3">
        <v>0.83699999999999997</v>
      </c>
      <c r="K141" s="3">
        <v>0.84499999999999997</v>
      </c>
    </row>
    <row r="142" spans="2:11" x14ac:dyDescent="0.25">
      <c r="B142" s="2" t="s">
        <v>5347</v>
      </c>
      <c r="C142" s="2" t="s">
        <v>5348</v>
      </c>
      <c r="D142" s="3">
        <v>23.14</v>
      </c>
      <c r="E142" s="3">
        <v>0</v>
      </c>
      <c r="F142" s="3">
        <v>0</v>
      </c>
      <c r="H142" s="3">
        <v>39</v>
      </c>
      <c r="I142" s="3">
        <v>1.28</v>
      </c>
      <c r="J142" s="3">
        <v>1.99</v>
      </c>
      <c r="K142" s="3">
        <v>1.42</v>
      </c>
    </row>
    <row r="143" spans="2:11" x14ac:dyDescent="0.25">
      <c r="B143" s="2" t="s">
        <v>5349</v>
      </c>
      <c r="C143" s="2" t="s">
        <v>5350</v>
      </c>
      <c r="D143" s="3">
        <v>18.29</v>
      </c>
      <c r="E143" s="3">
        <v>0</v>
      </c>
      <c r="F143" s="3">
        <v>0</v>
      </c>
      <c r="H143" s="3">
        <v>836</v>
      </c>
      <c r="I143" s="3">
        <v>0.09</v>
      </c>
      <c r="J143" s="3">
        <v>0.08</v>
      </c>
      <c r="K143" s="3">
        <v>0.13</v>
      </c>
    </row>
    <row r="144" spans="2:11" x14ac:dyDescent="0.25">
      <c r="B144" s="2" t="s">
        <v>5351</v>
      </c>
      <c r="C144" s="2" t="s">
        <v>5352</v>
      </c>
      <c r="D144" s="3">
        <v>19.350000000000001</v>
      </c>
      <c r="E144" s="3">
        <v>0</v>
      </c>
      <c r="F144" s="3">
        <v>0</v>
      </c>
      <c r="H144" s="3">
        <v>1072</v>
      </c>
      <c r="I144" s="3">
        <v>0.13300000000000001</v>
      </c>
      <c r="J144" s="3">
        <v>0.185</v>
      </c>
      <c r="K144" s="3">
        <v>0.53600000000000003</v>
      </c>
    </row>
    <row r="145" spans="2:11" x14ac:dyDescent="0.25">
      <c r="B145" s="2" t="s">
        <v>5353</v>
      </c>
      <c r="C145" s="2" t="s">
        <v>5354</v>
      </c>
      <c r="D145" s="3">
        <v>7.62</v>
      </c>
      <c r="E145" s="3">
        <v>15</v>
      </c>
      <c r="F145" s="3">
        <v>0.5</v>
      </c>
      <c r="G145" s="3">
        <v>6.25</v>
      </c>
      <c r="H145" s="3">
        <v>529</v>
      </c>
      <c r="I145" s="3">
        <v>0.216</v>
      </c>
      <c r="J145" s="3">
        <v>0.27500000000000002</v>
      </c>
      <c r="K145" s="3">
        <v>0.14299999999999999</v>
      </c>
    </row>
    <row r="146" spans="2:11" x14ac:dyDescent="0.25">
      <c r="B146" s="2" t="s">
        <v>5355</v>
      </c>
      <c r="C146" s="2" t="s">
        <v>5356</v>
      </c>
      <c r="D146" s="3">
        <v>18.059999999999999</v>
      </c>
      <c r="E146" s="3">
        <v>0.04</v>
      </c>
      <c r="F146" s="3">
        <v>0</v>
      </c>
      <c r="H146" s="3">
        <v>293</v>
      </c>
      <c r="I146" s="3">
        <v>0.222</v>
      </c>
      <c r="J146" s="3">
        <v>0.192</v>
      </c>
      <c r="K146" s="3">
        <v>0.38700000000000001</v>
      </c>
    </row>
    <row r="147" spans="2:11" x14ac:dyDescent="0.25">
      <c r="B147" s="2" t="s">
        <v>5357</v>
      </c>
      <c r="C147" s="2" t="s">
        <v>5358</v>
      </c>
      <c r="D147" s="3">
        <v>17.88</v>
      </c>
      <c r="E147" s="3">
        <v>0</v>
      </c>
      <c r="F147" s="3">
        <v>0</v>
      </c>
      <c r="G147" s="3">
        <v>0</v>
      </c>
      <c r="H147" s="3">
        <v>395</v>
      </c>
      <c r="I147" s="3">
        <v>0.20100000000000001</v>
      </c>
      <c r="J147" s="3">
        <v>0.129</v>
      </c>
      <c r="K147" s="3">
        <v>0.25800000000000001</v>
      </c>
    </row>
    <row r="148" spans="2:11" x14ac:dyDescent="0.25">
      <c r="B148" s="2" t="s">
        <v>5359</v>
      </c>
      <c r="C148" s="2" t="s">
        <v>5360</v>
      </c>
      <c r="D148" s="3">
        <v>17.88</v>
      </c>
      <c r="E148" s="3">
        <v>0</v>
      </c>
      <c r="F148" s="3">
        <v>0</v>
      </c>
      <c r="G148" s="3">
        <v>0</v>
      </c>
      <c r="H148" s="3">
        <v>563</v>
      </c>
      <c r="I148" s="3">
        <v>0.20100000000000001</v>
      </c>
      <c r="J148" s="3">
        <v>0.129</v>
      </c>
      <c r="K148" s="3">
        <v>0.25800000000000001</v>
      </c>
    </row>
    <row r="149" spans="2:11" x14ac:dyDescent="0.25">
      <c r="B149" s="2" t="s">
        <v>5361</v>
      </c>
      <c r="C149" s="2" t="s">
        <v>5362</v>
      </c>
      <c r="D149" s="3">
        <v>20.21</v>
      </c>
      <c r="E149" s="3">
        <v>0.48</v>
      </c>
      <c r="F149" s="3">
        <v>0</v>
      </c>
      <c r="H149" s="3">
        <v>330</v>
      </c>
      <c r="I149" s="3">
        <v>1.4830000000000001</v>
      </c>
      <c r="J149" s="3">
        <v>2.8149999999999999</v>
      </c>
      <c r="K149" s="3">
        <v>2.2730000000000001</v>
      </c>
    </row>
    <row r="150" spans="2:11" x14ac:dyDescent="0.25">
      <c r="B150" s="2" t="s">
        <v>5363</v>
      </c>
      <c r="C150" s="2" t="s">
        <v>5364</v>
      </c>
      <c r="D150" s="3">
        <v>17.41</v>
      </c>
      <c r="E150" s="3">
        <v>0.74</v>
      </c>
      <c r="F150" s="3">
        <v>0</v>
      </c>
      <c r="H150" s="3">
        <v>295</v>
      </c>
      <c r="I150" s="3">
        <v>0.13200000000000001</v>
      </c>
      <c r="J150" s="3">
        <v>0.16700000000000001</v>
      </c>
      <c r="K150" s="3">
        <v>0.317</v>
      </c>
    </row>
    <row r="151" spans="2:11" x14ac:dyDescent="0.25">
      <c r="B151" s="2" t="s">
        <v>5365</v>
      </c>
      <c r="C151" s="2" t="s">
        <v>5366</v>
      </c>
      <c r="D151" s="3">
        <v>18.5</v>
      </c>
      <c r="E151" s="3">
        <v>0</v>
      </c>
      <c r="F151" s="3">
        <v>0</v>
      </c>
      <c r="H151" s="3">
        <v>539</v>
      </c>
      <c r="I151" s="3">
        <v>0.14299999999999999</v>
      </c>
      <c r="J151" s="3">
        <v>0.25600000000000001</v>
      </c>
      <c r="K151" s="3">
        <v>0.42199999999999999</v>
      </c>
    </row>
    <row r="152" spans="2:11" x14ac:dyDescent="0.25">
      <c r="B152" s="2" t="s">
        <v>5367</v>
      </c>
      <c r="C152" s="2" t="s">
        <v>5368</v>
      </c>
      <c r="D152" s="3">
        <v>15.97</v>
      </c>
      <c r="E152" s="3">
        <v>0</v>
      </c>
      <c r="F152" s="3">
        <v>0</v>
      </c>
      <c r="G152" s="3">
        <v>0</v>
      </c>
      <c r="H152" s="3">
        <v>58</v>
      </c>
      <c r="I152" s="3">
        <v>0.159</v>
      </c>
      <c r="J152" s="3">
        <v>0.17399999999999999</v>
      </c>
      <c r="K152" s="3">
        <v>0.29299999999999998</v>
      </c>
    </row>
    <row r="153" spans="2:11" x14ac:dyDescent="0.25">
      <c r="B153" s="2" t="s">
        <v>5369</v>
      </c>
      <c r="C153" s="2" t="s">
        <v>5370</v>
      </c>
      <c r="D153" s="3">
        <v>16.77</v>
      </c>
      <c r="E153" s="3">
        <v>0</v>
      </c>
      <c r="F153" s="3">
        <v>0</v>
      </c>
      <c r="G153" s="3">
        <v>0</v>
      </c>
      <c r="H153" s="3">
        <v>94</v>
      </c>
      <c r="I153" s="3">
        <v>0.18099999999999999</v>
      </c>
      <c r="J153" s="3">
        <v>0.24399999999999999</v>
      </c>
      <c r="K153" s="3">
        <v>0.36699999999999999</v>
      </c>
    </row>
    <row r="154" spans="2:11" x14ac:dyDescent="0.25">
      <c r="B154" s="2" t="s">
        <v>5371</v>
      </c>
      <c r="C154" s="2" t="s">
        <v>5372</v>
      </c>
      <c r="D154" s="3">
        <v>16.52</v>
      </c>
      <c r="E154" s="3">
        <v>0</v>
      </c>
      <c r="F154" s="3">
        <v>0</v>
      </c>
      <c r="G154" s="3">
        <v>0</v>
      </c>
      <c r="H154" s="3">
        <v>423</v>
      </c>
      <c r="I154" s="3">
        <v>0.18099999999999999</v>
      </c>
      <c r="J154" s="3">
        <v>0.22</v>
      </c>
      <c r="K154" s="3">
        <v>0.29599999999999999</v>
      </c>
    </row>
    <row r="155" spans="2:11" x14ac:dyDescent="0.25">
      <c r="B155" s="2" t="s">
        <v>5373</v>
      </c>
      <c r="C155" s="2" t="s">
        <v>5374</v>
      </c>
      <c r="D155" s="3">
        <v>19</v>
      </c>
      <c r="E155" s="3">
        <v>0</v>
      </c>
      <c r="F155" s="3">
        <v>0</v>
      </c>
      <c r="G155" s="3">
        <v>0</v>
      </c>
      <c r="H155" s="3">
        <v>486</v>
      </c>
      <c r="I155" s="3">
        <v>0.20799999999999999</v>
      </c>
      <c r="J155" s="3">
        <v>0.253</v>
      </c>
      <c r="K155" s="3">
        <v>0.34</v>
      </c>
    </row>
    <row r="156" spans="2:11" x14ac:dyDescent="0.25">
      <c r="B156" s="2" t="s">
        <v>5375</v>
      </c>
      <c r="C156" s="2" t="s">
        <v>5376</v>
      </c>
      <c r="D156" s="3">
        <v>13.61</v>
      </c>
      <c r="E156" s="3">
        <v>0.91</v>
      </c>
      <c r="F156" s="3">
        <v>0</v>
      </c>
      <c r="G156" s="3">
        <v>0</v>
      </c>
      <c r="H156" s="3">
        <v>566</v>
      </c>
      <c r="I156" s="3">
        <v>0.26100000000000001</v>
      </c>
      <c r="J156" s="3">
        <v>0.18099999999999999</v>
      </c>
      <c r="K156" s="3">
        <v>0.29499999999999998</v>
      </c>
    </row>
    <row r="157" spans="2:11" x14ac:dyDescent="0.25">
      <c r="B157" s="2" t="s">
        <v>5377</v>
      </c>
      <c r="C157" s="2" t="s">
        <v>5378</v>
      </c>
      <c r="D157" s="3">
        <v>21.39</v>
      </c>
      <c r="E157" s="3">
        <v>11.47</v>
      </c>
      <c r="F157" s="3">
        <v>0.4</v>
      </c>
      <c r="G157" s="3">
        <v>0.8</v>
      </c>
      <c r="H157" s="3">
        <v>344</v>
      </c>
      <c r="I157" s="3">
        <v>2.0870000000000002</v>
      </c>
      <c r="J157" s="3">
        <v>3.8119999999999998</v>
      </c>
      <c r="K157" s="3">
        <v>5.085</v>
      </c>
    </row>
    <row r="158" spans="2:11" x14ac:dyDescent="0.25">
      <c r="B158" s="2" t="s">
        <v>5379</v>
      </c>
      <c r="C158" s="2" t="s">
        <v>5380</v>
      </c>
      <c r="D158" s="3">
        <v>22.78</v>
      </c>
      <c r="E158" s="3">
        <v>1.52</v>
      </c>
      <c r="F158" s="3">
        <v>0</v>
      </c>
      <c r="G158" s="3">
        <v>0</v>
      </c>
      <c r="H158" s="3">
        <v>947</v>
      </c>
      <c r="I158" s="3">
        <v>0.52100000000000002</v>
      </c>
      <c r="J158" s="3">
        <v>0.36099999999999999</v>
      </c>
      <c r="K158" s="3">
        <v>0.59</v>
      </c>
    </row>
    <row r="159" spans="2:11" x14ac:dyDescent="0.25">
      <c r="B159" s="2" t="s">
        <v>5381</v>
      </c>
      <c r="C159" s="2" t="s">
        <v>5382</v>
      </c>
      <c r="D159" s="3">
        <v>20.420000000000002</v>
      </c>
      <c r="E159" s="3">
        <v>0</v>
      </c>
      <c r="F159" s="3">
        <v>0</v>
      </c>
      <c r="G159" s="3">
        <v>0</v>
      </c>
      <c r="H159" s="3">
        <v>870</v>
      </c>
      <c r="I159" s="3">
        <v>0.188</v>
      </c>
      <c r="J159" s="3">
        <v>0.108</v>
      </c>
      <c r="K159" s="3">
        <v>0.68400000000000005</v>
      </c>
    </row>
    <row r="160" spans="2:11" x14ac:dyDescent="0.25">
      <c r="B160" s="2" t="s">
        <v>5383</v>
      </c>
      <c r="C160" s="2" t="s">
        <v>5384</v>
      </c>
      <c r="D160" s="3">
        <v>12.39</v>
      </c>
      <c r="E160" s="3">
        <v>9.1300000000000008</v>
      </c>
      <c r="F160" s="3">
        <v>0</v>
      </c>
      <c r="H160" s="3">
        <v>705</v>
      </c>
      <c r="I160" s="3">
        <v>0.28999999999999998</v>
      </c>
      <c r="J160" s="3">
        <v>0.22</v>
      </c>
      <c r="K160" s="3">
        <v>0.75</v>
      </c>
    </row>
    <row r="161" spans="2:11" x14ac:dyDescent="0.25">
      <c r="B161" s="2" t="s">
        <v>5385</v>
      </c>
      <c r="C161" s="2" t="s">
        <v>5386</v>
      </c>
      <c r="D161" s="3">
        <v>20.6</v>
      </c>
      <c r="E161" s="3">
        <v>2.4300000000000002</v>
      </c>
      <c r="F161" s="3">
        <v>0</v>
      </c>
      <c r="H161" s="3">
        <v>177</v>
      </c>
      <c r="I161" s="3">
        <v>0.23699999999999999</v>
      </c>
      <c r="J161" s="3">
        <v>0.27500000000000002</v>
      </c>
      <c r="K161" s="3">
        <v>0.59</v>
      </c>
    </row>
    <row r="162" spans="2:11" x14ac:dyDescent="0.25">
      <c r="B162" s="2" t="s">
        <v>5387</v>
      </c>
      <c r="C162" s="2" t="s">
        <v>5388</v>
      </c>
      <c r="D162" s="3">
        <v>17.100000000000001</v>
      </c>
      <c r="E162" s="3">
        <v>6.01</v>
      </c>
      <c r="F162" s="3">
        <v>0</v>
      </c>
      <c r="G162" s="3">
        <v>0</v>
      </c>
      <c r="H162" s="3">
        <v>301</v>
      </c>
      <c r="I162" s="3">
        <v>0.14899999999999999</v>
      </c>
      <c r="J162" s="3">
        <v>0.107</v>
      </c>
      <c r="K162" s="3">
        <v>0.104</v>
      </c>
    </row>
    <row r="163" spans="2:11" x14ac:dyDescent="0.25">
      <c r="B163" s="2" t="s">
        <v>5389</v>
      </c>
      <c r="C163" s="2" t="s">
        <v>5390</v>
      </c>
      <c r="D163" s="3">
        <v>19.63</v>
      </c>
      <c r="E163" s="3">
        <v>11.05</v>
      </c>
      <c r="F163" s="3">
        <v>0</v>
      </c>
      <c r="H163" s="3">
        <v>591</v>
      </c>
      <c r="I163" s="3">
        <v>1.6459999999999999</v>
      </c>
      <c r="J163" s="3">
        <v>2.7410000000000001</v>
      </c>
      <c r="K163" s="3">
        <v>1.6759999999999999</v>
      </c>
    </row>
    <row r="164" spans="2:11" x14ac:dyDescent="0.25">
      <c r="B164" s="2" t="s">
        <v>5391</v>
      </c>
      <c r="C164" s="2" t="s">
        <v>5392</v>
      </c>
      <c r="D164" s="3">
        <v>14.67</v>
      </c>
      <c r="E164" s="3">
        <v>3.57</v>
      </c>
      <c r="F164" s="3">
        <v>0</v>
      </c>
      <c r="G164" s="3">
        <v>0</v>
      </c>
      <c r="H164" s="3">
        <v>601</v>
      </c>
      <c r="I164" s="3">
        <v>0.187</v>
      </c>
      <c r="J164" s="3">
        <v>0.12</v>
      </c>
      <c r="K164" s="3">
        <v>0.192</v>
      </c>
    </row>
    <row r="165" spans="2:11" x14ac:dyDescent="0.25">
      <c r="B165" s="2" t="s">
        <v>5393</v>
      </c>
      <c r="C165" s="2" t="s">
        <v>5394</v>
      </c>
      <c r="D165" s="3">
        <v>14.24</v>
      </c>
      <c r="E165" s="3">
        <v>10.33</v>
      </c>
      <c r="H165" s="3">
        <v>364</v>
      </c>
      <c r="I165" s="3">
        <v>2.6829999999999998</v>
      </c>
      <c r="J165" s="3">
        <v>4.5449999999999999</v>
      </c>
      <c r="K165" s="3">
        <v>2.87</v>
      </c>
    </row>
    <row r="166" spans="2:11" x14ac:dyDescent="0.25">
      <c r="B166" s="2" t="s">
        <v>5395</v>
      </c>
      <c r="C166" s="2" t="s">
        <v>5396</v>
      </c>
      <c r="D166" s="3">
        <v>25.55</v>
      </c>
      <c r="E166" s="3">
        <v>5.13</v>
      </c>
      <c r="F166" s="3">
        <v>0</v>
      </c>
      <c r="H166" s="3">
        <v>1202</v>
      </c>
      <c r="I166" s="3">
        <v>0.188</v>
      </c>
      <c r="J166" s="3">
        <v>0.17199999999999999</v>
      </c>
      <c r="K166" s="3">
        <v>0.55200000000000005</v>
      </c>
    </row>
    <row r="167" spans="2:11" x14ac:dyDescent="0.25">
      <c r="B167" s="2" t="s">
        <v>5397</v>
      </c>
      <c r="C167" s="2" t="s">
        <v>5398</v>
      </c>
      <c r="D167" s="3">
        <v>24.25</v>
      </c>
      <c r="E167" s="3">
        <v>5.9</v>
      </c>
      <c r="F167" s="3">
        <v>0</v>
      </c>
      <c r="G167" s="3">
        <v>0</v>
      </c>
      <c r="H167" s="3">
        <v>112</v>
      </c>
      <c r="I167" s="3">
        <v>0.309</v>
      </c>
      <c r="J167" s="3">
        <v>0.19800000000000001</v>
      </c>
      <c r="K167" s="3">
        <v>0.318</v>
      </c>
    </row>
    <row r="168" spans="2:11" x14ac:dyDescent="0.25">
      <c r="B168" s="2" t="s">
        <v>5399</v>
      </c>
      <c r="C168" s="2" t="s">
        <v>5400</v>
      </c>
      <c r="D168" s="3">
        <v>0.4</v>
      </c>
      <c r="E168" s="3">
        <v>0.1</v>
      </c>
      <c r="F168" s="3">
        <v>0</v>
      </c>
      <c r="G168" s="3">
        <v>0</v>
      </c>
      <c r="H168" s="3">
        <v>215</v>
      </c>
      <c r="I168" s="3">
        <v>2E-3</v>
      </c>
      <c r="J168" s="3">
        <v>2E-3</v>
      </c>
      <c r="K168" s="3">
        <v>6.0000000000000001E-3</v>
      </c>
    </row>
    <row r="169" spans="2:11" x14ac:dyDescent="0.25">
      <c r="B169" s="2" t="s">
        <v>5401</v>
      </c>
      <c r="C169" s="2" t="s">
        <v>5402</v>
      </c>
      <c r="D169" s="3">
        <v>16.239999999999998</v>
      </c>
      <c r="E169" s="3">
        <v>0.82</v>
      </c>
      <c r="F169" s="3">
        <v>0</v>
      </c>
      <c r="H169" s="3">
        <v>372</v>
      </c>
      <c r="I169" s="3">
        <v>0.11799999999999999</v>
      </c>
      <c r="J169" s="3">
        <v>8.1000000000000003E-2</v>
      </c>
      <c r="K169" s="3">
        <v>0.13400000000000001</v>
      </c>
    </row>
    <row r="170" spans="2:11" x14ac:dyDescent="0.25">
      <c r="B170" s="2" t="s">
        <v>5403</v>
      </c>
      <c r="C170" s="2" t="s">
        <v>5404</v>
      </c>
      <c r="D170" s="3">
        <v>11.9</v>
      </c>
      <c r="E170" s="3">
        <v>3.69</v>
      </c>
      <c r="F170" s="3">
        <v>0</v>
      </c>
      <c r="G170" s="3">
        <v>0</v>
      </c>
      <c r="H170" s="3">
        <v>286</v>
      </c>
      <c r="I170" s="3">
        <v>0.42499999999999999</v>
      </c>
      <c r="J170" s="3">
        <v>0.50700000000000001</v>
      </c>
      <c r="K170" s="3">
        <v>0.60599999999999998</v>
      </c>
    </row>
    <row r="171" spans="2:11" x14ac:dyDescent="0.25">
      <c r="B171" s="2" t="s">
        <v>5405</v>
      </c>
      <c r="C171" s="2" t="s">
        <v>5406</v>
      </c>
      <c r="D171" s="3">
        <v>23.8</v>
      </c>
      <c r="E171" s="3">
        <v>7.39</v>
      </c>
      <c r="F171" s="3">
        <v>0</v>
      </c>
      <c r="H171" s="3">
        <v>369</v>
      </c>
      <c r="I171" s="3">
        <v>0.85</v>
      </c>
      <c r="J171" s="3">
        <v>1.014</v>
      </c>
      <c r="K171" s="3">
        <v>1.212</v>
      </c>
    </row>
    <row r="172" spans="2:11" x14ac:dyDescent="0.25">
      <c r="B172" s="2" t="s">
        <v>5407</v>
      </c>
      <c r="C172" s="2" t="s">
        <v>5408</v>
      </c>
      <c r="D172" s="3">
        <v>14.91</v>
      </c>
      <c r="E172" s="3">
        <v>2.2000000000000002</v>
      </c>
      <c r="F172" s="3">
        <v>0</v>
      </c>
      <c r="G172" s="3">
        <v>0</v>
      </c>
      <c r="H172" s="3">
        <v>230</v>
      </c>
      <c r="I172" s="3">
        <v>0.22700000000000001</v>
      </c>
      <c r="J172" s="3">
        <v>0.16200000000000001</v>
      </c>
      <c r="K172" s="3">
        <v>0.23899999999999999</v>
      </c>
    </row>
    <row r="173" spans="2:11" x14ac:dyDescent="0.25">
      <c r="B173" s="2" t="s">
        <v>5409</v>
      </c>
      <c r="C173" s="2" t="s">
        <v>5410</v>
      </c>
      <c r="D173" s="3">
        <v>5.71</v>
      </c>
      <c r="E173" s="3">
        <v>2.72</v>
      </c>
      <c r="F173" s="3">
        <v>0</v>
      </c>
      <c r="G173" s="3">
        <v>0.62</v>
      </c>
      <c r="H173" s="3">
        <v>85</v>
      </c>
      <c r="I173" s="3">
        <v>0.47399999999999998</v>
      </c>
      <c r="J173" s="3">
        <v>0.253</v>
      </c>
      <c r="K173" s="3">
        <v>0.52800000000000002</v>
      </c>
    </row>
    <row r="174" spans="2:11" x14ac:dyDescent="0.25">
      <c r="B174" s="2" t="s">
        <v>5411</v>
      </c>
      <c r="C174" s="2" t="s">
        <v>5412</v>
      </c>
      <c r="D174" s="3">
        <v>8.77</v>
      </c>
      <c r="E174" s="3">
        <v>11.62</v>
      </c>
      <c r="H174" s="3">
        <v>417</v>
      </c>
      <c r="I174" s="3">
        <v>3.1970000000000001</v>
      </c>
      <c r="J174" s="3">
        <v>4.702</v>
      </c>
      <c r="K174" s="3">
        <v>3.3130000000000002</v>
      </c>
    </row>
    <row r="175" spans="2:11" x14ac:dyDescent="0.25">
      <c r="B175" s="2" t="s">
        <v>5413</v>
      </c>
      <c r="C175" s="2" t="s">
        <v>5414</v>
      </c>
      <c r="D175" s="3">
        <v>11.42</v>
      </c>
      <c r="E175" s="3">
        <v>5.45</v>
      </c>
      <c r="F175" s="3">
        <v>0</v>
      </c>
      <c r="G175" s="3">
        <v>1.23</v>
      </c>
      <c r="H175" s="3">
        <v>166</v>
      </c>
      <c r="I175" s="3">
        <v>0.94799999999999995</v>
      </c>
      <c r="J175" s="3">
        <v>0.50600000000000001</v>
      </c>
      <c r="K175" s="3">
        <v>1.056</v>
      </c>
    </row>
    <row r="176" spans="2:11" x14ac:dyDescent="0.25">
      <c r="B176" s="2" t="s">
        <v>5415</v>
      </c>
      <c r="C176" s="2" t="s">
        <v>5416</v>
      </c>
      <c r="D176" s="3">
        <v>7.06</v>
      </c>
      <c r="E176" s="3">
        <v>3.91</v>
      </c>
      <c r="F176" s="3">
        <v>0</v>
      </c>
      <c r="G176" s="3">
        <v>0</v>
      </c>
      <c r="H176" s="3">
        <v>112</v>
      </c>
      <c r="I176" s="3">
        <v>0.63100000000000001</v>
      </c>
      <c r="J176" s="3">
        <v>0.25</v>
      </c>
      <c r="K176" s="3">
        <v>0.73899999999999999</v>
      </c>
    </row>
    <row r="177" spans="2:11" x14ac:dyDescent="0.25">
      <c r="B177" s="2" t="s">
        <v>5417</v>
      </c>
      <c r="C177" s="2" t="s">
        <v>5418</v>
      </c>
      <c r="D177" s="3">
        <v>9.4499999999999993</v>
      </c>
      <c r="E177" s="3">
        <v>4.95</v>
      </c>
      <c r="F177" s="3">
        <v>0</v>
      </c>
      <c r="H177" s="3">
        <v>106</v>
      </c>
      <c r="I177" s="3">
        <v>0.51</v>
      </c>
      <c r="J177" s="3">
        <v>0.35799999999999998</v>
      </c>
      <c r="K177" s="3">
        <v>0.89400000000000002</v>
      </c>
    </row>
    <row r="178" spans="2:11" x14ac:dyDescent="0.25">
      <c r="B178" s="2" t="s">
        <v>5419</v>
      </c>
      <c r="C178" s="2" t="s">
        <v>5420</v>
      </c>
      <c r="D178" s="3">
        <v>12.06</v>
      </c>
      <c r="E178" s="3">
        <v>3.18</v>
      </c>
      <c r="F178" s="3">
        <v>0</v>
      </c>
      <c r="G178" s="3">
        <v>0</v>
      </c>
      <c r="H178" s="3">
        <v>392</v>
      </c>
      <c r="I178" s="3">
        <v>0.128</v>
      </c>
      <c r="J178" s="3">
        <v>4.8000000000000001E-2</v>
      </c>
      <c r="K178" s="3">
        <v>0.13</v>
      </c>
    </row>
    <row r="179" spans="2:11" x14ac:dyDescent="0.25">
      <c r="B179" s="2" t="s">
        <v>5421</v>
      </c>
      <c r="C179" s="2" t="s">
        <v>5422</v>
      </c>
      <c r="D179" s="3">
        <v>18.07</v>
      </c>
      <c r="E179" s="3">
        <v>10.130000000000001</v>
      </c>
      <c r="H179" s="3">
        <v>464</v>
      </c>
      <c r="I179" s="3">
        <v>2.669</v>
      </c>
      <c r="J179" s="3">
        <v>4.4980000000000002</v>
      </c>
      <c r="K179" s="3">
        <v>2.8559999999999999</v>
      </c>
    </row>
    <row r="180" spans="2:11" x14ac:dyDescent="0.25">
      <c r="B180" s="2" t="s">
        <v>5423</v>
      </c>
      <c r="C180" s="2" t="s">
        <v>5424</v>
      </c>
      <c r="D180" s="3">
        <v>12.77</v>
      </c>
      <c r="E180" s="3">
        <v>10.62</v>
      </c>
      <c r="F180" s="3">
        <v>0</v>
      </c>
      <c r="H180" s="3">
        <v>795</v>
      </c>
      <c r="I180" s="3">
        <v>0.08</v>
      </c>
      <c r="J180" s="3">
        <v>0.06</v>
      </c>
      <c r="K180" s="3">
        <v>0.21</v>
      </c>
    </row>
    <row r="181" spans="2:11" x14ac:dyDescent="0.25">
      <c r="B181" s="2" t="s">
        <v>5425</v>
      </c>
      <c r="C181" s="2" t="s">
        <v>5426</v>
      </c>
      <c r="D181" s="3">
        <v>15.58</v>
      </c>
      <c r="E181" s="3">
        <v>3.08</v>
      </c>
      <c r="F181" s="3">
        <v>0</v>
      </c>
      <c r="G181" s="3">
        <v>0</v>
      </c>
      <c r="H181" s="3">
        <v>44</v>
      </c>
      <c r="I181" s="3">
        <v>0.35799999999999998</v>
      </c>
      <c r="J181" s="3">
        <v>0.107</v>
      </c>
      <c r="K181" s="3">
        <v>0.52400000000000002</v>
      </c>
    </row>
    <row r="182" spans="2:11" x14ac:dyDescent="0.25">
      <c r="B182" s="2" t="s">
        <v>5427</v>
      </c>
      <c r="C182" s="2" t="s">
        <v>5428</v>
      </c>
      <c r="D182" s="3">
        <v>17.940000000000001</v>
      </c>
      <c r="E182" s="3">
        <v>7.79</v>
      </c>
      <c r="F182" s="3">
        <v>0</v>
      </c>
      <c r="H182" s="3">
        <v>306</v>
      </c>
      <c r="I182" s="3">
        <v>1.8779999999999999</v>
      </c>
      <c r="J182" s="3">
        <v>2.7490000000000001</v>
      </c>
      <c r="K182" s="3">
        <v>2.1360000000000001</v>
      </c>
    </row>
    <row r="183" spans="2:11" x14ac:dyDescent="0.25">
      <c r="B183" s="2" t="s">
        <v>5429</v>
      </c>
      <c r="C183" s="2" t="s">
        <v>5430</v>
      </c>
      <c r="D183" s="3">
        <v>23.84</v>
      </c>
      <c r="E183" s="3">
        <v>7.76</v>
      </c>
      <c r="F183" s="3">
        <v>0</v>
      </c>
      <c r="G183" s="3">
        <v>0</v>
      </c>
      <c r="H183" s="3">
        <v>206</v>
      </c>
      <c r="I183" s="3">
        <v>3.1E-2</v>
      </c>
      <c r="J183" s="3">
        <v>2.8000000000000001E-2</v>
      </c>
      <c r="K183" s="3">
        <v>2.3E-2</v>
      </c>
    </row>
    <row r="184" spans="2:11" x14ac:dyDescent="0.25">
      <c r="B184" s="2" t="s">
        <v>5431</v>
      </c>
      <c r="C184" s="2" t="s">
        <v>5432</v>
      </c>
      <c r="D184" s="3">
        <v>47.68</v>
      </c>
      <c r="E184" s="3">
        <v>15.52</v>
      </c>
      <c r="F184" s="3">
        <v>0</v>
      </c>
      <c r="H184" s="3">
        <v>412</v>
      </c>
      <c r="I184" s="3">
        <v>6.2E-2</v>
      </c>
      <c r="J184" s="3">
        <v>5.6000000000000001E-2</v>
      </c>
      <c r="K184" s="3">
        <v>4.5999999999999999E-2</v>
      </c>
    </row>
    <row r="185" spans="2:11" x14ac:dyDescent="0.25">
      <c r="B185" s="2" t="s">
        <v>5433</v>
      </c>
      <c r="C185" s="2" t="s">
        <v>5434</v>
      </c>
      <c r="D185" s="3">
        <v>18.28</v>
      </c>
      <c r="E185" s="3">
        <v>0</v>
      </c>
      <c r="F185" s="3">
        <v>0</v>
      </c>
      <c r="H185" s="3">
        <v>2000</v>
      </c>
      <c r="I185" s="3">
        <v>0.92900000000000005</v>
      </c>
      <c r="J185" s="3">
        <v>2.0230000000000001</v>
      </c>
      <c r="K185" s="3">
        <v>0.995</v>
      </c>
    </row>
    <row r="186" spans="2:11" x14ac:dyDescent="0.25">
      <c r="B186" s="2" t="s">
        <v>5435</v>
      </c>
      <c r="C186" s="2" t="s">
        <v>5436</v>
      </c>
      <c r="D186" s="3">
        <v>21.43</v>
      </c>
      <c r="E186" s="3">
        <v>0</v>
      </c>
      <c r="F186" s="3">
        <v>0</v>
      </c>
      <c r="H186" s="3">
        <v>75</v>
      </c>
      <c r="I186" s="3">
        <v>1.486</v>
      </c>
      <c r="J186" s="3">
        <v>1.919</v>
      </c>
      <c r="K186" s="3">
        <v>1.5169999999999999</v>
      </c>
    </row>
    <row r="187" spans="2:11" x14ac:dyDescent="0.25">
      <c r="B187" s="2" t="s">
        <v>5437</v>
      </c>
      <c r="C187" s="2" t="s">
        <v>5438</v>
      </c>
      <c r="D187" s="3">
        <v>19.78</v>
      </c>
      <c r="E187" s="3">
        <v>0</v>
      </c>
      <c r="F187" s="3">
        <v>0</v>
      </c>
      <c r="H187" s="3">
        <v>75</v>
      </c>
      <c r="I187" s="3">
        <v>1.5349999999999999</v>
      </c>
      <c r="J187" s="3">
        <v>1.825</v>
      </c>
      <c r="K187" s="3">
        <v>2.0489999999999999</v>
      </c>
    </row>
    <row r="188" spans="2:11" x14ac:dyDescent="0.25">
      <c r="B188" s="2" t="s">
        <v>5439</v>
      </c>
      <c r="C188" s="2" t="s">
        <v>5440</v>
      </c>
      <c r="D188" s="3">
        <v>20.47</v>
      </c>
      <c r="E188" s="3">
        <v>0</v>
      </c>
      <c r="F188" s="3">
        <v>0</v>
      </c>
      <c r="H188" s="3">
        <v>75</v>
      </c>
      <c r="I188" s="3">
        <v>1.6439999999999999</v>
      </c>
      <c r="J188" s="3">
        <v>2.7759999999999998</v>
      </c>
      <c r="K188" s="3">
        <v>2.2770000000000001</v>
      </c>
    </row>
    <row r="189" spans="2:11" x14ac:dyDescent="0.25">
      <c r="B189" s="2" t="s">
        <v>5441</v>
      </c>
      <c r="C189" s="2" t="s">
        <v>5442</v>
      </c>
      <c r="D189" s="3">
        <v>29.13</v>
      </c>
      <c r="E189" s="3">
        <v>0</v>
      </c>
      <c r="F189" s="3">
        <v>0</v>
      </c>
      <c r="H189" s="3">
        <v>50</v>
      </c>
      <c r="I189" s="3">
        <v>1.534</v>
      </c>
      <c r="J189" s="3">
        <v>2.9489999999999998</v>
      </c>
      <c r="K189" s="3">
        <v>2.8849999999999998</v>
      </c>
    </row>
    <row r="190" spans="2:11" x14ac:dyDescent="0.25">
      <c r="B190" s="2" t="s">
        <v>5443</v>
      </c>
      <c r="C190" s="2" t="s">
        <v>5444</v>
      </c>
      <c r="D190" s="3">
        <v>25.51</v>
      </c>
      <c r="E190" s="3">
        <v>0</v>
      </c>
      <c r="F190" s="3">
        <v>0</v>
      </c>
      <c r="G190" s="3">
        <v>0</v>
      </c>
      <c r="H190" s="3">
        <v>50</v>
      </c>
      <c r="I190" s="3">
        <v>0.23400000000000001</v>
      </c>
      <c r="J190" s="3">
        <v>0.159</v>
      </c>
      <c r="K190" s="3">
        <v>0.33700000000000002</v>
      </c>
    </row>
    <row r="191" spans="2:11" x14ac:dyDescent="0.25">
      <c r="B191" s="2" t="s">
        <v>5445</v>
      </c>
      <c r="C191" s="2" t="s">
        <v>5446</v>
      </c>
      <c r="D191" s="3">
        <v>26.53</v>
      </c>
      <c r="E191" s="3">
        <v>0</v>
      </c>
      <c r="F191" s="3">
        <v>0</v>
      </c>
      <c r="H191" s="3">
        <v>50</v>
      </c>
      <c r="I191" s="3">
        <v>1.65</v>
      </c>
      <c r="J191" s="3">
        <v>2.48</v>
      </c>
      <c r="K191" s="3">
        <v>3.38</v>
      </c>
    </row>
    <row r="192" spans="2:11" x14ac:dyDescent="0.25">
      <c r="B192" s="2" t="s">
        <v>5447</v>
      </c>
      <c r="C192" s="2" t="s">
        <v>5448</v>
      </c>
      <c r="D192" s="3">
        <v>23.62</v>
      </c>
      <c r="E192" s="3">
        <v>0</v>
      </c>
      <c r="F192" s="3">
        <v>0</v>
      </c>
      <c r="H192" s="3">
        <v>50</v>
      </c>
      <c r="I192" s="3">
        <v>0.79200000000000004</v>
      </c>
      <c r="J192" s="3">
        <v>0.78400000000000003</v>
      </c>
      <c r="K192" s="3">
        <v>1.109</v>
      </c>
    </row>
    <row r="193" spans="2:11" x14ac:dyDescent="0.25">
      <c r="B193" s="2" t="s">
        <v>5449</v>
      </c>
      <c r="C193" s="2" t="s">
        <v>5450</v>
      </c>
      <c r="D193" s="3">
        <v>24.18</v>
      </c>
      <c r="E193" s="3">
        <v>0</v>
      </c>
      <c r="F193" s="3">
        <v>0</v>
      </c>
      <c r="H193" s="3">
        <v>90</v>
      </c>
      <c r="I193" s="3">
        <v>1.0009999999999999</v>
      </c>
      <c r="J193" s="3">
        <v>1.835</v>
      </c>
      <c r="K193" s="3">
        <v>1.36</v>
      </c>
    </row>
    <row r="194" spans="2:11" x14ac:dyDescent="0.25">
      <c r="B194" s="2" t="s">
        <v>5451</v>
      </c>
      <c r="C194" s="2" t="s">
        <v>5452</v>
      </c>
      <c r="D194" s="3">
        <v>22.73</v>
      </c>
      <c r="E194" s="3">
        <v>0</v>
      </c>
      <c r="F194" s="3">
        <v>0</v>
      </c>
      <c r="H194" s="3">
        <v>88</v>
      </c>
      <c r="I194" s="3">
        <v>0.65</v>
      </c>
      <c r="J194" s="3">
        <v>0.84599999999999997</v>
      </c>
      <c r="K194" s="3">
        <v>1.0049999999999999</v>
      </c>
    </row>
    <row r="195" spans="2:11" x14ac:dyDescent="0.25">
      <c r="B195" s="2" t="s">
        <v>5453</v>
      </c>
      <c r="C195" s="2" t="s">
        <v>5454</v>
      </c>
      <c r="D195" s="3">
        <v>25.69</v>
      </c>
      <c r="E195" s="3">
        <v>0</v>
      </c>
      <c r="F195" s="3">
        <v>0</v>
      </c>
      <c r="H195" s="3">
        <v>77</v>
      </c>
      <c r="I195" s="3">
        <v>1.1719999999999999</v>
      </c>
      <c r="J195" s="3">
        <v>2.2970000000000002</v>
      </c>
      <c r="K195" s="3">
        <v>1.3580000000000001</v>
      </c>
    </row>
    <row r="196" spans="2:11" x14ac:dyDescent="0.25">
      <c r="B196" s="2" t="s">
        <v>5455</v>
      </c>
      <c r="C196" s="2" t="s">
        <v>5456</v>
      </c>
      <c r="D196" s="3">
        <v>24.76</v>
      </c>
      <c r="E196" s="3">
        <v>0</v>
      </c>
      <c r="F196" s="3">
        <v>0</v>
      </c>
      <c r="H196" s="3">
        <v>124</v>
      </c>
      <c r="I196" s="3">
        <v>0.20899999999999999</v>
      </c>
      <c r="J196" s="3">
        <v>0.17</v>
      </c>
      <c r="K196" s="3">
        <v>0.38100000000000001</v>
      </c>
    </row>
    <row r="197" spans="2:11" x14ac:dyDescent="0.25">
      <c r="B197" s="2" t="s">
        <v>5457</v>
      </c>
      <c r="C197" s="2" t="s">
        <v>5458</v>
      </c>
      <c r="D197" s="3">
        <v>22.15</v>
      </c>
      <c r="E197" s="3">
        <v>0</v>
      </c>
      <c r="F197" s="3">
        <v>0</v>
      </c>
      <c r="H197" s="3">
        <v>114</v>
      </c>
    </row>
    <row r="198" spans="2:11" x14ac:dyDescent="0.25">
      <c r="B198" s="2" t="s">
        <v>5459</v>
      </c>
      <c r="C198" s="2" t="s">
        <v>5460</v>
      </c>
      <c r="D198" s="3">
        <v>18.73</v>
      </c>
      <c r="E198" s="3">
        <v>0</v>
      </c>
      <c r="F198" s="3">
        <v>0</v>
      </c>
      <c r="G198" s="3">
        <v>0</v>
      </c>
      <c r="H198" s="3">
        <v>372</v>
      </c>
      <c r="I198" s="3">
        <v>0.105</v>
      </c>
      <c r="J198" s="3">
        <v>8.8999999999999996E-2</v>
      </c>
      <c r="K198" s="3">
        <v>0.20100000000000001</v>
      </c>
    </row>
    <row r="199" spans="2:11" x14ac:dyDescent="0.25">
      <c r="B199" s="2" t="s">
        <v>5461</v>
      </c>
      <c r="C199" s="2" t="s">
        <v>5462</v>
      </c>
      <c r="D199" s="3">
        <v>24.35</v>
      </c>
      <c r="E199" s="3">
        <v>0</v>
      </c>
      <c r="F199" s="3">
        <v>0</v>
      </c>
      <c r="H199" s="3">
        <v>40</v>
      </c>
    </row>
    <row r="200" spans="2:11" x14ac:dyDescent="0.25">
      <c r="B200" s="2" t="s">
        <v>5463</v>
      </c>
      <c r="C200" s="2" t="s">
        <v>5464</v>
      </c>
      <c r="D200" s="3">
        <v>23.72</v>
      </c>
      <c r="E200" s="3">
        <v>0</v>
      </c>
      <c r="F200" s="3">
        <v>0</v>
      </c>
      <c r="H200" s="3">
        <v>113</v>
      </c>
      <c r="I200" s="3">
        <v>0.24099999999999999</v>
      </c>
      <c r="J200" s="3">
        <v>0.155</v>
      </c>
      <c r="K200" s="3">
        <v>0.21099999999999999</v>
      </c>
    </row>
    <row r="201" spans="2:11" x14ac:dyDescent="0.25">
      <c r="B201" s="2" t="s">
        <v>5465</v>
      </c>
      <c r="C201" s="2" t="s">
        <v>5466</v>
      </c>
      <c r="D201" s="3">
        <v>22.49</v>
      </c>
      <c r="E201" s="3">
        <v>0</v>
      </c>
      <c r="F201" s="3">
        <v>0</v>
      </c>
      <c r="H201" s="3">
        <v>96</v>
      </c>
      <c r="I201" s="3">
        <v>1.4339999999999999</v>
      </c>
      <c r="J201" s="3">
        <v>2.8069999999999999</v>
      </c>
      <c r="K201" s="3">
        <v>1.4790000000000001</v>
      </c>
    </row>
    <row r="202" spans="2:11" x14ac:dyDescent="0.25">
      <c r="B202" s="2" t="s">
        <v>5467</v>
      </c>
      <c r="C202" s="2" t="s">
        <v>5468</v>
      </c>
      <c r="D202" s="3">
        <v>18.420000000000002</v>
      </c>
      <c r="E202" s="3">
        <v>0</v>
      </c>
      <c r="F202" s="3">
        <v>0</v>
      </c>
      <c r="H202" s="3">
        <v>103</v>
      </c>
      <c r="I202" s="3">
        <v>3.1019999999999999</v>
      </c>
      <c r="J202" s="3">
        <v>10.742000000000001</v>
      </c>
      <c r="K202" s="3">
        <v>1.7529999999999999</v>
      </c>
    </row>
    <row r="203" spans="2:11" x14ac:dyDescent="0.25">
      <c r="B203" s="2" t="s">
        <v>5469</v>
      </c>
      <c r="C203" s="2" t="s">
        <v>5470</v>
      </c>
      <c r="D203" s="3">
        <v>21.01</v>
      </c>
      <c r="E203" s="3">
        <v>0</v>
      </c>
      <c r="F203" s="3">
        <v>0</v>
      </c>
      <c r="H203" s="3">
        <v>95</v>
      </c>
      <c r="I203" s="3">
        <v>4.1740000000000004</v>
      </c>
      <c r="J203" s="3">
        <v>8.8070000000000004</v>
      </c>
      <c r="K203" s="3">
        <v>3.1059999999999999</v>
      </c>
    </row>
    <row r="204" spans="2:11" x14ac:dyDescent="0.25">
      <c r="B204" s="2" t="s">
        <v>5471</v>
      </c>
      <c r="C204" s="2" t="s">
        <v>5472</v>
      </c>
      <c r="D204" s="3">
        <v>24.35</v>
      </c>
      <c r="E204" s="3">
        <v>0</v>
      </c>
      <c r="F204" s="3">
        <v>0</v>
      </c>
      <c r="H204" s="3">
        <v>173</v>
      </c>
    </row>
    <row r="205" spans="2:11" x14ac:dyDescent="0.25">
      <c r="B205" s="2" t="s">
        <v>5473</v>
      </c>
      <c r="C205" s="2" t="s">
        <v>5474</v>
      </c>
      <c r="D205" s="3">
        <v>22.64</v>
      </c>
      <c r="E205" s="3">
        <v>0</v>
      </c>
      <c r="F205" s="3">
        <v>0</v>
      </c>
      <c r="H205" s="3">
        <v>76</v>
      </c>
      <c r="I205" s="3">
        <v>0.255</v>
      </c>
      <c r="J205" s="3">
        <v>0.44700000000000001</v>
      </c>
      <c r="K205" s="3">
        <v>0.38300000000000001</v>
      </c>
    </row>
    <row r="206" spans="2:11" x14ac:dyDescent="0.25">
      <c r="B206" s="2" t="s">
        <v>5475</v>
      </c>
      <c r="C206" s="2" t="s">
        <v>5476</v>
      </c>
      <c r="D206" s="3">
        <v>26</v>
      </c>
      <c r="E206" s="3">
        <v>0</v>
      </c>
      <c r="F206" s="3">
        <v>0</v>
      </c>
      <c r="H206" s="3">
        <v>203</v>
      </c>
      <c r="I206" s="3">
        <v>0.46500000000000002</v>
      </c>
      <c r="J206" s="3">
        <v>0.97899999999999998</v>
      </c>
      <c r="K206" s="3">
        <v>0.58899999999999997</v>
      </c>
    </row>
    <row r="207" spans="2:11" x14ac:dyDescent="0.25">
      <c r="B207" s="2" t="s">
        <v>5477</v>
      </c>
      <c r="C207" s="2" t="s">
        <v>5478</v>
      </c>
      <c r="D207" s="3">
        <v>25.73</v>
      </c>
      <c r="E207" s="3">
        <v>0</v>
      </c>
      <c r="F207" s="3">
        <v>0</v>
      </c>
      <c r="G207" s="3">
        <v>0</v>
      </c>
      <c r="H207" s="3">
        <v>110</v>
      </c>
      <c r="I207" s="3">
        <v>2.8809999999999998</v>
      </c>
      <c r="J207" s="3">
        <v>3.371</v>
      </c>
      <c r="K207" s="3">
        <v>2.488</v>
      </c>
    </row>
    <row r="208" spans="2:11" x14ac:dyDescent="0.25">
      <c r="B208" s="2" t="s">
        <v>5479</v>
      </c>
      <c r="C208" s="2" t="s">
        <v>5480</v>
      </c>
      <c r="D208" s="3">
        <v>26.32</v>
      </c>
      <c r="E208" s="3">
        <v>0</v>
      </c>
      <c r="F208" s="3">
        <v>0</v>
      </c>
      <c r="H208" s="3">
        <v>92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BB6A-C81C-AE4C-8802-8801E7288B4D}">
  <sheetPr codeName="Sheet18"/>
  <dimension ref="A1:K239"/>
  <sheetViews>
    <sheetView workbookViewId="0">
      <selection activeCell="A209" sqref="A209:XFD239"/>
    </sheetView>
  </sheetViews>
  <sheetFormatPr defaultColWidth="11" defaultRowHeight="15.75" x14ac:dyDescent="0.25"/>
  <cols>
    <col min="3" max="3" width="58.3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16001</v>
      </c>
      <c r="C3" s="10" t="str" cm="1">
        <f t="array" ref="C3">INDEX($B$11:$K$208, $A$3, C1)</f>
        <v>BEANS,ADZUKI,MATURE SEEDS,RAW</v>
      </c>
      <c r="D3" s="10" cm="1">
        <f t="array" ref="D3">INDEX($B$11:$K$74, $A$3, D1)</f>
        <v>19.87</v>
      </c>
      <c r="E3" s="10" cm="1">
        <f t="array" ref="E3">INDEX($B$11:$K$74, $A$3, E1)</f>
        <v>62.9</v>
      </c>
      <c r="F3" s="10" cm="1">
        <f t="array" ref="F3">INDEX($B$11:$K$74, $A$3, F1)</f>
        <v>12.7</v>
      </c>
      <c r="G3" s="10" cm="1">
        <f t="array" ref="G3">INDEX($B$11:$K$74, $A$3, G1)</f>
        <v>0</v>
      </c>
      <c r="H3" s="10" cm="1">
        <f t="array" ref="H3">INDEX($B$11:$K$74, $A$3, H1)</f>
        <v>5</v>
      </c>
      <c r="I3" s="10" cm="1">
        <f t="array" ref="I3">INDEX($B$11:$K$74, $A$3, I1)</f>
        <v>0.191</v>
      </c>
      <c r="J3" s="10" cm="1">
        <f t="array" ref="J3">INDEX($B$11:$K$74, $A$3, J1)</f>
        <v>0.05</v>
      </c>
      <c r="K3" s="10" cm="1">
        <f t="array" ref="K3">INDEX($B$11:$K$74, $A$3, K1)</f>
        <v>0.113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125.8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0.1</v>
      </c>
      <c r="K6" s="10">
        <f>A7*K3</f>
        <v>0.22600000000000001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5481</v>
      </c>
      <c r="C11" s="2" t="s">
        <v>5482</v>
      </c>
      <c r="D11" s="3">
        <v>19.87</v>
      </c>
      <c r="E11" s="3">
        <v>62.9</v>
      </c>
      <c r="F11" s="3">
        <v>12.7</v>
      </c>
      <c r="H11" s="3">
        <v>5</v>
      </c>
      <c r="I11" s="3">
        <v>0.191</v>
      </c>
      <c r="J11" s="3">
        <v>0.05</v>
      </c>
      <c r="K11" s="3">
        <v>0.113</v>
      </c>
    </row>
    <row r="12" spans="1:11" x14ac:dyDescent="0.25">
      <c r="B12" s="2" t="s">
        <v>5483</v>
      </c>
      <c r="C12" s="2" t="s">
        <v>5484</v>
      </c>
      <c r="D12" s="3">
        <v>7.52</v>
      </c>
      <c r="E12" s="3">
        <v>24.77</v>
      </c>
      <c r="F12" s="3">
        <v>7.3</v>
      </c>
      <c r="H12" s="3">
        <v>8</v>
      </c>
      <c r="I12" s="3">
        <v>3.5999999999999997E-2</v>
      </c>
      <c r="J12" s="3">
        <v>8.9999999999999993E-3</v>
      </c>
      <c r="K12" s="3">
        <v>2.1000000000000001E-2</v>
      </c>
    </row>
    <row r="13" spans="1:11" x14ac:dyDescent="0.25">
      <c r="B13" s="2" t="s">
        <v>5485</v>
      </c>
      <c r="C13" s="2" t="s">
        <v>5486</v>
      </c>
      <c r="D13" s="3">
        <v>3.8</v>
      </c>
      <c r="E13" s="3">
        <v>55.01</v>
      </c>
      <c r="H13" s="3">
        <v>218</v>
      </c>
      <c r="I13" s="3">
        <v>1.0999999999999999E-2</v>
      </c>
      <c r="J13" s="3">
        <v>3.0000000000000001E-3</v>
      </c>
      <c r="K13" s="3">
        <v>6.0000000000000001E-3</v>
      </c>
    </row>
    <row r="14" spans="1:11" x14ac:dyDescent="0.25">
      <c r="B14" s="2" t="s">
        <v>5487</v>
      </c>
      <c r="C14" s="2" t="s">
        <v>5488</v>
      </c>
      <c r="D14" s="3">
        <v>3.29</v>
      </c>
      <c r="E14" s="3">
        <v>60.72</v>
      </c>
      <c r="H14" s="3">
        <v>83</v>
      </c>
      <c r="I14" s="3">
        <v>4.2999999999999997E-2</v>
      </c>
      <c r="J14" s="3">
        <v>1.0999999999999999E-2</v>
      </c>
      <c r="K14" s="3">
        <v>2.5999999999999999E-2</v>
      </c>
    </row>
    <row r="15" spans="1:11" x14ac:dyDescent="0.25">
      <c r="B15" s="2" t="s">
        <v>5489</v>
      </c>
      <c r="C15" s="2" t="s">
        <v>5490</v>
      </c>
      <c r="D15" s="3">
        <v>5.54</v>
      </c>
      <c r="E15" s="3">
        <v>21.63</v>
      </c>
      <c r="F15" s="3">
        <v>5.5</v>
      </c>
      <c r="H15" s="3">
        <v>422</v>
      </c>
      <c r="I15" s="3">
        <v>1.948</v>
      </c>
      <c r="J15" s="3">
        <v>2.133</v>
      </c>
      <c r="K15" s="3">
        <v>0.74</v>
      </c>
    </row>
    <row r="16" spans="1:11" x14ac:dyDescent="0.25">
      <c r="B16" s="2" t="s">
        <v>5491</v>
      </c>
      <c r="C16" s="2" t="s">
        <v>5492</v>
      </c>
      <c r="D16" s="3">
        <v>4.75</v>
      </c>
      <c r="E16" s="3">
        <v>21.14</v>
      </c>
      <c r="F16" s="3">
        <v>4.0999999999999996</v>
      </c>
      <c r="G16" s="3">
        <v>7.96</v>
      </c>
      <c r="H16" s="3">
        <v>343</v>
      </c>
      <c r="I16" s="3">
        <v>7.0999999999999994E-2</v>
      </c>
      <c r="J16" s="3">
        <v>9.5000000000000001E-2</v>
      </c>
      <c r="K16" s="3">
        <v>0.121</v>
      </c>
    </row>
    <row r="17" spans="2:11" x14ac:dyDescent="0.25">
      <c r="B17" s="2" t="s">
        <v>5493</v>
      </c>
      <c r="C17" s="2" t="s">
        <v>5494</v>
      </c>
      <c r="D17" s="3">
        <v>6.38</v>
      </c>
      <c r="E17" s="3">
        <v>16.91</v>
      </c>
      <c r="H17" s="3">
        <v>475</v>
      </c>
      <c r="I17" s="3">
        <v>1.677</v>
      </c>
      <c r="J17" s="3">
        <v>1.385</v>
      </c>
      <c r="K17" s="3">
        <v>0.20499999999999999</v>
      </c>
    </row>
    <row r="18" spans="2:11" x14ac:dyDescent="0.25">
      <c r="B18" s="2" t="s">
        <v>5495</v>
      </c>
      <c r="C18" s="2" t="s">
        <v>5496</v>
      </c>
      <c r="D18" s="3">
        <v>6.75</v>
      </c>
      <c r="E18" s="3">
        <v>15.39</v>
      </c>
      <c r="F18" s="3">
        <v>6.9</v>
      </c>
      <c r="G18" s="3">
        <v>6.53</v>
      </c>
      <c r="H18" s="3">
        <v>430</v>
      </c>
      <c r="I18" s="3">
        <v>2.3519999999999999</v>
      </c>
      <c r="J18" s="3">
        <v>2.83</v>
      </c>
      <c r="K18" s="3">
        <v>0.83599999999999997</v>
      </c>
    </row>
    <row r="19" spans="2:11" x14ac:dyDescent="0.25">
      <c r="B19" s="2" t="s">
        <v>5497</v>
      </c>
      <c r="C19" s="2" t="s">
        <v>5498</v>
      </c>
      <c r="D19" s="3">
        <v>5.19</v>
      </c>
      <c r="E19" s="3">
        <v>19.989999999999998</v>
      </c>
      <c r="F19" s="3">
        <v>5.5</v>
      </c>
      <c r="H19" s="3">
        <v>414</v>
      </c>
      <c r="I19" s="3">
        <v>0.59899999999999998</v>
      </c>
      <c r="J19" s="3">
        <v>0.67300000000000004</v>
      </c>
      <c r="K19" s="3">
        <v>0.19900000000000001</v>
      </c>
    </row>
    <row r="20" spans="2:11" x14ac:dyDescent="0.25">
      <c r="B20" s="2" t="s">
        <v>5499</v>
      </c>
      <c r="C20" s="2" t="s">
        <v>5500</v>
      </c>
      <c r="D20" s="3">
        <v>4.5199999999999996</v>
      </c>
      <c r="E20" s="3">
        <v>21.57</v>
      </c>
      <c r="F20" s="3">
        <v>4.4000000000000004</v>
      </c>
      <c r="G20" s="3">
        <v>8.23</v>
      </c>
      <c r="H20" s="3">
        <v>391</v>
      </c>
      <c r="I20" s="3">
        <v>0.23100000000000001</v>
      </c>
      <c r="J20" s="3">
        <v>0.222</v>
      </c>
      <c r="K20" s="3">
        <v>0.4</v>
      </c>
    </row>
    <row r="21" spans="2:11" x14ac:dyDescent="0.25">
      <c r="B21" s="2" t="s">
        <v>5501</v>
      </c>
      <c r="C21" s="2" t="s">
        <v>5502</v>
      </c>
      <c r="D21" s="3">
        <v>5.15</v>
      </c>
      <c r="E21" s="3">
        <v>18.690000000000001</v>
      </c>
      <c r="F21" s="3">
        <v>4</v>
      </c>
      <c r="G21" s="3">
        <v>5.67</v>
      </c>
      <c r="H21" s="3">
        <v>437</v>
      </c>
      <c r="I21" s="3">
        <v>0.29299999999999998</v>
      </c>
      <c r="J21" s="3">
        <v>0.27700000000000002</v>
      </c>
      <c r="K21" s="3">
        <v>0.157</v>
      </c>
    </row>
    <row r="22" spans="2:11" x14ac:dyDescent="0.25">
      <c r="B22" s="2" t="s">
        <v>5503</v>
      </c>
      <c r="C22" s="2" t="s">
        <v>5504</v>
      </c>
      <c r="D22" s="3">
        <v>21.6</v>
      </c>
      <c r="E22" s="3">
        <v>62.36</v>
      </c>
      <c r="F22" s="3">
        <v>15.5</v>
      </c>
      <c r="G22" s="3">
        <v>2.12</v>
      </c>
      <c r="H22" s="3">
        <v>5</v>
      </c>
      <c r="I22" s="3">
        <v>0.36599999999999999</v>
      </c>
      <c r="J22" s="3">
        <v>0.123</v>
      </c>
      <c r="K22" s="3">
        <v>0.61</v>
      </c>
    </row>
    <row r="23" spans="2:11" x14ac:dyDescent="0.25">
      <c r="B23" s="2" t="s">
        <v>5505</v>
      </c>
      <c r="C23" s="2" t="s">
        <v>5506</v>
      </c>
      <c r="D23" s="3">
        <v>8.86</v>
      </c>
      <c r="E23" s="3">
        <v>23.71</v>
      </c>
      <c r="F23" s="3">
        <v>8.6999999999999993</v>
      </c>
      <c r="G23" s="3">
        <v>0.32</v>
      </c>
      <c r="H23" s="3">
        <v>1</v>
      </c>
      <c r="I23" s="3">
        <v>0.13900000000000001</v>
      </c>
      <c r="J23" s="3">
        <v>4.7E-2</v>
      </c>
      <c r="K23" s="3">
        <v>0.23100000000000001</v>
      </c>
    </row>
    <row r="24" spans="2:11" x14ac:dyDescent="0.25">
      <c r="B24" s="2" t="s">
        <v>5507</v>
      </c>
      <c r="C24" s="2" t="s">
        <v>5508</v>
      </c>
      <c r="D24" s="3">
        <v>21.25</v>
      </c>
      <c r="E24" s="3">
        <v>63.25</v>
      </c>
      <c r="F24" s="3">
        <v>15.5</v>
      </c>
      <c r="G24" s="3">
        <v>2.12</v>
      </c>
      <c r="H24" s="3">
        <v>9</v>
      </c>
      <c r="I24" s="3">
        <v>0.23200000000000001</v>
      </c>
      <c r="J24" s="3">
        <v>7.8E-2</v>
      </c>
      <c r="K24" s="3">
        <v>0.38700000000000001</v>
      </c>
    </row>
    <row r="25" spans="2:11" x14ac:dyDescent="0.25">
      <c r="B25" s="2" t="s">
        <v>5509</v>
      </c>
      <c r="C25" s="2" t="s">
        <v>5510</v>
      </c>
      <c r="D25" s="3">
        <v>8.18</v>
      </c>
      <c r="E25" s="3">
        <v>24.35</v>
      </c>
      <c r="F25" s="3">
        <v>8.3000000000000007</v>
      </c>
      <c r="G25" s="3">
        <v>0.32</v>
      </c>
      <c r="H25" s="3">
        <v>3</v>
      </c>
      <c r="I25" s="3">
        <v>8.8999999999999996E-2</v>
      </c>
      <c r="J25" s="3">
        <v>0.03</v>
      </c>
      <c r="K25" s="3">
        <v>0.14899999999999999</v>
      </c>
    </row>
    <row r="26" spans="2:11" x14ac:dyDescent="0.25">
      <c r="B26" s="2" t="s">
        <v>5511</v>
      </c>
      <c r="C26" s="2" t="s">
        <v>5512</v>
      </c>
      <c r="D26" s="3">
        <v>6.03</v>
      </c>
      <c r="E26" s="3">
        <v>16.55</v>
      </c>
      <c r="F26" s="3">
        <v>6.9</v>
      </c>
      <c r="G26" s="3">
        <v>0.23</v>
      </c>
      <c r="H26" s="3">
        <v>384</v>
      </c>
      <c r="I26" s="3">
        <v>7.4999999999999997E-2</v>
      </c>
      <c r="J26" s="3">
        <v>2.5000000000000001E-2</v>
      </c>
      <c r="K26" s="3">
        <v>0.125</v>
      </c>
    </row>
    <row r="27" spans="2:11" x14ac:dyDescent="0.25">
      <c r="B27" s="2" t="s">
        <v>5513</v>
      </c>
      <c r="C27" s="2" t="s">
        <v>5514</v>
      </c>
      <c r="D27" s="3">
        <v>23.03</v>
      </c>
      <c r="E27" s="3">
        <v>60.05</v>
      </c>
      <c r="F27" s="3">
        <v>24.7</v>
      </c>
      <c r="H27" s="3">
        <v>6</v>
      </c>
      <c r="I27" s="3">
        <v>0.316</v>
      </c>
      <c r="J27" s="3">
        <v>0.106</v>
      </c>
      <c r="K27" s="3">
        <v>0.52700000000000002</v>
      </c>
    </row>
    <row r="28" spans="2:11" x14ac:dyDescent="0.25">
      <c r="B28" s="2" t="s">
        <v>5515</v>
      </c>
      <c r="C28" s="2" t="s">
        <v>5516</v>
      </c>
      <c r="D28" s="3">
        <v>9.34</v>
      </c>
      <c r="E28" s="3">
        <v>24.46</v>
      </c>
      <c r="F28" s="3">
        <v>8.6</v>
      </c>
      <c r="H28" s="3">
        <v>1</v>
      </c>
      <c r="I28" s="3">
        <v>0.11899999999999999</v>
      </c>
      <c r="J28" s="3">
        <v>0.04</v>
      </c>
      <c r="K28" s="3">
        <v>0.19900000000000001</v>
      </c>
    </row>
    <row r="29" spans="2:11" x14ac:dyDescent="0.25">
      <c r="B29" s="2" t="s">
        <v>5517</v>
      </c>
      <c r="C29" s="2" t="s">
        <v>5518</v>
      </c>
      <c r="D29" s="3">
        <v>5.54</v>
      </c>
      <c r="E29" s="3">
        <v>15.12</v>
      </c>
      <c r="F29" s="3">
        <v>6.3</v>
      </c>
      <c r="H29" s="3">
        <v>332</v>
      </c>
      <c r="I29" s="3">
        <v>7.1999999999999995E-2</v>
      </c>
      <c r="J29" s="3">
        <v>2.4E-2</v>
      </c>
      <c r="K29" s="3">
        <v>0.12</v>
      </c>
    </row>
    <row r="30" spans="2:11" x14ac:dyDescent="0.25">
      <c r="B30" s="2" t="s">
        <v>5519</v>
      </c>
      <c r="C30" s="2" t="s">
        <v>5520</v>
      </c>
      <c r="D30" s="3">
        <v>18.809999999999999</v>
      </c>
      <c r="E30" s="3">
        <v>64.11</v>
      </c>
      <c r="F30" s="3">
        <v>25.2</v>
      </c>
      <c r="H30" s="3">
        <v>18</v>
      </c>
      <c r="I30" s="3">
        <v>0.221</v>
      </c>
      <c r="J30" s="3">
        <v>0.13800000000000001</v>
      </c>
      <c r="K30" s="3">
        <v>1.2070000000000001</v>
      </c>
    </row>
    <row r="31" spans="2:11" x14ac:dyDescent="0.25">
      <c r="B31" s="2" t="s">
        <v>5521</v>
      </c>
      <c r="C31" s="2" t="s">
        <v>5522</v>
      </c>
      <c r="D31" s="3">
        <v>7.05</v>
      </c>
      <c r="E31" s="3">
        <v>24.02</v>
      </c>
      <c r="F31" s="3">
        <v>9.4</v>
      </c>
      <c r="H31" s="3">
        <v>6</v>
      </c>
      <c r="I31" s="3">
        <v>8.3000000000000004E-2</v>
      </c>
      <c r="J31" s="3">
        <v>5.1999999999999998E-2</v>
      </c>
      <c r="K31" s="3">
        <v>0.45300000000000001</v>
      </c>
    </row>
    <row r="32" spans="2:11" x14ac:dyDescent="0.25">
      <c r="B32" s="2" t="s">
        <v>5523</v>
      </c>
      <c r="C32" s="2" t="s">
        <v>5524</v>
      </c>
      <c r="D32" s="3">
        <v>21.86</v>
      </c>
      <c r="E32" s="3">
        <v>62.37</v>
      </c>
      <c r="F32" s="3">
        <v>20.2</v>
      </c>
      <c r="G32" s="3">
        <v>2.2599999999999998</v>
      </c>
      <c r="H32" s="3">
        <v>14</v>
      </c>
      <c r="I32" s="3">
        <v>0.35599999999999998</v>
      </c>
      <c r="J32" s="3">
        <v>5.2999999999999999E-2</v>
      </c>
      <c r="K32" s="3">
        <v>0.47699999999999998</v>
      </c>
    </row>
    <row r="33" spans="2:11" x14ac:dyDescent="0.25">
      <c r="B33" s="2" t="s">
        <v>5525</v>
      </c>
      <c r="C33" s="2" t="s">
        <v>5526</v>
      </c>
      <c r="D33" s="3">
        <v>8.33</v>
      </c>
      <c r="E33" s="3">
        <v>21.09</v>
      </c>
      <c r="F33" s="3">
        <v>7</v>
      </c>
      <c r="H33" s="3">
        <v>2</v>
      </c>
      <c r="I33" s="3">
        <v>0.14000000000000001</v>
      </c>
      <c r="J33" s="3">
        <v>2.1000000000000001E-2</v>
      </c>
      <c r="K33" s="3">
        <v>0.187</v>
      </c>
    </row>
    <row r="34" spans="2:11" x14ac:dyDescent="0.25">
      <c r="B34" s="2" t="s">
        <v>5527</v>
      </c>
      <c r="C34" s="2" t="s">
        <v>5528</v>
      </c>
      <c r="D34" s="3">
        <v>7.37</v>
      </c>
      <c r="E34" s="3">
        <v>21.02</v>
      </c>
      <c r="F34" s="3">
        <v>4.9000000000000004</v>
      </c>
      <c r="G34" s="3">
        <v>1.41</v>
      </c>
      <c r="H34" s="3">
        <v>370</v>
      </c>
      <c r="I34" s="3">
        <v>0.12</v>
      </c>
      <c r="J34" s="3">
        <v>1.7999999999999999E-2</v>
      </c>
      <c r="K34" s="3">
        <v>0.161</v>
      </c>
    </row>
    <row r="35" spans="2:11" x14ac:dyDescent="0.25">
      <c r="B35" s="2" t="s">
        <v>5529</v>
      </c>
      <c r="C35" s="2" t="s">
        <v>5530</v>
      </c>
      <c r="D35" s="3">
        <v>23.58</v>
      </c>
      <c r="E35" s="3">
        <v>60.01</v>
      </c>
      <c r="F35" s="3">
        <v>24.9</v>
      </c>
      <c r="G35" s="3">
        <v>2.23</v>
      </c>
      <c r="H35" s="3">
        <v>24</v>
      </c>
      <c r="I35" s="3">
        <v>0.12</v>
      </c>
      <c r="J35" s="3">
        <v>6.4000000000000001E-2</v>
      </c>
      <c r="K35" s="3">
        <v>0.45700000000000002</v>
      </c>
    </row>
    <row r="36" spans="2:11" x14ac:dyDescent="0.25">
      <c r="B36" s="2" t="s">
        <v>5531</v>
      </c>
      <c r="C36" s="2" t="s">
        <v>5532</v>
      </c>
      <c r="D36" s="3">
        <v>8.67</v>
      </c>
      <c r="E36" s="3">
        <v>22.8</v>
      </c>
      <c r="F36" s="3">
        <v>6.4</v>
      </c>
      <c r="G36" s="3">
        <v>0.32</v>
      </c>
      <c r="H36" s="3">
        <v>1</v>
      </c>
      <c r="I36" s="3">
        <v>7.2999999999999995E-2</v>
      </c>
      <c r="J36" s="3">
        <v>3.9E-2</v>
      </c>
      <c r="K36" s="3">
        <v>0.27800000000000002</v>
      </c>
    </row>
    <row r="37" spans="2:11" x14ac:dyDescent="0.25">
      <c r="B37" s="2" t="s">
        <v>5533</v>
      </c>
      <c r="C37" s="2" t="s">
        <v>5534</v>
      </c>
      <c r="D37" s="3">
        <v>5.22</v>
      </c>
      <c r="E37" s="3">
        <v>14.5</v>
      </c>
      <c r="F37" s="3">
        <v>4.3</v>
      </c>
      <c r="G37" s="3">
        <v>1.85</v>
      </c>
      <c r="H37" s="3">
        <v>296</v>
      </c>
      <c r="I37" s="3">
        <v>0.14099999999999999</v>
      </c>
      <c r="J37" s="3">
        <v>0.38200000000000001</v>
      </c>
      <c r="K37" s="3">
        <v>0.26300000000000001</v>
      </c>
    </row>
    <row r="38" spans="2:11" x14ac:dyDescent="0.25">
      <c r="B38" s="2" t="s">
        <v>5535</v>
      </c>
      <c r="C38" s="2" t="s">
        <v>5536</v>
      </c>
      <c r="D38" s="3">
        <v>24.37</v>
      </c>
      <c r="E38" s="3">
        <v>59.8</v>
      </c>
      <c r="F38" s="3">
        <v>24.9</v>
      </c>
      <c r="H38" s="3">
        <v>11</v>
      </c>
      <c r="I38" s="3">
        <v>3.5999999999999997E-2</v>
      </c>
      <c r="J38" s="3">
        <v>1.9E-2</v>
      </c>
      <c r="K38" s="3">
        <v>0.13800000000000001</v>
      </c>
    </row>
    <row r="39" spans="2:11" x14ac:dyDescent="0.25">
      <c r="B39" s="2" t="s">
        <v>5537</v>
      </c>
      <c r="C39" s="2" t="s">
        <v>5538</v>
      </c>
      <c r="D39" s="3">
        <v>9.1300000000000008</v>
      </c>
      <c r="E39" s="3">
        <v>22.41</v>
      </c>
      <c r="F39" s="3">
        <v>9.3000000000000007</v>
      </c>
      <c r="H39" s="3">
        <v>4</v>
      </c>
      <c r="I39" s="3">
        <v>1.4E-2</v>
      </c>
      <c r="J39" s="3">
        <v>7.0000000000000001E-3</v>
      </c>
      <c r="K39" s="3">
        <v>5.1999999999999998E-2</v>
      </c>
    </row>
    <row r="40" spans="2:11" x14ac:dyDescent="0.25">
      <c r="B40" s="2" t="s">
        <v>5539</v>
      </c>
      <c r="C40" s="2" t="s">
        <v>5540</v>
      </c>
      <c r="D40" s="3">
        <v>22.53</v>
      </c>
      <c r="E40" s="3">
        <v>61.29</v>
      </c>
      <c r="F40" s="3">
        <v>15.2</v>
      </c>
      <c r="G40" s="3">
        <v>2.1</v>
      </c>
      <c r="H40" s="3">
        <v>12</v>
      </c>
      <c r="I40" s="3">
        <v>0.154</v>
      </c>
      <c r="J40" s="3">
        <v>8.2000000000000003E-2</v>
      </c>
      <c r="K40" s="3">
        <v>0.58599999999999997</v>
      </c>
    </row>
    <row r="41" spans="2:11" x14ac:dyDescent="0.25">
      <c r="B41" s="2" t="s">
        <v>5541</v>
      </c>
      <c r="C41" s="2" t="s">
        <v>5542</v>
      </c>
      <c r="D41" s="3">
        <v>8.67</v>
      </c>
      <c r="E41" s="3">
        <v>22.8</v>
      </c>
      <c r="F41" s="3">
        <v>7.4</v>
      </c>
      <c r="G41" s="3">
        <v>0.32</v>
      </c>
      <c r="H41" s="3">
        <v>2</v>
      </c>
      <c r="I41" s="3">
        <v>7.1999999999999995E-2</v>
      </c>
      <c r="J41" s="3">
        <v>3.9E-2</v>
      </c>
      <c r="K41" s="3">
        <v>0.27500000000000002</v>
      </c>
    </row>
    <row r="42" spans="2:11" x14ac:dyDescent="0.25">
      <c r="B42" s="2" t="s">
        <v>5543</v>
      </c>
      <c r="C42" s="2" t="s">
        <v>5544</v>
      </c>
      <c r="D42" s="3">
        <v>5.22</v>
      </c>
      <c r="E42" s="3">
        <v>14.83</v>
      </c>
      <c r="F42" s="3">
        <v>4.3</v>
      </c>
      <c r="G42" s="3">
        <v>1.85</v>
      </c>
      <c r="H42" s="3">
        <v>256</v>
      </c>
      <c r="I42" s="3">
        <v>0.125</v>
      </c>
      <c r="J42" s="3">
        <v>0.14699999999999999</v>
      </c>
      <c r="K42" s="3">
        <v>0.17399999999999999</v>
      </c>
    </row>
    <row r="43" spans="2:11" x14ac:dyDescent="0.25">
      <c r="B43" s="2" t="s">
        <v>5545</v>
      </c>
      <c r="C43" s="2" t="s">
        <v>5546</v>
      </c>
      <c r="D43" s="3">
        <v>25.33</v>
      </c>
      <c r="E43" s="3">
        <v>58.33</v>
      </c>
      <c r="F43" s="3">
        <v>24.9</v>
      </c>
      <c r="H43" s="3">
        <v>13</v>
      </c>
      <c r="I43" s="3">
        <v>6.5000000000000002E-2</v>
      </c>
      <c r="J43" s="3">
        <v>3.5000000000000003E-2</v>
      </c>
      <c r="K43" s="3">
        <v>0.249</v>
      </c>
    </row>
    <row r="44" spans="2:11" x14ac:dyDescent="0.25">
      <c r="B44" s="2" t="s">
        <v>5547</v>
      </c>
      <c r="C44" s="2" t="s">
        <v>5548</v>
      </c>
      <c r="D44" s="3">
        <v>9.49</v>
      </c>
      <c r="E44" s="3">
        <v>21.85</v>
      </c>
      <c r="F44" s="3">
        <v>9.3000000000000007</v>
      </c>
      <c r="H44" s="3">
        <v>5</v>
      </c>
      <c r="I44" s="3">
        <v>2.4E-2</v>
      </c>
      <c r="J44" s="3">
        <v>1.2999999999999999E-2</v>
      </c>
      <c r="K44" s="3">
        <v>9.2999999999999999E-2</v>
      </c>
    </row>
    <row r="45" spans="2:11" x14ac:dyDescent="0.25">
      <c r="B45" s="2" t="s">
        <v>5549</v>
      </c>
      <c r="C45" s="2" t="s">
        <v>5550</v>
      </c>
      <c r="D45" s="3">
        <v>22.33</v>
      </c>
      <c r="E45" s="3">
        <v>60.75</v>
      </c>
      <c r="F45" s="3">
        <v>15.3</v>
      </c>
      <c r="G45" s="3">
        <v>3.88</v>
      </c>
      <c r="H45" s="3">
        <v>5</v>
      </c>
      <c r="I45" s="3">
        <v>0.17</v>
      </c>
      <c r="J45" s="3">
        <v>0.128</v>
      </c>
      <c r="K45" s="3">
        <v>0.873</v>
      </c>
    </row>
    <row r="46" spans="2:11" x14ac:dyDescent="0.25">
      <c r="B46" s="2" t="s">
        <v>5551</v>
      </c>
      <c r="C46" s="2" t="s">
        <v>5552</v>
      </c>
      <c r="D46" s="3">
        <v>8.23</v>
      </c>
      <c r="E46" s="3">
        <v>26.05</v>
      </c>
      <c r="F46" s="3">
        <v>10.5</v>
      </c>
      <c r="G46" s="3">
        <v>0.37</v>
      </c>
      <c r="H46" s="3">
        <v>0</v>
      </c>
      <c r="I46" s="3">
        <v>9.8000000000000004E-2</v>
      </c>
      <c r="J46" s="3">
        <v>0.14199999999999999</v>
      </c>
      <c r="K46" s="3">
        <v>0.49</v>
      </c>
    </row>
    <row r="47" spans="2:11" x14ac:dyDescent="0.25">
      <c r="B47" s="2" t="s">
        <v>5553</v>
      </c>
      <c r="C47" s="2" t="s">
        <v>5554</v>
      </c>
      <c r="D47" s="3">
        <v>7.53</v>
      </c>
      <c r="E47" s="3">
        <v>20.45</v>
      </c>
      <c r="F47" s="3">
        <v>5.0999999999999996</v>
      </c>
      <c r="G47" s="3">
        <v>0.28000000000000003</v>
      </c>
      <c r="H47" s="3">
        <v>336</v>
      </c>
      <c r="I47" s="3">
        <v>0.112</v>
      </c>
      <c r="J47" s="3">
        <v>3.7999999999999999E-2</v>
      </c>
      <c r="K47" s="3">
        <v>0.186</v>
      </c>
    </row>
    <row r="48" spans="2:11" x14ac:dyDescent="0.25">
      <c r="B48" s="2" t="s">
        <v>5555</v>
      </c>
      <c r="C48" s="2" t="s">
        <v>5556</v>
      </c>
      <c r="D48" s="3">
        <v>20.96</v>
      </c>
      <c r="E48" s="3">
        <v>64.19</v>
      </c>
      <c r="F48" s="3">
        <v>12.7</v>
      </c>
      <c r="G48" s="3">
        <v>2.14</v>
      </c>
      <c r="H48" s="3">
        <v>8</v>
      </c>
      <c r="I48" s="3">
        <v>0.29199999999999998</v>
      </c>
      <c r="J48" s="3">
        <v>9.8000000000000004E-2</v>
      </c>
      <c r="K48" s="3">
        <v>0.48699999999999999</v>
      </c>
    </row>
    <row r="49" spans="2:11" x14ac:dyDescent="0.25">
      <c r="B49" s="2" t="s">
        <v>5557</v>
      </c>
      <c r="C49" s="2" t="s">
        <v>5558</v>
      </c>
      <c r="D49" s="3">
        <v>9.06</v>
      </c>
      <c r="E49" s="3">
        <v>27.91</v>
      </c>
      <c r="F49" s="3">
        <v>5.3</v>
      </c>
      <c r="G49" s="3">
        <v>0.36</v>
      </c>
      <c r="H49" s="3">
        <v>2</v>
      </c>
      <c r="I49" s="3">
        <v>0.126</v>
      </c>
      <c r="J49" s="3">
        <v>4.2000000000000003E-2</v>
      </c>
      <c r="K49" s="3">
        <v>0.21</v>
      </c>
    </row>
    <row r="50" spans="2:11" x14ac:dyDescent="0.25">
      <c r="B50" s="2" t="s">
        <v>5559</v>
      </c>
      <c r="C50" s="2" t="s">
        <v>5560</v>
      </c>
      <c r="D50" s="3">
        <v>21.42</v>
      </c>
      <c r="E50" s="3">
        <v>62.55</v>
      </c>
      <c r="F50" s="3">
        <v>15.5</v>
      </c>
      <c r="G50" s="3">
        <v>2.11</v>
      </c>
      <c r="H50" s="3">
        <v>12</v>
      </c>
      <c r="I50" s="3">
        <v>0.23499999999999999</v>
      </c>
      <c r="J50" s="3">
        <v>0.22900000000000001</v>
      </c>
      <c r="K50" s="3">
        <v>0.40699999999999997</v>
      </c>
    </row>
    <row r="51" spans="2:11" x14ac:dyDescent="0.25">
      <c r="B51" s="2" t="s">
        <v>5561</v>
      </c>
      <c r="C51" s="2" t="s">
        <v>5562</v>
      </c>
      <c r="D51" s="3">
        <v>9.01</v>
      </c>
      <c r="E51" s="3">
        <v>26.22</v>
      </c>
      <c r="F51" s="3">
        <v>9</v>
      </c>
      <c r="G51" s="3">
        <v>0.34</v>
      </c>
      <c r="H51" s="3">
        <v>1</v>
      </c>
      <c r="I51" s="3">
        <v>0.13600000000000001</v>
      </c>
      <c r="J51" s="3">
        <v>0.13300000000000001</v>
      </c>
      <c r="K51" s="3">
        <v>0.23499999999999999</v>
      </c>
    </row>
    <row r="52" spans="2:11" x14ac:dyDescent="0.25">
      <c r="B52" s="2" t="s">
        <v>5563</v>
      </c>
      <c r="C52" s="2" t="s">
        <v>5564</v>
      </c>
      <c r="D52" s="3">
        <v>4.5999999999999996</v>
      </c>
      <c r="E52" s="3">
        <v>15.18</v>
      </c>
      <c r="F52" s="3">
        <v>4.5999999999999996</v>
      </c>
      <c r="G52" s="3">
        <v>1.02</v>
      </c>
      <c r="H52" s="3">
        <v>268</v>
      </c>
      <c r="I52" s="3">
        <v>0.123</v>
      </c>
      <c r="J52" s="3">
        <v>0.114</v>
      </c>
      <c r="K52" s="3">
        <v>0.20300000000000001</v>
      </c>
    </row>
    <row r="53" spans="2:11" x14ac:dyDescent="0.25">
      <c r="B53" s="2" t="s">
        <v>5565</v>
      </c>
      <c r="C53" s="2" t="s">
        <v>5566</v>
      </c>
      <c r="D53" s="3">
        <v>21.11</v>
      </c>
      <c r="E53" s="3">
        <v>62.25</v>
      </c>
      <c r="F53" s="3">
        <v>24.9</v>
      </c>
      <c r="H53" s="3">
        <v>12</v>
      </c>
      <c r="I53" s="3">
        <v>0.30399999999999999</v>
      </c>
      <c r="J53" s="3">
        <v>0.10199999999999999</v>
      </c>
      <c r="K53" s="3">
        <v>0.50700000000000001</v>
      </c>
    </row>
    <row r="54" spans="2:11" x14ac:dyDescent="0.25">
      <c r="B54" s="2" t="s">
        <v>5567</v>
      </c>
      <c r="C54" s="2" t="s">
        <v>5568</v>
      </c>
      <c r="D54" s="3">
        <v>8.9700000000000006</v>
      </c>
      <c r="E54" s="3">
        <v>25.81</v>
      </c>
      <c r="F54" s="3">
        <v>10.4</v>
      </c>
      <c r="H54" s="3">
        <v>2</v>
      </c>
      <c r="I54" s="3">
        <v>0.16600000000000001</v>
      </c>
      <c r="J54" s="3">
        <v>5.6000000000000001E-2</v>
      </c>
      <c r="K54" s="3">
        <v>0.27600000000000002</v>
      </c>
    </row>
    <row r="55" spans="2:11" x14ac:dyDescent="0.25">
      <c r="B55" s="2" t="s">
        <v>5569</v>
      </c>
      <c r="C55" s="2" t="s">
        <v>5570</v>
      </c>
      <c r="D55" s="3">
        <v>22</v>
      </c>
      <c r="E55" s="3">
        <v>60.7</v>
      </c>
      <c r="F55" s="3">
        <v>25.1</v>
      </c>
      <c r="H55" s="3">
        <v>12</v>
      </c>
      <c r="I55" s="3">
        <v>0.67100000000000004</v>
      </c>
      <c r="J55" s="3">
        <v>0.22600000000000001</v>
      </c>
      <c r="K55" s="3">
        <v>1.1180000000000001</v>
      </c>
    </row>
    <row r="56" spans="2:11" x14ac:dyDescent="0.25">
      <c r="B56" s="2" t="s">
        <v>5571</v>
      </c>
      <c r="C56" s="2" t="s">
        <v>5572</v>
      </c>
      <c r="D56" s="3">
        <v>9.16</v>
      </c>
      <c r="E56" s="3">
        <v>25.28</v>
      </c>
      <c r="F56" s="3">
        <v>10.4</v>
      </c>
      <c r="G56" s="3">
        <v>0.34</v>
      </c>
      <c r="H56" s="3">
        <v>5</v>
      </c>
      <c r="I56" s="3">
        <v>0.27900000000000003</v>
      </c>
      <c r="J56" s="3">
        <v>9.4E-2</v>
      </c>
      <c r="K56" s="3">
        <v>0.46600000000000003</v>
      </c>
    </row>
    <row r="57" spans="2:11" x14ac:dyDescent="0.25">
      <c r="B57" s="2" t="s">
        <v>5573</v>
      </c>
      <c r="C57" s="2" t="s">
        <v>5574</v>
      </c>
      <c r="D57" s="3">
        <v>23.36</v>
      </c>
      <c r="E57" s="3">
        <v>60.27</v>
      </c>
      <c r="F57" s="3">
        <v>15.2</v>
      </c>
      <c r="G57" s="3">
        <v>2.11</v>
      </c>
      <c r="H57" s="3">
        <v>16</v>
      </c>
      <c r="I57" s="3">
        <v>0.219</v>
      </c>
      <c r="J57" s="3">
        <v>7.3999999999999996E-2</v>
      </c>
      <c r="K57" s="3">
        <v>0.36399999999999999</v>
      </c>
    </row>
    <row r="58" spans="2:11" x14ac:dyDescent="0.25">
      <c r="B58" s="2" t="s">
        <v>5575</v>
      </c>
      <c r="C58" s="2" t="s">
        <v>5576</v>
      </c>
      <c r="D58" s="3">
        <v>9.73</v>
      </c>
      <c r="E58" s="3">
        <v>25.09</v>
      </c>
      <c r="F58" s="3">
        <v>6.3</v>
      </c>
      <c r="G58" s="3">
        <v>0.34</v>
      </c>
      <c r="H58" s="3">
        <v>6</v>
      </c>
      <c r="I58" s="3">
        <v>9.0999999999999998E-2</v>
      </c>
      <c r="J58" s="3">
        <v>3.1E-2</v>
      </c>
      <c r="K58" s="3">
        <v>0.152</v>
      </c>
    </row>
    <row r="59" spans="2:11" x14ac:dyDescent="0.25">
      <c r="B59" s="2" t="s">
        <v>5577</v>
      </c>
      <c r="C59" s="2" t="s">
        <v>5578</v>
      </c>
      <c r="D59" s="3">
        <v>7.26</v>
      </c>
      <c r="E59" s="3">
        <v>21.2</v>
      </c>
      <c r="F59" s="3">
        <v>4.8</v>
      </c>
      <c r="G59" s="3">
        <v>0.28999999999999998</v>
      </c>
      <c r="H59" s="3">
        <v>340</v>
      </c>
      <c r="I59" s="3">
        <v>7.3999999999999996E-2</v>
      </c>
      <c r="J59" s="3">
        <v>2.5000000000000001E-2</v>
      </c>
      <c r="K59" s="3">
        <v>0.123</v>
      </c>
    </row>
    <row r="60" spans="2:11" x14ac:dyDescent="0.25">
      <c r="B60" s="2" t="s">
        <v>5579</v>
      </c>
      <c r="C60" s="2" t="s">
        <v>5580</v>
      </c>
      <c r="D60" s="3">
        <v>26.12</v>
      </c>
      <c r="E60" s="3">
        <v>58.29</v>
      </c>
      <c r="F60" s="3">
        <v>25</v>
      </c>
      <c r="G60" s="3">
        <v>5.7</v>
      </c>
      <c r="H60" s="3">
        <v>13</v>
      </c>
      <c r="I60" s="3">
        <v>0.254</v>
      </c>
      <c r="J60" s="3">
        <v>0.30299999999999999</v>
      </c>
      <c r="K60" s="3">
        <v>0.627</v>
      </c>
    </row>
    <row r="61" spans="2:11" x14ac:dyDescent="0.25">
      <c r="B61" s="2" t="s">
        <v>5581</v>
      </c>
      <c r="C61" s="2" t="s">
        <v>5582</v>
      </c>
      <c r="D61" s="3">
        <v>7.6</v>
      </c>
      <c r="E61" s="3">
        <v>19.649999999999999</v>
      </c>
      <c r="F61" s="3">
        <v>5.4</v>
      </c>
      <c r="G61" s="3">
        <v>1.82</v>
      </c>
      <c r="H61" s="3">
        <v>5</v>
      </c>
      <c r="I61" s="3">
        <v>6.6000000000000003E-2</v>
      </c>
      <c r="J61" s="3">
        <v>7.9000000000000001E-2</v>
      </c>
      <c r="K61" s="3">
        <v>0.16400000000000001</v>
      </c>
    </row>
    <row r="62" spans="2:11" x14ac:dyDescent="0.25">
      <c r="B62" s="2" t="s">
        <v>5583</v>
      </c>
      <c r="C62" s="2" t="s">
        <v>5584</v>
      </c>
      <c r="D62" s="3">
        <v>5.47</v>
      </c>
      <c r="E62" s="3">
        <v>12.41</v>
      </c>
      <c r="F62" s="3">
        <v>3.7</v>
      </c>
      <c r="H62" s="3">
        <v>453</v>
      </c>
      <c r="I62" s="3">
        <v>3.6999999999999998E-2</v>
      </c>
      <c r="J62" s="3">
        <v>4.3999999999999997E-2</v>
      </c>
      <c r="K62" s="3">
        <v>0.09</v>
      </c>
    </row>
    <row r="63" spans="2:11" x14ac:dyDescent="0.25">
      <c r="B63" s="2" t="s">
        <v>5585</v>
      </c>
      <c r="C63" s="2" t="s">
        <v>5586</v>
      </c>
      <c r="D63" s="3">
        <v>4.62</v>
      </c>
      <c r="E63" s="3">
        <v>88.88</v>
      </c>
      <c r="F63" s="3">
        <v>39.799999999999997</v>
      </c>
      <c r="G63" s="3">
        <v>49.08</v>
      </c>
      <c r="H63" s="3">
        <v>35</v>
      </c>
      <c r="I63" s="3">
        <v>0.09</v>
      </c>
      <c r="J63" s="3">
        <v>0.19700000000000001</v>
      </c>
      <c r="K63" s="3">
        <v>0.216</v>
      </c>
    </row>
    <row r="64" spans="2:11" x14ac:dyDescent="0.25">
      <c r="B64" s="2" t="s">
        <v>5587</v>
      </c>
      <c r="C64" s="2" t="s">
        <v>5588</v>
      </c>
      <c r="D64" s="3">
        <v>20.47</v>
      </c>
      <c r="E64" s="3">
        <v>62.95</v>
      </c>
      <c r="F64" s="3">
        <v>12.2</v>
      </c>
      <c r="G64" s="3">
        <v>10.7</v>
      </c>
      <c r="H64" s="3">
        <v>24</v>
      </c>
      <c r="I64" s="3">
        <v>0.60299999999999998</v>
      </c>
      <c r="J64" s="3">
        <v>1.377</v>
      </c>
      <c r="K64" s="3">
        <v>2.7309999999999999</v>
      </c>
    </row>
    <row r="65" spans="2:11" x14ac:dyDescent="0.25">
      <c r="B65" s="2" t="s">
        <v>5589</v>
      </c>
      <c r="C65" s="2" t="s">
        <v>5590</v>
      </c>
      <c r="D65" s="3">
        <v>8.86</v>
      </c>
      <c r="E65" s="3">
        <v>27.42</v>
      </c>
      <c r="F65" s="3">
        <v>7.6</v>
      </c>
      <c r="G65" s="3">
        <v>4.8</v>
      </c>
      <c r="H65" s="3">
        <v>7</v>
      </c>
      <c r="I65" s="3">
        <v>0.26900000000000002</v>
      </c>
      <c r="J65" s="3">
        <v>0.58299999999999996</v>
      </c>
      <c r="K65" s="3">
        <v>1.1559999999999999</v>
      </c>
    </row>
    <row r="66" spans="2:11" x14ac:dyDescent="0.25">
      <c r="B66" s="2" t="s">
        <v>5591</v>
      </c>
      <c r="C66" s="2" t="s">
        <v>5592</v>
      </c>
      <c r="D66" s="3">
        <v>4.92</v>
      </c>
      <c r="E66" s="3">
        <v>13.49</v>
      </c>
      <c r="F66" s="3">
        <v>4.4000000000000004</v>
      </c>
      <c r="H66" s="3">
        <v>278</v>
      </c>
      <c r="I66" s="3">
        <v>0.20399999999999999</v>
      </c>
      <c r="J66" s="3">
        <v>0.44400000000000001</v>
      </c>
      <c r="K66" s="3">
        <v>0.88100000000000001</v>
      </c>
    </row>
    <row r="67" spans="2:11" x14ac:dyDescent="0.25">
      <c r="B67" s="2" t="s">
        <v>5593</v>
      </c>
      <c r="C67" s="2" t="s">
        <v>5594</v>
      </c>
      <c r="D67" s="3">
        <v>6.12</v>
      </c>
      <c r="E67" s="3">
        <v>13.24</v>
      </c>
      <c r="F67" s="3">
        <v>3.3</v>
      </c>
      <c r="G67" s="3">
        <v>1.65</v>
      </c>
      <c r="H67" s="3">
        <v>423</v>
      </c>
      <c r="I67" s="3">
        <v>1.133</v>
      </c>
      <c r="J67" s="3">
        <v>1.601</v>
      </c>
      <c r="K67" s="3">
        <v>0.249</v>
      </c>
    </row>
    <row r="68" spans="2:11" x14ac:dyDescent="0.25">
      <c r="B68" s="2" t="s">
        <v>5595</v>
      </c>
      <c r="C68" s="2" t="s">
        <v>5596</v>
      </c>
      <c r="D68" s="3">
        <v>23.85</v>
      </c>
      <c r="E68" s="3">
        <v>59.64</v>
      </c>
      <c r="F68" s="3">
        <v>10.7</v>
      </c>
      <c r="H68" s="3">
        <v>58</v>
      </c>
      <c r="I68" s="3">
        <v>0.54200000000000004</v>
      </c>
      <c r="J68" s="3">
        <v>0.17299999999999999</v>
      </c>
      <c r="K68" s="3">
        <v>0.88900000000000001</v>
      </c>
    </row>
    <row r="69" spans="2:11" x14ac:dyDescent="0.25">
      <c r="B69" s="2" t="s">
        <v>5597</v>
      </c>
      <c r="C69" s="2" t="s">
        <v>5598</v>
      </c>
      <c r="D69" s="3">
        <v>8.1300000000000008</v>
      </c>
      <c r="E69" s="3">
        <v>20.32</v>
      </c>
      <c r="F69" s="3">
        <v>3.6</v>
      </c>
      <c r="H69" s="3">
        <v>19</v>
      </c>
      <c r="I69" s="3">
        <v>0.185</v>
      </c>
      <c r="J69" s="3">
        <v>5.8999999999999997E-2</v>
      </c>
      <c r="K69" s="3">
        <v>0.30299999999999999</v>
      </c>
    </row>
    <row r="70" spans="2:11" x14ac:dyDescent="0.25">
      <c r="B70" s="2" t="s">
        <v>5599</v>
      </c>
      <c r="C70" s="2" t="s">
        <v>5600</v>
      </c>
      <c r="D70" s="3">
        <v>23.52</v>
      </c>
      <c r="E70" s="3">
        <v>60.03</v>
      </c>
      <c r="F70" s="3">
        <v>10.6</v>
      </c>
      <c r="G70" s="3">
        <v>6.9</v>
      </c>
      <c r="H70" s="3">
        <v>16</v>
      </c>
      <c r="I70" s="3">
        <v>0.33100000000000002</v>
      </c>
      <c r="J70" s="3">
        <v>0.106</v>
      </c>
      <c r="K70" s="3">
        <v>0.54200000000000004</v>
      </c>
    </row>
    <row r="71" spans="2:11" x14ac:dyDescent="0.25">
      <c r="B71" s="2" t="s">
        <v>5601</v>
      </c>
      <c r="C71" s="2" t="s">
        <v>5602</v>
      </c>
      <c r="D71" s="3">
        <v>7.73</v>
      </c>
      <c r="E71" s="3">
        <v>20.76</v>
      </c>
      <c r="F71" s="3">
        <v>6.5</v>
      </c>
      <c r="G71" s="3">
        <v>3.3</v>
      </c>
      <c r="H71" s="3">
        <v>4</v>
      </c>
      <c r="I71" s="3">
        <v>0.13800000000000001</v>
      </c>
      <c r="J71" s="3">
        <v>4.3999999999999997E-2</v>
      </c>
      <c r="K71" s="3">
        <v>0.22500000000000001</v>
      </c>
    </row>
    <row r="72" spans="2:11" x14ac:dyDescent="0.25">
      <c r="B72" s="2" t="s">
        <v>5603</v>
      </c>
      <c r="C72" s="2" t="s">
        <v>5604</v>
      </c>
      <c r="D72" s="3">
        <v>4.74</v>
      </c>
      <c r="E72" s="3">
        <v>13.63</v>
      </c>
      <c r="F72" s="3">
        <v>3.3</v>
      </c>
      <c r="H72" s="3">
        <v>293</v>
      </c>
      <c r="I72" s="3">
        <v>0.14399999999999999</v>
      </c>
      <c r="J72" s="3">
        <v>4.5999999999999999E-2</v>
      </c>
      <c r="K72" s="3">
        <v>0.23699999999999999</v>
      </c>
    </row>
    <row r="73" spans="2:11" x14ac:dyDescent="0.25">
      <c r="B73" s="2" t="s">
        <v>5605</v>
      </c>
      <c r="C73" s="2" t="s">
        <v>5606</v>
      </c>
      <c r="D73" s="3">
        <v>2.74</v>
      </c>
      <c r="E73" s="3">
        <v>16.53</v>
      </c>
      <c r="F73" s="3">
        <v>3.3</v>
      </c>
      <c r="H73" s="3">
        <v>350</v>
      </c>
      <c r="I73" s="3">
        <v>0.60499999999999998</v>
      </c>
      <c r="J73" s="3">
        <v>0.65600000000000003</v>
      </c>
      <c r="K73" s="3">
        <v>0.22900000000000001</v>
      </c>
    </row>
    <row r="74" spans="2:11" x14ac:dyDescent="0.25">
      <c r="B74" s="2" t="s">
        <v>5607</v>
      </c>
      <c r="C74" s="2" t="s">
        <v>5608</v>
      </c>
      <c r="D74" s="3">
        <v>23.9</v>
      </c>
      <c r="E74" s="3">
        <v>60.74</v>
      </c>
      <c r="F74" s="3">
        <v>25.6</v>
      </c>
      <c r="H74" s="3">
        <v>21</v>
      </c>
      <c r="I74" s="3">
        <v>0.28799999999999998</v>
      </c>
      <c r="J74" s="3">
        <v>7.5999999999999998E-2</v>
      </c>
      <c r="K74" s="3">
        <v>0.71499999999999997</v>
      </c>
    </row>
    <row r="75" spans="2:11" x14ac:dyDescent="0.25">
      <c r="B75" s="2" t="s">
        <v>5609</v>
      </c>
      <c r="C75" s="2" t="s">
        <v>5610</v>
      </c>
      <c r="D75" s="3">
        <v>8.14</v>
      </c>
      <c r="E75" s="3">
        <v>20.69</v>
      </c>
      <c r="H75" s="3">
        <v>7</v>
      </c>
      <c r="I75" s="3">
        <v>9.9000000000000005E-2</v>
      </c>
      <c r="J75" s="3">
        <v>2.5999999999999999E-2</v>
      </c>
      <c r="K75" s="3">
        <v>0.245</v>
      </c>
    </row>
    <row r="76" spans="2:11" x14ac:dyDescent="0.25">
      <c r="B76" s="2" t="s">
        <v>5611</v>
      </c>
      <c r="C76" s="2" t="s">
        <v>5612</v>
      </c>
      <c r="D76" s="3">
        <v>24.63</v>
      </c>
      <c r="E76" s="3">
        <v>63.35</v>
      </c>
      <c r="F76" s="3">
        <v>10.7</v>
      </c>
      <c r="G76" s="3">
        <v>2.0299999999999998</v>
      </c>
      <c r="H76" s="3">
        <v>6</v>
      </c>
      <c r="I76" s="3">
        <v>0.154</v>
      </c>
      <c r="J76" s="3">
        <v>0.193</v>
      </c>
      <c r="K76" s="3">
        <v>0.52600000000000002</v>
      </c>
    </row>
    <row r="77" spans="2:11" x14ac:dyDescent="0.25">
      <c r="B77" s="2" t="s">
        <v>5613</v>
      </c>
      <c r="C77" s="2" t="s">
        <v>5614</v>
      </c>
      <c r="D77" s="3">
        <v>9.02</v>
      </c>
      <c r="E77" s="3">
        <v>20.13</v>
      </c>
      <c r="F77" s="3">
        <v>7.9</v>
      </c>
      <c r="G77" s="3">
        <v>1.8</v>
      </c>
      <c r="H77" s="3">
        <v>2</v>
      </c>
      <c r="I77" s="3">
        <v>5.2999999999999999E-2</v>
      </c>
      <c r="J77" s="3">
        <v>6.4000000000000001E-2</v>
      </c>
      <c r="K77" s="3">
        <v>0.17499999999999999</v>
      </c>
    </row>
    <row r="78" spans="2:11" x14ac:dyDescent="0.25">
      <c r="B78" s="2" t="s">
        <v>5615</v>
      </c>
      <c r="C78" s="2" t="s">
        <v>5616</v>
      </c>
      <c r="D78" s="3">
        <v>21.46</v>
      </c>
      <c r="E78" s="3">
        <v>63.38</v>
      </c>
      <c r="F78" s="3">
        <v>19</v>
      </c>
      <c r="G78" s="3">
        <v>8.5</v>
      </c>
      <c r="H78" s="3">
        <v>18</v>
      </c>
      <c r="I78" s="3">
        <v>0.161</v>
      </c>
      <c r="J78" s="3">
        <v>6.2E-2</v>
      </c>
      <c r="K78" s="3">
        <v>0.309</v>
      </c>
    </row>
    <row r="79" spans="2:11" x14ac:dyDescent="0.25">
      <c r="B79" s="2" t="s">
        <v>5617</v>
      </c>
      <c r="C79" s="2" t="s">
        <v>5618</v>
      </c>
      <c r="D79" s="3">
        <v>7.8</v>
      </c>
      <c r="E79" s="3">
        <v>20.88</v>
      </c>
      <c r="F79" s="3">
        <v>7</v>
      </c>
      <c r="G79" s="3">
        <v>2.9</v>
      </c>
      <c r="H79" s="3">
        <v>2</v>
      </c>
      <c r="I79" s="3">
        <v>8.8999999999999996E-2</v>
      </c>
      <c r="J79" s="3">
        <v>3.4000000000000002E-2</v>
      </c>
      <c r="K79" s="3">
        <v>0.17100000000000001</v>
      </c>
    </row>
    <row r="80" spans="2:11" x14ac:dyDescent="0.25">
      <c r="B80" s="2" t="s">
        <v>5619</v>
      </c>
      <c r="C80" s="2" t="s">
        <v>5620</v>
      </c>
      <c r="D80" s="3">
        <v>4.93</v>
      </c>
      <c r="E80" s="3">
        <v>14.91</v>
      </c>
      <c r="F80" s="3">
        <v>4.8</v>
      </c>
      <c r="H80" s="3">
        <v>336</v>
      </c>
      <c r="I80" s="3">
        <v>3.9E-2</v>
      </c>
      <c r="J80" s="3">
        <v>1.4999999999999999E-2</v>
      </c>
      <c r="K80" s="3">
        <v>7.3999999999999996E-2</v>
      </c>
    </row>
    <row r="81" spans="2:11" x14ac:dyDescent="0.25">
      <c r="B81" s="2" t="s">
        <v>5621</v>
      </c>
      <c r="C81" s="2" t="s">
        <v>5622</v>
      </c>
      <c r="D81" s="3">
        <v>20.62</v>
      </c>
      <c r="E81" s="3">
        <v>62.83</v>
      </c>
      <c r="F81" s="3">
        <v>20.6</v>
      </c>
      <c r="G81" s="3">
        <v>8.32</v>
      </c>
      <c r="H81" s="3">
        <v>13</v>
      </c>
      <c r="I81" s="3">
        <v>0.219</v>
      </c>
      <c r="J81" s="3">
        <v>8.4000000000000005E-2</v>
      </c>
      <c r="K81" s="3">
        <v>0.42</v>
      </c>
    </row>
    <row r="82" spans="2:11" x14ac:dyDescent="0.25">
      <c r="B82" s="2" t="s">
        <v>5623</v>
      </c>
      <c r="C82" s="2" t="s">
        <v>5624</v>
      </c>
      <c r="D82" s="3">
        <v>8.0399999999999991</v>
      </c>
      <c r="E82" s="3">
        <v>23.31</v>
      </c>
      <c r="F82" s="3">
        <v>7.7</v>
      </c>
      <c r="H82" s="3">
        <v>3</v>
      </c>
      <c r="I82" s="3">
        <v>8.7999999999999995E-2</v>
      </c>
      <c r="J82" s="3">
        <v>3.4000000000000002E-2</v>
      </c>
      <c r="K82" s="3">
        <v>0.16900000000000001</v>
      </c>
    </row>
    <row r="83" spans="2:11" x14ac:dyDescent="0.25">
      <c r="B83" s="2" t="s">
        <v>5625</v>
      </c>
      <c r="C83" s="2" t="s">
        <v>5626</v>
      </c>
      <c r="D83" s="3">
        <v>36.17</v>
      </c>
      <c r="E83" s="3">
        <v>40.369999999999997</v>
      </c>
      <c r="F83" s="3">
        <v>18.899999999999999</v>
      </c>
      <c r="H83" s="3">
        <v>15</v>
      </c>
      <c r="I83" s="3">
        <v>1.1559999999999999</v>
      </c>
      <c r="J83" s="3">
        <v>3.94</v>
      </c>
      <c r="K83" s="3">
        <v>2.4390000000000001</v>
      </c>
    </row>
    <row r="84" spans="2:11" x14ac:dyDescent="0.25">
      <c r="B84" s="2" t="s">
        <v>5627</v>
      </c>
      <c r="C84" s="2" t="s">
        <v>5628</v>
      </c>
      <c r="D84" s="3">
        <v>15.57</v>
      </c>
      <c r="E84" s="3">
        <v>9.8800000000000008</v>
      </c>
      <c r="F84" s="3">
        <v>2.8</v>
      </c>
      <c r="H84" s="3">
        <v>4</v>
      </c>
      <c r="I84" s="3">
        <v>0.34599999999999997</v>
      </c>
      <c r="J84" s="3">
        <v>1.18</v>
      </c>
      <c r="K84" s="3">
        <v>0.73</v>
      </c>
    </row>
    <row r="85" spans="2:11" x14ac:dyDescent="0.25">
      <c r="B85" s="2" t="s">
        <v>5629</v>
      </c>
      <c r="C85" s="2" t="s">
        <v>5630</v>
      </c>
      <c r="D85" s="3">
        <v>22.94</v>
      </c>
      <c r="E85" s="3">
        <v>61.52</v>
      </c>
      <c r="H85" s="3">
        <v>30</v>
      </c>
      <c r="I85" s="3">
        <v>0.36399999999999999</v>
      </c>
      <c r="J85" s="3">
        <v>0.129</v>
      </c>
      <c r="K85" s="3">
        <v>0.75</v>
      </c>
    </row>
    <row r="86" spans="2:11" x14ac:dyDescent="0.25">
      <c r="B86" s="2" t="s">
        <v>5631</v>
      </c>
      <c r="C86" s="2" t="s">
        <v>5632</v>
      </c>
      <c r="D86" s="3">
        <v>7.81</v>
      </c>
      <c r="E86" s="3">
        <v>20.96</v>
      </c>
      <c r="H86" s="3">
        <v>10</v>
      </c>
      <c r="I86" s="3">
        <v>0.124</v>
      </c>
      <c r="J86" s="3">
        <v>4.3999999999999997E-2</v>
      </c>
      <c r="K86" s="3">
        <v>0.25600000000000001</v>
      </c>
    </row>
    <row r="87" spans="2:11" x14ac:dyDescent="0.25">
      <c r="B87" s="2" t="s">
        <v>5633</v>
      </c>
      <c r="C87" s="2" t="s">
        <v>5634</v>
      </c>
      <c r="D87" s="3">
        <v>23.86</v>
      </c>
      <c r="E87" s="3">
        <v>62.62</v>
      </c>
      <c r="F87" s="3">
        <v>16.3</v>
      </c>
      <c r="G87" s="3">
        <v>6.6</v>
      </c>
      <c r="H87" s="3">
        <v>15</v>
      </c>
      <c r="I87" s="3">
        <v>0.34799999999999998</v>
      </c>
      <c r="J87" s="3">
        <v>0.161</v>
      </c>
      <c r="K87" s="3">
        <v>0.38400000000000001</v>
      </c>
    </row>
    <row r="88" spans="2:11" x14ac:dyDescent="0.25">
      <c r="B88" s="2" t="s">
        <v>5635</v>
      </c>
      <c r="C88" s="2" t="s">
        <v>5636</v>
      </c>
      <c r="D88" s="3">
        <v>7.02</v>
      </c>
      <c r="E88" s="3">
        <v>19.149999999999999</v>
      </c>
      <c r="F88" s="3">
        <v>7.6</v>
      </c>
      <c r="G88" s="3">
        <v>2</v>
      </c>
      <c r="H88" s="3">
        <v>2</v>
      </c>
      <c r="I88" s="3">
        <v>0.11600000000000001</v>
      </c>
      <c r="J88" s="3">
        <v>5.3999999999999999E-2</v>
      </c>
      <c r="K88" s="3">
        <v>0.128</v>
      </c>
    </row>
    <row r="89" spans="2:11" x14ac:dyDescent="0.25">
      <c r="B89" s="2" t="s">
        <v>5637</v>
      </c>
      <c r="C89" s="2" t="s">
        <v>5638</v>
      </c>
      <c r="D89" s="3">
        <v>0.16</v>
      </c>
      <c r="E89" s="3">
        <v>86.09</v>
      </c>
      <c r="F89" s="3">
        <v>0.5</v>
      </c>
      <c r="G89" s="3">
        <v>0</v>
      </c>
      <c r="H89" s="3">
        <v>10</v>
      </c>
      <c r="I89" s="3">
        <v>1.7000000000000001E-2</v>
      </c>
      <c r="J89" s="3">
        <v>8.0000000000000002E-3</v>
      </c>
      <c r="K89" s="3">
        <v>1.7999999999999999E-2</v>
      </c>
    </row>
    <row r="90" spans="2:11" x14ac:dyDescent="0.25">
      <c r="B90" s="2" t="s">
        <v>5639</v>
      </c>
      <c r="C90" s="2" t="s">
        <v>5640</v>
      </c>
      <c r="D90" s="3">
        <v>25.21</v>
      </c>
      <c r="E90" s="3">
        <v>58.99</v>
      </c>
      <c r="F90" s="3">
        <v>18.3</v>
      </c>
      <c r="H90" s="3">
        <v>38</v>
      </c>
      <c r="I90" s="3">
        <v>0.114</v>
      </c>
      <c r="J90" s="3">
        <v>8.5000000000000006E-2</v>
      </c>
      <c r="K90" s="3">
        <v>1.071</v>
      </c>
    </row>
    <row r="91" spans="2:11" x14ac:dyDescent="0.25">
      <c r="B91" s="2" t="s">
        <v>5641</v>
      </c>
      <c r="C91" s="2" t="s">
        <v>5642</v>
      </c>
      <c r="D91" s="3">
        <v>7.54</v>
      </c>
      <c r="E91" s="3">
        <v>18.34</v>
      </c>
      <c r="F91" s="3">
        <v>6.4</v>
      </c>
      <c r="G91" s="3">
        <v>2.0099999999999998</v>
      </c>
      <c r="H91" s="3">
        <v>7</v>
      </c>
      <c r="I91" s="3">
        <v>3.7999999999999999E-2</v>
      </c>
      <c r="J91" s="3">
        <v>2.9000000000000001E-2</v>
      </c>
      <c r="K91" s="3">
        <v>0.35899999999999999</v>
      </c>
    </row>
    <row r="92" spans="2:11" x14ac:dyDescent="0.25">
      <c r="B92" s="2" t="s">
        <v>5643</v>
      </c>
      <c r="C92" s="2" t="s">
        <v>5644</v>
      </c>
      <c r="D92" s="3">
        <v>23.82</v>
      </c>
      <c r="E92" s="3">
        <v>63.74</v>
      </c>
      <c r="F92" s="3">
        <v>25.5</v>
      </c>
      <c r="G92" s="3">
        <v>8</v>
      </c>
      <c r="H92" s="3">
        <v>15</v>
      </c>
      <c r="I92" s="3">
        <v>0.161</v>
      </c>
      <c r="J92" s="3">
        <v>0.24199999999999999</v>
      </c>
      <c r="K92" s="3">
        <v>0.495</v>
      </c>
    </row>
    <row r="93" spans="2:11" x14ac:dyDescent="0.25">
      <c r="B93" s="2" t="s">
        <v>5645</v>
      </c>
      <c r="C93" s="2" t="s">
        <v>5646</v>
      </c>
      <c r="D93" s="3">
        <v>8.34</v>
      </c>
      <c r="E93" s="3">
        <v>21.1</v>
      </c>
      <c r="F93" s="3">
        <v>8.3000000000000007</v>
      </c>
      <c r="G93" s="3">
        <v>2.9</v>
      </c>
      <c r="H93" s="3">
        <v>2</v>
      </c>
      <c r="I93" s="3">
        <v>5.3999999999999999E-2</v>
      </c>
      <c r="J93" s="3">
        <v>8.1000000000000003E-2</v>
      </c>
      <c r="K93" s="3">
        <v>0.16500000000000001</v>
      </c>
    </row>
    <row r="94" spans="2:11" x14ac:dyDescent="0.25">
      <c r="B94" s="2" t="s">
        <v>5647</v>
      </c>
      <c r="C94" s="2" t="s">
        <v>5648</v>
      </c>
      <c r="D94" s="3">
        <v>25.8</v>
      </c>
      <c r="E94" s="3">
        <v>16.13</v>
      </c>
      <c r="F94" s="3">
        <v>8.5</v>
      </c>
      <c r="G94" s="3">
        <v>4.72</v>
      </c>
      <c r="H94" s="3">
        <v>18</v>
      </c>
      <c r="I94" s="3">
        <v>6.2789999999999999</v>
      </c>
      <c r="J94" s="3">
        <v>24.425999999999998</v>
      </c>
      <c r="K94" s="3">
        <v>15.558</v>
      </c>
    </row>
    <row r="95" spans="2:11" x14ac:dyDescent="0.25">
      <c r="B95" s="2" t="s">
        <v>5649</v>
      </c>
      <c r="C95" s="2" t="s">
        <v>5650</v>
      </c>
      <c r="D95" s="3">
        <v>13.5</v>
      </c>
      <c r="E95" s="3">
        <v>21.26</v>
      </c>
      <c r="F95" s="3">
        <v>8.8000000000000007</v>
      </c>
      <c r="G95" s="3">
        <v>2.4700000000000002</v>
      </c>
      <c r="H95" s="3">
        <v>751</v>
      </c>
      <c r="I95" s="3">
        <v>3.0550000000000002</v>
      </c>
      <c r="J95" s="3">
        <v>10.920999999999999</v>
      </c>
      <c r="K95" s="3">
        <v>6.9560000000000004</v>
      </c>
    </row>
    <row r="96" spans="2:11" x14ac:dyDescent="0.25">
      <c r="B96" s="2" t="s">
        <v>5651</v>
      </c>
      <c r="C96" s="2" t="s">
        <v>5652</v>
      </c>
      <c r="D96" s="3">
        <v>28.03</v>
      </c>
      <c r="E96" s="3">
        <v>15.26</v>
      </c>
      <c r="F96" s="3">
        <v>9.4</v>
      </c>
      <c r="G96" s="3">
        <v>4.18</v>
      </c>
      <c r="H96" s="3">
        <v>320</v>
      </c>
      <c r="I96" s="3">
        <v>8.6549999999999994</v>
      </c>
      <c r="J96" s="3">
        <v>25.995000000000001</v>
      </c>
      <c r="K96" s="3">
        <v>15.303000000000001</v>
      </c>
    </row>
    <row r="97" spans="2:11" x14ac:dyDescent="0.25">
      <c r="B97" s="2" t="s">
        <v>5653</v>
      </c>
      <c r="C97" s="2" t="s">
        <v>5654</v>
      </c>
      <c r="D97" s="3">
        <v>24.35</v>
      </c>
      <c r="E97" s="3">
        <v>21.26</v>
      </c>
      <c r="F97" s="3">
        <v>8.4</v>
      </c>
      <c r="G97" s="3">
        <v>4.9000000000000004</v>
      </c>
      <c r="H97" s="3">
        <v>410</v>
      </c>
      <c r="I97" s="3">
        <v>7.7229999999999999</v>
      </c>
      <c r="J97" s="3">
        <v>26.181000000000001</v>
      </c>
      <c r="K97" s="3">
        <v>9.7729999999999997</v>
      </c>
    </row>
    <row r="98" spans="2:11" x14ac:dyDescent="0.25">
      <c r="B98" s="2" t="s">
        <v>5655</v>
      </c>
      <c r="C98" s="2" t="s">
        <v>5656</v>
      </c>
      <c r="D98" s="3">
        <v>26.15</v>
      </c>
      <c r="E98" s="3">
        <v>15.83</v>
      </c>
      <c r="F98" s="3">
        <v>9.5</v>
      </c>
      <c r="H98" s="3">
        <v>22</v>
      </c>
      <c r="I98" s="3">
        <v>7.0979999999999999</v>
      </c>
      <c r="J98" s="3">
        <v>22.324999999999999</v>
      </c>
      <c r="K98" s="3">
        <v>17.238</v>
      </c>
    </row>
    <row r="99" spans="2:11" x14ac:dyDescent="0.25">
      <c r="B99" s="2" t="s">
        <v>5657</v>
      </c>
      <c r="C99" s="2" t="s">
        <v>5658</v>
      </c>
      <c r="D99" s="3">
        <v>28.01</v>
      </c>
      <c r="E99" s="3">
        <v>17.45</v>
      </c>
      <c r="F99" s="3">
        <v>8.9</v>
      </c>
      <c r="H99" s="3">
        <v>433</v>
      </c>
      <c r="I99" s="3">
        <v>7.5549999999999997</v>
      </c>
      <c r="J99" s="3">
        <v>22.073</v>
      </c>
      <c r="K99" s="3">
        <v>17.007999999999999</v>
      </c>
    </row>
    <row r="100" spans="2:11" x14ac:dyDescent="0.25">
      <c r="B100" s="2" t="s">
        <v>5659</v>
      </c>
      <c r="C100" s="2" t="s">
        <v>5660</v>
      </c>
      <c r="D100" s="3">
        <v>25.09</v>
      </c>
      <c r="E100" s="3">
        <v>20.91</v>
      </c>
      <c r="F100" s="3">
        <v>8.6999999999999993</v>
      </c>
      <c r="H100" s="3">
        <v>1</v>
      </c>
      <c r="I100" s="3">
        <v>7.3289999999999997</v>
      </c>
      <c r="J100" s="3">
        <v>21.414000000000001</v>
      </c>
      <c r="K100" s="3">
        <v>16.5</v>
      </c>
    </row>
    <row r="101" spans="2:11" x14ac:dyDescent="0.25">
      <c r="B101" s="2" t="s">
        <v>5661</v>
      </c>
      <c r="C101" s="2" t="s">
        <v>5662</v>
      </c>
      <c r="D101" s="3">
        <v>27.04</v>
      </c>
      <c r="E101" s="3">
        <v>16.3</v>
      </c>
      <c r="F101" s="3">
        <v>8.9</v>
      </c>
      <c r="H101" s="3">
        <v>772</v>
      </c>
      <c r="I101" s="3">
        <v>7.8940000000000001</v>
      </c>
      <c r="J101" s="3">
        <v>23.065000000000001</v>
      </c>
      <c r="K101" s="3">
        <v>17.771999999999998</v>
      </c>
    </row>
    <row r="102" spans="2:11" x14ac:dyDescent="0.25">
      <c r="B102" s="2" t="s">
        <v>5663</v>
      </c>
      <c r="C102" s="2" t="s">
        <v>5664</v>
      </c>
      <c r="D102" s="3">
        <v>25.19</v>
      </c>
      <c r="E102" s="3">
        <v>16.54</v>
      </c>
      <c r="F102" s="3">
        <v>8.5</v>
      </c>
      <c r="G102" s="3">
        <v>3.95</v>
      </c>
      <c r="H102" s="3">
        <v>10</v>
      </c>
      <c r="I102" s="3">
        <v>6.4340000000000002</v>
      </c>
      <c r="J102" s="3">
        <v>25.58</v>
      </c>
      <c r="K102" s="3">
        <v>14.877000000000001</v>
      </c>
    </row>
    <row r="103" spans="2:11" x14ac:dyDescent="0.25">
      <c r="B103" s="2" t="s">
        <v>5665</v>
      </c>
      <c r="C103" s="2" t="s">
        <v>5666</v>
      </c>
      <c r="D103" s="3">
        <v>25.87</v>
      </c>
      <c r="E103" s="3">
        <v>19.86</v>
      </c>
      <c r="F103" s="3">
        <v>8.9</v>
      </c>
      <c r="H103" s="3">
        <v>433</v>
      </c>
      <c r="I103" s="3">
        <v>6.3449999999999998</v>
      </c>
      <c r="J103" s="3">
        <v>25.222000000000001</v>
      </c>
      <c r="K103" s="3">
        <v>14.669</v>
      </c>
    </row>
    <row r="104" spans="2:11" x14ac:dyDescent="0.25">
      <c r="B104" s="2" t="s">
        <v>5667</v>
      </c>
      <c r="C104" s="2" t="s">
        <v>5668</v>
      </c>
      <c r="D104" s="3">
        <v>24.06</v>
      </c>
      <c r="E104" s="3">
        <v>21.57</v>
      </c>
      <c r="F104" s="3">
        <v>8</v>
      </c>
      <c r="G104" s="3">
        <v>8.41</v>
      </c>
      <c r="H104" s="3">
        <v>486</v>
      </c>
      <c r="I104" s="3">
        <v>7.6070000000000002</v>
      </c>
      <c r="J104" s="3">
        <v>23.123000000000001</v>
      </c>
      <c r="K104" s="3">
        <v>13.932</v>
      </c>
    </row>
    <row r="105" spans="2:11" x14ac:dyDescent="0.25">
      <c r="B105" s="2" t="s">
        <v>5669</v>
      </c>
      <c r="C105" s="2" t="s">
        <v>5670</v>
      </c>
      <c r="D105" s="3">
        <v>22.21</v>
      </c>
      <c r="E105" s="3">
        <v>22.31</v>
      </c>
      <c r="F105" s="3">
        <v>5</v>
      </c>
      <c r="G105" s="3">
        <v>10.49</v>
      </c>
      <c r="H105" s="3">
        <v>426</v>
      </c>
      <c r="I105" s="3">
        <v>10.324999999999999</v>
      </c>
      <c r="J105" s="3">
        <v>25.940999999999999</v>
      </c>
      <c r="K105" s="3">
        <v>12.535</v>
      </c>
    </row>
    <row r="106" spans="2:11" x14ac:dyDescent="0.25">
      <c r="B106" s="2" t="s">
        <v>5671</v>
      </c>
      <c r="C106" s="2" t="s">
        <v>5672</v>
      </c>
      <c r="D106" s="3">
        <v>52.2</v>
      </c>
      <c r="E106" s="3">
        <v>34.700000000000003</v>
      </c>
      <c r="F106" s="3">
        <v>15.8</v>
      </c>
      <c r="G106" s="3">
        <v>8.2200000000000006</v>
      </c>
      <c r="H106" s="3">
        <v>180</v>
      </c>
      <c r="I106" s="3">
        <v>6.3E-2</v>
      </c>
      <c r="J106" s="3">
        <v>0.22500000000000001</v>
      </c>
      <c r="K106" s="3">
        <v>0.14299999999999999</v>
      </c>
    </row>
    <row r="107" spans="2:11" x14ac:dyDescent="0.25">
      <c r="B107" s="2" t="s">
        <v>5673</v>
      </c>
      <c r="C107" s="2" t="s">
        <v>5674</v>
      </c>
      <c r="D107" s="3">
        <v>33.799999999999997</v>
      </c>
      <c r="E107" s="3">
        <v>31.27</v>
      </c>
      <c r="F107" s="3">
        <v>15.8</v>
      </c>
      <c r="H107" s="3">
        <v>1</v>
      </c>
      <c r="I107" s="3">
        <v>3.04</v>
      </c>
      <c r="J107" s="3">
        <v>10.866</v>
      </c>
      <c r="K107" s="3">
        <v>6.9210000000000003</v>
      </c>
    </row>
    <row r="108" spans="2:11" x14ac:dyDescent="0.25">
      <c r="B108" s="2" t="s">
        <v>5675</v>
      </c>
      <c r="C108" s="2" t="s">
        <v>5676</v>
      </c>
      <c r="D108" s="3">
        <v>21.7</v>
      </c>
      <c r="E108" s="3">
        <v>62.78</v>
      </c>
      <c r="F108" s="3">
        <v>15</v>
      </c>
      <c r="H108" s="3">
        <v>17</v>
      </c>
      <c r="I108" s="3">
        <v>0.33</v>
      </c>
      <c r="J108" s="3">
        <v>1.2E-2</v>
      </c>
      <c r="K108" s="3">
        <v>0.81399999999999995</v>
      </c>
    </row>
    <row r="109" spans="2:11" x14ac:dyDescent="0.25">
      <c r="B109" s="2" t="s">
        <v>5677</v>
      </c>
      <c r="C109" s="2" t="s">
        <v>5678</v>
      </c>
      <c r="D109" s="3">
        <v>6.76</v>
      </c>
      <c r="E109" s="3">
        <v>23.25</v>
      </c>
      <c r="F109" s="3">
        <v>6.7</v>
      </c>
      <c r="H109" s="3">
        <v>5</v>
      </c>
      <c r="I109" s="3">
        <v>8.3000000000000004E-2</v>
      </c>
      <c r="J109" s="3">
        <v>3.0000000000000001E-3</v>
      </c>
      <c r="K109" s="3">
        <v>0.20499999999999999</v>
      </c>
    </row>
    <row r="110" spans="2:11" x14ac:dyDescent="0.25">
      <c r="B110" s="2" t="s">
        <v>5679</v>
      </c>
      <c r="C110" s="2" t="s">
        <v>5680</v>
      </c>
      <c r="D110" s="3">
        <v>4.9800000000000004</v>
      </c>
      <c r="E110" s="3">
        <v>13.55</v>
      </c>
      <c r="F110" s="3">
        <v>3.7</v>
      </c>
      <c r="G110" s="3">
        <v>0.54</v>
      </c>
      <c r="H110" s="3">
        <v>370</v>
      </c>
      <c r="I110" s="3">
        <v>0.63100000000000001</v>
      </c>
      <c r="J110" s="3">
        <v>0.60099999999999998</v>
      </c>
      <c r="K110" s="3">
        <v>0.54300000000000004</v>
      </c>
    </row>
    <row r="111" spans="2:11" x14ac:dyDescent="0.25">
      <c r="B111" s="2" t="s">
        <v>5681</v>
      </c>
      <c r="C111" s="2" t="s">
        <v>5682</v>
      </c>
      <c r="D111" s="3">
        <v>11.69</v>
      </c>
      <c r="E111" s="3">
        <v>5.31</v>
      </c>
      <c r="F111" s="3">
        <v>2.6</v>
      </c>
      <c r="G111" s="3">
        <v>0</v>
      </c>
      <c r="H111" s="3">
        <v>1465</v>
      </c>
      <c r="I111" s="3">
        <v>4.6219999999999999</v>
      </c>
      <c r="J111" s="3">
        <v>7.0949999999999998</v>
      </c>
      <c r="K111" s="3">
        <v>15.441000000000001</v>
      </c>
    </row>
    <row r="112" spans="2:11" x14ac:dyDescent="0.25">
      <c r="B112" s="2" t="s">
        <v>5683</v>
      </c>
      <c r="C112" s="2" t="s">
        <v>5684</v>
      </c>
      <c r="D112" s="3">
        <v>41.71</v>
      </c>
      <c r="E112" s="3">
        <v>34.71</v>
      </c>
      <c r="F112" s="3">
        <v>17.5</v>
      </c>
      <c r="H112" s="3">
        <v>10</v>
      </c>
      <c r="I112" s="3">
        <v>0.42399999999999999</v>
      </c>
      <c r="J112" s="3">
        <v>0.64800000000000002</v>
      </c>
      <c r="K112" s="3">
        <v>1.657</v>
      </c>
    </row>
    <row r="113" spans="2:11" x14ac:dyDescent="0.25">
      <c r="B113" s="2" t="s">
        <v>5685</v>
      </c>
      <c r="C113" s="2" t="s">
        <v>5686</v>
      </c>
      <c r="D113" s="3">
        <v>20.28</v>
      </c>
      <c r="E113" s="3">
        <v>8.09</v>
      </c>
      <c r="F113" s="3">
        <v>2.8</v>
      </c>
      <c r="G113" s="3">
        <v>0</v>
      </c>
      <c r="H113" s="3">
        <v>888</v>
      </c>
      <c r="I113" s="3">
        <v>2.9260000000000002</v>
      </c>
      <c r="J113" s="3">
        <v>4.4980000000000002</v>
      </c>
      <c r="K113" s="3">
        <v>9.2789999999999999</v>
      </c>
    </row>
    <row r="114" spans="2:11" x14ac:dyDescent="0.25">
      <c r="B114" s="2" t="s">
        <v>5687</v>
      </c>
      <c r="C114" s="2" t="s">
        <v>5688</v>
      </c>
      <c r="D114" s="3">
        <v>36.49</v>
      </c>
      <c r="E114" s="3">
        <v>30.16</v>
      </c>
      <c r="F114" s="3">
        <v>9.3000000000000007</v>
      </c>
      <c r="G114" s="3">
        <v>7.33</v>
      </c>
      <c r="H114" s="3">
        <v>2</v>
      </c>
      <c r="I114" s="3">
        <v>2.8839999999999999</v>
      </c>
      <c r="J114" s="3">
        <v>4.4039999999999999</v>
      </c>
      <c r="K114" s="3">
        <v>11.255000000000001</v>
      </c>
    </row>
    <row r="115" spans="2:11" x14ac:dyDescent="0.25">
      <c r="B115" s="2" t="s">
        <v>5689</v>
      </c>
      <c r="C115" s="2" t="s">
        <v>5690</v>
      </c>
      <c r="D115" s="3">
        <v>18.21</v>
      </c>
      <c r="E115" s="3">
        <v>8.36</v>
      </c>
      <c r="F115" s="3">
        <v>6</v>
      </c>
      <c r="G115" s="3">
        <v>3</v>
      </c>
      <c r="H115" s="3">
        <v>1</v>
      </c>
      <c r="I115" s="3">
        <v>1.2969999999999999</v>
      </c>
      <c r="J115" s="3">
        <v>1.9810000000000001</v>
      </c>
      <c r="K115" s="3">
        <v>5.0640000000000001</v>
      </c>
    </row>
    <row r="116" spans="2:11" x14ac:dyDescent="0.25">
      <c r="B116" s="2" t="s">
        <v>5691</v>
      </c>
      <c r="C116" s="2" t="s">
        <v>5692</v>
      </c>
      <c r="D116" s="3">
        <v>38.549999999999997</v>
      </c>
      <c r="E116" s="3">
        <v>30.22</v>
      </c>
      <c r="F116" s="3">
        <v>17.7</v>
      </c>
      <c r="G116" s="3">
        <v>4.2</v>
      </c>
      <c r="H116" s="3">
        <v>163</v>
      </c>
      <c r="I116" s="3">
        <v>3.6739999999999999</v>
      </c>
      <c r="J116" s="3">
        <v>5.61</v>
      </c>
      <c r="K116" s="3">
        <v>14.339</v>
      </c>
    </row>
    <row r="117" spans="2:11" x14ac:dyDescent="0.25">
      <c r="B117" s="2" t="s">
        <v>5693</v>
      </c>
      <c r="C117" s="2" t="s">
        <v>5694</v>
      </c>
      <c r="D117" s="3">
        <v>43.32</v>
      </c>
      <c r="E117" s="3">
        <v>28.98</v>
      </c>
      <c r="F117" s="3">
        <v>8.1</v>
      </c>
      <c r="H117" s="3">
        <v>2</v>
      </c>
      <c r="I117" s="3">
        <v>3.1269999999999998</v>
      </c>
      <c r="J117" s="3">
        <v>4.7759999999999998</v>
      </c>
      <c r="K117" s="3">
        <v>12.207000000000001</v>
      </c>
    </row>
    <row r="118" spans="2:11" x14ac:dyDescent="0.25">
      <c r="B118" s="2" t="s">
        <v>5695</v>
      </c>
      <c r="C118" s="2" t="s">
        <v>5696</v>
      </c>
      <c r="D118" s="3">
        <v>12.79</v>
      </c>
      <c r="E118" s="3">
        <v>25.37</v>
      </c>
      <c r="F118" s="3">
        <v>5.4</v>
      </c>
      <c r="G118" s="3">
        <v>6.2</v>
      </c>
      <c r="H118" s="3">
        <v>3728</v>
      </c>
      <c r="I118" s="3">
        <v>1.0249999999999999</v>
      </c>
      <c r="J118" s="3">
        <v>1.1180000000000001</v>
      </c>
      <c r="K118" s="3">
        <v>2.8839999999999999</v>
      </c>
    </row>
    <row r="119" spans="2:11" x14ac:dyDescent="0.25">
      <c r="B119" s="2" t="s">
        <v>5697</v>
      </c>
      <c r="C119" s="2" t="s">
        <v>5698</v>
      </c>
      <c r="D119" s="3">
        <v>19.399999999999999</v>
      </c>
      <c r="E119" s="3">
        <v>12.68</v>
      </c>
      <c r="F119" s="3">
        <v>5.4</v>
      </c>
      <c r="G119" s="3">
        <v>4.8899999999999997</v>
      </c>
      <c r="H119" s="3">
        <v>7</v>
      </c>
      <c r="I119" s="3">
        <v>1.591</v>
      </c>
      <c r="J119" s="3">
        <v>2.4300000000000002</v>
      </c>
      <c r="K119" s="3">
        <v>6.21</v>
      </c>
    </row>
    <row r="120" spans="2:11" x14ac:dyDescent="0.25">
      <c r="B120" s="2" t="s">
        <v>5699</v>
      </c>
      <c r="C120" s="2" t="s">
        <v>5700</v>
      </c>
      <c r="D120" s="3">
        <v>20.29</v>
      </c>
      <c r="E120" s="3">
        <v>7.64</v>
      </c>
      <c r="H120" s="3">
        <v>9</v>
      </c>
      <c r="I120" s="3">
        <v>2.5390000000000001</v>
      </c>
      <c r="J120" s="3">
        <v>3.2050000000000001</v>
      </c>
      <c r="K120" s="3">
        <v>4.3</v>
      </c>
    </row>
    <row r="121" spans="2:11" x14ac:dyDescent="0.25">
      <c r="B121" s="2" t="s">
        <v>5701</v>
      </c>
      <c r="C121" s="2" t="s">
        <v>5702</v>
      </c>
      <c r="D121" s="3">
        <v>37.81</v>
      </c>
      <c r="E121" s="3">
        <v>31.92</v>
      </c>
      <c r="F121" s="3">
        <v>9.6</v>
      </c>
      <c r="G121" s="3">
        <v>7.5</v>
      </c>
      <c r="H121" s="3">
        <v>13</v>
      </c>
      <c r="I121" s="3">
        <v>2.9870000000000001</v>
      </c>
      <c r="J121" s="3">
        <v>4.5609999999999999</v>
      </c>
      <c r="K121" s="3">
        <v>11.657</v>
      </c>
    </row>
    <row r="122" spans="2:11" x14ac:dyDescent="0.25">
      <c r="B122" s="2" t="s">
        <v>5703</v>
      </c>
      <c r="C122" s="2" t="s">
        <v>5704</v>
      </c>
      <c r="D122" s="3">
        <v>38.090000000000003</v>
      </c>
      <c r="E122" s="3">
        <v>30.38</v>
      </c>
      <c r="F122" s="3">
        <v>9.6999999999999993</v>
      </c>
      <c r="G122" s="3">
        <v>7.61</v>
      </c>
      <c r="H122" s="3">
        <v>12</v>
      </c>
      <c r="I122" s="3">
        <v>3.1619999999999999</v>
      </c>
      <c r="J122" s="3">
        <v>4.8289999999999997</v>
      </c>
      <c r="K122" s="3">
        <v>12.340999999999999</v>
      </c>
    </row>
    <row r="123" spans="2:11" x14ac:dyDescent="0.25">
      <c r="B123" s="2" t="s">
        <v>5705</v>
      </c>
      <c r="C123" s="2" t="s">
        <v>5706</v>
      </c>
      <c r="D123" s="3">
        <v>51.46</v>
      </c>
      <c r="E123" s="3">
        <v>33.92</v>
      </c>
      <c r="F123" s="3">
        <v>17.5</v>
      </c>
      <c r="G123" s="3">
        <v>16.420000000000002</v>
      </c>
      <c r="H123" s="3">
        <v>20</v>
      </c>
      <c r="I123" s="3">
        <v>0.13600000000000001</v>
      </c>
      <c r="J123" s="3">
        <v>0.20799999999999999</v>
      </c>
      <c r="K123" s="3">
        <v>0.53300000000000003</v>
      </c>
    </row>
    <row r="124" spans="2:11" x14ac:dyDescent="0.25">
      <c r="B124" s="2" t="s">
        <v>5707</v>
      </c>
      <c r="C124" s="2" t="s">
        <v>5708</v>
      </c>
      <c r="D124" s="3">
        <v>49.81</v>
      </c>
      <c r="E124" s="3">
        <v>30.63</v>
      </c>
      <c r="F124" s="3">
        <v>16</v>
      </c>
      <c r="G124" s="3">
        <v>9.33</v>
      </c>
      <c r="H124" s="3">
        <v>9</v>
      </c>
      <c r="I124" s="3">
        <v>1.29</v>
      </c>
      <c r="J124" s="3">
        <v>1.46</v>
      </c>
      <c r="K124" s="3">
        <v>4.2149999999999999</v>
      </c>
    </row>
    <row r="125" spans="2:11" x14ac:dyDescent="0.25">
      <c r="B125" s="2" t="s">
        <v>5709</v>
      </c>
      <c r="C125" s="2" t="s">
        <v>5710</v>
      </c>
      <c r="D125" s="3">
        <v>49.2</v>
      </c>
      <c r="E125" s="3">
        <v>35.89</v>
      </c>
      <c r="H125" s="3">
        <v>3</v>
      </c>
      <c r="I125" s="3">
        <v>0.26800000000000002</v>
      </c>
      <c r="J125" s="3">
        <v>0.40899999999999997</v>
      </c>
      <c r="K125" s="3">
        <v>1.0449999999999999</v>
      </c>
    </row>
    <row r="126" spans="2:11" x14ac:dyDescent="0.25">
      <c r="B126" s="2" t="s">
        <v>5711</v>
      </c>
      <c r="C126" s="2" t="s">
        <v>5712</v>
      </c>
      <c r="D126" s="3">
        <v>3.27</v>
      </c>
      <c r="E126" s="3">
        <v>6.28</v>
      </c>
      <c r="F126" s="3">
        <v>0.6</v>
      </c>
      <c r="G126" s="3">
        <v>3.99</v>
      </c>
      <c r="H126" s="3">
        <v>51</v>
      </c>
      <c r="I126" s="3">
        <v>0.20499999999999999</v>
      </c>
      <c r="J126" s="3">
        <v>0.40100000000000002</v>
      </c>
      <c r="K126" s="3">
        <v>0.96099999999999997</v>
      </c>
    </row>
    <row r="127" spans="2:11" x14ac:dyDescent="0.25">
      <c r="B127" s="2" t="s">
        <v>5713</v>
      </c>
      <c r="C127" s="2" t="s">
        <v>5714</v>
      </c>
      <c r="D127" s="3">
        <v>63.63</v>
      </c>
      <c r="E127" s="3">
        <v>25.41</v>
      </c>
      <c r="F127" s="3">
        <v>5.5</v>
      </c>
      <c r="G127" s="3">
        <v>20</v>
      </c>
      <c r="H127" s="3">
        <v>3</v>
      </c>
      <c r="I127" s="3">
        <v>5.1999999999999998E-2</v>
      </c>
      <c r="J127" s="3">
        <v>7.9000000000000001E-2</v>
      </c>
      <c r="K127" s="3">
        <v>0.20100000000000001</v>
      </c>
    </row>
    <row r="128" spans="2:11" x14ac:dyDescent="0.25">
      <c r="B128" s="2" t="s">
        <v>5715</v>
      </c>
      <c r="C128" s="2" t="s">
        <v>5716</v>
      </c>
      <c r="D128" s="3">
        <v>88.32</v>
      </c>
      <c r="E128" s="3">
        <v>0</v>
      </c>
      <c r="F128" s="3">
        <v>0</v>
      </c>
      <c r="G128" s="3">
        <v>0</v>
      </c>
      <c r="H128" s="3">
        <v>1005</v>
      </c>
      <c r="I128" s="3">
        <v>0.42199999999999999</v>
      </c>
      <c r="J128" s="3">
        <v>0.64500000000000002</v>
      </c>
      <c r="K128" s="3">
        <v>1.6479999999999999</v>
      </c>
    </row>
    <row r="129" spans="2:11" x14ac:dyDescent="0.25">
      <c r="B129" s="2" t="s">
        <v>5717</v>
      </c>
      <c r="C129" s="2" t="s">
        <v>5718</v>
      </c>
      <c r="D129" s="3">
        <v>8.14</v>
      </c>
      <c r="E129" s="3">
        <v>4.93</v>
      </c>
      <c r="F129" s="3">
        <v>0.8</v>
      </c>
      <c r="G129" s="3">
        <v>0.4</v>
      </c>
      <c r="H129" s="3">
        <v>5493</v>
      </c>
      <c r="I129" s="3">
        <v>7.2999999999999995E-2</v>
      </c>
      <c r="J129" s="3">
        <v>8.7999999999999995E-2</v>
      </c>
      <c r="K129" s="3">
        <v>0.26300000000000001</v>
      </c>
    </row>
    <row r="130" spans="2:11" x14ac:dyDescent="0.25">
      <c r="B130" s="2" t="s">
        <v>5719</v>
      </c>
      <c r="C130" s="2" t="s">
        <v>5720</v>
      </c>
      <c r="D130" s="3">
        <v>10.51</v>
      </c>
      <c r="E130" s="3">
        <v>5.57</v>
      </c>
      <c r="F130" s="3">
        <v>0.8</v>
      </c>
      <c r="G130" s="3">
        <v>1.7</v>
      </c>
      <c r="H130" s="3">
        <v>5586</v>
      </c>
      <c r="I130" s="3">
        <v>1.0999999999999999E-2</v>
      </c>
      <c r="J130" s="3">
        <v>1.7000000000000001E-2</v>
      </c>
      <c r="K130" s="3">
        <v>4.3999999999999997E-2</v>
      </c>
    </row>
    <row r="131" spans="2:11" x14ac:dyDescent="0.25">
      <c r="B131" s="2" t="s">
        <v>5721</v>
      </c>
      <c r="C131" s="2" t="s">
        <v>5722</v>
      </c>
      <c r="D131" s="3">
        <v>7</v>
      </c>
      <c r="E131" s="3">
        <v>7.84</v>
      </c>
      <c r="F131" s="3">
        <v>0.5</v>
      </c>
      <c r="G131" s="3">
        <v>1.3</v>
      </c>
      <c r="H131" s="3">
        <v>6820</v>
      </c>
      <c r="I131" s="3">
        <v>0.04</v>
      </c>
      <c r="J131" s="3">
        <v>0.06</v>
      </c>
      <c r="K131" s="3">
        <v>0.14699999999999999</v>
      </c>
    </row>
    <row r="132" spans="2:11" x14ac:dyDescent="0.25">
      <c r="B132" s="2" t="s">
        <v>5723</v>
      </c>
      <c r="C132" s="2" t="s">
        <v>5724</v>
      </c>
      <c r="D132" s="3">
        <v>9.0399999999999991</v>
      </c>
      <c r="E132" s="3">
        <v>2.85</v>
      </c>
      <c r="F132" s="3">
        <v>0.9</v>
      </c>
      <c r="G132" s="3">
        <v>0.6</v>
      </c>
      <c r="H132" s="3">
        <v>12</v>
      </c>
      <c r="I132" s="3">
        <v>0.79300000000000004</v>
      </c>
      <c r="J132" s="3">
        <v>1.127</v>
      </c>
      <c r="K132" s="3">
        <v>1.649</v>
      </c>
    </row>
    <row r="133" spans="2:11" x14ac:dyDescent="0.25">
      <c r="B133" s="2" t="s">
        <v>5725</v>
      </c>
      <c r="C133" s="2" t="s">
        <v>5726</v>
      </c>
      <c r="D133" s="3">
        <v>7.17</v>
      </c>
      <c r="E133" s="3">
        <v>1.18</v>
      </c>
      <c r="F133" s="3">
        <v>0.2</v>
      </c>
      <c r="G133" s="3">
        <v>0.7</v>
      </c>
      <c r="H133" s="3">
        <v>8</v>
      </c>
      <c r="I133" s="3">
        <v>0.53300000000000003</v>
      </c>
      <c r="J133" s="3">
        <v>0.81399999999999995</v>
      </c>
      <c r="K133" s="3">
        <v>2.081</v>
      </c>
    </row>
    <row r="134" spans="2:11" x14ac:dyDescent="0.25">
      <c r="B134" s="2" t="s">
        <v>5727</v>
      </c>
      <c r="C134" s="2" t="s">
        <v>5728</v>
      </c>
      <c r="D134" s="3">
        <v>52.47</v>
      </c>
      <c r="E134" s="3">
        <v>10.029999999999999</v>
      </c>
      <c r="F134" s="3">
        <v>7.2</v>
      </c>
      <c r="H134" s="3">
        <v>6</v>
      </c>
      <c r="I134" s="3">
        <v>4.3879999999999999</v>
      </c>
      <c r="J134" s="3">
        <v>6.7009999999999996</v>
      </c>
      <c r="K134" s="3">
        <v>17.128</v>
      </c>
    </row>
    <row r="135" spans="2:11" x14ac:dyDescent="0.25">
      <c r="B135" s="2" t="s">
        <v>5729</v>
      </c>
      <c r="C135" s="2" t="s">
        <v>5730</v>
      </c>
      <c r="D135" s="3">
        <v>18.82</v>
      </c>
      <c r="E135" s="3">
        <v>8.86</v>
      </c>
      <c r="F135" s="3">
        <v>3.9</v>
      </c>
      <c r="G135" s="3">
        <v>2.72</v>
      </c>
      <c r="H135" s="3">
        <v>16</v>
      </c>
      <c r="I135" s="3">
        <v>2.9180000000000001</v>
      </c>
      <c r="J135" s="3">
        <v>4.4560000000000004</v>
      </c>
      <c r="K135" s="3">
        <v>11.39</v>
      </c>
    </row>
    <row r="136" spans="2:11" x14ac:dyDescent="0.25">
      <c r="B136" s="2" t="s">
        <v>5731</v>
      </c>
      <c r="C136" s="2" t="s">
        <v>5732</v>
      </c>
      <c r="D136" s="3">
        <v>3.52</v>
      </c>
      <c r="E136" s="3">
        <v>12.23</v>
      </c>
      <c r="H136" s="3">
        <v>9</v>
      </c>
      <c r="I136" s="3">
        <v>0.193</v>
      </c>
      <c r="J136" s="3">
        <v>0.29499999999999998</v>
      </c>
      <c r="K136" s="3">
        <v>0.755</v>
      </c>
    </row>
    <row r="137" spans="2:11" x14ac:dyDescent="0.25">
      <c r="B137" s="2" t="s">
        <v>5733</v>
      </c>
      <c r="C137" s="2" t="s">
        <v>5734</v>
      </c>
      <c r="D137" s="3">
        <v>8.92</v>
      </c>
      <c r="E137" s="3">
        <v>4.38</v>
      </c>
      <c r="H137" s="3">
        <v>2873</v>
      </c>
      <c r="I137" s="3">
        <v>1.157</v>
      </c>
      <c r="J137" s="3">
        <v>1.7669999999999999</v>
      </c>
      <c r="K137" s="3">
        <v>4.516</v>
      </c>
    </row>
    <row r="138" spans="2:11" x14ac:dyDescent="0.25">
      <c r="B138" s="2" t="s">
        <v>5735</v>
      </c>
      <c r="C138" s="2" t="s">
        <v>5736</v>
      </c>
      <c r="D138" s="3">
        <v>24.33</v>
      </c>
      <c r="E138" s="3">
        <v>61.91</v>
      </c>
      <c r="F138" s="3">
        <v>11</v>
      </c>
      <c r="H138" s="3">
        <v>17</v>
      </c>
      <c r="I138" s="3">
        <v>0.33900000000000002</v>
      </c>
      <c r="J138" s="3">
        <v>0.114</v>
      </c>
      <c r="K138" s="3">
        <v>0.56499999999999995</v>
      </c>
    </row>
    <row r="139" spans="2:11" x14ac:dyDescent="0.25">
      <c r="B139" s="2" t="s">
        <v>5737</v>
      </c>
      <c r="C139" s="2" t="s">
        <v>5738</v>
      </c>
      <c r="D139" s="3">
        <v>8.2899999999999991</v>
      </c>
      <c r="E139" s="3">
        <v>21.09</v>
      </c>
      <c r="F139" s="3">
        <v>3.8</v>
      </c>
      <c r="H139" s="3">
        <v>5</v>
      </c>
      <c r="I139" s="3">
        <v>0.11600000000000001</v>
      </c>
      <c r="J139" s="3">
        <v>3.9E-2</v>
      </c>
      <c r="K139" s="3">
        <v>0.193</v>
      </c>
    </row>
    <row r="140" spans="2:11" x14ac:dyDescent="0.25">
      <c r="B140" s="2" t="s">
        <v>5739</v>
      </c>
      <c r="C140" s="2" t="s">
        <v>5740</v>
      </c>
      <c r="D140" s="3">
        <v>29.65</v>
      </c>
      <c r="E140" s="3">
        <v>41.71</v>
      </c>
      <c r="F140" s="3">
        <v>25.9</v>
      </c>
      <c r="H140" s="3">
        <v>38</v>
      </c>
      <c r="I140" s="3">
        <v>2.3029999999999999</v>
      </c>
      <c r="J140" s="3">
        <v>6.0119999999999996</v>
      </c>
      <c r="K140" s="3">
        <v>4.33</v>
      </c>
    </row>
    <row r="141" spans="2:11" x14ac:dyDescent="0.25">
      <c r="B141" s="2" t="s">
        <v>5741</v>
      </c>
      <c r="C141" s="2" t="s">
        <v>5742</v>
      </c>
      <c r="D141" s="3">
        <v>10.62</v>
      </c>
      <c r="E141" s="3">
        <v>14.94</v>
      </c>
      <c r="H141" s="3">
        <v>13</v>
      </c>
      <c r="I141" s="3">
        <v>0.82499999999999996</v>
      </c>
      <c r="J141" s="3">
        <v>2.153</v>
      </c>
      <c r="K141" s="3">
        <v>1.5509999999999999</v>
      </c>
    </row>
    <row r="142" spans="2:11" x14ac:dyDescent="0.25">
      <c r="B142" s="2" t="s">
        <v>5743</v>
      </c>
      <c r="C142" s="2" t="s">
        <v>5744</v>
      </c>
      <c r="D142" s="3">
        <v>4.8600000000000003</v>
      </c>
      <c r="E142" s="3">
        <v>20.12</v>
      </c>
      <c r="F142" s="3">
        <v>4</v>
      </c>
      <c r="G142" s="3">
        <v>0.27</v>
      </c>
      <c r="H142" s="3">
        <v>242</v>
      </c>
      <c r="I142" s="3">
        <v>1.141</v>
      </c>
      <c r="J142" s="3">
        <v>4.8650000000000002</v>
      </c>
      <c r="K142" s="3">
        <v>2.109</v>
      </c>
    </row>
    <row r="143" spans="2:11" x14ac:dyDescent="0.25">
      <c r="B143" s="2" t="s">
        <v>5745</v>
      </c>
      <c r="C143" s="2" t="s">
        <v>5746</v>
      </c>
      <c r="D143" s="3">
        <v>13.31</v>
      </c>
      <c r="E143" s="3">
        <v>31.84</v>
      </c>
      <c r="H143" s="3">
        <v>294</v>
      </c>
      <c r="I143" s="3">
        <v>2.383</v>
      </c>
      <c r="J143" s="3">
        <v>10.170999999999999</v>
      </c>
      <c r="K143" s="3">
        <v>4.16</v>
      </c>
    </row>
    <row r="144" spans="2:11" x14ac:dyDescent="0.25">
      <c r="B144" s="2" t="s">
        <v>5747</v>
      </c>
      <c r="C144" s="2" t="s">
        <v>5748</v>
      </c>
      <c r="D144" s="3">
        <v>2.6</v>
      </c>
      <c r="E144" s="3">
        <v>4.92</v>
      </c>
      <c r="F144" s="3">
        <v>0.2</v>
      </c>
      <c r="G144" s="3">
        <v>3.65</v>
      </c>
      <c r="H144" s="3">
        <v>47</v>
      </c>
      <c r="I144" s="3">
        <v>0.20499999999999999</v>
      </c>
      <c r="J144" s="3">
        <v>0.38200000000000001</v>
      </c>
      <c r="K144" s="3">
        <v>0.85799999999999998</v>
      </c>
    </row>
    <row r="145" spans="2:11" x14ac:dyDescent="0.25">
      <c r="B145" s="2" t="s">
        <v>5749</v>
      </c>
      <c r="C145" s="2" t="s">
        <v>5750</v>
      </c>
      <c r="D145" s="3">
        <v>23.91</v>
      </c>
      <c r="E145" s="3">
        <v>63.1</v>
      </c>
      <c r="F145" s="3">
        <v>10.8</v>
      </c>
      <c r="H145" s="3">
        <v>7</v>
      </c>
      <c r="I145" s="3">
        <v>0.379</v>
      </c>
      <c r="J145" s="3">
        <v>0.5</v>
      </c>
      <c r="K145" s="3">
        <v>1.137</v>
      </c>
    </row>
    <row r="146" spans="2:11" x14ac:dyDescent="0.25">
      <c r="B146" s="2" t="s">
        <v>5751</v>
      </c>
      <c r="C146" s="2" t="s">
        <v>5752</v>
      </c>
      <c r="D146" s="3">
        <v>7.98</v>
      </c>
      <c r="E146" s="3">
        <v>21.49</v>
      </c>
      <c r="F146" s="3">
        <v>5.5</v>
      </c>
      <c r="G146" s="3">
        <v>3.8</v>
      </c>
      <c r="H146" s="3">
        <v>231</v>
      </c>
      <c r="I146" s="3">
        <v>0.18099999999999999</v>
      </c>
      <c r="J146" s="3">
        <v>2.9000000000000001E-2</v>
      </c>
      <c r="K146" s="3">
        <v>0.193</v>
      </c>
    </row>
    <row r="147" spans="2:11" x14ac:dyDescent="0.25">
      <c r="B147" s="2" t="s">
        <v>5753</v>
      </c>
      <c r="C147" s="2" t="s">
        <v>5754</v>
      </c>
      <c r="D147" s="3">
        <v>6.99</v>
      </c>
      <c r="E147" s="3">
        <v>20.22</v>
      </c>
      <c r="F147" s="3">
        <v>5.5</v>
      </c>
      <c r="G147" s="3">
        <v>0.54</v>
      </c>
      <c r="H147" s="3">
        <v>239</v>
      </c>
      <c r="I147" s="3">
        <v>0.158</v>
      </c>
      <c r="J147" s="3">
        <v>0.153</v>
      </c>
      <c r="K147" s="3">
        <v>0.27300000000000002</v>
      </c>
    </row>
    <row r="148" spans="2:11" x14ac:dyDescent="0.25">
      <c r="B148" s="2" t="s">
        <v>5755</v>
      </c>
      <c r="C148" s="2" t="s">
        <v>5756</v>
      </c>
      <c r="D148" s="3">
        <v>15.7</v>
      </c>
      <c r="E148" s="3">
        <v>14.27</v>
      </c>
      <c r="F148" s="3">
        <v>4.9000000000000004</v>
      </c>
      <c r="G148" s="3">
        <v>1.07</v>
      </c>
      <c r="H148" s="3">
        <v>569</v>
      </c>
      <c r="I148" s="3">
        <v>1.44</v>
      </c>
      <c r="J148" s="3">
        <v>1.778</v>
      </c>
      <c r="K148" s="3">
        <v>2.0230000000000001</v>
      </c>
    </row>
    <row r="149" spans="2:11" x14ac:dyDescent="0.25">
      <c r="B149" s="2" t="s">
        <v>5757</v>
      </c>
      <c r="C149" s="2" t="s">
        <v>5758</v>
      </c>
      <c r="D149" s="3">
        <v>24.8</v>
      </c>
      <c r="E149" s="3">
        <v>14.23</v>
      </c>
      <c r="F149" s="3">
        <v>7.8</v>
      </c>
      <c r="G149" s="3">
        <v>6.35</v>
      </c>
      <c r="H149" s="3">
        <v>292</v>
      </c>
      <c r="I149" s="3">
        <v>10.220000000000001</v>
      </c>
      <c r="J149" s="3">
        <v>26.997</v>
      </c>
      <c r="K149" s="3">
        <v>16.265999999999998</v>
      </c>
    </row>
    <row r="150" spans="2:11" x14ac:dyDescent="0.25">
      <c r="B150" s="2" t="s">
        <v>5759</v>
      </c>
      <c r="C150" s="2" t="s">
        <v>5760</v>
      </c>
      <c r="D150" s="3">
        <v>25.9</v>
      </c>
      <c r="E150" s="3">
        <v>35.65</v>
      </c>
      <c r="F150" s="3">
        <v>5.2</v>
      </c>
      <c r="G150" s="3">
        <v>9.2799999999999994</v>
      </c>
      <c r="H150" s="3">
        <v>540</v>
      </c>
      <c r="I150" s="3">
        <v>5.76</v>
      </c>
      <c r="J150" s="3">
        <v>16.155999999999999</v>
      </c>
      <c r="K150" s="3">
        <v>9.1820000000000004</v>
      </c>
    </row>
    <row r="151" spans="2:11" x14ac:dyDescent="0.25">
      <c r="B151" s="2" t="s">
        <v>5761</v>
      </c>
      <c r="C151" s="2" t="s">
        <v>5762</v>
      </c>
      <c r="D151" s="3">
        <v>25.72</v>
      </c>
      <c r="E151" s="3">
        <v>18.75</v>
      </c>
      <c r="F151" s="3">
        <v>5.6</v>
      </c>
      <c r="G151" s="3">
        <v>10.47</v>
      </c>
      <c r="H151" s="3">
        <v>420</v>
      </c>
      <c r="I151" s="3">
        <v>10.125</v>
      </c>
      <c r="J151" s="3">
        <v>24.832000000000001</v>
      </c>
      <c r="K151" s="3">
        <v>13.847</v>
      </c>
    </row>
    <row r="152" spans="2:11" x14ac:dyDescent="0.25">
      <c r="B152" s="2" t="s">
        <v>5763</v>
      </c>
      <c r="C152" s="2" t="s">
        <v>5764</v>
      </c>
      <c r="D152" s="3">
        <v>26.06</v>
      </c>
      <c r="E152" s="3">
        <v>17.690000000000001</v>
      </c>
      <c r="F152" s="3">
        <v>5.7</v>
      </c>
      <c r="G152" s="3">
        <v>10.94</v>
      </c>
      <c r="H152" s="3">
        <v>366</v>
      </c>
      <c r="I152" s="3">
        <v>7.9720000000000004</v>
      </c>
      <c r="J152" s="3">
        <v>24.366</v>
      </c>
      <c r="K152" s="3">
        <v>14.648</v>
      </c>
    </row>
    <row r="153" spans="2:11" x14ac:dyDescent="0.25">
      <c r="B153" s="2" t="s">
        <v>5765</v>
      </c>
      <c r="C153" s="2" t="s">
        <v>5766</v>
      </c>
      <c r="D153" s="3">
        <v>22.39</v>
      </c>
      <c r="E153" s="3">
        <v>57.82</v>
      </c>
      <c r="F153" s="3">
        <v>10.8</v>
      </c>
      <c r="G153" s="3">
        <v>10.85</v>
      </c>
      <c r="H153" s="3">
        <v>64</v>
      </c>
      <c r="I153" s="3">
        <v>0.69299999999999995</v>
      </c>
      <c r="J153" s="3">
        <v>1.504</v>
      </c>
      <c r="K153" s="3">
        <v>2.9830000000000001</v>
      </c>
    </row>
    <row r="154" spans="2:11" x14ac:dyDescent="0.25">
      <c r="B154" s="2" t="s">
        <v>5767</v>
      </c>
      <c r="C154" s="2" t="s">
        <v>5768</v>
      </c>
      <c r="D154" s="3">
        <v>7.9</v>
      </c>
      <c r="E154" s="3">
        <v>14.29</v>
      </c>
      <c r="F154" s="3">
        <v>6</v>
      </c>
      <c r="H154" s="3">
        <v>379</v>
      </c>
      <c r="I154" s="3">
        <v>1.4370000000000001</v>
      </c>
      <c r="J154" s="3">
        <v>4.0389999999999997</v>
      </c>
      <c r="K154" s="3">
        <v>3.613</v>
      </c>
    </row>
    <row r="155" spans="2:11" x14ac:dyDescent="0.25">
      <c r="B155" s="2" t="s">
        <v>5769</v>
      </c>
      <c r="C155" s="2" t="s">
        <v>5770</v>
      </c>
      <c r="D155" s="3">
        <v>9.98</v>
      </c>
      <c r="E155" s="3">
        <v>1.18</v>
      </c>
      <c r="F155" s="3">
        <v>1</v>
      </c>
      <c r="G155" s="3">
        <v>0.71</v>
      </c>
      <c r="H155" s="3">
        <v>4</v>
      </c>
      <c r="I155" s="3">
        <v>0.91900000000000004</v>
      </c>
      <c r="J155" s="3">
        <v>1.3180000000000001</v>
      </c>
      <c r="K155" s="3">
        <v>2.657</v>
      </c>
    </row>
    <row r="156" spans="2:11" x14ac:dyDescent="0.25">
      <c r="B156" s="2" t="s">
        <v>5771</v>
      </c>
      <c r="C156" s="2" t="s">
        <v>5772</v>
      </c>
      <c r="D156" s="3">
        <v>12.68</v>
      </c>
      <c r="E156" s="3">
        <v>4.3899999999999997</v>
      </c>
      <c r="F156" s="3">
        <v>0.6</v>
      </c>
      <c r="H156" s="3">
        <v>2</v>
      </c>
      <c r="I156" s="3">
        <v>1.4450000000000001</v>
      </c>
      <c r="J156" s="3">
        <v>2.2050000000000001</v>
      </c>
      <c r="K156" s="3">
        <v>5.6379999999999999</v>
      </c>
    </row>
    <row r="157" spans="2:11" x14ac:dyDescent="0.25">
      <c r="B157" s="2" t="s">
        <v>5773</v>
      </c>
      <c r="C157" s="2" t="s">
        <v>5774</v>
      </c>
      <c r="D157" s="3">
        <v>4.8</v>
      </c>
      <c r="E157" s="3">
        <v>2.9</v>
      </c>
      <c r="F157" s="3">
        <v>0.1</v>
      </c>
      <c r="G157" s="3">
        <v>1.31</v>
      </c>
      <c r="H157" s="3">
        <v>5</v>
      </c>
      <c r="I157" s="3">
        <v>0.35699999999999998</v>
      </c>
      <c r="J157" s="3">
        <v>0.52200000000000002</v>
      </c>
      <c r="K157" s="3">
        <v>1.55</v>
      </c>
    </row>
    <row r="158" spans="2:11" x14ac:dyDescent="0.25">
      <c r="B158" s="2" t="s">
        <v>5775</v>
      </c>
      <c r="C158" s="2" t="s">
        <v>5776</v>
      </c>
      <c r="D158" s="3">
        <v>6.9</v>
      </c>
      <c r="E158" s="3">
        <v>2.4</v>
      </c>
      <c r="F158" s="3">
        <v>0.1</v>
      </c>
      <c r="G158" s="3">
        <v>1.27</v>
      </c>
      <c r="H158" s="3">
        <v>36</v>
      </c>
      <c r="I158" s="3">
        <v>0.40600000000000003</v>
      </c>
      <c r="J158" s="3">
        <v>0.53900000000000003</v>
      </c>
      <c r="K158" s="3">
        <v>1.4850000000000001</v>
      </c>
    </row>
    <row r="159" spans="2:11" x14ac:dyDescent="0.25">
      <c r="B159" s="2" t="s">
        <v>5777</v>
      </c>
      <c r="C159" s="2" t="s">
        <v>5778</v>
      </c>
      <c r="D159" s="3">
        <v>7.4</v>
      </c>
      <c r="E159" s="3">
        <v>2</v>
      </c>
      <c r="F159" s="3">
        <v>0.1</v>
      </c>
      <c r="G159" s="3">
        <v>0.99</v>
      </c>
      <c r="H159" s="3">
        <v>63</v>
      </c>
      <c r="I159" s="3">
        <v>0.3</v>
      </c>
      <c r="J159" s="3">
        <v>0.34499999999999997</v>
      </c>
      <c r="K159" s="3">
        <v>1.0609999999999999</v>
      </c>
    </row>
    <row r="160" spans="2:11" x14ac:dyDescent="0.25">
      <c r="B160" s="2" t="s">
        <v>5779</v>
      </c>
      <c r="C160" s="2" t="s">
        <v>5780</v>
      </c>
      <c r="D160" s="3">
        <v>6.3</v>
      </c>
      <c r="E160" s="3">
        <v>1.1000000000000001</v>
      </c>
      <c r="F160" s="3">
        <v>0</v>
      </c>
      <c r="G160" s="3">
        <v>0.45</v>
      </c>
      <c r="H160" s="3">
        <v>85</v>
      </c>
      <c r="I160" s="3">
        <v>0.13300000000000001</v>
      </c>
      <c r="J160" s="3">
        <v>0.13600000000000001</v>
      </c>
      <c r="K160" s="3">
        <v>0.44900000000000001</v>
      </c>
    </row>
    <row r="161" spans="2:11" x14ac:dyDescent="0.25">
      <c r="B161" s="2" t="s">
        <v>5781</v>
      </c>
      <c r="C161" s="2" t="s">
        <v>5782</v>
      </c>
      <c r="D161" s="3">
        <v>7</v>
      </c>
      <c r="E161" s="3">
        <v>1</v>
      </c>
      <c r="F161" s="3">
        <v>0</v>
      </c>
      <c r="G161" s="3">
        <v>0.42</v>
      </c>
      <c r="H161" s="3">
        <v>98</v>
      </c>
      <c r="I161" s="3">
        <v>0.11600000000000001</v>
      </c>
      <c r="J161" s="3">
        <v>0.11799999999999999</v>
      </c>
      <c r="K161" s="3">
        <v>0.39500000000000002</v>
      </c>
    </row>
    <row r="162" spans="2:11" x14ac:dyDescent="0.25">
      <c r="B162" s="2" t="s">
        <v>5783</v>
      </c>
      <c r="C162" s="2" t="s">
        <v>5784</v>
      </c>
      <c r="D162" s="3">
        <v>2.2599999999999998</v>
      </c>
      <c r="E162" s="3">
        <v>9.9499999999999993</v>
      </c>
      <c r="F162" s="3">
        <v>0.4</v>
      </c>
      <c r="G162" s="3">
        <v>7.86</v>
      </c>
      <c r="H162" s="3">
        <v>53</v>
      </c>
      <c r="I162" s="3">
        <v>0.24</v>
      </c>
      <c r="J162" s="3">
        <v>0.379</v>
      </c>
      <c r="K162" s="3">
        <v>0.83599999999999997</v>
      </c>
    </row>
    <row r="163" spans="2:11" x14ac:dyDescent="0.25">
      <c r="B163" s="2" t="s">
        <v>5785</v>
      </c>
      <c r="C163" s="2" t="s">
        <v>5786</v>
      </c>
      <c r="D163" s="3">
        <v>21.93</v>
      </c>
      <c r="E163" s="3">
        <v>23.98</v>
      </c>
      <c r="F163" s="3">
        <v>5.7</v>
      </c>
      <c r="G163" s="3">
        <v>6.5</v>
      </c>
      <c r="H163" s="3">
        <v>476</v>
      </c>
      <c r="I163" s="3">
        <v>9.5190000000000001</v>
      </c>
      <c r="J163" s="3">
        <v>20.725999999999999</v>
      </c>
      <c r="K163" s="3">
        <v>11.331</v>
      </c>
    </row>
    <row r="164" spans="2:11" x14ac:dyDescent="0.25">
      <c r="B164" s="2" t="s">
        <v>5787</v>
      </c>
      <c r="C164" s="2" t="s">
        <v>5788</v>
      </c>
      <c r="D164" s="3">
        <v>2.2599999999999998</v>
      </c>
      <c r="E164" s="3">
        <v>9.9499999999999993</v>
      </c>
      <c r="F164" s="3">
        <v>0.4</v>
      </c>
      <c r="G164" s="3">
        <v>7.86</v>
      </c>
      <c r="H164" s="3">
        <v>53</v>
      </c>
      <c r="I164" s="3">
        <v>0.24</v>
      </c>
      <c r="J164" s="3">
        <v>0.379</v>
      </c>
      <c r="K164" s="3">
        <v>0.83599999999999997</v>
      </c>
    </row>
    <row r="165" spans="2:11" x14ac:dyDescent="0.25">
      <c r="B165" s="2" t="s">
        <v>5789</v>
      </c>
      <c r="C165" s="2" t="s">
        <v>5790</v>
      </c>
      <c r="D165" s="3">
        <v>5.28</v>
      </c>
      <c r="E165" s="3">
        <v>13.5</v>
      </c>
      <c r="F165" s="3">
        <v>4.7</v>
      </c>
      <c r="G165" s="3">
        <v>0.59</v>
      </c>
      <c r="H165" s="3">
        <v>430</v>
      </c>
      <c r="I165" s="3">
        <v>0.14199999999999999</v>
      </c>
      <c r="J165" s="3">
        <v>0.20599999999999999</v>
      </c>
      <c r="K165" s="3">
        <v>0.47099999999999997</v>
      </c>
    </row>
    <row r="166" spans="2:11" x14ac:dyDescent="0.25">
      <c r="B166" s="2" t="s">
        <v>5791</v>
      </c>
      <c r="C166" s="2" t="s">
        <v>5792</v>
      </c>
      <c r="D166" s="3">
        <v>5.34</v>
      </c>
      <c r="E166" s="3">
        <v>13.5</v>
      </c>
      <c r="F166" s="3">
        <v>4.7</v>
      </c>
      <c r="G166" s="3">
        <v>0.61</v>
      </c>
      <c r="H166" s="3">
        <v>438</v>
      </c>
      <c r="I166" s="3">
        <v>9.2999999999999999E-2</v>
      </c>
      <c r="J166" s="3">
        <v>4.3999999999999997E-2</v>
      </c>
      <c r="K166" s="3">
        <v>0.28699999999999998</v>
      </c>
    </row>
    <row r="167" spans="2:11" x14ac:dyDescent="0.25">
      <c r="B167" s="2" t="s">
        <v>5793</v>
      </c>
      <c r="C167" s="2" t="s">
        <v>5794</v>
      </c>
      <c r="D167" s="3">
        <v>5</v>
      </c>
      <c r="E167" s="3">
        <v>15.47</v>
      </c>
      <c r="F167" s="3">
        <v>4.7</v>
      </c>
      <c r="H167" s="3">
        <v>375</v>
      </c>
      <c r="I167" s="3">
        <v>0.92600000000000005</v>
      </c>
      <c r="J167" s="3">
        <v>1.6759999999999999</v>
      </c>
      <c r="K167" s="3">
        <v>4.3789999999999996</v>
      </c>
    </row>
    <row r="168" spans="2:11" x14ac:dyDescent="0.25">
      <c r="B168" s="2" t="s">
        <v>5795</v>
      </c>
      <c r="C168" s="2" t="s">
        <v>5796</v>
      </c>
      <c r="D168" s="3">
        <v>19.91</v>
      </c>
      <c r="E168" s="3">
        <v>7.62</v>
      </c>
      <c r="H168" s="3">
        <v>14</v>
      </c>
      <c r="I168" s="3">
        <v>3.4</v>
      </c>
      <c r="J168" s="3">
        <v>3.7450000000000001</v>
      </c>
      <c r="K168" s="3">
        <v>2.6379999999999999</v>
      </c>
    </row>
    <row r="169" spans="2:11" x14ac:dyDescent="0.25">
      <c r="B169" s="2" t="s">
        <v>5797</v>
      </c>
      <c r="C169" s="2" t="s">
        <v>5798</v>
      </c>
      <c r="D169" s="3">
        <v>3.85</v>
      </c>
      <c r="E169" s="3">
        <v>23.08</v>
      </c>
      <c r="F169" s="3">
        <v>6.2</v>
      </c>
      <c r="G169" s="3">
        <v>10</v>
      </c>
      <c r="H169" s="3">
        <v>362</v>
      </c>
      <c r="I169" s="3">
        <v>0.38500000000000001</v>
      </c>
    </row>
    <row r="170" spans="2:11" x14ac:dyDescent="0.25">
      <c r="B170" s="2" t="s">
        <v>5799</v>
      </c>
      <c r="C170" s="2" t="s">
        <v>5800</v>
      </c>
      <c r="D170" s="3">
        <v>4.62</v>
      </c>
      <c r="E170" s="3">
        <v>19.23</v>
      </c>
      <c r="F170" s="3">
        <v>5.4</v>
      </c>
      <c r="G170" s="3">
        <v>6.15</v>
      </c>
      <c r="H170" s="3">
        <v>338</v>
      </c>
      <c r="I170" s="3">
        <v>0.38500000000000001</v>
      </c>
    </row>
    <row r="171" spans="2:11" x14ac:dyDescent="0.25">
      <c r="B171" s="2" t="s">
        <v>5801</v>
      </c>
      <c r="C171" s="2" t="s">
        <v>5802</v>
      </c>
      <c r="D171" s="3">
        <v>4.17</v>
      </c>
      <c r="E171" s="3">
        <v>10.83</v>
      </c>
      <c r="F171" s="3">
        <v>4.2</v>
      </c>
      <c r="G171" s="3">
        <v>2.5</v>
      </c>
      <c r="H171" s="3">
        <v>575</v>
      </c>
      <c r="I171" s="3">
        <v>0</v>
      </c>
    </row>
    <row r="172" spans="2:11" x14ac:dyDescent="0.25">
      <c r="B172" s="2" t="s">
        <v>5803</v>
      </c>
      <c r="C172" s="2" t="s">
        <v>5804</v>
      </c>
      <c r="D172" s="3">
        <v>3.33</v>
      </c>
      <c r="E172" s="3">
        <v>11.67</v>
      </c>
      <c r="F172" s="3">
        <v>3.3</v>
      </c>
      <c r="G172" s="3">
        <v>3.33</v>
      </c>
      <c r="H172" s="3">
        <v>492</v>
      </c>
      <c r="I172" s="3">
        <v>0</v>
      </c>
    </row>
    <row r="173" spans="2:11" x14ac:dyDescent="0.25">
      <c r="B173" s="2" t="s">
        <v>5805</v>
      </c>
      <c r="C173" s="2" t="s">
        <v>5806</v>
      </c>
      <c r="D173" s="3">
        <v>4.17</v>
      </c>
      <c r="E173" s="3">
        <v>11.67</v>
      </c>
      <c r="F173" s="3">
        <v>4.2</v>
      </c>
      <c r="G173" s="3">
        <v>3.33</v>
      </c>
      <c r="H173" s="3">
        <v>492</v>
      </c>
      <c r="I173" s="3">
        <v>0</v>
      </c>
    </row>
    <row r="174" spans="2:11" x14ac:dyDescent="0.25">
      <c r="B174" s="2" t="s">
        <v>5807</v>
      </c>
      <c r="C174" s="2" t="s">
        <v>5808</v>
      </c>
      <c r="D174" s="3">
        <v>8.3000000000000007</v>
      </c>
      <c r="E174" s="3">
        <v>1.3</v>
      </c>
      <c r="F174" s="3">
        <v>0.6</v>
      </c>
      <c r="G174" s="3">
        <v>0.2</v>
      </c>
      <c r="H174" s="3">
        <v>34</v>
      </c>
      <c r="I174" s="3">
        <v>0.2</v>
      </c>
      <c r="J174" s="3">
        <v>0.3</v>
      </c>
      <c r="K174" s="3">
        <v>1.2</v>
      </c>
    </row>
    <row r="175" spans="2:11" x14ac:dyDescent="0.25">
      <c r="B175" s="2" t="s">
        <v>5809</v>
      </c>
      <c r="C175" s="2" t="s">
        <v>5810</v>
      </c>
      <c r="D175" s="3">
        <v>12.4</v>
      </c>
      <c r="E175" s="3">
        <v>2.8</v>
      </c>
      <c r="F175" s="3">
        <v>2</v>
      </c>
      <c r="G175" s="3">
        <v>0.6</v>
      </c>
      <c r="H175" s="3">
        <v>6</v>
      </c>
      <c r="I175" s="3">
        <v>1.3</v>
      </c>
      <c r="J175" s="3">
        <v>1.3</v>
      </c>
      <c r="K175" s="3">
        <v>3.8</v>
      </c>
    </row>
    <row r="176" spans="2:11" x14ac:dyDescent="0.25">
      <c r="B176" s="2" t="s">
        <v>5811</v>
      </c>
      <c r="C176" s="2" t="s">
        <v>5812</v>
      </c>
      <c r="D176" s="3">
        <v>10.1</v>
      </c>
      <c r="E176" s="3">
        <v>2.6</v>
      </c>
      <c r="F176" s="3">
        <v>1.3</v>
      </c>
      <c r="G176" s="3">
        <v>0.4</v>
      </c>
      <c r="H176" s="3">
        <v>4</v>
      </c>
      <c r="I176" s="3">
        <v>0.7</v>
      </c>
      <c r="J176" s="3">
        <v>1.4</v>
      </c>
      <c r="K176" s="3">
        <v>3.1</v>
      </c>
    </row>
    <row r="177" spans="2:11" x14ac:dyDescent="0.25">
      <c r="B177" s="2" t="s">
        <v>5813</v>
      </c>
      <c r="C177" s="2" t="s">
        <v>5814</v>
      </c>
      <c r="D177" s="3">
        <v>8.9</v>
      </c>
      <c r="E177" s="3">
        <v>2.2999999999999998</v>
      </c>
      <c r="F177" s="3">
        <v>0.8</v>
      </c>
      <c r="G177" s="3">
        <v>0.3</v>
      </c>
      <c r="H177" s="3">
        <v>4</v>
      </c>
      <c r="I177" s="3">
        <v>0.5</v>
      </c>
      <c r="J177" s="3">
        <v>1.2</v>
      </c>
      <c r="K177" s="3">
        <v>2.7</v>
      </c>
    </row>
    <row r="178" spans="2:11" x14ac:dyDescent="0.25">
      <c r="B178" s="2" t="s">
        <v>5815</v>
      </c>
      <c r="C178" s="2" t="s">
        <v>5816</v>
      </c>
      <c r="D178" s="3">
        <v>4.8</v>
      </c>
      <c r="E178" s="3">
        <v>1.4</v>
      </c>
      <c r="F178" s="3">
        <v>0.3</v>
      </c>
      <c r="G178" s="3">
        <v>0.2</v>
      </c>
      <c r="H178" s="3">
        <v>2</v>
      </c>
      <c r="I178" s="3">
        <v>0.3</v>
      </c>
      <c r="J178" s="3">
        <v>0.6</v>
      </c>
      <c r="K178" s="3">
        <v>1.3</v>
      </c>
    </row>
    <row r="179" spans="2:11" x14ac:dyDescent="0.25">
      <c r="B179" s="2" t="s">
        <v>5817</v>
      </c>
      <c r="C179" s="2" t="s">
        <v>5818</v>
      </c>
      <c r="D179" s="3">
        <v>2.9</v>
      </c>
      <c r="E179" s="3">
        <v>4.5</v>
      </c>
      <c r="F179" s="3">
        <v>0.4</v>
      </c>
      <c r="G179" s="3">
        <v>2</v>
      </c>
      <c r="H179" s="3">
        <v>66</v>
      </c>
      <c r="I179" s="3">
        <v>0.2</v>
      </c>
      <c r="J179" s="3">
        <v>0.4</v>
      </c>
      <c r="K179" s="3">
        <v>1</v>
      </c>
    </row>
    <row r="180" spans="2:11" x14ac:dyDescent="0.25">
      <c r="B180" s="2" t="s">
        <v>5819</v>
      </c>
      <c r="C180" s="2" t="s">
        <v>5820</v>
      </c>
      <c r="D180" s="3">
        <v>3.2</v>
      </c>
      <c r="E180" s="3">
        <v>4.5</v>
      </c>
      <c r="F180" s="3">
        <v>0.4</v>
      </c>
      <c r="G180" s="3">
        <v>2</v>
      </c>
      <c r="H180" s="3">
        <v>66</v>
      </c>
      <c r="I180" s="3">
        <v>0.21</v>
      </c>
      <c r="J180" s="3">
        <v>0.5</v>
      </c>
      <c r="K180" s="3">
        <v>1.1000000000000001</v>
      </c>
    </row>
    <row r="181" spans="2:11" x14ac:dyDescent="0.25">
      <c r="B181" s="2" t="s">
        <v>5821</v>
      </c>
      <c r="C181" s="2" t="s">
        <v>5822</v>
      </c>
      <c r="D181" s="3">
        <v>1.6</v>
      </c>
      <c r="E181" s="3">
        <v>4.0999999999999996</v>
      </c>
      <c r="F181" s="3">
        <v>0.1</v>
      </c>
      <c r="G181" s="3">
        <v>2.9</v>
      </c>
      <c r="H181" s="3">
        <v>49</v>
      </c>
      <c r="I181" s="3">
        <v>0.18</v>
      </c>
      <c r="J181" s="3">
        <v>0.2</v>
      </c>
      <c r="K181" s="3">
        <v>0.4</v>
      </c>
    </row>
    <row r="182" spans="2:11" x14ac:dyDescent="0.25">
      <c r="B182" s="2" t="s">
        <v>5823</v>
      </c>
      <c r="C182" s="2" t="s">
        <v>5824</v>
      </c>
      <c r="D182" s="3">
        <v>2.86</v>
      </c>
      <c r="E182" s="3">
        <v>1.74</v>
      </c>
      <c r="F182" s="3">
        <v>0.5</v>
      </c>
      <c r="G182" s="3">
        <v>0.41</v>
      </c>
      <c r="H182" s="3">
        <v>37</v>
      </c>
      <c r="I182" s="3">
        <v>0.20599999999999999</v>
      </c>
      <c r="J182" s="3">
        <v>0.39200000000000002</v>
      </c>
      <c r="K182" s="3">
        <v>1.0089999999999999</v>
      </c>
    </row>
    <row r="183" spans="2:11" x14ac:dyDescent="0.25">
      <c r="B183" s="2" t="s">
        <v>5825</v>
      </c>
      <c r="C183" s="2" t="s">
        <v>5826</v>
      </c>
      <c r="D183" s="3">
        <v>2.94</v>
      </c>
      <c r="E183" s="3">
        <v>3.45</v>
      </c>
      <c r="F183" s="3">
        <v>0.4</v>
      </c>
      <c r="G183" s="3">
        <v>2.5299999999999998</v>
      </c>
      <c r="H183" s="3">
        <v>50</v>
      </c>
      <c r="I183" s="3">
        <v>0.20599999999999999</v>
      </c>
      <c r="J183" s="3">
        <v>0.41199999999999998</v>
      </c>
      <c r="K183" s="3">
        <v>1.19</v>
      </c>
    </row>
    <row r="184" spans="2:11" x14ac:dyDescent="0.25">
      <c r="B184" s="2" t="s">
        <v>5827</v>
      </c>
      <c r="C184" s="2" t="s">
        <v>5828</v>
      </c>
      <c r="D184" s="3">
        <v>2.38</v>
      </c>
      <c r="E184" s="3">
        <v>3.51</v>
      </c>
      <c r="F184" s="3">
        <v>0.3</v>
      </c>
      <c r="G184" s="3">
        <v>2.61</v>
      </c>
      <c r="H184" s="3">
        <v>48</v>
      </c>
      <c r="I184" s="3">
        <v>5.0000000000000001E-3</v>
      </c>
      <c r="J184" s="3">
        <v>0.20200000000000001</v>
      </c>
      <c r="K184" s="3">
        <v>0.42599999999999999</v>
      </c>
    </row>
    <row r="185" spans="2:11" x14ac:dyDescent="0.25">
      <c r="B185" s="2" t="s">
        <v>5829</v>
      </c>
      <c r="C185" s="2" t="s">
        <v>5830</v>
      </c>
      <c r="D185" s="3">
        <v>2.1</v>
      </c>
      <c r="E185" s="3">
        <v>8.24</v>
      </c>
      <c r="F185" s="3">
        <v>0.7</v>
      </c>
      <c r="G185" s="3">
        <v>7.13</v>
      </c>
      <c r="H185" s="3">
        <v>46</v>
      </c>
      <c r="I185" s="3">
        <v>3.2000000000000001E-2</v>
      </c>
      <c r="J185" s="3">
        <v>3.6999999999999998E-2</v>
      </c>
      <c r="K185" s="3">
        <v>0.40500000000000003</v>
      </c>
    </row>
    <row r="186" spans="2:11" x14ac:dyDescent="0.25">
      <c r="B186" s="2" t="s">
        <v>5831</v>
      </c>
      <c r="C186" s="2" t="s">
        <v>5832</v>
      </c>
      <c r="D186" s="3">
        <v>2.62</v>
      </c>
      <c r="E186" s="3">
        <v>3.85</v>
      </c>
      <c r="F186" s="3">
        <v>0.6</v>
      </c>
      <c r="G186" s="3">
        <v>0.41</v>
      </c>
      <c r="H186" s="3">
        <v>63</v>
      </c>
      <c r="I186" s="3">
        <v>7.8E-2</v>
      </c>
      <c r="J186" s="3">
        <v>0.26300000000000001</v>
      </c>
      <c r="K186" s="3">
        <v>0.55800000000000005</v>
      </c>
    </row>
    <row r="187" spans="2:11" x14ac:dyDescent="0.25">
      <c r="B187" s="2" t="s">
        <v>5833</v>
      </c>
      <c r="C187" s="2" t="s">
        <v>5834</v>
      </c>
      <c r="D187" s="3">
        <v>1.65</v>
      </c>
      <c r="E187" s="3">
        <v>7.2</v>
      </c>
      <c r="F187" s="3">
        <v>0.8</v>
      </c>
      <c r="G187" s="3">
        <v>3.5</v>
      </c>
      <c r="H187" s="3">
        <v>37</v>
      </c>
      <c r="I187" s="3">
        <v>0</v>
      </c>
      <c r="J187" s="3">
        <v>0.20599999999999999</v>
      </c>
      <c r="K187" s="3">
        <v>0.41199999999999998</v>
      </c>
    </row>
    <row r="188" spans="2:11" x14ac:dyDescent="0.25">
      <c r="B188" s="2" t="s">
        <v>5835</v>
      </c>
      <c r="C188" s="2" t="s">
        <v>5836</v>
      </c>
      <c r="D188" s="3">
        <v>2.4700000000000002</v>
      </c>
      <c r="E188" s="3">
        <v>4.1399999999999997</v>
      </c>
      <c r="F188" s="3">
        <v>0.2</v>
      </c>
      <c r="G188" s="3">
        <v>3.65</v>
      </c>
      <c r="H188" s="3">
        <v>57</v>
      </c>
      <c r="I188" s="3">
        <v>0</v>
      </c>
      <c r="J188" s="3">
        <v>0</v>
      </c>
      <c r="K188" s="3">
        <v>3.5999999999999997E-2</v>
      </c>
    </row>
    <row r="189" spans="2:11" x14ac:dyDescent="0.25">
      <c r="B189" s="2" t="s">
        <v>5837</v>
      </c>
      <c r="C189" s="2" t="s">
        <v>5838</v>
      </c>
      <c r="D189" s="3">
        <v>2.4700000000000002</v>
      </c>
      <c r="E189" s="3">
        <v>8.51</v>
      </c>
      <c r="F189" s="3">
        <v>0.2</v>
      </c>
      <c r="G189" s="3">
        <v>3.65</v>
      </c>
      <c r="H189" s="3">
        <v>57</v>
      </c>
      <c r="I189" s="3">
        <v>0</v>
      </c>
      <c r="J189" s="3">
        <v>0</v>
      </c>
      <c r="K189" s="3">
        <v>3.5999999999999997E-2</v>
      </c>
    </row>
    <row r="190" spans="2:11" x14ac:dyDescent="0.25">
      <c r="B190" s="2" t="s">
        <v>5839</v>
      </c>
      <c r="C190" s="2" t="s">
        <v>5840</v>
      </c>
      <c r="D190" s="3">
        <v>2.88</v>
      </c>
      <c r="E190" s="3">
        <v>3.29</v>
      </c>
      <c r="F190" s="3">
        <v>0.4</v>
      </c>
      <c r="G190" s="3">
        <v>2.4700000000000002</v>
      </c>
      <c r="H190" s="3">
        <v>49</v>
      </c>
      <c r="I190" s="3">
        <v>0.20599999999999999</v>
      </c>
    </row>
    <row r="191" spans="2:11" x14ac:dyDescent="0.25">
      <c r="B191" s="2" t="s">
        <v>5841</v>
      </c>
      <c r="C191" s="2" t="s">
        <v>5842</v>
      </c>
      <c r="D191" s="3">
        <v>2.4700000000000002</v>
      </c>
      <c r="E191" s="3">
        <v>4.12</v>
      </c>
      <c r="F191" s="3">
        <v>0.4</v>
      </c>
      <c r="G191" s="3">
        <v>2.88</v>
      </c>
      <c r="H191" s="3">
        <v>39</v>
      </c>
      <c r="I191" s="3">
        <v>0.20599999999999999</v>
      </c>
    </row>
    <row r="192" spans="2:11" x14ac:dyDescent="0.25">
      <c r="B192" s="2" t="s">
        <v>5843</v>
      </c>
      <c r="C192" s="2" t="s">
        <v>5844</v>
      </c>
      <c r="D192" s="3">
        <v>2.06</v>
      </c>
      <c r="E192" s="3">
        <v>9.4700000000000006</v>
      </c>
      <c r="F192" s="3">
        <v>0.8</v>
      </c>
      <c r="G192" s="3">
        <v>7.82</v>
      </c>
      <c r="H192" s="3">
        <v>41</v>
      </c>
      <c r="I192" s="3">
        <v>0.20599999999999999</v>
      </c>
    </row>
    <row r="193" spans="2:9" x14ac:dyDescent="0.25">
      <c r="B193" s="2" t="s">
        <v>5845</v>
      </c>
      <c r="C193" s="2" t="s">
        <v>5846</v>
      </c>
      <c r="D193" s="3">
        <v>2.4700000000000002</v>
      </c>
      <c r="E193" s="3">
        <v>3.29</v>
      </c>
      <c r="F193" s="3">
        <v>0.4</v>
      </c>
      <c r="G193" s="3">
        <v>2.4700000000000002</v>
      </c>
      <c r="H193" s="3">
        <v>49</v>
      </c>
      <c r="I193" s="3">
        <v>0</v>
      </c>
    </row>
    <row r="194" spans="2:9" x14ac:dyDescent="0.25">
      <c r="B194" s="2" t="s">
        <v>5847</v>
      </c>
      <c r="C194" s="2" t="s">
        <v>5848</v>
      </c>
      <c r="D194" s="3">
        <v>2.4700000000000002</v>
      </c>
      <c r="E194" s="3">
        <v>4.12</v>
      </c>
      <c r="F194" s="3">
        <v>0.4</v>
      </c>
      <c r="G194" s="3">
        <v>2.88</v>
      </c>
      <c r="H194" s="3">
        <v>39</v>
      </c>
      <c r="I194" s="3">
        <v>0</v>
      </c>
    </row>
    <row r="195" spans="2:9" x14ac:dyDescent="0.25">
      <c r="B195" s="2" t="s">
        <v>5849</v>
      </c>
      <c r="C195" s="2" t="s">
        <v>5850</v>
      </c>
      <c r="D195" s="3">
        <v>2.06</v>
      </c>
      <c r="E195" s="3">
        <v>9.0500000000000007</v>
      </c>
      <c r="F195" s="3">
        <v>0.8</v>
      </c>
      <c r="G195" s="3">
        <v>7.82</v>
      </c>
      <c r="H195" s="3">
        <v>41</v>
      </c>
      <c r="I195" s="3">
        <v>0</v>
      </c>
    </row>
    <row r="196" spans="2:9" x14ac:dyDescent="0.25">
      <c r="B196" s="2" t="s">
        <v>5851</v>
      </c>
      <c r="C196" s="2" t="s">
        <v>5852</v>
      </c>
      <c r="D196" s="3">
        <v>2.88</v>
      </c>
      <c r="E196" s="3">
        <v>3.29</v>
      </c>
      <c r="F196" s="3">
        <v>0.4</v>
      </c>
      <c r="G196" s="3">
        <v>2.4700000000000002</v>
      </c>
      <c r="H196" s="3">
        <v>49</v>
      </c>
      <c r="I196" s="3">
        <v>0.20599999999999999</v>
      </c>
    </row>
    <row r="197" spans="2:9" x14ac:dyDescent="0.25">
      <c r="B197" s="2" t="s">
        <v>5853</v>
      </c>
      <c r="C197" s="2" t="s">
        <v>5854</v>
      </c>
      <c r="D197" s="3">
        <v>2.4700000000000002</v>
      </c>
      <c r="E197" s="3">
        <v>4.53</v>
      </c>
      <c r="F197" s="3">
        <v>0.8</v>
      </c>
      <c r="G197" s="3">
        <v>2.88</v>
      </c>
      <c r="H197" s="3">
        <v>39</v>
      </c>
      <c r="I197" s="3">
        <v>0.20599999999999999</v>
      </c>
    </row>
    <row r="198" spans="2:9" x14ac:dyDescent="0.25">
      <c r="B198" s="2" t="s">
        <v>5855</v>
      </c>
      <c r="C198" s="2" t="s">
        <v>5856</v>
      </c>
      <c r="D198" s="3">
        <v>2.4700000000000002</v>
      </c>
      <c r="E198" s="3">
        <v>5.76</v>
      </c>
      <c r="F198" s="3">
        <v>2.1</v>
      </c>
      <c r="G198" s="3">
        <v>2.88</v>
      </c>
      <c r="H198" s="3">
        <v>39</v>
      </c>
      <c r="I198" s="3">
        <v>0.20599999999999999</v>
      </c>
    </row>
    <row r="199" spans="2:9" x14ac:dyDescent="0.25">
      <c r="B199" s="2" t="s">
        <v>5857</v>
      </c>
      <c r="C199" s="2" t="s">
        <v>5858</v>
      </c>
      <c r="D199" s="3">
        <v>2.88</v>
      </c>
      <c r="E199" s="3">
        <v>1.65</v>
      </c>
      <c r="F199" s="3">
        <v>0.4</v>
      </c>
      <c r="G199" s="3">
        <v>0.41</v>
      </c>
      <c r="H199" s="3">
        <v>35</v>
      </c>
      <c r="I199" s="3">
        <v>0.20599999999999999</v>
      </c>
    </row>
    <row r="200" spans="2:9" x14ac:dyDescent="0.25">
      <c r="B200" s="2" t="s">
        <v>5859</v>
      </c>
      <c r="C200" s="2" t="s">
        <v>5860</v>
      </c>
      <c r="D200" s="3">
        <v>2.4700000000000002</v>
      </c>
      <c r="E200" s="3">
        <v>7.82</v>
      </c>
      <c r="F200" s="3">
        <v>0.4</v>
      </c>
      <c r="G200" s="3">
        <v>6.58</v>
      </c>
      <c r="H200" s="3">
        <v>58</v>
      </c>
      <c r="I200" s="3">
        <v>0.20599999999999999</v>
      </c>
    </row>
    <row r="201" spans="2:9" x14ac:dyDescent="0.25">
      <c r="B201" s="2" t="s">
        <v>5861</v>
      </c>
      <c r="C201" s="2" t="s">
        <v>5862</v>
      </c>
      <c r="D201" s="3">
        <v>2.46</v>
      </c>
      <c r="E201" s="3">
        <v>12.3</v>
      </c>
      <c r="F201" s="3">
        <v>0</v>
      </c>
      <c r="G201" s="3">
        <v>9.84</v>
      </c>
      <c r="H201" s="3">
        <v>61</v>
      </c>
      <c r="I201" s="3">
        <v>0</v>
      </c>
    </row>
    <row r="202" spans="2:9" x14ac:dyDescent="0.25">
      <c r="B202" s="2" t="s">
        <v>5863</v>
      </c>
      <c r="C202" s="2" t="s">
        <v>5864</v>
      </c>
      <c r="D202" s="3">
        <v>2.4700000000000002</v>
      </c>
      <c r="E202" s="3">
        <v>7.82</v>
      </c>
      <c r="F202" s="3">
        <v>0</v>
      </c>
      <c r="G202" s="3">
        <v>5.76</v>
      </c>
      <c r="H202" s="3">
        <v>41</v>
      </c>
      <c r="I202" s="3">
        <v>0.20599999999999999</v>
      </c>
    </row>
    <row r="203" spans="2:9" x14ac:dyDescent="0.25">
      <c r="B203" s="2" t="s">
        <v>5865</v>
      </c>
      <c r="C203" s="2" t="s">
        <v>5866</v>
      </c>
      <c r="D203" s="3">
        <v>2.06</v>
      </c>
      <c r="E203" s="3">
        <v>9.0500000000000007</v>
      </c>
      <c r="F203" s="3">
        <v>0</v>
      </c>
      <c r="G203" s="3">
        <v>7.41</v>
      </c>
      <c r="H203" s="3">
        <v>41</v>
      </c>
      <c r="I203" s="3">
        <v>0.20599999999999999</v>
      </c>
    </row>
    <row r="204" spans="2:9" x14ac:dyDescent="0.25">
      <c r="B204" s="2" t="s">
        <v>5867</v>
      </c>
      <c r="C204" s="2" t="s">
        <v>5868</v>
      </c>
      <c r="D204" s="3">
        <v>2.06</v>
      </c>
      <c r="E204" s="3">
        <v>10.29</v>
      </c>
      <c r="F204" s="3">
        <v>0</v>
      </c>
      <c r="G204" s="3">
        <v>9.4700000000000006</v>
      </c>
      <c r="H204" s="3">
        <v>41</v>
      </c>
      <c r="I204" s="3">
        <v>0.20599999999999999</v>
      </c>
    </row>
    <row r="205" spans="2:9" x14ac:dyDescent="0.25">
      <c r="B205" s="2" t="s">
        <v>5869</v>
      </c>
      <c r="C205" s="2" t="s">
        <v>5870</v>
      </c>
      <c r="D205" s="3">
        <v>2.64</v>
      </c>
      <c r="E205" s="3">
        <v>13.66</v>
      </c>
      <c r="F205" s="3">
        <v>0.4</v>
      </c>
      <c r="G205" s="3">
        <v>10.57</v>
      </c>
      <c r="H205" s="3">
        <v>13</v>
      </c>
      <c r="I205" s="3">
        <v>0.22</v>
      </c>
    </row>
    <row r="206" spans="2:9" x14ac:dyDescent="0.25">
      <c r="B206" s="2" t="s">
        <v>5871</v>
      </c>
      <c r="C206" s="2" t="s">
        <v>5872</v>
      </c>
      <c r="D206" s="3">
        <v>2.94</v>
      </c>
      <c r="E206" s="3">
        <v>14.71</v>
      </c>
      <c r="F206" s="3">
        <v>0.6</v>
      </c>
      <c r="G206" s="3">
        <v>10.59</v>
      </c>
      <c r="H206" s="3">
        <v>12</v>
      </c>
      <c r="I206" s="3">
        <v>0</v>
      </c>
    </row>
    <row r="207" spans="2:9" x14ac:dyDescent="0.25">
      <c r="B207" s="2" t="s">
        <v>5873</v>
      </c>
      <c r="C207" s="2" t="s">
        <v>5874</v>
      </c>
      <c r="D207" s="3">
        <v>2.64</v>
      </c>
      <c r="E207" s="3">
        <v>9.69</v>
      </c>
      <c r="F207" s="3">
        <v>0.4</v>
      </c>
      <c r="G207" s="3">
        <v>5.29</v>
      </c>
      <c r="H207" s="3">
        <v>13</v>
      </c>
      <c r="I207" s="3">
        <v>0.22</v>
      </c>
    </row>
    <row r="208" spans="2:9" x14ac:dyDescent="0.25">
      <c r="B208" s="2" t="s">
        <v>5875</v>
      </c>
      <c r="C208" s="2" t="s">
        <v>5876</v>
      </c>
      <c r="D208" s="3">
        <v>2.35</v>
      </c>
      <c r="E208" s="3">
        <v>18.239999999999998</v>
      </c>
      <c r="F208" s="3">
        <v>0.6</v>
      </c>
      <c r="G208" s="3">
        <v>12.94</v>
      </c>
      <c r="H208" s="3">
        <v>15</v>
      </c>
      <c r="I208" s="3">
        <v>0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G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H239" s="3"/>
      <c r="I239" s="3"/>
      <c r="J239" s="3"/>
      <c r="K239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4D7C5-EC35-EB4B-A91A-F71CF64A15BB}">
  <sheetPr codeName="Sheet19"/>
  <dimension ref="A1:K257"/>
  <sheetViews>
    <sheetView workbookViewId="0">
      <selection activeCell="A209" sqref="A209:XFD257"/>
    </sheetView>
  </sheetViews>
  <sheetFormatPr defaultColWidth="11" defaultRowHeight="15.75" x14ac:dyDescent="0.25"/>
  <cols>
    <col min="3" max="3" width="56.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17000</v>
      </c>
      <c r="C3" s="10" t="str" cm="1">
        <f t="array" ref="C3">INDEX($B$11:$K$208, $A$3, C1)</f>
        <v>VEAL,AUSTRALIAN,RIB,RIB RST,LN,RAW</v>
      </c>
      <c r="D3" s="10" cm="1">
        <f t="array" ref="D3">INDEX($B$11:$K$74, $A$3, D1)</f>
        <v>21.7</v>
      </c>
      <c r="E3" s="10" cm="1">
        <f t="array" ref="E3">INDEX($B$11:$K$74, $A$3, E1)</f>
        <v>1.4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83</v>
      </c>
      <c r="I3" s="10" cm="1">
        <f t="array" ref="I3">INDEX($B$11:$K$74, $A$3, I1)</f>
        <v>2.0529999999999999</v>
      </c>
      <c r="J3" s="10" cm="1">
        <f t="array" ref="J3">INDEX($B$11:$K$74, $A$3, J1)</f>
        <v>1.8129999999999999</v>
      </c>
      <c r="K3" s="10" cm="1">
        <f t="array" ref="K3">INDEX($B$11:$K$74, $A$3, K1)</f>
        <v>0.35699999999999998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2.8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3.6259999999999999</v>
      </c>
      <c r="K6" s="10">
        <f>A7*K3</f>
        <v>0.71399999999999997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5877</v>
      </c>
      <c r="C11" s="2" t="s">
        <v>5878</v>
      </c>
      <c r="D11" s="3">
        <v>21.7</v>
      </c>
      <c r="E11" s="3">
        <v>1.4</v>
      </c>
      <c r="F11" s="3">
        <v>0</v>
      </c>
      <c r="G11" s="3">
        <v>0</v>
      </c>
      <c r="H11" s="3">
        <v>83</v>
      </c>
      <c r="I11" s="3">
        <v>2.0529999999999999</v>
      </c>
      <c r="J11" s="3">
        <v>1.8129999999999999</v>
      </c>
      <c r="K11" s="3">
        <v>0.35699999999999998</v>
      </c>
    </row>
    <row r="12" spans="1:11" x14ac:dyDescent="0.25">
      <c r="B12" s="2" t="s">
        <v>5879</v>
      </c>
      <c r="C12" s="2" t="s">
        <v>5880</v>
      </c>
      <c r="D12" s="3">
        <v>16.88</v>
      </c>
      <c r="E12" s="3">
        <v>0</v>
      </c>
      <c r="F12" s="3">
        <v>0</v>
      </c>
      <c r="H12" s="3">
        <v>58</v>
      </c>
      <c r="I12" s="3">
        <v>9.4700000000000006</v>
      </c>
      <c r="J12" s="3">
        <v>8.86</v>
      </c>
      <c r="K12" s="3">
        <v>1.7</v>
      </c>
    </row>
    <row r="13" spans="1:11" x14ac:dyDescent="0.25">
      <c r="B13" s="2" t="s">
        <v>5881</v>
      </c>
      <c r="C13" s="2" t="s">
        <v>5882</v>
      </c>
      <c r="D13" s="3">
        <v>24.52</v>
      </c>
      <c r="E13" s="3">
        <v>0</v>
      </c>
      <c r="F13" s="3">
        <v>0</v>
      </c>
      <c r="G13" s="3">
        <v>0</v>
      </c>
      <c r="H13" s="3">
        <v>72</v>
      </c>
      <c r="I13" s="3">
        <v>8.83</v>
      </c>
      <c r="J13" s="3">
        <v>8.82</v>
      </c>
      <c r="K13" s="3">
        <v>1.51</v>
      </c>
    </row>
    <row r="14" spans="1:11" x14ac:dyDescent="0.25">
      <c r="B14" s="2" t="s">
        <v>5883</v>
      </c>
      <c r="C14" s="2" t="s">
        <v>5884</v>
      </c>
      <c r="D14" s="3">
        <v>20.29</v>
      </c>
      <c r="E14" s="3">
        <v>0</v>
      </c>
      <c r="F14" s="3">
        <v>0</v>
      </c>
      <c r="H14" s="3">
        <v>66</v>
      </c>
      <c r="I14" s="3">
        <v>1.88</v>
      </c>
      <c r="J14" s="3">
        <v>2.11</v>
      </c>
      <c r="K14" s="3">
        <v>0.48</v>
      </c>
    </row>
    <row r="15" spans="1:11" x14ac:dyDescent="0.25">
      <c r="B15" s="2" t="s">
        <v>5885</v>
      </c>
      <c r="C15" s="2" t="s">
        <v>5886</v>
      </c>
      <c r="D15" s="3">
        <v>28.22</v>
      </c>
      <c r="E15" s="3">
        <v>0</v>
      </c>
      <c r="F15" s="3">
        <v>0</v>
      </c>
      <c r="H15" s="3">
        <v>76</v>
      </c>
      <c r="I15" s="3">
        <v>3.4</v>
      </c>
      <c r="J15" s="3">
        <v>4.17</v>
      </c>
      <c r="K15" s="3">
        <v>0.62</v>
      </c>
    </row>
    <row r="16" spans="1:11" x14ac:dyDescent="0.25">
      <c r="B16" s="2" t="s">
        <v>5887</v>
      </c>
      <c r="C16" s="2" t="s">
        <v>5888</v>
      </c>
      <c r="D16" s="3">
        <v>6.65</v>
      </c>
      <c r="E16" s="3">
        <v>0</v>
      </c>
      <c r="F16" s="3">
        <v>0</v>
      </c>
      <c r="H16" s="3">
        <v>31</v>
      </c>
      <c r="I16" s="3">
        <v>32.24</v>
      </c>
      <c r="J16" s="3">
        <v>29.11</v>
      </c>
      <c r="K16" s="3">
        <v>5.35</v>
      </c>
    </row>
    <row r="17" spans="2:11" x14ac:dyDescent="0.25">
      <c r="B17" s="2" t="s">
        <v>5889</v>
      </c>
      <c r="C17" s="2" t="s">
        <v>5890</v>
      </c>
      <c r="D17" s="3">
        <v>12.16</v>
      </c>
      <c r="E17" s="3">
        <v>0</v>
      </c>
      <c r="F17" s="3">
        <v>0</v>
      </c>
      <c r="G17" s="3">
        <v>0</v>
      </c>
      <c r="H17" s="3">
        <v>58</v>
      </c>
      <c r="I17" s="3">
        <v>27.02</v>
      </c>
      <c r="J17" s="3">
        <v>24.4</v>
      </c>
      <c r="K17" s="3">
        <v>4.4800000000000004</v>
      </c>
    </row>
    <row r="18" spans="2:11" x14ac:dyDescent="0.25">
      <c r="B18" s="2" t="s">
        <v>5891</v>
      </c>
      <c r="C18" s="2" t="s">
        <v>5892</v>
      </c>
      <c r="D18" s="3">
        <v>18.91</v>
      </c>
      <c r="E18" s="3">
        <v>0</v>
      </c>
      <c r="F18" s="3">
        <v>0</v>
      </c>
      <c r="H18" s="3">
        <v>72</v>
      </c>
      <c r="I18" s="3">
        <v>5.83</v>
      </c>
      <c r="J18" s="3">
        <v>5.49</v>
      </c>
      <c r="K18" s="3">
        <v>1.06</v>
      </c>
    </row>
    <row r="19" spans="2:11" x14ac:dyDescent="0.25">
      <c r="B19" s="2" t="s">
        <v>5893</v>
      </c>
      <c r="C19" s="2" t="s">
        <v>5894</v>
      </c>
      <c r="D19" s="3">
        <v>28.37</v>
      </c>
      <c r="E19" s="3">
        <v>0</v>
      </c>
      <c r="F19" s="3">
        <v>0</v>
      </c>
      <c r="G19" s="3">
        <v>0</v>
      </c>
      <c r="H19" s="3">
        <v>72</v>
      </c>
      <c r="I19" s="3">
        <v>5.63</v>
      </c>
      <c r="J19" s="3">
        <v>5.68</v>
      </c>
      <c r="K19" s="3">
        <v>0.97</v>
      </c>
    </row>
    <row r="20" spans="2:11" x14ac:dyDescent="0.25">
      <c r="B20" s="2" t="s">
        <v>5895</v>
      </c>
      <c r="C20" s="2" t="s">
        <v>5896</v>
      </c>
      <c r="D20" s="3">
        <v>21.08</v>
      </c>
      <c r="E20" s="3">
        <v>0</v>
      </c>
      <c r="F20" s="3">
        <v>0</v>
      </c>
      <c r="H20" s="3">
        <v>79</v>
      </c>
      <c r="I20" s="3">
        <v>1.18</v>
      </c>
      <c r="J20" s="3">
        <v>1.32</v>
      </c>
      <c r="K20" s="3">
        <v>0.3</v>
      </c>
    </row>
    <row r="21" spans="2:11" x14ac:dyDescent="0.25">
      <c r="B21" s="2" t="s">
        <v>5897</v>
      </c>
      <c r="C21" s="2" t="s">
        <v>5898</v>
      </c>
      <c r="D21" s="3">
        <v>31.01</v>
      </c>
      <c r="E21" s="3">
        <v>0</v>
      </c>
      <c r="F21" s="3">
        <v>0</v>
      </c>
      <c r="H21" s="3">
        <v>74</v>
      </c>
      <c r="I21" s="3">
        <v>2.15</v>
      </c>
      <c r="J21" s="3">
        <v>2.64</v>
      </c>
      <c r="K21" s="3">
        <v>0.39</v>
      </c>
    </row>
    <row r="22" spans="2:11" x14ac:dyDescent="0.25">
      <c r="B22" s="2" t="s">
        <v>5899</v>
      </c>
      <c r="C22" s="2" t="s">
        <v>5900</v>
      </c>
      <c r="D22" s="3">
        <v>17.91</v>
      </c>
      <c r="E22" s="3">
        <v>0</v>
      </c>
      <c r="F22" s="3">
        <v>0</v>
      </c>
      <c r="H22" s="3">
        <v>56</v>
      </c>
      <c r="I22" s="3">
        <v>7.43</v>
      </c>
      <c r="J22" s="3">
        <v>7</v>
      </c>
      <c r="K22" s="3">
        <v>1.35</v>
      </c>
    </row>
    <row r="23" spans="2:11" x14ac:dyDescent="0.25">
      <c r="B23" s="2" t="s">
        <v>5901</v>
      </c>
      <c r="C23" s="2" t="s">
        <v>5902</v>
      </c>
      <c r="D23" s="3">
        <v>25.55</v>
      </c>
      <c r="E23" s="3">
        <v>0</v>
      </c>
      <c r="F23" s="3">
        <v>0</v>
      </c>
      <c r="G23" s="3">
        <v>0</v>
      </c>
      <c r="H23" s="3">
        <v>66</v>
      </c>
      <c r="I23" s="3">
        <v>6.89</v>
      </c>
      <c r="J23" s="3">
        <v>6.96</v>
      </c>
      <c r="K23" s="3">
        <v>1.18</v>
      </c>
    </row>
    <row r="24" spans="2:11" x14ac:dyDescent="0.25">
      <c r="B24" s="2" t="s">
        <v>5903</v>
      </c>
      <c r="C24" s="2" t="s">
        <v>5904</v>
      </c>
      <c r="D24" s="3">
        <v>20.56</v>
      </c>
      <c r="E24" s="3">
        <v>0</v>
      </c>
      <c r="F24" s="3">
        <v>0</v>
      </c>
      <c r="H24" s="3">
        <v>62</v>
      </c>
      <c r="I24" s="3">
        <v>1.61</v>
      </c>
      <c r="J24" s="3">
        <v>1.81</v>
      </c>
      <c r="K24" s="3">
        <v>0.41</v>
      </c>
    </row>
    <row r="25" spans="2:11" x14ac:dyDescent="0.25">
      <c r="B25" s="2" t="s">
        <v>5905</v>
      </c>
      <c r="C25" s="2" t="s">
        <v>5906</v>
      </c>
      <c r="D25" s="3">
        <v>28.3</v>
      </c>
      <c r="E25" s="3">
        <v>0</v>
      </c>
      <c r="F25" s="3">
        <v>0</v>
      </c>
      <c r="G25" s="3">
        <v>0</v>
      </c>
      <c r="H25" s="3">
        <v>68</v>
      </c>
      <c r="I25" s="3">
        <v>2.76</v>
      </c>
      <c r="J25" s="3">
        <v>3.39</v>
      </c>
      <c r="K25" s="3">
        <v>0.51</v>
      </c>
    </row>
    <row r="26" spans="2:11" x14ac:dyDescent="0.25">
      <c r="B26" s="2" t="s">
        <v>5907</v>
      </c>
      <c r="C26" s="2" t="s">
        <v>5908</v>
      </c>
      <c r="D26" s="3">
        <v>18.579999999999998</v>
      </c>
      <c r="E26" s="3">
        <v>0</v>
      </c>
      <c r="F26" s="3">
        <v>0</v>
      </c>
      <c r="H26" s="3">
        <v>57</v>
      </c>
      <c r="I26" s="3">
        <v>5.8</v>
      </c>
      <c r="J26" s="3">
        <v>5.53</v>
      </c>
      <c r="K26" s="3">
        <v>1.08</v>
      </c>
    </row>
    <row r="27" spans="2:11" x14ac:dyDescent="0.25">
      <c r="B27" s="2" t="s">
        <v>5909</v>
      </c>
      <c r="C27" s="2" t="s">
        <v>5910</v>
      </c>
      <c r="D27" s="3">
        <v>26.41</v>
      </c>
      <c r="E27" s="3">
        <v>0</v>
      </c>
      <c r="F27" s="3">
        <v>0</v>
      </c>
      <c r="H27" s="3">
        <v>65</v>
      </c>
      <c r="I27" s="3">
        <v>5.09</v>
      </c>
      <c r="J27" s="3">
        <v>5.29</v>
      </c>
      <c r="K27" s="3">
        <v>0.88</v>
      </c>
    </row>
    <row r="28" spans="2:11" x14ac:dyDescent="0.25">
      <c r="B28" s="2" t="s">
        <v>5911</v>
      </c>
      <c r="C28" s="2" t="s">
        <v>5912</v>
      </c>
      <c r="D28" s="3">
        <v>20.52</v>
      </c>
      <c r="E28" s="3">
        <v>0</v>
      </c>
      <c r="F28" s="3">
        <v>0</v>
      </c>
      <c r="H28" s="3">
        <v>61</v>
      </c>
      <c r="I28" s="3">
        <v>1.5</v>
      </c>
      <c r="J28" s="3">
        <v>1.69</v>
      </c>
      <c r="K28" s="3">
        <v>0.38</v>
      </c>
    </row>
    <row r="29" spans="2:11" x14ac:dyDescent="0.25">
      <c r="B29" s="2" t="s">
        <v>5913</v>
      </c>
      <c r="C29" s="2" t="s">
        <v>5914</v>
      </c>
      <c r="D29" s="3">
        <v>28.17</v>
      </c>
      <c r="E29" s="3">
        <v>0</v>
      </c>
      <c r="F29" s="3">
        <v>0</v>
      </c>
      <c r="H29" s="3">
        <v>66</v>
      </c>
      <c r="I29" s="3">
        <v>2.38</v>
      </c>
      <c r="J29" s="3">
        <v>2.92</v>
      </c>
      <c r="K29" s="3">
        <v>0.44</v>
      </c>
    </row>
    <row r="30" spans="2:11" x14ac:dyDescent="0.25">
      <c r="B30" s="2" t="s">
        <v>5915</v>
      </c>
      <c r="C30" s="2" t="s">
        <v>5916</v>
      </c>
      <c r="D30" s="3">
        <v>16.940000000000001</v>
      </c>
      <c r="E30" s="3">
        <v>0</v>
      </c>
      <c r="F30" s="3">
        <v>0</v>
      </c>
      <c r="H30" s="3">
        <v>56</v>
      </c>
      <c r="I30" s="3">
        <v>9.73</v>
      </c>
      <c r="J30" s="3">
        <v>9.08</v>
      </c>
      <c r="K30" s="3">
        <v>1.73</v>
      </c>
    </row>
    <row r="31" spans="2:11" x14ac:dyDescent="0.25">
      <c r="B31" s="2" t="s">
        <v>5917</v>
      </c>
      <c r="C31" s="2" t="s">
        <v>5918</v>
      </c>
      <c r="D31" s="3">
        <v>24.63</v>
      </c>
      <c r="E31" s="3">
        <v>0</v>
      </c>
      <c r="F31" s="3">
        <v>0</v>
      </c>
      <c r="H31" s="3">
        <v>68</v>
      </c>
      <c r="I31" s="3">
        <v>8.74</v>
      </c>
      <c r="J31" s="3">
        <v>8.7100000000000009</v>
      </c>
      <c r="K31" s="3">
        <v>1.49</v>
      </c>
    </row>
    <row r="32" spans="2:11" x14ac:dyDescent="0.25">
      <c r="B32" s="2" t="s">
        <v>5919</v>
      </c>
      <c r="C32" s="2" t="s">
        <v>5920</v>
      </c>
      <c r="D32" s="3">
        <v>20.55</v>
      </c>
      <c r="E32" s="3">
        <v>0</v>
      </c>
      <c r="F32" s="3">
        <v>0</v>
      </c>
      <c r="H32" s="3">
        <v>64</v>
      </c>
      <c r="I32" s="3">
        <v>1.82</v>
      </c>
      <c r="J32" s="3">
        <v>2.04</v>
      </c>
      <c r="K32" s="3">
        <v>0.46</v>
      </c>
    </row>
    <row r="33" spans="2:11" x14ac:dyDescent="0.25">
      <c r="B33" s="2" t="s">
        <v>5921</v>
      </c>
      <c r="C33" s="2" t="s">
        <v>5922</v>
      </c>
      <c r="D33" s="3">
        <v>28.35</v>
      </c>
      <c r="E33" s="3">
        <v>0</v>
      </c>
      <c r="F33" s="3">
        <v>0</v>
      </c>
      <c r="H33" s="3">
        <v>71</v>
      </c>
      <c r="I33" s="3">
        <v>3.28</v>
      </c>
      <c r="J33" s="3">
        <v>4.0199999999999996</v>
      </c>
      <c r="K33" s="3">
        <v>0.6</v>
      </c>
    </row>
    <row r="34" spans="2:11" x14ac:dyDescent="0.25">
      <c r="B34" s="2" t="s">
        <v>5923</v>
      </c>
      <c r="C34" s="2" t="s">
        <v>5924</v>
      </c>
      <c r="D34" s="3">
        <v>16.32</v>
      </c>
      <c r="E34" s="3">
        <v>0</v>
      </c>
      <c r="F34" s="3">
        <v>0</v>
      </c>
      <c r="H34" s="3">
        <v>56</v>
      </c>
      <c r="I34" s="3">
        <v>11.76</v>
      </c>
      <c r="J34" s="3">
        <v>10.94</v>
      </c>
      <c r="K34" s="3">
        <v>2.08</v>
      </c>
    </row>
    <row r="35" spans="2:11" x14ac:dyDescent="0.25">
      <c r="B35" s="2" t="s">
        <v>5925</v>
      </c>
      <c r="C35" s="2" t="s">
        <v>5926</v>
      </c>
      <c r="D35" s="3">
        <v>25.17</v>
      </c>
      <c r="E35" s="3">
        <v>0</v>
      </c>
      <c r="F35" s="3">
        <v>0</v>
      </c>
      <c r="G35" s="3">
        <v>0</v>
      </c>
      <c r="H35" s="3">
        <v>77</v>
      </c>
      <c r="I35" s="3">
        <v>9.83</v>
      </c>
      <c r="J35" s="3">
        <v>9.6999999999999993</v>
      </c>
      <c r="K35" s="3">
        <v>1.68</v>
      </c>
    </row>
    <row r="36" spans="2:11" x14ac:dyDescent="0.25">
      <c r="B36" s="2" t="s">
        <v>5927</v>
      </c>
      <c r="C36" s="2" t="s">
        <v>5928</v>
      </c>
      <c r="D36" s="3">
        <v>22.55</v>
      </c>
      <c r="E36" s="3">
        <v>0</v>
      </c>
      <c r="F36" s="3">
        <v>0</v>
      </c>
      <c r="G36" s="3">
        <v>0</v>
      </c>
      <c r="H36" s="3">
        <v>64</v>
      </c>
      <c r="I36" s="3">
        <v>10.24</v>
      </c>
      <c r="J36" s="3">
        <v>9.68</v>
      </c>
      <c r="K36" s="3">
        <v>1.87</v>
      </c>
    </row>
    <row r="37" spans="2:11" x14ac:dyDescent="0.25">
      <c r="B37" s="2" t="s">
        <v>5929</v>
      </c>
      <c r="C37" s="2" t="s">
        <v>5930</v>
      </c>
      <c r="D37" s="3">
        <v>20.88</v>
      </c>
      <c r="E37" s="3">
        <v>0</v>
      </c>
      <c r="F37" s="3">
        <v>0</v>
      </c>
      <c r="H37" s="3">
        <v>68</v>
      </c>
      <c r="I37" s="3">
        <v>2.13</v>
      </c>
      <c r="J37" s="3">
        <v>2.39</v>
      </c>
      <c r="K37" s="3">
        <v>0.54</v>
      </c>
    </row>
    <row r="38" spans="2:11" x14ac:dyDescent="0.25">
      <c r="B38" s="2" t="s">
        <v>5931</v>
      </c>
      <c r="C38" s="2" t="s">
        <v>5932</v>
      </c>
      <c r="D38" s="3">
        <v>29.99</v>
      </c>
      <c r="E38" s="3">
        <v>0</v>
      </c>
      <c r="F38" s="3">
        <v>0</v>
      </c>
      <c r="G38" s="3">
        <v>0</v>
      </c>
      <c r="H38" s="3">
        <v>84</v>
      </c>
      <c r="I38" s="3">
        <v>3.48</v>
      </c>
      <c r="J38" s="3">
        <v>4.26</v>
      </c>
      <c r="K38" s="3">
        <v>0.64</v>
      </c>
    </row>
    <row r="39" spans="2:11" x14ac:dyDescent="0.25">
      <c r="B39" s="2" t="s">
        <v>5933</v>
      </c>
      <c r="C39" s="2" t="s">
        <v>5934</v>
      </c>
      <c r="D39" s="3">
        <v>26.59</v>
      </c>
      <c r="E39" s="3">
        <v>0</v>
      </c>
      <c r="F39" s="3">
        <v>0</v>
      </c>
      <c r="H39" s="3">
        <v>66</v>
      </c>
      <c r="I39" s="3">
        <v>3.72</v>
      </c>
      <c r="J39" s="3">
        <v>3.95</v>
      </c>
      <c r="K39" s="3">
        <v>0.86</v>
      </c>
    </row>
    <row r="40" spans="2:11" x14ac:dyDescent="0.25">
      <c r="B40" s="2" t="s">
        <v>5935</v>
      </c>
      <c r="C40" s="2" t="s">
        <v>5936</v>
      </c>
      <c r="D40" s="3">
        <v>14.52</v>
      </c>
      <c r="E40" s="3">
        <v>0</v>
      </c>
      <c r="F40" s="3">
        <v>0</v>
      </c>
      <c r="H40" s="3">
        <v>56</v>
      </c>
      <c r="I40" s="3">
        <v>15.16</v>
      </c>
      <c r="J40" s="3">
        <v>14.13</v>
      </c>
      <c r="K40" s="3">
        <v>2.69</v>
      </c>
    </row>
    <row r="41" spans="2:11" x14ac:dyDescent="0.25">
      <c r="B41" s="2" t="s">
        <v>5937</v>
      </c>
      <c r="C41" s="2" t="s">
        <v>5938</v>
      </c>
      <c r="D41" s="3">
        <v>22.13</v>
      </c>
      <c r="E41" s="3">
        <v>0</v>
      </c>
      <c r="F41" s="3">
        <v>0</v>
      </c>
      <c r="G41" s="3">
        <v>0</v>
      </c>
      <c r="H41" s="3">
        <v>76</v>
      </c>
      <c r="I41" s="3">
        <v>12.7</v>
      </c>
      <c r="J41" s="3">
        <v>12.12</v>
      </c>
      <c r="K41" s="3">
        <v>2.37</v>
      </c>
    </row>
    <row r="42" spans="2:11" x14ac:dyDescent="0.25">
      <c r="B42" s="2" t="s">
        <v>5939</v>
      </c>
      <c r="C42" s="2" t="s">
        <v>5940</v>
      </c>
      <c r="D42" s="3">
        <v>21.12</v>
      </c>
      <c r="E42" s="3">
        <v>0</v>
      </c>
      <c r="F42" s="3">
        <v>0</v>
      </c>
      <c r="H42" s="3">
        <v>73</v>
      </c>
      <c r="I42" s="3">
        <v>12.77</v>
      </c>
      <c r="J42" s="3">
        <v>12.52</v>
      </c>
      <c r="K42" s="3">
        <v>2.17</v>
      </c>
    </row>
    <row r="43" spans="2:11" x14ac:dyDescent="0.25">
      <c r="B43" s="2" t="s">
        <v>5941</v>
      </c>
      <c r="C43" s="2" t="s">
        <v>5942</v>
      </c>
      <c r="D43" s="3">
        <v>19.98</v>
      </c>
      <c r="E43" s="3">
        <v>0</v>
      </c>
      <c r="F43" s="3">
        <v>0</v>
      </c>
      <c r="H43" s="3">
        <v>72</v>
      </c>
      <c r="I43" s="3">
        <v>3.3</v>
      </c>
      <c r="J43" s="3">
        <v>3.71</v>
      </c>
      <c r="K43" s="3">
        <v>0.84</v>
      </c>
    </row>
    <row r="44" spans="2:11" x14ac:dyDescent="0.25">
      <c r="B44" s="2" t="s">
        <v>5943</v>
      </c>
      <c r="C44" s="2" t="s">
        <v>5944</v>
      </c>
      <c r="D44" s="3">
        <v>27.74</v>
      </c>
      <c r="E44" s="3">
        <v>0</v>
      </c>
      <c r="F44" s="3">
        <v>0</v>
      </c>
      <c r="G44" s="3">
        <v>0</v>
      </c>
      <c r="H44" s="3">
        <v>85</v>
      </c>
      <c r="I44" s="3">
        <v>4.6500000000000004</v>
      </c>
      <c r="J44" s="3">
        <v>5.21</v>
      </c>
      <c r="K44" s="3">
        <v>1.18</v>
      </c>
    </row>
    <row r="45" spans="2:11" x14ac:dyDescent="0.25">
      <c r="B45" s="2" t="s">
        <v>5945</v>
      </c>
      <c r="C45" s="2" t="s">
        <v>5946</v>
      </c>
      <c r="D45" s="3">
        <v>26.16</v>
      </c>
      <c r="E45" s="3">
        <v>0</v>
      </c>
      <c r="F45" s="3">
        <v>0</v>
      </c>
      <c r="H45" s="3">
        <v>81</v>
      </c>
      <c r="I45" s="3">
        <v>4.76</v>
      </c>
      <c r="J45" s="3">
        <v>5.83</v>
      </c>
      <c r="K45" s="3">
        <v>0.87</v>
      </c>
    </row>
    <row r="46" spans="2:11" x14ac:dyDescent="0.25">
      <c r="B46" s="2" t="s">
        <v>5947</v>
      </c>
      <c r="C46" s="2" t="s">
        <v>5948</v>
      </c>
      <c r="D46" s="3">
        <v>16.579999999999998</v>
      </c>
      <c r="E46" s="3">
        <v>0</v>
      </c>
      <c r="F46" s="3">
        <v>0</v>
      </c>
      <c r="G46" s="3">
        <v>0</v>
      </c>
      <c r="H46" s="3">
        <v>61</v>
      </c>
      <c r="I46" s="3">
        <v>9.2799999999999994</v>
      </c>
      <c r="J46" s="3">
        <v>8.7899999999999991</v>
      </c>
      <c r="K46" s="3">
        <v>1.71</v>
      </c>
    </row>
    <row r="47" spans="2:11" x14ac:dyDescent="0.25">
      <c r="B47" s="2" t="s">
        <v>5949</v>
      </c>
      <c r="C47" s="2" t="s">
        <v>5950</v>
      </c>
      <c r="D47" s="3">
        <v>28.68</v>
      </c>
      <c r="E47" s="3">
        <v>0</v>
      </c>
      <c r="F47" s="3">
        <v>0</v>
      </c>
      <c r="H47" s="3">
        <v>75</v>
      </c>
      <c r="I47" s="3">
        <v>10.34</v>
      </c>
      <c r="J47" s="3">
        <v>10.039999999999999</v>
      </c>
      <c r="K47" s="3">
        <v>2</v>
      </c>
    </row>
    <row r="48" spans="2:11" x14ac:dyDescent="0.25">
      <c r="B48" s="2" t="s">
        <v>5951</v>
      </c>
      <c r="C48" s="2" t="s">
        <v>5952</v>
      </c>
      <c r="D48" s="3">
        <v>24.42</v>
      </c>
      <c r="E48" s="3">
        <v>0</v>
      </c>
      <c r="F48" s="3">
        <v>0</v>
      </c>
      <c r="H48" s="3">
        <v>78</v>
      </c>
      <c r="I48" s="3">
        <v>8.0399999999999991</v>
      </c>
      <c r="J48" s="3">
        <v>7.87</v>
      </c>
      <c r="K48" s="3">
        <v>1.58</v>
      </c>
    </row>
    <row r="49" spans="2:11" x14ac:dyDescent="0.25">
      <c r="B49" s="2" t="s">
        <v>5953</v>
      </c>
      <c r="C49" s="2" t="s">
        <v>5954</v>
      </c>
      <c r="D49" s="3">
        <v>22.51</v>
      </c>
      <c r="E49" s="3">
        <v>0</v>
      </c>
      <c r="F49" s="3">
        <v>0</v>
      </c>
      <c r="G49" s="3">
        <v>0</v>
      </c>
      <c r="H49" s="3">
        <v>66</v>
      </c>
      <c r="I49" s="3">
        <v>8.44</v>
      </c>
      <c r="J49" s="3">
        <v>8.17</v>
      </c>
      <c r="K49" s="3">
        <v>1.62</v>
      </c>
    </row>
    <row r="50" spans="2:11" x14ac:dyDescent="0.25">
      <c r="B50" s="2" t="s">
        <v>5955</v>
      </c>
      <c r="C50" s="2" t="s">
        <v>5956</v>
      </c>
      <c r="D50" s="3">
        <v>19.55</v>
      </c>
      <c r="E50" s="3">
        <v>0</v>
      </c>
      <c r="F50" s="3">
        <v>0</v>
      </c>
      <c r="G50" s="3">
        <v>0</v>
      </c>
      <c r="H50" s="3">
        <v>70</v>
      </c>
      <c r="I50" s="3">
        <v>2.42</v>
      </c>
      <c r="J50" s="3">
        <v>2.72</v>
      </c>
      <c r="K50" s="3">
        <v>0.62</v>
      </c>
    </row>
    <row r="51" spans="2:11" x14ac:dyDescent="0.25">
      <c r="B51" s="2" t="s">
        <v>5957</v>
      </c>
      <c r="C51" s="2" t="s">
        <v>5958</v>
      </c>
      <c r="D51" s="3">
        <v>32.81</v>
      </c>
      <c r="E51" s="3">
        <v>0</v>
      </c>
      <c r="F51" s="3">
        <v>0</v>
      </c>
      <c r="H51" s="3">
        <v>79</v>
      </c>
      <c r="I51" s="3">
        <v>6.17</v>
      </c>
      <c r="J51" s="3">
        <v>6.45</v>
      </c>
      <c r="K51" s="3">
        <v>1.38</v>
      </c>
    </row>
    <row r="52" spans="2:11" x14ac:dyDescent="0.25">
      <c r="B52" s="2" t="s">
        <v>5959</v>
      </c>
      <c r="C52" s="2" t="s">
        <v>5960</v>
      </c>
      <c r="D52" s="3">
        <v>27.12</v>
      </c>
      <c r="E52" s="3">
        <v>0</v>
      </c>
      <c r="F52" s="3">
        <v>0</v>
      </c>
      <c r="G52" s="3">
        <v>0</v>
      </c>
      <c r="H52" s="3">
        <v>83</v>
      </c>
      <c r="I52" s="3">
        <v>3.88</v>
      </c>
      <c r="J52" s="3">
        <v>4.24</v>
      </c>
      <c r="K52" s="3">
        <v>0.94</v>
      </c>
    </row>
    <row r="53" spans="2:11" x14ac:dyDescent="0.25">
      <c r="B53" s="2" t="s">
        <v>5961</v>
      </c>
      <c r="C53" s="2" t="s">
        <v>5962</v>
      </c>
      <c r="D53" s="3">
        <v>24.94</v>
      </c>
      <c r="E53" s="3">
        <v>0</v>
      </c>
      <c r="F53" s="3">
        <v>0</v>
      </c>
      <c r="G53" s="3">
        <v>0</v>
      </c>
      <c r="H53" s="3">
        <v>68</v>
      </c>
      <c r="I53" s="3">
        <v>4.08</v>
      </c>
      <c r="J53" s="3">
        <v>4.3600000000000003</v>
      </c>
      <c r="K53" s="3">
        <v>0.95</v>
      </c>
    </row>
    <row r="54" spans="2:11" x14ac:dyDescent="0.25">
      <c r="B54" s="2" t="s">
        <v>5963</v>
      </c>
      <c r="C54" s="2" t="s">
        <v>5964</v>
      </c>
      <c r="D54" s="3">
        <v>16.79</v>
      </c>
      <c r="E54" s="3">
        <v>0</v>
      </c>
      <c r="F54" s="3">
        <v>0</v>
      </c>
      <c r="H54" s="3">
        <v>60</v>
      </c>
      <c r="I54" s="3">
        <v>9.15</v>
      </c>
      <c r="J54" s="3">
        <v>8.58</v>
      </c>
      <c r="K54" s="3">
        <v>1.65</v>
      </c>
    </row>
    <row r="55" spans="2:11" x14ac:dyDescent="0.25">
      <c r="B55" s="2" t="s">
        <v>5965</v>
      </c>
      <c r="C55" s="2" t="s">
        <v>5966</v>
      </c>
      <c r="D55" s="3">
        <v>30.39</v>
      </c>
      <c r="E55" s="3">
        <v>0</v>
      </c>
      <c r="F55" s="3">
        <v>0</v>
      </c>
      <c r="H55" s="3">
        <v>72</v>
      </c>
      <c r="I55" s="3">
        <v>9.8699999999999992</v>
      </c>
      <c r="J55" s="3">
        <v>10.18</v>
      </c>
      <c r="K55" s="3">
        <v>1.71</v>
      </c>
    </row>
    <row r="56" spans="2:11" x14ac:dyDescent="0.25">
      <c r="B56" s="2" t="s">
        <v>5967</v>
      </c>
      <c r="C56" s="2" t="s">
        <v>5968</v>
      </c>
      <c r="D56" s="3">
        <v>24.44</v>
      </c>
      <c r="E56" s="3">
        <v>0</v>
      </c>
      <c r="F56" s="3">
        <v>0</v>
      </c>
      <c r="H56" s="3">
        <v>77</v>
      </c>
      <c r="I56" s="3">
        <v>8.3699999999999992</v>
      </c>
      <c r="J56" s="3">
        <v>8.01</v>
      </c>
      <c r="K56" s="3">
        <v>1.57</v>
      </c>
    </row>
    <row r="57" spans="2:11" x14ac:dyDescent="0.25">
      <c r="B57" s="2" t="s">
        <v>5969</v>
      </c>
      <c r="C57" s="2" t="s">
        <v>5970</v>
      </c>
      <c r="D57" s="3">
        <v>22.53</v>
      </c>
      <c r="E57" s="3">
        <v>0</v>
      </c>
      <c r="F57" s="3">
        <v>0</v>
      </c>
      <c r="H57" s="3">
        <v>65</v>
      </c>
      <c r="I57" s="3">
        <v>8.74</v>
      </c>
      <c r="J57" s="3">
        <v>8.3000000000000007</v>
      </c>
      <c r="K57" s="3">
        <v>1.61</v>
      </c>
    </row>
    <row r="58" spans="2:11" x14ac:dyDescent="0.25">
      <c r="B58" s="2" t="s">
        <v>5971</v>
      </c>
      <c r="C58" s="2" t="s">
        <v>5972</v>
      </c>
      <c r="D58" s="3">
        <v>19.989999999999998</v>
      </c>
      <c r="E58" s="3">
        <v>0</v>
      </c>
      <c r="F58" s="3">
        <v>0</v>
      </c>
      <c r="H58" s="3">
        <v>69</v>
      </c>
      <c r="I58" s="3">
        <v>1.86</v>
      </c>
      <c r="J58" s="3">
        <v>2.09</v>
      </c>
      <c r="K58" s="3">
        <v>0.48</v>
      </c>
    </row>
    <row r="59" spans="2:11" x14ac:dyDescent="0.25">
      <c r="B59" s="2" t="s">
        <v>5973</v>
      </c>
      <c r="C59" s="2" t="s">
        <v>5974</v>
      </c>
      <c r="D59" s="3">
        <v>35.54</v>
      </c>
      <c r="E59" s="3">
        <v>0</v>
      </c>
      <c r="F59" s="3">
        <v>0</v>
      </c>
      <c r="H59" s="3">
        <v>76</v>
      </c>
      <c r="I59" s="3">
        <v>5.03</v>
      </c>
      <c r="J59" s="3">
        <v>6.17</v>
      </c>
      <c r="K59" s="3">
        <v>0.92</v>
      </c>
    </row>
    <row r="60" spans="2:11" x14ac:dyDescent="0.25">
      <c r="B60" s="2" t="s">
        <v>5975</v>
      </c>
      <c r="C60" s="2" t="s">
        <v>5976</v>
      </c>
      <c r="D60" s="3">
        <v>27.71</v>
      </c>
      <c r="E60" s="3">
        <v>0</v>
      </c>
      <c r="F60" s="3">
        <v>0</v>
      </c>
      <c r="H60" s="3">
        <v>82</v>
      </c>
      <c r="I60" s="3">
        <v>3.42</v>
      </c>
      <c r="J60" s="3">
        <v>3.65</v>
      </c>
      <c r="K60" s="3">
        <v>0.8</v>
      </c>
    </row>
    <row r="61" spans="2:11" x14ac:dyDescent="0.25">
      <c r="B61" s="2" t="s">
        <v>5977</v>
      </c>
      <c r="C61" s="2" t="s">
        <v>5978</v>
      </c>
      <c r="D61" s="3">
        <v>25.46</v>
      </c>
      <c r="E61" s="3">
        <v>0</v>
      </c>
      <c r="F61" s="3">
        <v>0</v>
      </c>
      <c r="H61" s="3">
        <v>67</v>
      </c>
      <c r="I61" s="3">
        <v>3.59</v>
      </c>
      <c r="J61" s="3">
        <v>3.76</v>
      </c>
      <c r="K61" s="3">
        <v>0.8</v>
      </c>
    </row>
    <row r="62" spans="2:11" x14ac:dyDescent="0.25">
      <c r="B62" s="2" t="s">
        <v>5979</v>
      </c>
      <c r="C62" s="2" t="s">
        <v>5980</v>
      </c>
      <c r="D62" s="3">
        <v>16.63</v>
      </c>
      <c r="E62" s="3">
        <v>0</v>
      </c>
      <c r="F62" s="3">
        <v>0</v>
      </c>
      <c r="H62" s="3">
        <v>62</v>
      </c>
      <c r="I62" s="3">
        <v>8.93</v>
      </c>
      <c r="J62" s="3">
        <v>8.5399999999999991</v>
      </c>
      <c r="K62" s="3">
        <v>1.68</v>
      </c>
    </row>
    <row r="63" spans="2:11" x14ac:dyDescent="0.25">
      <c r="B63" s="2" t="s">
        <v>5981</v>
      </c>
      <c r="C63" s="2" t="s">
        <v>5982</v>
      </c>
      <c r="D63" s="3">
        <v>28.51</v>
      </c>
      <c r="E63" s="3">
        <v>0</v>
      </c>
      <c r="F63" s="3">
        <v>0</v>
      </c>
      <c r="H63" s="3">
        <v>75</v>
      </c>
      <c r="I63" s="3">
        <v>10.29</v>
      </c>
      <c r="J63" s="3">
        <v>10.1</v>
      </c>
      <c r="K63" s="3">
        <v>2.0299999999999998</v>
      </c>
    </row>
    <row r="64" spans="2:11" x14ac:dyDescent="0.25">
      <c r="B64" s="2" t="s">
        <v>5983</v>
      </c>
      <c r="C64" s="2" t="s">
        <v>5984</v>
      </c>
      <c r="D64" s="3">
        <v>23.08</v>
      </c>
      <c r="E64" s="3">
        <v>0</v>
      </c>
      <c r="F64" s="3">
        <v>0</v>
      </c>
      <c r="G64" s="3">
        <v>0</v>
      </c>
      <c r="H64" s="3">
        <v>82</v>
      </c>
      <c r="I64" s="3">
        <v>8.18</v>
      </c>
      <c r="J64" s="3">
        <v>8.4600000000000009</v>
      </c>
      <c r="K64" s="3">
        <v>1.42</v>
      </c>
    </row>
    <row r="65" spans="2:11" x14ac:dyDescent="0.25">
      <c r="B65" s="2" t="s">
        <v>5985</v>
      </c>
      <c r="C65" s="2" t="s">
        <v>5986</v>
      </c>
      <c r="D65" s="3">
        <v>22.25</v>
      </c>
      <c r="E65" s="3">
        <v>0</v>
      </c>
      <c r="F65" s="3">
        <v>0</v>
      </c>
      <c r="H65" s="3">
        <v>66</v>
      </c>
      <c r="I65" s="3">
        <v>8.64</v>
      </c>
      <c r="J65" s="3">
        <v>8.42</v>
      </c>
      <c r="K65" s="3">
        <v>1.68</v>
      </c>
    </row>
    <row r="66" spans="2:11" x14ac:dyDescent="0.25">
      <c r="B66" s="2" t="s">
        <v>5987</v>
      </c>
      <c r="C66" s="2" t="s">
        <v>5988</v>
      </c>
      <c r="D66" s="3">
        <v>19.29</v>
      </c>
      <c r="E66" s="3">
        <v>0</v>
      </c>
      <c r="F66" s="3">
        <v>0</v>
      </c>
      <c r="H66" s="3">
        <v>70</v>
      </c>
      <c r="I66" s="3">
        <v>2.73</v>
      </c>
      <c r="J66" s="3">
        <v>3.07</v>
      </c>
      <c r="K66" s="3">
        <v>0.7</v>
      </c>
    </row>
    <row r="67" spans="2:11" x14ac:dyDescent="0.25">
      <c r="B67" s="2" t="s">
        <v>5989</v>
      </c>
      <c r="C67" s="2" t="s">
        <v>5990</v>
      </c>
      <c r="D67" s="3">
        <v>32.35</v>
      </c>
      <c r="E67" s="3">
        <v>0</v>
      </c>
      <c r="F67" s="3">
        <v>0</v>
      </c>
      <c r="H67" s="3">
        <v>79</v>
      </c>
      <c r="I67" s="3">
        <v>6.37</v>
      </c>
      <c r="J67" s="3">
        <v>6.74</v>
      </c>
      <c r="K67" s="3">
        <v>1.46</v>
      </c>
    </row>
    <row r="68" spans="2:11" x14ac:dyDescent="0.25">
      <c r="B68" s="2" t="s">
        <v>5991</v>
      </c>
      <c r="C68" s="2" t="s">
        <v>5992</v>
      </c>
      <c r="D68" s="3">
        <v>25.48</v>
      </c>
      <c r="E68" s="3">
        <v>0</v>
      </c>
      <c r="F68" s="3">
        <v>0</v>
      </c>
      <c r="H68" s="3">
        <v>88</v>
      </c>
      <c r="I68" s="3">
        <v>4.04</v>
      </c>
      <c r="J68" s="3">
        <v>4.96</v>
      </c>
      <c r="K68" s="3">
        <v>0.74</v>
      </c>
    </row>
    <row r="69" spans="2:11" x14ac:dyDescent="0.25">
      <c r="B69" s="2" t="s">
        <v>5993</v>
      </c>
      <c r="C69" s="2" t="s">
        <v>5994</v>
      </c>
      <c r="D69" s="3">
        <v>24.61</v>
      </c>
      <c r="E69" s="3">
        <v>0</v>
      </c>
      <c r="F69" s="3">
        <v>0</v>
      </c>
      <c r="H69" s="3">
        <v>68</v>
      </c>
      <c r="I69" s="3">
        <v>4.34</v>
      </c>
      <c r="J69" s="3">
        <v>4.68</v>
      </c>
      <c r="K69" s="3">
        <v>1.03</v>
      </c>
    </row>
    <row r="70" spans="2:11" x14ac:dyDescent="0.25">
      <c r="B70" s="2" t="s">
        <v>5995</v>
      </c>
      <c r="C70" s="2" t="s">
        <v>5996</v>
      </c>
      <c r="D70" s="3">
        <v>20.21</v>
      </c>
      <c r="E70" s="3">
        <v>0</v>
      </c>
      <c r="F70" s="3">
        <v>0</v>
      </c>
      <c r="H70" s="3">
        <v>65</v>
      </c>
      <c r="I70" s="3">
        <v>1.89</v>
      </c>
      <c r="J70" s="3">
        <v>2.13</v>
      </c>
      <c r="K70" s="3">
        <v>0.48</v>
      </c>
    </row>
    <row r="71" spans="2:11" x14ac:dyDescent="0.25">
      <c r="B71" s="2" t="s">
        <v>5997</v>
      </c>
      <c r="C71" s="2" t="s">
        <v>5998</v>
      </c>
      <c r="D71" s="3">
        <v>33.69</v>
      </c>
      <c r="E71" s="3">
        <v>0</v>
      </c>
      <c r="F71" s="3">
        <v>0</v>
      </c>
      <c r="G71" s="3">
        <v>0</v>
      </c>
      <c r="H71" s="3">
        <v>70</v>
      </c>
      <c r="I71" s="3">
        <v>3.15</v>
      </c>
      <c r="J71" s="3">
        <v>3.54</v>
      </c>
      <c r="K71" s="3">
        <v>0.81</v>
      </c>
    </row>
    <row r="72" spans="2:11" x14ac:dyDescent="0.25">
      <c r="B72" s="2" t="s">
        <v>5999</v>
      </c>
      <c r="C72" s="2" t="s">
        <v>6000</v>
      </c>
      <c r="D72" s="3">
        <v>28.08</v>
      </c>
      <c r="E72" s="3">
        <v>0</v>
      </c>
      <c r="F72" s="3">
        <v>0</v>
      </c>
      <c r="H72" s="3">
        <v>76</v>
      </c>
      <c r="I72" s="3">
        <v>2.62</v>
      </c>
      <c r="J72" s="3">
        <v>2.95</v>
      </c>
      <c r="K72" s="3">
        <v>0.67</v>
      </c>
    </row>
    <row r="73" spans="2:11" x14ac:dyDescent="0.25">
      <c r="B73" s="2" t="s">
        <v>6001</v>
      </c>
      <c r="C73" s="2" t="s">
        <v>6002</v>
      </c>
      <c r="D73" s="3">
        <v>16.739999999999998</v>
      </c>
      <c r="E73" s="3">
        <v>0</v>
      </c>
      <c r="F73" s="3">
        <v>0</v>
      </c>
      <c r="H73" s="3">
        <v>39</v>
      </c>
      <c r="I73" s="3">
        <v>11.57</v>
      </c>
      <c r="J73" s="3">
        <v>8.7200000000000006</v>
      </c>
      <c r="K73" s="3">
        <v>0.98</v>
      </c>
    </row>
    <row r="74" spans="2:11" x14ac:dyDescent="0.25">
      <c r="B74" s="2" t="s">
        <v>6003</v>
      </c>
      <c r="C74" s="2" t="s">
        <v>6004</v>
      </c>
      <c r="D74" s="3">
        <v>24.42</v>
      </c>
      <c r="E74" s="3">
        <v>0</v>
      </c>
      <c r="F74" s="3">
        <v>0</v>
      </c>
      <c r="H74" s="3">
        <v>46</v>
      </c>
      <c r="I74" s="3">
        <v>11.05</v>
      </c>
      <c r="J74" s="3">
        <v>8.59</v>
      </c>
      <c r="K74" s="3">
        <v>1.04</v>
      </c>
    </row>
    <row r="75" spans="2:11" x14ac:dyDescent="0.25">
      <c r="B75" s="2" t="s">
        <v>6005</v>
      </c>
      <c r="C75" s="2" t="s">
        <v>6006</v>
      </c>
      <c r="D75" s="3">
        <v>20.75</v>
      </c>
      <c r="E75" s="3">
        <v>0</v>
      </c>
      <c r="F75" s="3">
        <v>0</v>
      </c>
      <c r="H75" s="3">
        <v>46</v>
      </c>
      <c r="I75" s="3">
        <v>1.88</v>
      </c>
      <c r="J75" s="3">
        <v>1.69</v>
      </c>
      <c r="K75" s="3">
        <v>0.22</v>
      </c>
    </row>
    <row r="76" spans="2:11" x14ac:dyDescent="0.25">
      <c r="B76" s="2" t="s">
        <v>6007</v>
      </c>
      <c r="C76" s="2" t="s">
        <v>6008</v>
      </c>
      <c r="D76" s="3">
        <v>29.59</v>
      </c>
      <c r="E76" s="3">
        <v>0</v>
      </c>
      <c r="F76" s="3">
        <v>0</v>
      </c>
      <c r="H76" s="3">
        <v>50</v>
      </c>
      <c r="I76" s="3">
        <v>3.86</v>
      </c>
      <c r="J76" s="3">
        <v>3.48</v>
      </c>
      <c r="K76" s="3">
        <v>0.52</v>
      </c>
    </row>
    <row r="77" spans="2:11" x14ac:dyDescent="0.25">
      <c r="B77" s="2" t="s">
        <v>6009</v>
      </c>
      <c r="C77" s="2" t="s">
        <v>6010</v>
      </c>
      <c r="D77" s="3">
        <v>6.92</v>
      </c>
      <c r="E77" s="3">
        <v>0</v>
      </c>
      <c r="F77" s="3">
        <v>0</v>
      </c>
      <c r="H77" s="3">
        <v>22</v>
      </c>
      <c r="I77" s="3">
        <v>35.29</v>
      </c>
      <c r="J77" s="3">
        <v>25.93</v>
      </c>
      <c r="K77" s="3">
        <v>2.83</v>
      </c>
    </row>
    <row r="78" spans="2:11" x14ac:dyDescent="0.25">
      <c r="B78" s="2" t="s">
        <v>6011</v>
      </c>
      <c r="C78" s="2" t="s">
        <v>6012</v>
      </c>
      <c r="D78" s="3">
        <v>9.7200000000000006</v>
      </c>
      <c r="E78" s="3">
        <v>0</v>
      </c>
      <c r="F78" s="3">
        <v>0</v>
      </c>
      <c r="H78" s="3">
        <v>35</v>
      </c>
      <c r="I78" s="3">
        <v>31.51</v>
      </c>
      <c r="J78" s="3">
        <v>23.15</v>
      </c>
      <c r="K78" s="3">
        <v>2.52</v>
      </c>
    </row>
    <row r="79" spans="2:11" x14ac:dyDescent="0.25">
      <c r="B79" s="2" t="s">
        <v>6013</v>
      </c>
      <c r="C79" s="2" t="s">
        <v>6014</v>
      </c>
      <c r="D79" s="3">
        <v>20.09</v>
      </c>
      <c r="E79" s="3">
        <v>0.09</v>
      </c>
      <c r="F79" s="3">
        <v>0</v>
      </c>
      <c r="G79" s="3">
        <v>0</v>
      </c>
      <c r="H79" s="3">
        <v>76</v>
      </c>
      <c r="I79" s="3">
        <v>4.6210000000000004</v>
      </c>
      <c r="J79" s="3">
        <v>3.2829999999999999</v>
      </c>
      <c r="K79" s="3">
        <v>0.51800000000000002</v>
      </c>
    </row>
    <row r="80" spans="2:11" x14ac:dyDescent="0.25">
      <c r="B80" s="2" t="s">
        <v>6015</v>
      </c>
      <c r="C80" s="2" t="s">
        <v>6016</v>
      </c>
      <c r="D80" s="3">
        <v>30.35</v>
      </c>
      <c r="E80" s="3">
        <v>0.03</v>
      </c>
      <c r="F80" s="3">
        <v>0</v>
      </c>
      <c r="G80" s="3">
        <v>0</v>
      </c>
      <c r="H80" s="3">
        <v>74</v>
      </c>
      <c r="I80" s="3">
        <v>5.56</v>
      </c>
      <c r="J80" s="3">
        <v>4.1189999999999998</v>
      </c>
      <c r="K80" s="3">
        <v>0.69699999999999995</v>
      </c>
    </row>
    <row r="81" spans="2:11" x14ac:dyDescent="0.25">
      <c r="B81" s="2" t="s">
        <v>6017</v>
      </c>
      <c r="C81" s="2" t="s">
        <v>6018</v>
      </c>
      <c r="D81" s="3">
        <v>22.05</v>
      </c>
      <c r="E81" s="3">
        <v>0</v>
      </c>
      <c r="F81" s="3">
        <v>0</v>
      </c>
      <c r="G81" s="3">
        <v>0</v>
      </c>
      <c r="H81" s="3">
        <v>82</v>
      </c>
      <c r="I81" s="3">
        <v>1.278</v>
      </c>
      <c r="J81" s="3">
        <v>1.137</v>
      </c>
      <c r="K81" s="3">
        <v>0.29399999999999998</v>
      </c>
    </row>
    <row r="82" spans="2:11" x14ac:dyDescent="0.25">
      <c r="B82" s="2" t="s">
        <v>6019</v>
      </c>
      <c r="C82" s="2" t="s">
        <v>6020</v>
      </c>
      <c r="D82" s="3">
        <v>33.31</v>
      </c>
      <c r="E82" s="3">
        <v>0</v>
      </c>
      <c r="F82" s="3">
        <v>0</v>
      </c>
      <c r="G82" s="3">
        <v>0</v>
      </c>
      <c r="H82" s="3">
        <v>77</v>
      </c>
      <c r="I82" s="3">
        <v>2.6309999999999998</v>
      </c>
      <c r="J82" s="3">
        <v>2.2690000000000001</v>
      </c>
      <c r="K82" s="3">
        <v>0.50600000000000001</v>
      </c>
    </row>
    <row r="83" spans="2:11" x14ac:dyDescent="0.25">
      <c r="B83" s="2" t="s">
        <v>6021</v>
      </c>
      <c r="C83" s="2" t="s">
        <v>6022</v>
      </c>
      <c r="D83" s="3">
        <v>18.64</v>
      </c>
      <c r="E83" s="3">
        <v>0.13</v>
      </c>
      <c r="F83" s="3">
        <v>0</v>
      </c>
      <c r="G83" s="3">
        <v>0</v>
      </c>
      <c r="H83" s="3">
        <v>59</v>
      </c>
      <c r="I83" s="3">
        <v>5.9020000000000001</v>
      </c>
      <c r="J83" s="3">
        <v>4.1520000000000001</v>
      </c>
      <c r="K83" s="3">
        <v>0.61899999999999999</v>
      </c>
    </row>
    <row r="84" spans="2:11" x14ac:dyDescent="0.25">
      <c r="B84" s="2" t="s">
        <v>6023</v>
      </c>
      <c r="C84" s="2" t="s">
        <v>6024</v>
      </c>
      <c r="D84" s="3">
        <v>24.81</v>
      </c>
      <c r="E84" s="3">
        <v>0</v>
      </c>
      <c r="F84" s="3">
        <v>0</v>
      </c>
      <c r="H84" s="3">
        <v>43</v>
      </c>
      <c r="I84" s="3">
        <v>7.61</v>
      </c>
      <c r="J84" s="3">
        <v>6.01</v>
      </c>
      <c r="K84" s="3">
        <v>0.75</v>
      </c>
    </row>
    <row r="85" spans="2:11" x14ac:dyDescent="0.25">
      <c r="B85" s="2" t="s">
        <v>6025</v>
      </c>
      <c r="C85" s="2" t="s">
        <v>6026</v>
      </c>
      <c r="D85" s="3">
        <v>21.1</v>
      </c>
      <c r="E85" s="3">
        <v>0</v>
      </c>
      <c r="F85" s="3">
        <v>0</v>
      </c>
      <c r="G85" s="3">
        <v>0</v>
      </c>
      <c r="H85" s="3">
        <v>64</v>
      </c>
      <c r="I85" s="3">
        <v>1.512</v>
      </c>
      <c r="J85" s="3">
        <v>1.37</v>
      </c>
      <c r="K85" s="3">
        <v>0.32500000000000001</v>
      </c>
    </row>
    <row r="86" spans="2:11" x14ac:dyDescent="0.25">
      <c r="B86" s="2" t="s">
        <v>6027</v>
      </c>
      <c r="C86" s="2" t="s">
        <v>6028</v>
      </c>
      <c r="D86" s="3">
        <v>27.68</v>
      </c>
      <c r="E86" s="3">
        <v>0</v>
      </c>
      <c r="F86" s="3">
        <v>0</v>
      </c>
      <c r="H86" s="3">
        <v>45</v>
      </c>
      <c r="I86" s="3">
        <v>3.05</v>
      </c>
      <c r="J86" s="3">
        <v>2.75</v>
      </c>
      <c r="K86" s="3">
        <v>0.41</v>
      </c>
    </row>
    <row r="87" spans="2:11" x14ac:dyDescent="0.25">
      <c r="B87" s="2" t="s">
        <v>6029</v>
      </c>
      <c r="C87" s="2" t="s">
        <v>6030</v>
      </c>
      <c r="D87" s="3">
        <v>15.4</v>
      </c>
      <c r="E87" s="3">
        <v>0.22</v>
      </c>
      <c r="F87" s="3">
        <v>0</v>
      </c>
      <c r="G87" s="3">
        <v>0</v>
      </c>
      <c r="H87" s="3">
        <v>63</v>
      </c>
      <c r="I87" s="3">
        <v>11.161</v>
      </c>
      <c r="J87" s="3">
        <v>7.4649999999999999</v>
      </c>
      <c r="K87" s="3">
        <v>0.96699999999999997</v>
      </c>
    </row>
    <row r="88" spans="2:11" x14ac:dyDescent="0.25">
      <c r="B88" s="2" t="s">
        <v>6031</v>
      </c>
      <c r="C88" s="2" t="s">
        <v>6032</v>
      </c>
      <c r="D88" s="3">
        <v>23.43</v>
      </c>
      <c r="E88" s="3">
        <v>0</v>
      </c>
      <c r="F88" s="3">
        <v>0</v>
      </c>
      <c r="G88" s="3">
        <v>0</v>
      </c>
      <c r="H88" s="3">
        <v>49</v>
      </c>
      <c r="I88" s="3">
        <v>11.96</v>
      </c>
      <c r="J88" s="3">
        <v>9.1999999999999993</v>
      </c>
      <c r="K88" s="3">
        <v>1.0900000000000001</v>
      </c>
    </row>
    <row r="89" spans="2:11" x14ac:dyDescent="0.25">
      <c r="B89" s="2" t="s">
        <v>6033</v>
      </c>
      <c r="C89" s="2" t="s">
        <v>6034</v>
      </c>
      <c r="D89" s="3">
        <v>19.98</v>
      </c>
      <c r="E89" s="3">
        <v>0</v>
      </c>
      <c r="F89" s="3">
        <v>0</v>
      </c>
      <c r="G89" s="3">
        <v>0</v>
      </c>
      <c r="H89" s="3">
        <v>77</v>
      </c>
      <c r="I89" s="3">
        <v>2.7639999999999998</v>
      </c>
      <c r="J89" s="3">
        <v>2.0089999999999999</v>
      </c>
      <c r="K89" s="3">
        <v>0.41599999999999998</v>
      </c>
    </row>
    <row r="90" spans="2:11" x14ac:dyDescent="0.25">
      <c r="B90" s="2" t="s">
        <v>6035</v>
      </c>
      <c r="C90" s="2" t="s">
        <v>6036</v>
      </c>
      <c r="D90" s="3">
        <v>29.31</v>
      </c>
      <c r="E90" s="3">
        <v>0</v>
      </c>
      <c r="F90" s="3">
        <v>0</v>
      </c>
      <c r="H90" s="3">
        <v>55</v>
      </c>
      <c r="I90" s="3">
        <v>3.58</v>
      </c>
      <c r="J90" s="3">
        <v>3.22</v>
      </c>
      <c r="K90" s="3">
        <v>0.47</v>
      </c>
    </row>
    <row r="91" spans="2:11" x14ac:dyDescent="0.25">
      <c r="B91" s="2" t="s">
        <v>6037</v>
      </c>
      <c r="C91" s="2" t="s">
        <v>6038</v>
      </c>
      <c r="D91" s="3">
        <v>18.12</v>
      </c>
      <c r="E91" s="3">
        <v>0.13</v>
      </c>
      <c r="F91" s="3">
        <v>0</v>
      </c>
      <c r="G91" s="3">
        <v>0</v>
      </c>
      <c r="H91" s="3">
        <v>61</v>
      </c>
      <c r="I91" s="3">
        <v>7.2290000000000001</v>
      </c>
      <c r="J91" s="3">
        <v>4.9039999999999999</v>
      </c>
      <c r="K91" s="3">
        <v>0.71899999999999997</v>
      </c>
    </row>
    <row r="92" spans="2:11" x14ac:dyDescent="0.25">
      <c r="B92" s="2" t="s">
        <v>6039</v>
      </c>
      <c r="C92" s="2" t="s">
        <v>6040</v>
      </c>
      <c r="D92" s="3">
        <v>22.06</v>
      </c>
      <c r="E92" s="3">
        <v>0.04</v>
      </c>
      <c r="F92" s="3">
        <v>0</v>
      </c>
      <c r="G92" s="3">
        <v>0</v>
      </c>
      <c r="H92" s="3">
        <v>69</v>
      </c>
      <c r="I92" s="3">
        <v>7.0659999999999998</v>
      </c>
      <c r="J92" s="3">
        <v>4.7869999999999999</v>
      </c>
      <c r="K92" s="3">
        <v>0.73399999999999999</v>
      </c>
    </row>
    <row r="93" spans="2:11" x14ac:dyDescent="0.25">
      <c r="B93" s="2" t="s">
        <v>6041</v>
      </c>
      <c r="C93" s="2" t="s">
        <v>6042</v>
      </c>
      <c r="D93" s="3">
        <v>20.65</v>
      </c>
      <c r="E93" s="3">
        <v>0</v>
      </c>
      <c r="F93" s="3">
        <v>0</v>
      </c>
      <c r="G93" s="3">
        <v>0</v>
      </c>
      <c r="H93" s="3">
        <v>67</v>
      </c>
      <c r="I93" s="3">
        <v>2.782</v>
      </c>
      <c r="J93" s="3">
        <v>2.036</v>
      </c>
      <c r="K93" s="3">
        <v>0.42599999999999999</v>
      </c>
    </row>
    <row r="94" spans="2:11" x14ac:dyDescent="0.25">
      <c r="B94" s="2" t="s">
        <v>6043</v>
      </c>
      <c r="C94" s="2" t="s">
        <v>6044</v>
      </c>
      <c r="D94" s="3">
        <v>24.43</v>
      </c>
      <c r="E94" s="3">
        <v>0</v>
      </c>
      <c r="F94" s="3">
        <v>0</v>
      </c>
      <c r="G94" s="3">
        <v>0</v>
      </c>
      <c r="H94" s="3">
        <v>72</v>
      </c>
      <c r="I94" s="3">
        <v>3.6640000000000001</v>
      </c>
      <c r="J94" s="3">
        <v>2.601</v>
      </c>
      <c r="K94" s="3">
        <v>0.503</v>
      </c>
    </row>
    <row r="95" spans="2:11" x14ac:dyDescent="0.25">
      <c r="B95" s="2" t="s">
        <v>6045</v>
      </c>
      <c r="C95" s="2" t="s">
        <v>6046</v>
      </c>
      <c r="D95" s="3">
        <v>16.16</v>
      </c>
      <c r="E95" s="3">
        <v>0.24</v>
      </c>
      <c r="F95" s="3">
        <v>0</v>
      </c>
      <c r="G95" s="3">
        <v>0</v>
      </c>
      <c r="H95" s="3">
        <v>64</v>
      </c>
      <c r="I95" s="3">
        <v>9.8550000000000004</v>
      </c>
      <c r="J95" s="3">
        <v>6.6369999999999996</v>
      </c>
      <c r="K95" s="3">
        <v>0.96799999999999997</v>
      </c>
    </row>
    <row r="96" spans="2:11" x14ac:dyDescent="0.25">
      <c r="B96" s="2" t="s">
        <v>6047</v>
      </c>
      <c r="C96" s="2" t="s">
        <v>6048</v>
      </c>
      <c r="D96" s="3">
        <v>28.21</v>
      </c>
      <c r="E96" s="3">
        <v>0</v>
      </c>
      <c r="F96" s="3">
        <v>0</v>
      </c>
      <c r="H96" s="3">
        <v>51</v>
      </c>
      <c r="I96" s="3">
        <v>12.74</v>
      </c>
      <c r="J96" s="3">
        <v>10.220000000000001</v>
      </c>
      <c r="K96" s="3">
        <v>1.33</v>
      </c>
    </row>
    <row r="97" spans="2:11" x14ac:dyDescent="0.25">
      <c r="B97" s="2" t="s">
        <v>6049</v>
      </c>
      <c r="C97" s="2" t="s">
        <v>6050</v>
      </c>
      <c r="D97" s="3">
        <v>19.72</v>
      </c>
      <c r="E97" s="3">
        <v>0</v>
      </c>
      <c r="F97" s="3">
        <v>0</v>
      </c>
      <c r="G97" s="3">
        <v>0</v>
      </c>
      <c r="H97" s="3">
        <v>73</v>
      </c>
      <c r="I97" s="3">
        <v>3.371</v>
      </c>
      <c r="J97" s="3">
        <v>2.5840000000000001</v>
      </c>
      <c r="K97" s="3">
        <v>0.55300000000000005</v>
      </c>
    </row>
    <row r="98" spans="2:11" x14ac:dyDescent="0.25">
      <c r="B98" s="2" t="s">
        <v>6051</v>
      </c>
      <c r="C98" s="2" t="s">
        <v>6052</v>
      </c>
      <c r="D98" s="3">
        <v>34.06</v>
      </c>
      <c r="E98" s="3">
        <v>0</v>
      </c>
      <c r="F98" s="3">
        <v>0</v>
      </c>
      <c r="H98" s="3">
        <v>56</v>
      </c>
      <c r="I98" s="3">
        <v>6.81</v>
      </c>
      <c r="J98" s="3">
        <v>6.14</v>
      </c>
      <c r="K98" s="3">
        <v>0.95</v>
      </c>
    </row>
    <row r="99" spans="2:11" x14ac:dyDescent="0.25">
      <c r="B99" s="2" t="s">
        <v>6053</v>
      </c>
      <c r="C99" s="2" t="s">
        <v>6054</v>
      </c>
      <c r="D99" s="3">
        <v>19.350000000000001</v>
      </c>
      <c r="E99" s="3">
        <v>0</v>
      </c>
      <c r="F99" s="3">
        <v>0</v>
      </c>
      <c r="H99" s="3">
        <v>82</v>
      </c>
      <c r="I99" s="3">
        <v>2.79</v>
      </c>
      <c r="J99" s="3">
        <v>2.57</v>
      </c>
      <c r="K99" s="3">
        <v>0.48</v>
      </c>
    </row>
    <row r="100" spans="2:11" x14ac:dyDescent="0.25">
      <c r="B100" s="2" t="s">
        <v>6055</v>
      </c>
      <c r="C100" s="2" t="s">
        <v>6056</v>
      </c>
      <c r="D100" s="3">
        <v>30.1</v>
      </c>
      <c r="E100" s="3">
        <v>0</v>
      </c>
      <c r="F100" s="3">
        <v>0</v>
      </c>
      <c r="G100" s="3">
        <v>0</v>
      </c>
      <c r="H100" s="3">
        <v>87</v>
      </c>
      <c r="I100" s="3">
        <v>4.28</v>
      </c>
      <c r="J100" s="3">
        <v>4.4000000000000004</v>
      </c>
      <c r="K100" s="3">
        <v>0.8</v>
      </c>
    </row>
    <row r="101" spans="2:11" x14ac:dyDescent="0.25">
      <c r="B101" s="2" t="s">
        <v>6057</v>
      </c>
      <c r="C101" s="2" t="s">
        <v>6058</v>
      </c>
      <c r="D101" s="3">
        <v>20.2</v>
      </c>
      <c r="E101" s="3">
        <v>0</v>
      </c>
      <c r="F101" s="3">
        <v>0</v>
      </c>
      <c r="H101" s="3">
        <v>86</v>
      </c>
      <c r="I101" s="3">
        <v>0.86</v>
      </c>
      <c r="J101" s="3">
        <v>0.92</v>
      </c>
      <c r="K101" s="3">
        <v>0.3</v>
      </c>
    </row>
    <row r="102" spans="2:11" x14ac:dyDescent="0.25">
      <c r="B102" s="2" t="s">
        <v>6059</v>
      </c>
      <c r="C102" s="2" t="s">
        <v>6060</v>
      </c>
      <c r="D102" s="3">
        <v>31.9</v>
      </c>
      <c r="E102" s="3">
        <v>0</v>
      </c>
      <c r="F102" s="3">
        <v>0</v>
      </c>
      <c r="G102" s="3">
        <v>0</v>
      </c>
      <c r="H102" s="3">
        <v>89</v>
      </c>
      <c r="I102" s="3">
        <v>1.84</v>
      </c>
      <c r="J102" s="3">
        <v>2.35</v>
      </c>
      <c r="K102" s="3">
        <v>0.59</v>
      </c>
    </row>
    <row r="103" spans="2:11" x14ac:dyDescent="0.25">
      <c r="B103" s="2" t="s">
        <v>6061</v>
      </c>
      <c r="C103" s="2" t="s">
        <v>6062</v>
      </c>
      <c r="D103" s="3">
        <v>6.02</v>
      </c>
      <c r="E103" s="3">
        <v>0</v>
      </c>
      <c r="F103" s="3">
        <v>0</v>
      </c>
      <c r="H103" s="3">
        <v>26</v>
      </c>
      <c r="I103" s="3">
        <v>32.92</v>
      </c>
      <c r="J103" s="3">
        <v>28.44</v>
      </c>
      <c r="K103" s="3">
        <v>3.28</v>
      </c>
    </row>
    <row r="104" spans="2:11" x14ac:dyDescent="0.25">
      <c r="B104" s="2" t="s">
        <v>6063</v>
      </c>
      <c r="C104" s="2" t="s">
        <v>6064</v>
      </c>
      <c r="D104" s="3">
        <v>9.42</v>
      </c>
      <c r="E104" s="3">
        <v>0</v>
      </c>
      <c r="F104" s="3">
        <v>0</v>
      </c>
      <c r="H104" s="3">
        <v>57</v>
      </c>
      <c r="I104" s="3">
        <v>32.39</v>
      </c>
      <c r="J104" s="3">
        <v>27.98</v>
      </c>
      <c r="K104" s="3">
        <v>3.23</v>
      </c>
    </row>
    <row r="105" spans="2:11" x14ac:dyDescent="0.25">
      <c r="B105" s="2" t="s">
        <v>6065</v>
      </c>
      <c r="C105" s="2" t="s">
        <v>6066</v>
      </c>
      <c r="D105" s="3">
        <v>20.98</v>
      </c>
      <c r="E105" s="3">
        <v>0</v>
      </c>
      <c r="F105" s="3">
        <v>0</v>
      </c>
      <c r="G105" s="3">
        <v>0</v>
      </c>
      <c r="H105" s="3">
        <v>63</v>
      </c>
      <c r="I105" s="3">
        <v>1.18</v>
      </c>
      <c r="J105" s="3">
        <v>1.1200000000000001</v>
      </c>
      <c r="K105" s="3">
        <v>0.24</v>
      </c>
    </row>
    <row r="106" spans="2:11" x14ac:dyDescent="0.25">
      <c r="B106" s="2" t="s">
        <v>6067</v>
      </c>
      <c r="C106" s="2" t="s">
        <v>6068</v>
      </c>
      <c r="D106" s="3">
        <v>36.159999999999997</v>
      </c>
      <c r="E106" s="3">
        <v>0</v>
      </c>
      <c r="F106" s="3">
        <v>0</v>
      </c>
      <c r="G106" s="3">
        <v>0</v>
      </c>
      <c r="H106" s="3">
        <v>67</v>
      </c>
      <c r="I106" s="3">
        <v>2.5299999999999998</v>
      </c>
      <c r="J106" s="3">
        <v>2.36</v>
      </c>
      <c r="K106" s="3">
        <v>0.47</v>
      </c>
    </row>
    <row r="107" spans="2:11" x14ac:dyDescent="0.25">
      <c r="B107" s="2" t="s">
        <v>6069</v>
      </c>
      <c r="C107" s="2" t="s">
        <v>6070</v>
      </c>
      <c r="D107" s="3">
        <v>27.29</v>
      </c>
      <c r="E107" s="3">
        <v>9.91</v>
      </c>
      <c r="F107" s="3">
        <v>0.3</v>
      </c>
      <c r="G107" s="3">
        <v>0.56999999999999995</v>
      </c>
      <c r="H107" s="3">
        <v>454</v>
      </c>
      <c r="I107" s="3">
        <v>3.06</v>
      </c>
      <c r="J107" s="3">
        <v>3.39</v>
      </c>
      <c r="K107" s="3">
        <v>1.49</v>
      </c>
    </row>
    <row r="108" spans="2:11" x14ac:dyDescent="0.25">
      <c r="B108" s="2" t="s">
        <v>6071</v>
      </c>
      <c r="C108" s="2" t="s">
        <v>6072</v>
      </c>
      <c r="D108" s="3">
        <v>31.75</v>
      </c>
      <c r="E108" s="3">
        <v>0</v>
      </c>
      <c r="F108" s="3">
        <v>0</v>
      </c>
      <c r="G108" s="3">
        <v>0</v>
      </c>
      <c r="H108" s="3">
        <v>76</v>
      </c>
      <c r="I108" s="3">
        <v>3.16</v>
      </c>
      <c r="J108" s="3">
        <v>3.23</v>
      </c>
      <c r="K108" s="3">
        <v>0.57999999999999996</v>
      </c>
    </row>
    <row r="109" spans="2:11" x14ac:dyDescent="0.25">
      <c r="B109" s="2" t="s">
        <v>6073</v>
      </c>
      <c r="C109" s="2" t="s">
        <v>6074</v>
      </c>
      <c r="D109" s="3">
        <v>27.7</v>
      </c>
      <c r="E109" s="3">
        <v>0</v>
      </c>
      <c r="F109" s="3">
        <v>0</v>
      </c>
      <c r="G109" s="3">
        <v>0</v>
      </c>
      <c r="H109" s="3">
        <v>68</v>
      </c>
      <c r="I109" s="3">
        <v>1.84</v>
      </c>
      <c r="J109" s="3">
        <v>1.73</v>
      </c>
      <c r="K109" s="3">
        <v>0.35</v>
      </c>
    </row>
    <row r="110" spans="2:11" x14ac:dyDescent="0.25">
      <c r="B110" s="2" t="s">
        <v>6075</v>
      </c>
      <c r="C110" s="2" t="s">
        <v>6076</v>
      </c>
      <c r="D110" s="3">
        <v>21.28</v>
      </c>
      <c r="E110" s="3">
        <v>0</v>
      </c>
      <c r="F110" s="3">
        <v>0</v>
      </c>
      <c r="H110" s="3">
        <v>64</v>
      </c>
      <c r="I110" s="3">
        <v>0.53</v>
      </c>
      <c r="J110" s="3">
        <v>0.56000000000000005</v>
      </c>
      <c r="K110" s="3">
        <v>0.18</v>
      </c>
    </row>
    <row r="111" spans="2:11" x14ac:dyDescent="0.25">
      <c r="B111" s="2" t="s">
        <v>6077</v>
      </c>
      <c r="C111" s="2" t="s">
        <v>6078</v>
      </c>
      <c r="D111" s="3">
        <v>36.71</v>
      </c>
      <c r="E111" s="3">
        <v>0</v>
      </c>
      <c r="F111" s="3">
        <v>0</v>
      </c>
      <c r="H111" s="3">
        <v>67</v>
      </c>
      <c r="I111" s="3">
        <v>1.92</v>
      </c>
      <c r="J111" s="3">
        <v>1.84</v>
      </c>
      <c r="K111" s="3">
        <v>0.41</v>
      </c>
    </row>
    <row r="112" spans="2:11" x14ac:dyDescent="0.25">
      <c r="B112" s="2" t="s">
        <v>6079</v>
      </c>
      <c r="C112" s="2" t="s">
        <v>6080</v>
      </c>
      <c r="D112" s="3">
        <v>28.41</v>
      </c>
      <c r="E112" s="3">
        <v>9.84</v>
      </c>
      <c r="F112" s="3">
        <v>0.2</v>
      </c>
      <c r="G112" s="3">
        <v>0.56999999999999995</v>
      </c>
      <c r="H112" s="3">
        <v>455</v>
      </c>
      <c r="I112" s="3">
        <v>1.6</v>
      </c>
      <c r="J112" s="3">
        <v>2.16</v>
      </c>
      <c r="K112" s="3">
        <v>1.35</v>
      </c>
    </row>
    <row r="113" spans="2:11" x14ac:dyDescent="0.25">
      <c r="B113" s="2" t="s">
        <v>6081</v>
      </c>
      <c r="C113" s="2" t="s">
        <v>6082</v>
      </c>
      <c r="D113" s="3">
        <v>33.17</v>
      </c>
      <c r="E113" s="3">
        <v>0</v>
      </c>
      <c r="F113" s="3">
        <v>0</v>
      </c>
      <c r="G113" s="3">
        <v>0</v>
      </c>
      <c r="H113" s="3">
        <v>77</v>
      </c>
      <c r="I113" s="3">
        <v>1.29</v>
      </c>
      <c r="J113" s="3">
        <v>1.65</v>
      </c>
      <c r="K113" s="3">
        <v>0.41</v>
      </c>
    </row>
    <row r="114" spans="2:11" x14ac:dyDescent="0.25">
      <c r="B114" s="2" t="s">
        <v>6083</v>
      </c>
      <c r="C114" s="2" t="s">
        <v>6084</v>
      </c>
      <c r="D114" s="3">
        <v>28.07</v>
      </c>
      <c r="E114" s="3">
        <v>0</v>
      </c>
      <c r="F114" s="3">
        <v>0</v>
      </c>
      <c r="H114" s="3">
        <v>68</v>
      </c>
      <c r="I114" s="3">
        <v>1.22</v>
      </c>
      <c r="J114" s="3">
        <v>1.19</v>
      </c>
      <c r="K114" s="3">
        <v>0.28999999999999998</v>
      </c>
    </row>
    <row r="115" spans="2:11" x14ac:dyDescent="0.25">
      <c r="B115" s="2" t="s">
        <v>6085</v>
      </c>
      <c r="C115" s="2" t="s">
        <v>6086</v>
      </c>
      <c r="D115" s="3">
        <v>20.07</v>
      </c>
      <c r="E115" s="3">
        <v>7.0000000000000007E-2</v>
      </c>
      <c r="F115" s="3">
        <v>0</v>
      </c>
      <c r="G115" s="3">
        <v>0</v>
      </c>
      <c r="H115" s="3">
        <v>98</v>
      </c>
      <c r="I115" s="3">
        <v>3.6070000000000002</v>
      </c>
      <c r="J115" s="3">
        <v>4.8079999999999998</v>
      </c>
      <c r="K115" s="3">
        <v>0.40400000000000003</v>
      </c>
    </row>
    <row r="116" spans="2:11" x14ac:dyDescent="0.25">
      <c r="B116" s="2" t="s">
        <v>6087</v>
      </c>
      <c r="C116" s="2" t="s">
        <v>6088</v>
      </c>
      <c r="D116" s="3">
        <v>30.19</v>
      </c>
      <c r="E116" s="3">
        <v>0</v>
      </c>
      <c r="F116" s="3">
        <v>0</v>
      </c>
      <c r="G116" s="3">
        <v>0</v>
      </c>
      <c r="H116" s="3">
        <v>80</v>
      </c>
      <c r="I116" s="3">
        <v>6.73</v>
      </c>
      <c r="J116" s="3">
        <v>6.73</v>
      </c>
      <c r="K116" s="3">
        <v>1.1599999999999999</v>
      </c>
    </row>
    <row r="117" spans="2:11" x14ac:dyDescent="0.25">
      <c r="B117" s="2" t="s">
        <v>6089</v>
      </c>
      <c r="C117" s="2" t="s">
        <v>6090</v>
      </c>
      <c r="D117" s="3">
        <v>24.8</v>
      </c>
      <c r="E117" s="3">
        <v>0</v>
      </c>
      <c r="F117" s="3">
        <v>0</v>
      </c>
      <c r="G117" s="3">
        <v>0</v>
      </c>
      <c r="H117" s="3">
        <v>93</v>
      </c>
      <c r="I117" s="3">
        <v>5.26</v>
      </c>
      <c r="J117" s="3">
        <v>4.78</v>
      </c>
      <c r="K117" s="3">
        <v>0.81</v>
      </c>
    </row>
    <row r="118" spans="2:11" x14ac:dyDescent="0.25">
      <c r="B118" s="2" t="s">
        <v>6091</v>
      </c>
      <c r="C118" s="2" t="s">
        <v>6092</v>
      </c>
      <c r="D118" s="3">
        <v>21.85</v>
      </c>
      <c r="E118" s="3">
        <v>0</v>
      </c>
      <c r="F118" s="3">
        <v>0</v>
      </c>
      <c r="G118" s="3">
        <v>0</v>
      </c>
      <c r="H118" s="3">
        <v>99</v>
      </c>
      <c r="I118" s="3">
        <v>1.121</v>
      </c>
      <c r="J118" s="3">
        <v>1.353</v>
      </c>
      <c r="K118" s="3">
        <v>0.193</v>
      </c>
    </row>
    <row r="119" spans="2:11" x14ac:dyDescent="0.25">
      <c r="B119" s="2" t="s">
        <v>6093</v>
      </c>
      <c r="C119" s="2" t="s">
        <v>6094</v>
      </c>
      <c r="D119" s="3">
        <v>33.57</v>
      </c>
      <c r="E119" s="3">
        <v>0</v>
      </c>
      <c r="F119" s="3">
        <v>0</v>
      </c>
      <c r="G119" s="3">
        <v>0</v>
      </c>
      <c r="H119" s="3">
        <v>84</v>
      </c>
      <c r="I119" s="3">
        <v>2.5499999999999998</v>
      </c>
      <c r="J119" s="3">
        <v>3.27</v>
      </c>
      <c r="K119" s="3">
        <v>0.82</v>
      </c>
    </row>
    <row r="120" spans="2:11" x14ac:dyDescent="0.25">
      <c r="B120" s="2" t="s">
        <v>6095</v>
      </c>
      <c r="C120" s="2" t="s">
        <v>6096</v>
      </c>
      <c r="D120" s="3">
        <v>26.32</v>
      </c>
      <c r="E120" s="3">
        <v>0</v>
      </c>
      <c r="F120" s="3">
        <v>0</v>
      </c>
      <c r="G120" s="3">
        <v>0</v>
      </c>
      <c r="H120" s="3">
        <v>96</v>
      </c>
      <c r="I120" s="3">
        <v>2.58</v>
      </c>
      <c r="J120" s="3">
        <v>2.4900000000000002</v>
      </c>
      <c r="K120" s="3">
        <v>0.56999999999999995</v>
      </c>
    </row>
    <row r="121" spans="2:11" x14ac:dyDescent="0.25">
      <c r="B121" s="2" t="s">
        <v>6097</v>
      </c>
      <c r="C121" s="2" t="s">
        <v>6098</v>
      </c>
      <c r="D121" s="3">
        <v>18.86</v>
      </c>
      <c r="E121" s="3">
        <v>0</v>
      </c>
      <c r="F121" s="3">
        <v>0</v>
      </c>
      <c r="H121" s="3">
        <v>89</v>
      </c>
      <c r="I121" s="3">
        <v>3.71</v>
      </c>
      <c r="J121" s="3">
        <v>3.43</v>
      </c>
      <c r="K121" s="3">
        <v>0.63</v>
      </c>
    </row>
    <row r="122" spans="2:11" x14ac:dyDescent="0.25">
      <c r="B122" s="2" t="s">
        <v>6099</v>
      </c>
      <c r="C122" s="2" t="s">
        <v>6100</v>
      </c>
      <c r="D122" s="3">
        <v>32.43</v>
      </c>
      <c r="E122" s="3">
        <v>0</v>
      </c>
      <c r="F122" s="3">
        <v>0</v>
      </c>
      <c r="G122" s="3">
        <v>0</v>
      </c>
      <c r="H122" s="3">
        <v>95</v>
      </c>
      <c r="I122" s="3">
        <v>4.95</v>
      </c>
      <c r="J122" s="3">
        <v>4.6500000000000004</v>
      </c>
      <c r="K122" s="3">
        <v>0.94</v>
      </c>
    </row>
    <row r="123" spans="2:11" x14ac:dyDescent="0.25">
      <c r="B123" s="2" t="s">
        <v>6101</v>
      </c>
      <c r="C123" s="2" t="s">
        <v>6102</v>
      </c>
      <c r="D123" s="3">
        <v>23.96</v>
      </c>
      <c r="E123" s="3">
        <v>0</v>
      </c>
      <c r="F123" s="3">
        <v>0</v>
      </c>
      <c r="H123" s="3">
        <v>92</v>
      </c>
      <c r="I123" s="3">
        <v>5.41</v>
      </c>
      <c r="J123" s="3">
        <v>5.44</v>
      </c>
      <c r="K123" s="3">
        <v>0.95</v>
      </c>
    </row>
    <row r="124" spans="2:11" x14ac:dyDescent="0.25">
      <c r="B124" s="2" t="s">
        <v>6103</v>
      </c>
      <c r="C124" s="2" t="s">
        <v>6104</v>
      </c>
      <c r="D124" s="3">
        <v>19.97</v>
      </c>
      <c r="E124" s="3">
        <v>0</v>
      </c>
      <c r="F124" s="3">
        <v>0</v>
      </c>
      <c r="H124" s="3">
        <v>95</v>
      </c>
      <c r="I124" s="3">
        <v>1.17</v>
      </c>
      <c r="J124" s="3">
        <v>1.25</v>
      </c>
      <c r="K124" s="3">
        <v>0.4</v>
      </c>
    </row>
    <row r="125" spans="2:11" x14ac:dyDescent="0.25">
      <c r="B125" s="2" t="s">
        <v>6105</v>
      </c>
      <c r="C125" s="2" t="s">
        <v>6106</v>
      </c>
      <c r="D125" s="3">
        <v>34.44</v>
      </c>
      <c r="E125" s="3">
        <v>0</v>
      </c>
      <c r="F125" s="3">
        <v>0</v>
      </c>
      <c r="G125" s="3">
        <v>0</v>
      </c>
      <c r="H125" s="3">
        <v>99</v>
      </c>
      <c r="I125" s="3">
        <v>2.56</v>
      </c>
      <c r="J125" s="3">
        <v>2.62</v>
      </c>
      <c r="K125" s="3">
        <v>0.74</v>
      </c>
    </row>
    <row r="126" spans="2:11" x14ac:dyDescent="0.25">
      <c r="B126" s="2" t="s">
        <v>6107</v>
      </c>
      <c r="C126" s="2" t="s">
        <v>6108</v>
      </c>
      <c r="D126" s="3">
        <v>25.76</v>
      </c>
      <c r="E126" s="3">
        <v>0</v>
      </c>
      <c r="F126" s="3">
        <v>0</v>
      </c>
      <c r="H126" s="3">
        <v>97</v>
      </c>
      <c r="I126" s="3">
        <v>2.08</v>
      </c>
      <c r="J126" s="3">
        <v>2.66</v>
      </c>
      <c r="K126" s="3">
        <v>0.67</v>
      </c>
    </row>
    <row r="127" spans="2:11" x14ac:dyDescent="0.25">
      <c r="B127" s="2" t="s">
        <v>6109</v>
      </c>
      <c r="C127" s="2" t="s">
        <v>6110</v>
      </c>
      <c r="D127" s="3">
        <v>19.27</v>
      </c>
      <c r="E127" s="3">
        <v>0</v>
      </c>
      <c r="F127" s="3">
        <v>0</v>
      </c>
      <c r="G127" s="3">
        <v>0</v>
      </c>
      <c r="H127" s="3">
        <v>91</v>
      </c>
      <c r="I127" s="3">
        <v>2.0499999999999998</v>
      </c>
      <c r="J127" s="3">
        <v>1.94</v>
      </c>
      <c r="K127" s="3">
        <v>0.41</v>
      </c>
    </row>
    <row r="128" spans="2:11" x14ac:dyDescent="0.25">
      <c r="B128" s="2" t="s">
        <v>6111</v>
      </c>
      <c r="C128" s="2" t="s">
        <v>6112</v>
      </c>
      <c r="D128" s="3">
        <v>32.06</v>
      </c>
      <c r="E128" s="3">
        <v>0</v>
      </c>
      <c r="F128" s="3">
        <v>0</v>
      </c>
      <c r="G128" s="3">
        <v>0</v>
      </c>
      <c r="H128" s="3">
        <v>95</v>
      </c>
      <c r="I128" s="3">
        <v>3.75</v>
      </c>
      <c r="J128" s="3">
        <v>3.9</v>
      </c>
      <c r="K128" s="3">
        <v>0.73</v>
      </c>
    </row>
    <row r="129" spans="2:11" x14ac:dyDescent="0.25">
      <c r="B129" s="2" t="s">
        <v>6113</v>
      </c>
      <c r="C129" s="2" t="s">
        <v>6114</v>
      </c>
      <c r="D129" s="3">
        <v>25.32</v>
      </c>
      <c r="E129" s="3">
        <v>0</v>
      </c>
      <c r="F129" s="3">
        <v>0</v>
      </c>
      <c r="H129" s="3">
        <v>96</v>
      </c>
      <c r="I129" s="3">
        <v>3.4</v>
      </c>
      <c r="J129" s="3">
        <v>3.16</v>
      </c>
      <c r="K129" s="3">
        <v>0.61</v>
      </c>
    </row>
    <row r="130" spans="2:11" x14ac:dyDescent="0.25">
      <c r="B130" s="2" t="s">
        <v>6115</v>
      </c>
      <c r="C130" s="2" t="s">
        <v>6116</v>
      </c>
      <c r="D130" s="3">
        <v>19.79</v>
      </c>
      <c r="E130" s="3">
        <v>0</v>
      </c>
      <c r="F130" s="3">
        <v>0</v>
      </c>
      <c r="H130" s="3">
        <v>92</v>
      </c>
      <c r="I130" s="3">
        <v>0.9</v>
      </c>
      <c r="J130" s="3">
        <v>0.96</v>
      </c>
      <c r="K130" s="3">
        <v>0.31</v>
      </c>
    </row>
    <row r="131" spans="2:11" x14ac:dyDescent="0.25">
      <c r="B131" s="2" t="s">
        <v>6117</v>
      </c>
      <c r="C131" s="2" t="s">
        <v>6118</v>
      </c>
      <c r="D131" s="3">
        <v>33.68</v>
      </c>
      <c r="E131" s="3">
        <v>0</v>
      </c>
      <c r="F131" s="3">
        <v>0</v>
      </c>
      <c r="H131" s="3">
        <v>97</v>
      </c>
      <c r="I131" s="3">
        <v>1.7</v>
      </c>
      <c r="J131" s="3">
        <v>2.1800000000000002</v>
      </c>
      <c r="K131" s="3">
        <v>0.55000000000000004</v>
      </c>
    </row>
    <row r="132" spans="2:11" x14ac:dyDescent="0.25">
      <c r="B132" s="2" t="s">
        <v>6119</v>
      </c>
      <c r="C132" s="2" t="s">
        <v>6120</v>
      </c>
      <c r="D132" s="3">
        <v>25.81</v>
      </c>
      <c r="E132" s="3">
        <v>0</v>
      </c>
      <c r="F132" s="3">
        <v>0</v>
      </c>
      <c r="H132" s="3">
        <v>97</v>
      </c>
      <c r="I132" s="3">
        <v>2.5</v>
      </c>
      <c r="J132" s="3">
        <v>2.4</v>
      </c>
      <c r="K132" s="3">
        <v>0.53</v>
      </c>
    </row>
    <row r="133" spans="2:11" x14ac:dyDescent="0.25">
      <c r="B133" s="2" t="s">
        <v>6121</v>
      </c>
      <c r="C133" s="2" t="s">
        <v>6122</v>
      </c>
      <c r="D133" s="3">
        <v>19.34</v>
      </c>
      <c r="E133" s="3">
        <v>0</v>
      </c>
      <c r="F133" s="3">
        <v>0</v>
      </c>
      <c r="G133" s="3">
        <v>0</v>
      </c>
      <c r="H133" s="3">
        <v>83</v>
      </c>
      <c r="I133" s="3">
        <v>2.2599999999999998</v>
      </c>
      <c r="J133" s="3">
        <v>2.08</v>
      </c>
      <c r="K133" s="3">
        <v>0.38</v>
      </c>
    </row>
    <row r="134" spans="2:11" x14ac:dyDescent="0.25">
      <c r="B134" s="2" t="s">
        <v>6123</v>
      </c>
      <c r="C134" s="2" t="s">
        <v>6124</v>
      </c>
      <c r="D134" s="3">
        <v>33.630000000000003</v>
      </c>
      <c r="E134" s="3">
        <v>0</v>
      </c>
      <c r="F134" s="3">
        <v>0</v>
      </c>
      <c r="H134" s="3">
        <v>87</v>
      </c>
      <c r="I134" s="3">
        <v>3.96</v>
      </c>
      <c r="J134" s="3">
        <v>3.99</v>
      </c>
      <c r="K134" s="3">
        <v>0.7</v>
      </c>
    </row>
    <row r="135" spans="2:11" x14ac:dyDescent="0.25">
      <c r="B135" s="2" t="s">
        <v>6125</v>
      </c>
      <c r="C135" s="2" t="s">
        <v>6126</v>
      </c>
      <c r="D135" s="3">
        <v>25.46</v>
      </c>
      <c r="E135" s="3">
        <v>0</v>
      </c>
      <c r="F135" s="3">
        <v>0</v>
      </c>
      <c r="H135" s="3">
        <v>90</v>
      </c>
      <c r="I135" s="3">
        <v>3.51</v>
      </c>
      <c r="J135" s="3">
        <v>3.2</v>
      </c>
      <c r="K135" s="3">
        <v>0.54</v>
      </c>
    </row>
    <row r="136" spans="2:11" x14ac:dyDescent="0.25">
      <c r="B136" s="2" t="s">
        <v>6127</v>
      </c>
      <c r="C136" s="2" t="s">
        <v>6128</v>
      </c>
      <c r="D136" s="3">
        <v>20.04</v>
      </c>
      <c r="E136" s="3">
        <v>0</v>
      </c>
      <c r="F136" s="3">
        <v>0</v>
      </c>
      <c r="H136" s="3">
        <v>86</v>
      </c>
      <c r="I136" s="3">
        <v>0.65</v>
      </c>
      <c r="J136" s="3">
        <v>0.69</v>
      </c>
      <c r="K136" s="3">
        <v>0.22</v>
      </c>
    </row>
    <row r="137" spans="2:11" x14ac:dyDescent="0.25">
      <c r="B137" s="2" t="s">
        <v>6129</v>
      </c>
      <c r="C137" s="2" t="s">
        <v>6130</v>
      </c>
      <c r="D137" s="3">
        <v>35.729999999999997</v>
      </c>
      <c r="E137" s="3">
        <v>0</v>
      </c>
      <c r="F137" s="3">
        <v>0</v>
      </c>
      <c r="H137" s="3">
        <v>90</v>
      </c>
      <c r="I137" s="3">
        <v>1.49</v>
      </c>
      <c r="J137" s="3">
        <v>1.9</v>
      </c>
      <c r="K137" s="3">
        <v>0.48</v>
      </c>
    </row>
    <row r="138" spans="2:11" x14ac:dyDescent="0.25">
      <c r="B138" s="2" t="s">
        <v>6131</v>
      </c>
      <c r="C138" s="2" t="s">
        <v>6132</v>
      </c>
      <c r="D138" s="3">
        <v>26.13</v>
      </c>
      <c r="E138" s="3">
        <v>0</v>
      </c>
      <c r="F138" s="3">
        <v>0</v>
      </c>
      <c r="H138" s="3">
        <v>91</v>
      </c>
      <c r="I138" s="3">
        <v>2.31</v>
      </c>
      <c r="J138" s="3">
        <v>2.16</v>
      </c>
      <c r="K138" s="3">
        <v>0.43</v>
      </c>
    </row>
    <row r="139" spans="2:11" x14ac:dyDescent="0.25">
      <c r="B139" s="2" t="s">
        <v>6133</v>
      </c>
      <c r="C139" s="2" t="s">
        <v>6134</v>
      </c>
      <c r="D139" s="3">
        <v>18.72</v>
      </c>
      <c r="E139" s="3">
        <v>0.03</v>
      </c>
      <c r="F139" s="3">
        <v>0</v>
      </c>
      <c r="G139" s="3">
        <v>0</v>
      </c>
      <c r="H139" s="3">
        <v>91</v>
      </c>
      <c r="I139" s="3">
        <v>2.7010000000000001</v>
      </c>
      <c r="J139" s="3">
        <v>3.6419999999999999</v>
      </c>
      <c r="K139" s="3">
        <v>0.313</v>
      </c>
    </row>
    <row r="140" spans="2:11" x14ac:dyDescent="0.25">
      <c r="B140" s="2" t="s">
        <v>6135</v>
      </c>
      <c r="C140" s="2" t="s">
        <v>6136</v>
      </c>
      <c r="D140" s="3">
        <v>31.26</v>
      </c>
      <c r="E140" s="3">
        <v>0</v>
      </c>
      <c r="F140" s="3">
        <v>0</v>
      </c>
      <c r="G140" s="3">
        <v>0</v>
      </c>
      <c r="H140" s="3">
        <v>98</v>
      </c>
      <c r="I140" s="3">
        <v>3.64</v>
      </c>
      <c r="J140" s="3">
        <v>3.85</v>
      </c>
      <c r="K140" s="3">
        <v>0.74</v>
      </c>
    </row>
    <row r="141" spans="2:11" x14ac:dyDescent="0.25">
      <c r="B141" s="2" t="s">
        <v>6137</v>
      </c>
      <c r="C141" s="2" t="s">
        <v>6138</v>
      </c>
      <c r="D141" s="3">
        <v>25.15</v>
      </c>
      <c r="E141" s="3">
        <v>0</v>
      </c>
      <c r="F141" s="3">
        <v>0</v>
      </c>
      <c r="H141" s="3">
        <v>100</v>
      </c>
      <c r="I141" s="3">
        <v>3.46</v>
      </c>
      <c r="J141" s="3">
        <v>3.24</v>
      </c>
      <c r="K141" s="3">
        <v>0.64</v>
      </c>
    </row>
    <row r="142" spans="2:11" x14ac:dyDescent="0.25">
      <c r="B142" s="2" t="s">
        <v>6139</v>
      </c>
      <c r="C142" s="2" t="s">
        <v>6140</v>
      </c>
      <c r="D142" s="3">
        <v>19.600000000000001</v>
      </c>
      <c r="E142" s="3">
        <v>0</v>
      </c>
      <c r="F142" s="3">
        <v>0</v>
      </c>
      <c r="G142" s="3">
        <v>0</v>
      </c>
      <c r="H142" s="3">
        <v>92</v>
      </c>
      <c r="I142" s="3">
        <v>1.113</v>
      </c>
      <c r="J142" s="3">
        <v>1.361</v>
      </c>
      <c r="K142" s="3">
        <v>0.17100000000000001</v>
      </c>
    </row>
    <row r="143" spans="2:11" x14ac:dyDescent="0.25">
      <c r="B143" s="2" t="s">
        <v>6141</v>
      </c>
      <c r="C143" s="2" t="s">
        <v>6142</v>
      </c>
      <c r="D143" s="3">
        <v>32.659999999999997</v>
      </c>
      <c r="E143" s="3">
        <v>0</v>
      </c>
      <c r="F143" s="3">
        <v>0</v>
      </c>
      <c r="G143" s="3">
        <v>0</v>
      </c>
      <c r="H143" s="3">
        <v>101</v>
      </c>
      <c r="I143" s="3">
        <v>1.81</v>
      </c>
      <c r="J143" s="3">
        <v>2.31</v>
      </c>
      <c r="K143" s="3">
        <v>0.57999999999999996</v>
      </c>
    </row>
    <row r="144" spans="2:11" x14ac:dyDescent="0.25">
      <c r="B144" s="2" t="s">
        <v>6143</v>
      </c>
      <c r="C144" s="2" t="s">
        <v>6144</v>
      </c>
      <c r="D144" s="3">
        <v>25.64</v>
      </c>
      <c r="E144" s="3">
        <v>0</v>
      </c>
      <c r="F144" s="3">
        <v>0</v>
      </c>
      <c r="H144" s="3">
        <v>102</v>
      </c>
      <c r="I144" s="3">
        <v>2.57</v>
      </c>
      <c r="J144" s="3">
        <v>2.4700000000000002</v>
      </c>
      <c r="K144" s="3">
        <v>0.56000000000000005</v>
      </c>
    </row>
    <row r="145" spans="2:11" x14ac:dyDescent="0.25">
      <c r="B145" s="2" t="s">
        <v>6145</v>
      </c>
      <c r="C145" s="2" t="s">
        <v>6146</v>
      </c>
      <c r="D145" s="3">
        <v>19.07</v>
      </c>
      <c r="E145" s="3">
        <v>0</v>
      </c>
      <c r="F145" s="3">
        <v>0</v>
      </c>
      <c r="G145" s="3">
        <v>0</v>
      </c>
      <c r="H145" s="3">
        <v>76</v>
      </c>
      <c r="I145" s="3">
        <v>3.35</v>
      </c>
      <c r="J145" s="3">
        <v>3.04</v>
      </c>
      <c r="K145" s="3">
        <v>0.51</v>
      </c>
    </row>
    <row r="146" spans="2:11" x14ac:dyDescent="0.25">
      <c r="B146" s="2" t="s">
        <v>6147</v>
      </c>
      <c r="C146" s="2" t="s">
        <v>6148</v>
      </c>
      <c r="D146" s="3">
        <v>31.26</v>
      </c>
      <c r="E146" s="3">
        <v>0</v>
      </c>
      <c r="F146" s="3">
        <v>0</v>
      </c>
      <c r="H146" s="3">
        <v>79</v>
      </c>
      <c r="I146" s="3">
        <v>5.18</v>
      </c>
      <c r="J146" s="3">
        <v>5.15</v>
      </c>
      <c r="K146" s="3">
        <v>0.87</v>
      </c>
    </row>
    <row r="147" spans="2:11" x14ac:dyDescent="0.25">
      <c r="B147" s="2" t="s">
        <v>6149</v>
      </c>
      <c r="C147" s="2" t="s">
        <v>6150</v>
      </c>
      <c r="D147" s="3">
        <v>25.14</v>
      </c>
      <c r="E147" s="3">
        <v>0</v>
      </c>
      <c r="F147" s="3">
        <v>0</v>
      </c>
      <c r="G147" s="3">
        <v>0</v>
      </c>
      <c r="H147" s="3">
        <v>83</v>
      </c>
      <c r="I147" s="3">
        <v>4.51</v>
      </c>
      <c r="J147" s="3">
        <v>4.08</v>
      </c>
      <c r="K147" s="3">
        <v>0.68</v>
      </c>
    </row>
    <row r="148" spans="2:11" x14ac:dyDescent="0.25">
      <c r="B148" s="2" t="s">
        <v>6151</v>
      </c>
      <c r="C148" s="2" t="s">
        <v>6152</v>
      </c>
      <c r="D148" s="3">
        <v>20.2</v>
      </c>
      <c r="E148" s="3">
        <v>0</v>
      </c>
      <c r="F148" s="3">
        <v>0</v>
      </c>
      <c r="H148" s="3">
        <v>80</v>
      </c>
      <c r="I148" s="3">
        <v>0.78</v>
      </c>
      <c r="J148" s="3">
        <v>0.83</v>
      </c>
      <c r="K148" s="3">
        <v>0.27</v>
      </c>
    </row>
    <row r="149" spans="2:11" x14ac:dyDescent="0.25">
      <c r="B149" s="2" t="s">
        <v>6153</v>
      </c>
      <c r="C149" s="2" t="s">
        <v>6154</v>
      </c>
      <c r="D149" s="3">
        <v>33.96</v>
      </c>
      <c r="E149" s="3">
        <v>0</v>
      </c>
      <c r="F149" s="3">
        <v>0</v>
      </c>
      <c r="H149" s="3">
        <v>81</v>
      </c>
      <c r="I149" s="3">
        <v>1.82</v>
      </c>
      <c r="J149" s="3">
        <v>2.33</v>
      </c>
      <c r="K149" s="3">
        <v>0.57999999999999996</v>
      </c>
    </row>
    <row r="150" spans="2:11" x14ac:dyDescent="0.25">
      <c r="B150" s="2" t="s">
        <v>6155</v>
      </c>
      <c r="C150" s="2" t="s">
        <v>6156</v>
      </c>
      <c r="D150" s="3">
        <v>26.32</v>
      </c>
      <c r="E150" s="3">
        <v>0</v>
      </c>
      <c r="F150" s="3">
        <v>0</v>
      </c>
      <c r="H150" s="3">
        <v>85</v>
      </c>
      <c r="I150" s="3">
        <v>2.41</v>
      </c>
      <c r="J150" s="3">
        <v>2.2799999999999998</v>
      </c>
      <c r="K150" s="3">
        <v>0.48</v>
      </c>
    </row>
    <row r="151" spans="2:11" x14ac:dyDescent="0.25">
      <c r="B151" s="2" t="s">
        <v>6157</v>
      </c>
      <c r="C151" s="2" t="s">
        <v>6158</v>
      </c>
      <c r="D151" s="3">
        <v>20.27</v>
      </c>
      <c r="E151" s="3">
        <v>0</v>
      </c>
      <c r="F151" s="3">
        <v>0</v>
      </c>
      <c r="H151" s="3">
        <v>83</v>
      </c>
      <c r="I151" s="3">
        <v>0.75</v>
      </c>
      <c r="J151" s="3">
        <v>0.8</v>
      </c>
      <c r="K151" s="3">
        <v>0.26</v>
      </c>
    </row>
    <row r="152" spans="2:11" x14ac:dyDescent="0.25">
      <c r="B152" s="2" t="s">
        <v>6159</v>
      </c>
      <c r="C152" s="2" t="s">
        <v>6160</v>
      </c>
      <c r="D152" s="3">
        <v>34.94</v>
      </c>
      <c r="E152" s="3">
        <v>0</v>
      </c>
      <c r="F152" s="3">
        <v>0</v>
      </c>
      <c r="H152" s="3">
        <v>93</v>
      </c>
      <c r="I152" s="3">
        <v>1.3</v>
      </c>
      <c r="J152" s="3">
        <v>1.39</v>
      </c>
      <c r="K152" s="3">
        <v>0.45</v>
      </c>
    </row>
    <row r="153" spans="2:11" x14ac:dyDescent="0.25">
      <c r="B153" s="2" t="s">
        <v>6161</v>
      </c>
      <c r="C153" s="2" t="s">
        <v>6162</v>
      </c>
      <c r="D153" s="3">
        <v>18.579999999999998</v>
      </c>
      <c r="E153" s="3">
        <v>0</v>
      </c>
      <c r="F153" s="3">
        <v>0</v>
      </c>
      <c r="G153" s="3">
        <v>0</v>
      </c>
      <c r="H153" s="3">
        <v>103</v>
      </c>
      <c r="I153" s="3">
        <v>5.1079999999999997</v>
      </c>
      <c r="J153" s="3">
        <v>6.1589999999999998</v>
      </c>
      <c r="K153" s="3">
        <v>0.73199999999999998</v>
      </c>
    </row>
    <row r="154" spans="2:11" x14ac:dyDescent="0.25">
      <c r="B154" s="2" t="s">
        <v>6163</v>
      </c>
      <c r="C154" s="2" t="s">
        <v>6164</v>
      </c>
      <c r="D154" s="3">
        <v>24.38</v>
      </c>
      <c r="E154" s="3">
        <v>0</v>
      </c>
      <c r="F154" s="3">
        <v>0</v>
      </c>
      <c r="G154" s="3">
        <v>0</v>
      </c>
      <c r="H154" s="3">
        <v>83</v>
      </c>
      <c r="I154" s="3">
        <v>3.04</v>
      </c>
      <c r="J154" s="3">
        <v>2.84</v>
      </c>
      <c r="K154" s="3">
        <v>0.55000000000000004</v>
      </c>
    </row>
    <row r="155" spans="2:11" x14ac:dyDescent="0.25">
      <c r="B155" s="2" t="s">
        <v>6165</v>
      </c>
      <c r="C155" s="2" t="s">
        <v>6166</v>
      </c>
      <c r="D155" s="3">
        <v>22.38</v>
      </c>
      <c r="E155" s="3">
        <v>0</v>
      </c>
      <c r="F155" s="3">
        <v>0</v>
      </c>
      <c r="H155" s="3">
        <v>51</v>
      </c>
      <c r="I155" s="3">
        <v>0.74</v>
      </c>
      <c r="J155" s="3">
        <v>0.48</v>
      </c>
      <c r="K155" s="3">
        <v>0.44</v>
      </c>
    </row>
    <row r="156" spans="2:11" x14ac:dyDescent="0.25">
      <c r="B156" s="2" t="s">
        <v>6167</v>
      </c>
      <c r="C156" s="2" t="s">
        <v>6168</v>
      </c>
      <c r="D156" s="3">
        <v>29.45</v>
      </c>
      <c r="E156" s="3">
        <v>0</v>
      </c>
      <c r="F156" s="3">
        <v>0</v>
      </c>
      <c r="H156" s="3">
        <v>54</v>
      </c>
      <c r="I156" s="3">
        <v>0.97</v>
      </c>
      <c r="J156" s="3">
        <v>0.63</v>
      </c>
      <c r="K156" s="3">
        <v>0.57999999999999996</v>
      </c>
    </row>
    <row r="157" spans="2:11" x14ac:dyDescent="0.25">
      <c r="B157" s="2" t="s">
        <v>6169</v>
      </c>
      <c r="C157" s="2" t="s">
        <v>6170</v>
      </c>
      <c r="D157" s="3">
        <v>20.100000000000001</v>
      </c>
      <c r="E157" s="3">
        <v>0</v>
      </c>
      <c r="F157" s="3">
        <v>0</v>
      </c>
    </row>
    <row r="158" spans="2:11" x14ac:dyDescent="0.25">
      <c r="B158" s="2" t="s">
        <v>6171</v>
      </c>
      <c r="C158" s="2" t="s">
        <v>6172</v>
      </c>
      <c r="D158" s="3">
        <v>32.42</v>
      </c>
      <c r="E158" s="3">
        <v>0</v>
      </c>
      <c r="F158" s="3">
        <v>0</v>
      </c>
      <c r="G158" s="3">
        <v>0</v>
      </c>
      <c r="H158" s="3">
        <v>71</v>
      </c>
      <c r="I158" s="3">
        <v>3.54</v>
      </c>
      <c r="J158" s="3">
        <v>5.66</v>
      </c>
      <c r="K158" s="3">
        <v>2.4</v>
      </c>
    </row>
    <row r="159" spans="2:11" x14ac:dyDescent="0.25">
      <c r="B159" s="2" t="s">
        <v>6173</v>
      </c>
      <c r="C159" s="2" t="s">
        <v>6174</v>
      </c>
      <c r="D159" s="3">
        <v>25.45</v>
      </c>
      <c r="E159" s="3">
        <v>0</v>
      </c>
      <c r="F159" s="3">
        <v>0</v>
      </c>
      <c r="G159" s="3">
        <v>0</v>
      </c>
      <c r="H159" s="3">
        <v>76</v>
      </c>
      <c r="I159" s="3">
        <v>3.4889999999999999</v>
      </c>
      <c r="J159" s="3">
        <v>3.2930000000000001</v>
      </c>
      <c r="K159" s="3">
        <v>0.40200000000000002</v>
      </c>
    </row>
    <row r="160" spans="2:11" x14ac:dyDescent="0.25">
      <c r="B160" s="2" t="s">
        <v>6175</v>
      </c>
      <c r="C160" s="2" t="s">
        <v>6176</v>
      </c>
      <c r="D160" s="3">
        <v>20.23</v>
      </c>
      <c r="E160" s="3">
        <v>0.05</v>
      </c>
      <c r="F160" s="3">
        <v>0</v>
      </c>
      <c r="G160" s="3">
        <v>0</v>
      </c>
      <c r="H160" s="3">
        <v>70</v>
      </c>
      <c r="I160" s="3">
        <v>2.9169999999999998</v>
      </c>
      <c r="J160" s="3">
        <v>2.7530000000000001</v>
      </c>
      <c r="K160" s="3">
        <v>0.33600000000000002</v>
      </c>
    </row>
    <row r="161" spans="2:11" x14ac:dyDescent="0.25">
      <c r="B161" s="2" t="s">
        <v>6177</v>
      </c>
      <c r="C161" s="2" t="s">
        <v>6178</v>
      </c>
      <c r="D161" s="3">
        <v>24.05</v>
      </c>
      <c r="E161" s="3">
        <v>0</v>
      </c>
      <c r="F161" s="3">
        <v>0</v>
      </c>
      <c r="H161" s="3">
        <v>51</v>
      </c>
    </row>
    <row r="162" spans="2:11" x14ac:dyDescent="0.25">
      <c r="B162" s="2" t="s">
        <v>6179</v>
      </c>
      <c r="C162" s="2" t="s">
        <v>6180</v>
      </c>
      <c r="D162" s="3">
        <v>34.85</v>
      </c>
      <c r="E162" s="3">
        <v>0</v>
      </c>
      <c r="F162" s="3">
        <v>0</v>
      </c>
      <c r="G162" s="3">
        <v>0</v>
      </c>
      <c r="H162" s="3">
        <v>59</v>
      </c>
      <c r="I162" s="3">
        <v>2.0699999999999998</v>
      </c>
      <c r="J162" s="3">
        <v>1.89</v>
      </c>
      <c r="K162" s="3">
        <v>1.35</v>
      </c>
    </row>
    <row r="163" spans="2:11" x14ac:dyDescent="0.25">
      <c r="B163" s="2" t="s">
        <v>6181</v>
      </c>
      <c r="C163" s="2" t="s">
        <v>6182</v>
      </c>
      <c r="D163" s="3">
        <v>23.3</v>
      </c>
      <c r="E163" s="3">
        <v>0</v>
      </c>
      <c r="F163" s="3">
        <v>0</v>
      </c>
      <c r="H163" s="3">
        <v>78</v>
      </c>
      <c r="I163" s="3">
        <v>2.04</v>
      </c>
      <c r="J163" s="3">
        <v>2.04</v>
      </c>
      <c r="K163" s="3">
        <v>0.15</v>
      </c>
    </row>
    <row r="164" spans="2:11" x14ac:dyDescent="0.25">
      <c r="B164" s="2" t="s">
        <v>6183</v>
      </c>
      <c r="C164" s="2" t="s">
        <v>6184</v>
      </c>
      <c r="D164" s="3">
        <v>30.66</v>
      </c>
      <c r="E164" s="3">
        <v>0</v>
      </c>
      <c r="F164" s="3">
        <v>0</v>
      </c>
      <c r="H164" s="3">
        <v>82</v>
      </c>
      <c r="I164" s="3">
        <v>2.68</v>
      </c>
      <c r="J164" s="3">
        <v>2.68</v>
      </c>
      <c r="K164" s="3">
        <v>0.2</v>
      </c>
    </row>
    <row r="165" spans="2:11" x14ac:dyDescent="0.25">
      <c r="B165" s="2" t="s">
        <v>6185</v>
      </c>
      <c r="C165" s="2" t="s">
        <v>6186</v>
      </c>
      <c r="D165" s="3">
        <v>9.91</v>
      </c>
      <c r="E165" s="3">
        <v>0</v>
      </c>
      <c r="F165" s="3">
        <v>0</v>
      </c>
      <c r="G165" s="3">
        <v>0</v>
      </c>
      <c r="H165" s="3">
        <v>44</v>
      </c>
      <c r="I165" s="3">
        <v>23.564</v>
      </c>
      <c r="J165" s="3">
        <v>20.777000000000001</v>
      </c>
      <c r="K165" s="3">
        <v>1.6519999999999999</v>
      </c>
    </row>
    <row r="166" spans="2:11" x14ac:dyDescent="0.25">
      <c r="B166" s="2" t="s">
        <v>6187</v>
      </c>
      <c r="C166" s="2" t="s">
        <v>6188</v>
      </c>
      <c r="D166" s="3">
        <v>19.600000000000001</v>
      </c>
      <c r="E166" s="3">
        <v>1.1499999999999999</v>
      </c>
      <c r="F166" s="3">
        <v>0</v>
      </c>
      <c r="G166" s="3">
        <v>0</v>
      </c>
      <c r="H166" s="3">
        <v>76</v>
      </c>
      <c r="I166" s="3">
        <v>5.8860000000000001</v>
      </c>
      <c r="J166" s="3">
        <v>5.1920000000000002</v>
      </c>
      <c r="K166" s="3">
        <v>0.58799999999999997</v>
      </c>
    </row>
    <row r="167" spans="2:11" x14ac:dyDescent="0.25">
      <c r="B167" s="2" t="s">
        <v>6189</v>
      </c>
      <c r="C167" s="2" t="s">
        <v>6190</v>
      </c>
      <c r="D167" s="3">
        <v>21.62</v>
      </c>
      <c r="E167" s="3">
        <v>0</v>
      </c>
      <c r="F167" s="3">
        <v>0</v>
      </c>
      <c r="H167" s="3">
        <v>54</v>
      </c>
      <c r="I167" s="3">
        <v>0.69</v>
      </c>
      <c r="J167" s="3">
        <v>0.72</v>
      </c>
      <c r="K167" s="3">
        <v>0.19</v>
      </c>
    </row>
    <row r="168" spans="2:11" x14ac:dyDescent="0.25">
      <c r="B168" s="2" t="s">
        <v>6191</v>
      </c>
      <c r="C168" s="2" t="s">
        <v>6192</v>
      </c>
      <c r="D168" s="3">
        <v>28.44</v>
      </c>
      <c r="E168" s="3">
        <v>0</v>
      </c>
      <c r="F168" s="3">
        <v>0</v>
      </c>
      <c r="G168" s="3">
        <v>0</v>
      </c>
      <c r="H168" s="3">
        <v>57</v>
      </c>
      <c r="I168" s="3">
        <v>0.91</v>
      </c>
      <c r="J168" s="3">
        <v>0.95</v>
      </c>
      <c r="K168" s="3">
        <v>0.24</v>
      </c>
    </row>
    <row r="169" spans="2:11" x14ac:dyDescent="0.25">
      <c r="B169" s="2" t="s">
        <v>6193</v>
      </c>
      <c r="C169" s="2" t="s">
        <v>6194</v>
      </c>
      <c r="D169" s="3">
        <v>21.51</v>
      </c>
      <c r="E169" s="3">
        <v>0</v>
      </c>
      <c r="F169" s="3">
        <v>0</v>
      </c>
      <c r="I169" s="3">
        <v>0.99</v>
      </c>
      <c r="J169" s="3">
        <v>1.3</v>
      </c>
      <c r="K169" s="3">
        <v>0.48</v>
      </c>
    </row>
    <row r="170" spans="2:11" x14ac:dyDescent="0.25">
      <c r="B170" s="2" t="s">
        <v>6195</v>
      </c>
      <c r="C170" s="2" t="s">
        <v>6196</v>
      </c>
      <c r="D170" s="3">
        <v>28.3</v>
      </c>
      <c r="E170" s="3">
        <v>0</v>
      </c>
      <c r="F170" s="3">
        <v>0</v>
      </c>
      <c r="G170" s="3">
        <v>0</v>
      </c>
      <c r="H170" s="3">
        <v>60</v>
      </c>
      <c r="I170" s="3">
        <v>1.3</v>
      </c>
      <c r="J170" s="3">
        <v>1.71</v>
      </c>
      <c r="K170" s="3">
        <v>0.64</v>
      </c>
    </row>
    <row r="171" spans="2:11" x14ac:dyDescent="0.25">
      <c r="B171" s="2" t="s">
        <v>6197</v>
      </c>
      <c r="C171" s="2" t="s">
        <v>6198</v>
      </c>
      <c r="D171" s="3">
        <v>20.39</v>
      </c>
      <c r="E171" s="3">
        <v>0</v>
      </c>
      <c r="F171" s="3">
        <v>0</v>
      </c>
      <c r="H171" s="3">
        <v>53</v>
      </c>
      <c r="I171" s="3">
        <v>0.46</v>
      </c>
      <c r="J171" s="3">
        <v>0.42</v>
      </c>
      <c r="K171" s="3">
        <v>0.27</v>
      </c>
    </row>
    <row r="172" spans="2:11" x14ac:dyDescent="0.25">
      <c r="B172" s="2" t="s">
        <v>6199</v>
      </c>
      <c r="C172" s="2" t="s">
        <v>6200</v>
      </c>
      <c r="D172" s="3">
        <v>26.83</v>
      </c>
      <c r="E172" s="3">
        <v>0</v>
      </c>
      <c r="F172" s="3">
        <v>0</v>
      </c>
      <c r="H172" s="3">
        <v>56</v>
      </c>
      <c r="I172" s="3">
        <v>0.6</v>
      </c>
      <c r="J172" s="3">
        <v>0.55000000000000004</v>
      </c>
      <c r="K172" s="3">
        <v>0.36</v>
      </c>
    </row>
    <row r="173" spans="2:11" x14ac:dyDescent="0.25">
      <c r="B173" s="2" t="s">
        <v>6201</v>
      </c>
      <c r="C173" s="2" t="s">
        <v>6202</v>
      </c>
      <c r="D173" s="3">
        <v>22.63</v>
      </c>
      <c r="E173" s="3">
        <v>0</v>
      </c>
      <c r="F173" s="3">
        <v>0</v>
      </c>
      <c r="H173" s="3">
        <v>57</v>
      </c>
      <c r="I173" s="3">
        <v>1.29</v>
      </c>
      <c r="J173" s="3">
        <v>1.01</v>
      </c>
      <c r="K173" s="3">
        <v>0.47</v>
      </c>
    </row>
    <row r="174" spans="2:11" x14ac:dyDescent="0.25">
      <c r="B174" s="2" t="s">
        <v>6203</v>
      </c>
      <c r="C174" s="2" t="s">
        <v>6204</v>
      </c>
      <c r="D174" s="3">
        <v>29.77</v>
      </c>
      <c r="E174" s="3">
        <v>0</v>
      </c>
      <c r="F174" s="3">
        <v>0</v>
      </c>
      <c r="G174" s="3">
        <v>0</v>
      </c>
      <c r="H174" s="3">
        <v>60</v>
      </c>
      <c r="I174" s="3">
        <v>1.7</v>
      </c>
      <c r="J174" s="3">
        <v>1.33</v>
      </c>
      <c r="K174" s="3">
        <v>0.62</v>
      </c>
    </row>
    <row r="175" spans="2:11" x14ac:dyDescent="0.25">
      <c r="B175" s="2" t="s">
        <v>6205</v>
      </c>
      <c r="C175" s="2" t="s">
        <v>6206</v>
      </c>
      <c r="D175" s="3">
        <v>22.96</v>
      </c>
      <c r="E175" s="3">
        <v>0</v>
      </c>
      <c r="F175" s="3">
        <v>0</v>
      </c>
      <c r="G175" s="3">
        <v>0</v>
      </c>
      <c r="H175" s="3">
        <v>51</v>
      </c>
      <c r="I175" s="3">
        <v>0.95</v>
      </c>
      <c r="J175" s="3">
        <v>0.67</v>
      </c>
      <c r="K175" s="3">
        <v>0.47</v>
      </c>
    </row>
    <row r="176" spans="2:11" x14ac:dyDescent="0.25">
      <c r="B176" s="2" t="s">
        <v>6207</v>
      </c>
      <c r="C176" s="2" t="s">
        <v>6208</v>
      </c>
      <c r="D176" s="3">
        <v>30.21</v>
      </c>
      <c r="E176" s="3">
        <v>0</v>
      </c>
      <c r="F176" s="3">
        <v>0</v>
      </c>
      <c r="H176" s="3">
        <v>54</v>
      </c>
      <c r="I176" s="3">
        <v>1.25</v>
      </c>
      <c r="J176" s="3">
        <v>0.88</v>
      </c>
      <c r="K176" s="3">
        <v>0.62</v>
      </c>
    </row>
    <row r="177" spans="2:11" x14ac:dyDescent="0.25">
      <c r="B177" s="2" t="s">
        <v>6209</v>
      </c>
      <c r="C177" s="2" t="s">
        <v>6210</v>
      </c>
      <c r="D177" s="3">
        <v>22.95</v>
      </c>
      <c r="E177" s="3">
        <v>0</v>
      </c>
      <c r="F177" s="3">
        <v>0</v>
      </c>
      <c r="H177" s="3">
        <v>58</v>
      </c>
      <c r="I177" s="3">
        <v>0.53</v>
      </c>
      <c r="J177" s="3">
        <v>0.36</v>
      </c>
      <c r="K177" s="3">
        <v>0.3</v>
      </c>
    </row>
    <row r="178" spans="2:11" x14ac:dyDescent="0.25">
      <c r="B178" s="2" t="s">
        <v>6211</v>
      </c>
      <c r="C178" s="2" t="s">
        <v>6212</v>
      </c>
      <c r="D178" s="3">
        <v>30.19</v>
      </c>
      <c r="E178" s="3">
        <v>0</v>
      </c>
      <c r="F178" s="3">
        <v>0</v>
      </c>
      <c r="H178" s="3">
        <v>61</v>
      </c>
      <c r="I178" s="3">
        <v>0.7</v>
      </c>
      <c r="J178" s="3">
        <v>0.48</v>
      </c>
      <c r="K178" s="3">
        <v>0.4</v>
      </c>
    </row>
    <row r="179" spans="2:11" x14ac:dyDescent="0.25">
      <c r="B179" s="2" t="s">
        <v>6213</v>
      </c>
      <c r="C179" s="2" t="s">
        <v>6214</v>
      </c>
      <c r="D179" s="3">
        <v>20.6</v>
      </c>
      <c r="E179" s="3">
        <v>0</v>
      </c>
      <c r="F179" s="3">
        <v>0</v>
      </c>
      <c r="H179" s="3">
        <v>82</v>
      </c>
      <c r="I179" s="3">
        <v>0.71</v>
      </c>
      <c r="J179" s="3">
        <v>1.03</v>
      </c>
      <c r="K179" s="3">
        <v>0.17</v>
      </c>
    </row>
    <row r="180" spans="2:11" x14ac:dyDescent="0.25">
      <c r="B180" s="2" t="s">
        <v>6215</v>
      </c>
      <c r="C180" s="2" t="s">
        <v>6216</v>
      </c>
      <c r="D180" s="3">
        <v>27.1</v>
      </c>
      <c r="E180" s="3">
        <v>0</v>
      </c>
      <c r="F180" s="3">
        <v>0</v>
      </c>
      <c r="G180" s="3">
        <v>0</v>
      </c>
      <c r="H180" s="3">
        <v>86</v>
      </c>
      <c r="I180" s="3">
        <v>0.93</v>
      </c>
      <c r="J180" s="3">
        <v>1.36</v>
      </c>
      <c r="K180" s="3">
        <v>0.23</v>
      </c>
    </row>
    <row r="181" spans="2:11" x14ac:dyDescent="0.25">
      <c r="B181" s="2" t="s">
        <v>6217</v>
      </c>
      <c r="C181" s="2" t="s">
        <v>6218</v>
      </c>
      <c r="D181" s="3">
        <v>21.39</v>
      </c>
      <c r="E181" s="3">
        <v>0</v>
      </c>
      <c r="F181" s="3">
        <v>0</v>
      </c>
      <c r="H181" s="3">
        <v>53</v>
      </c>
      <c r="I181" s="3">
        <v>1.44</v>
      </c>
      <c r="J181" s="3">
        <v>1.61</v>
      </c>
      <c r="K181" s="3">
        <v>0.65</v>
      </c>
    </row>
    <row r="182" spans="2:11" x14ac:dyDescent="0.25">
      <c r="B182" s="2" t="s">
        <v>6219</v>
      </c>
      <c r="C182" s="2" t="s">
        <v>6220</v>
      </c>
      <c r="D182" s="3">
        <v>28.14</v>
      </c>
      <c r="E182" s="3">
        <v>0</v>
      </c>
      <c r="F182" s="3">
        <v>0</v>
      </c>
      <c r="H182" s="3">
        <v>55</v>
      </c>
      <c r="I182" s="3">
        <v>1.9</v>
      </c>
      <c r="J182" s="3">
        <v>2.12</v>
      </c>
      <c r="K182" s="3">
        <v>0.85</v>
      </c>
    </row>
    <row r="183" spans="2:11" x14ac:dyDescent="0.25">
      <c r="B183" s="2" t="s">
        <v>6221</v>
      </c>
      <c r="C183" s="2" t="s">
        <v>6222</v>
      </c>
      <c r="D183" s="3">
        <v>22.24</v>
      </c>
      <c r="E183" s="3">
        <v>0</v>
      </c>
      <c r="F183" s="3">
        <v>0</v>
      </c>
      <c r="H183" s="3">
        <v>65</v>
      </c>
      <c r="I183" s="3">
        <v>0.22</v>
      </c>
      <c r="J183" s="3">
        <v>0.15</v>
      </c>
      <c r="K183" s="3">
        <v>0.24</v>
      </c>
    </row>
    <row r="184" spans="2:11" x14ac:dyDescent="0.25">
      <c r="B184" s="2" t="s">
        <v>6223</v>
      </c>
      <c r="C184" s="2" t="s">
        <v>6224</v>
      </c>
      <c r="D184" s="3">
        <v>29.27</v>
      </c>
      <c r="E184" s="3">
        <v>0</v>
      </c>
      <c r="F184" s="3">
        <v>0</v>
      </c>
      <c r="G184" s="3">
        <v>0</v>
      </c>
      <c r="H184" s="3">
        <v>69</v>
      </c>
      <c r="I184" s="3">
        <v>0.28999999999999998</v>
      </c>
      <c r="J184" s="3">
        <v>0.2</v>
      </c>
      <c r="K184" s="3">
        <v>0.31</v>
      </c>
    </row>
    <row r="185" spans="2:11" x14ac:dyDescent="0.25">
      <c r="B185" s="2" t="s">
        <v>6225</v>
      </c>
      <c r="C185" s="2" t="s">
        <v>6226</v>
      </c>
      <c r="D185" s="3">
        <v>20.76</v>
      </c>
      <c r="E185" s="3">
        <v>0</v>
      </c>
      <c r="F185" s="3">
        <v>0</v>
      </c>
      <c r="H185" s="3">
        <v>82</v>
      </c>
    </row>
    <row r="186" spans="2:11" x14ac:dyDescent="0.25">
      <c r="B186" s="2" t="s">
        <v>6227</v>
      </c>
      <c r="C186" s="2" t="s">
        <v>6228</v>
      </c>
      <c r="D186" s="3">
        <v>30.09</v>
      </c>
      <c r="E186" s="3">
        <v>0</v>
      </c>
      <c r="F186" s="3">
        <v>0</v>
      </c>
      <c r="H186" s="3">
        <v>95</v>
      </c>
    </row>
    <row r="187" spans="2:11" x14ac:dyDescent="0.25">
      <c r="B187" s="2" t="s">
        <v>6229</v>
      </c>
      <c r="C187" s="2" t="s">
        <v>6230</v>
      </c>
      <c r="D187" s="3">
        <v>30.2</v>
      </c>
      <c r="E187" s="3">
        <v>0</v>
      </c>
      <c r="F187" s="3">
        <v>0</v>
      </c>
      <c r="G187" s="3">
        <v>0</v>
      </c>
      <c r="H187" s="3">
        <v>58</v>
      </c>
      <c r="I187" s="3">
        <v>1.206</v>
      </c>
      <c r="J187" s="3">
        <v>3.7730000000000001</v>
      </c>
      <c r="K187" s="3">
        <v>2.9830000000000001</v>
      </c>
    </row>
    <row r="188" spans="2:11" x14ac:dyDescent="0.25">
      <c r="B188" s="2" t="s">
        <v>6231</v>
      </c>
      <c r="C188" s="2" t="s">
        <v>6232</v>
      </c>
      <c r="D188" s="3">
        <v>20.05</v>
      </c>
      <c r="E188" s="3">
        <v>0</v>
      </c>
      <c r="F188" s="3">
        <v>0</v>
      </c>
      <c r="H188" s="3">
        <v>41</v>
      </c>
      <c r="I188" s="3">
        <v>1.66</v>
      </c>
      <c r="J188" s="3">
        <v>1.5</v>
      </c>
      <c r="K188" s="3">
        <v>1.08</v>
      </c>
    </row>
    <row r="189" spans="2:11" x14ac:dyDescent="0.25">
      <c r="B189" s="2" t="s">
        <v>6233</v>
      </c>
      <c r="C189" s="2" t="s">
        <v>6234</v>
      </c>
      <c r="D189" s="3">
        <v>29.06</v>
      </c>
      <c r="E189" s="3">
        <v>0</v>
      </c>
      <c r="F189" s="3">
        <v>0</v>
      </c>
      <c r="H189" s="3">
        <v>47</v>
      </c>
      <c r="I189" s="3">
        <v>2.4</v>
      </c>
      <c r="J189" s="3">
        <v>2.17</v>
      </c>
      <c r="K189" s="3">
        <v>1.56</v>
      </c>
    </row>
    <row r="190" spans="2:11" x14ac:dyDescent="0.25">
      <c r="B190" s="2" t="s">
        <v>6235</v>
      </c>
      <c r="C190" s="2" t="s">
        <v>6236</v>
      </c>
      <c r="D190" s="3">
        <v>30.38</v>
      </c>
      <c r="E190" s="3">
        <v>0</v>
      </c>
      <c r="F190" s="3">
        <v>0</v>
      </c>
      <c r="G190" s="3">
        <v>0</v>
      </c>
      <c r="H190" s="3">
        <v>37</v>
      </c>
      <c r="I190" s="3">
        <v>2.5099999999999998</v>
      </c>
      <c r="J190" s="3">
        <v>2.27</v>
      </c>
      <c r="K190" s="3">
        <v>1.63</v>
      </c>
    </row>
    <row r="191" spans="2:11" x14ac:dyDescent="0.25">
      <c r="B191" s="2" t="s">
        <v>6237</v>
      </c>
      <c r="C191" s="2" t="s">
        <v>6238</v>
      </c>
      <c r="D191" s="3">
        <v>21.79</v>
      </c>
      <c r="E191" s="3">
        <v>0</v>
      </c>
      <c r="F191" s="3">
        <v>0</v>
      </c>
      <c r="H191" s="3">
        <v>50</v>
      </c>
      <c r="I191" s="3">
        <v>0.69</v>
      </c>
      <c r="J191" s="3">
        <v>0.63</v>
      </c>
      <c r="K191" s="3">
        <v>0.45</v>
      </c>
    </row>
    <row r="192" spans="2:11" x14ac:dyDescent="0.25">
      <c r="B192" s="2" t="s">
        <v>6239</v>
      </c>
      <c r="C192" s="2" t="s">
        <v>6240</v>
      </c>
      <c r="D192" s="3">
        <v>33.020000000000003</v>
      </c>
      <c r="E192" s="3">
        <v>0</v>
      </c>
      <c r="F192" s="3">
        <v>0</v>
      </c>
      <c r="G192" s="3">
        <v>0</v>
      </c>
      <c r="H192" s="3">
        <v>45</v>
      </c>
      <c r="I192" s="3">
        <v>1.05</v>
      </c>
      <c r="J192" s="3">
        <v>0.95</v>
      </c>
      <c r="K192" s="3">
        <v>0.68</v>
      </c>
    </row>
    <row r="193" spans="2:11" x14ac:dyDescent="0.25">
      <c r="B193" s="2" t="s">
        <v>6241</v>
      </c>
      <c r="C193" s="2" t="s">
        <v>6242</v>
      </c>
      <c r="D193" s="3">
        <v>29.2</v>
      </c>
      <c r="E193" s="3">
        <v>0</v>
      </c>
      <c r="F193" s="3">
        <v>0</v>
      </c>
      <c r="G193" s="3">
        <v>0</v>
      </c>
      <c r="H193" s="3">
        <v>79</v>
      </c>
      <c r="I193" s="3">
        <v>4.07</v>
      </c>
      <c r="J193" s="3">
        <v>5.21</v>
      </c>
      <c r="K193" s="3">
        <v>2.09</v>
      </c>
    </row>
    <row r="194" spans="2:11" x14ac:dyDescent="0.25">
      <c r="B194" s="2" t="s">
        <v>6243</v>
      </c>
      <c r="C194" s="2" t="s">
        <v>6244</v>
      </c>
      <c r="D194" s="3">
        <v>21.23</v>
      </c>
      <c r="E194" s="3">
        <v>0</v>
      </c>
      <c r="F194" s="3">
        <v>0</v>
      </c>
      <c r="H194" s="3">
        <v>103</v>
      </c>
      <c r="I194" s="3">
        <v>0.38</v>
      </c>
      <c r="J194" s="3">
        <v>1.18</v>
      </c>
      <c r="K194" s="3">
        <v>0.94</v>
      </c>
    </row>
    <row r="195" spans="2:11" x14ac:dyDescent="0.25">
      <c r="B195" s="2" t="s">
        <v>6245</v>
      </c>
      <c r="C195" s="2" t="s">
        <v>6246</v>
      </c>
      <c r="D195" s="3">
        <v>30.77</v>
      </c>
      <c r="E195" s="3">
        <v>0</v>
      </c>
      <c r="F195" s="3">
        <v>0</v>
      </c>
      <c r="G195" s="3">
        <v>0</v>
      </c>
      <c r="H195" s="3">
        <v>119</v>
      </c>
      <c r="I195" s="3">
        <v>0.54</v>
      </c>
      <c r="J195" s="3">
        <v>1.786</v>
      </c>
      <c r="K195" s="3">
        <v>1.6830000000000001</v>
      </c>
    </row>
    <row r="196" spans="2:11" x14ac:dyDescent="0.25">
      <c r="B196" s="2" t="s">
        <v>6247</v>
      </c>
      <c r="C196" s="2" t="s">
        <v>6248</v>
      </c>
      <c r="D196" s="3">
        <v>10.4</v>
      </c>
      <c r="E196" s="3">
        <v>0</v>
      </c>
      <c r="F196" s="3">
        <v>0</v>
      </c>
      <c r="H196" s="3">
        <v>112</v>
      </c>
      <c r="I196" s="3">
        <v>2.19</v>
      </c>
      <c r="J196" s="3">
        <v>1.55</v>
      </c>
      <c r="K196" s="3">
        <v>0.88</v>
      </c>
    </row>
    <row r="197" spans="2:11" x14ac:dyDescent="0.25">
      <c r="B197" s="2" t="s">
        <v>6249</v>
      </c>
      <c r="C197" s="2" t="s">
        <v>6250</v>
      </c>
      <c r="D197" s="3">
        <v>12.55</v>
      </c>
      <c r="E197" s="3">
        <v>0</v>
      </c>
      <c r="F197" s="3">
        <v>0</v>
      </c>
      <c r="H197" s="3">
        <v>134</v>
      </c>
      <c r="I197" s="3">
        <v>2.6</v>
      </c>
      <c r="J197" s="3">
        <v>1.84</v>
      </c>
      <c r="K197" s="3">
        <v>1.04</v>
      </c>
    </row>
    <row r="198" spans="2:11" x14ac:dyDescent="0.25">
      <c r="B198" s="2" t="s">
        <v>6251</v>
      </c>
      <c r="C198" s="2" t="s">
        <v>6252</v>
      </c>
      <c r="D198" s="3">
        <v>16.97</v>
      </c>
      <c r="E198" s="3">
        <v>0</v>
      </c>
      <c r="F198" s="3">
        <v>0</v>
      </c>
      <c r="H198" s="3">
        <v>157</v>
      </c>
      <c r="I198" s="3">
        <v>5.67</v>
      </c>
      <c r="J198" s="3">
        <v>4.0199999999999996</v>
      </c>
      <c r="K198" s="3">
        <v>2.2799999999999998</v>
      </c>
    </row>
    <row r="199" spans="2:11" x14ac:dyDescent="0.25">
      <c r="B199" s="2" t="s">
        <v>6253</v>
      </c>
      <c r="C199" s="2" t="s">
        <v>6254</v>
      </c>
      <c r="D199" s="3">
        <v>10.32</v>
      </c>
      <c r="E199" s="3">
        <v>0</v>
      </c>
      <c r="F199" s="3">
        <v>0</v>
      </c>
      <c r="H199" s="3">
        <v>127</v>
      </c>
      <c r="I199" s="3">
        <v>1.91</v>
      </c>
      <c r="J199" s="3">
        <v>1.64</v>
      </c>
      <c r="K199" s="3">
        <v>0.95</v>
      </c>
    </row>
    <row r="200" spans="2:11" x14ac:dyDescent="0.25">
      <c r="B200" s="2" t="s">
        <v>6255</v>
      </c>
      <c r="C200" s="2" t="s">
        <v>6256</v>
      </c>
      <c r="D200" s="3">
        <v>11.48</v>
      </c>
      <c r="E200" s="3">
        <v>0</v>
      </c>
      <c r="F200" s="3">
        <v>0</v>
      </c>
      <c r="H200" s="3">
        <v>156</v>
      </c>
      <c r="I200" s="3">
        <v>2.1800000000000002</v>
      </c>
      <c r="J200" s="3">
        <v>1.74</v>
      </c>
      <c r="K200" s="3">
        <v>1.49</v>
      </c>
    </row>
    <row r="201" spans="2:11" x14ac:dyDescent="0.25">
      <c r="B201" s="2" t="s">
        <v>6257</v>
      </c>
      <c r="C201" s="2" t="s">
        <v>6258</v>
      </c>
      <c r="D201" s="3">
        <v>14.48</v>
      </c>
      <c r="E201" s="3">
        <v>0</v>
      </c>
      <c r="F201" s="3">
        <v>0</v>
      </c>
      <c r="H201" s="3">
        <v>176</v>
      </c>
      <c r="I201" s="3">
        <v>3.96</v>
      </c>
      <c r="J201" s="3">
        <v>4.21</v>
      </c>
      <c r="K201" s="3">
        <v>2.44</v>
      </c>
    </row>
    <row r="202" spans="2:11" x14ac:dyDescent="0.25">
      <c r="B202" s="2" t="s">
        <v>6259</v>
      </c>
      <c r="C202" s="2" t="s">
        <v>6260</v>
      </c>
      <c r="D202" s="3">
        <v>16.47</v>
      </c>
      <c r="E202" s="3">
        <v>0.21</v>
      </c>
      <c r="F202" s="3">
        <v>0</v>
      </c>
      <c r="H202" s="3">
        <v>89</v>
      </c>
      <c r="I202" s="3">
        <v>2.25</v>
      </c>
      <c r="J202" s="3">
        <v>1.6</v>
      </c>
      <c r="K202" s="3">
        <v>0.55000000000000004</v>
      </c>
    </row>
    <row r="203" spans="2:11" x14ac:dyDescent="0.25">
      <c r="B203" s="2" t="s">
        <v>6261</v>
      </c>
      <c r="C203" s="2" t="s">
        <v>6262</v>
      </c>
      <c r="D203" s="3">
        <v>24.97</v>
      </c>
      <c r="E203" s="3">
        <v>1.93</v>
      </c>
      <c r="F203" s="3">
        <v>0</v>
      </c>
      <c r="H203" s="3">
        <v>63</v>
      </c>
      <c r="I203" s="3">
        <v>3.14</v>
      </c>
      <c r="J203" s="3">
        <v>2.2200000000000002</v>
      </c>
      <c r="K203" s="3">
        <v>0.77</v>
      </c>
    </row>
    <row r="204" spans="2:11" x14ac:dyDescent="0.25">
      <c r="B204" s="2" t="s">
        <v>6263</v>
      </c>
      <c r="C204" s="2" t="s">
        <v>6264</v>
      </c>
      <c r="D204" s="3">
        <v>17.18</v>
      </c>
      <c r="E204" s="3">
        <v>0.08</v>
      </c>
      <c r="F204" s="3">
        <v>0</v>
      </c>
      <c r="H204" s="3">
        <v>77</v>
      </c>
      <c r="I204" s="3">
        <v>1.07</v>
      </c>
      <c r="J204" s="3">
        <v>0.84</v>
      </c>
      <c r="K204" s="3">
        <v>1.05</v>
      </c>
    </row>
    <row r="205" spans="2:11" x14ac:dyDescent="0.25">
      <c r="B205" s="2" t="s">
        <v>6265</v>
      </c>
      <c r="C205" s="2" t="s">
        <v>6266</v>
      </c>
      <c r="D205" s="3">
        <v>29.12</v>
      </c>
      <c r="E205" s="3">
        <v>0.13</v>
      </c>
      <c r="F205" s="3">
        <v>0</v>
      </c>
      <c r="H205" s="3">
        <v>58</v>
      </c>
      <c r="I205" s="3">
        <v>1.82</v>
      </c>
      <c r="J205" s="3">
        <v>1.42</v>
      </c>
      <c r="K205" s="3">
        <v>1.78</v>
      </c>
    </row>
    <row r="206" spans="2:11" x14ac:dyDescent="0.25">
      <c r="B206" s="2" t="s">
        <v>6267</v>
      </c>
      <c r="C206" s="2" t="s">
        <v>6268</v>
      </c>
      <c r="D206" s="3">
        <v>15.74</v>
      </c>
      <c r="E206" s="3">
        <v>0.82</v>
      </c>
      <c r="F206" s="3">
        <v>0</v>
      </c>
      <c r="H206" s="3">
        <v>156</v>
      </c>
      <c r="I206" s="3">
        <v>1</v>
      </c>
      <c r="J206" s="3">
        <v>0.63</v>
      </c>
      <c r="K206" s="3">
        <v>0.55000000000000004</v>
      </c>
    </row>
    <row r="207" spans="2:11" x14ac:dyDescent="0.25">
      <c r="B207" s="2" t="s">
        <v>6269</v>
      </c>
      <c r="C207" s="2" t="s">
        <v>6270</v>
      </c>
      <c r="D207" s="3">
        <v>23.65</v>
      </c>
      <c r="E207" s="3">
        <v>0.99</v>
      </c>
      <c r="F207" s="3">
        <v>0</v>
      </c>
      <c r="H207" s="3">
        <v>151</v>
      </c>
      <c r="I207" s="3">
        <v>1.23</v>
      </c>
      <c r="J207" s="3">
        <v>0.77</v>
      </c>
      <c r="K207" s="3">
        <v>0.67</v>
      </c>
    </row>
    <row r="208" spans="2:11" x14ac:dyDescent="0.25">
      <c r="B208" s="2" t="s">
        <v>6271</v>
      </c>
      <c r="C208" s="2" t="s">
        <v>6272</v>
      </c>
      <c r="D208" s="3">
        <v>15.76</v>
      </c>
      <c r="E208" s="3">
        <v>0.85</v>
      </c>
      <c r="F208" s="3">
        <v>0</v>
      </c>
      <c r="H208" s="3">
        <v>178</v>
      </c>
      <c r="I208" s="3">
        <v>0.96</v>
      </c>
      <c r="J208" s="3">
        <v>0.68</v>
      </c>
      <c r="K208" s="3">
        <v>0.62</v>
      </c>
    </row>
    <row r="209" spans="2:11" x14ac:dyDescent="0.25">
      <c r="B209" s="2"/>
      <c r="C209" s="2"/>
      <c r="D209" s="3"/>
      <c r="E209" s="3"/>
      <c r="F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F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F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H257" s="3"/>
      <c r="I257" s="3"/>
      <c r="J257" s="3"/>
      <c r="K257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7141-0F28-EC47-AD18-49D65017B88C}">
  <sheetPr codeName="Sheet20"/>
  <dimension ref="A1:K457"/>
  <sheetViews>
    <sheetView workbookViewId="0">
      <selection activeCell="L25" sqref="L25"/>
    </sheetView>
  </sheetViews>
  <sheetFormatPr defaultColWidth="11" defaultRowHeight="15.75" x14ac:dyDescent="0.25"/>
  <cols>
    <col min="3" max="3" width="59.3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18001</v>
      </c>
      <c r="C3" s="10" t="str" cm="1">
        <f t="array" ref="C3">INDEX($B$11:$K$208, $A$3, C1)</f>
        <v>BAGEL,PLN,TSTD, ENR W/CA PROP(INCLUDE ONION,POPPY,SESAME)</v>
      </c>
      <c r="D3" s="10" cm="1">
        <f t="array" ref="D3">INDEX($B$11:$K$74, $A$3, D1)</f>
        <v>10.56</v>
      </c>
      <c r="E3" s="10" cm="1">
        <f t="array" ref="E3">INDEX($B$11:$K$74, $A$3, E1)</f>
        <v>52.38</v>
      </c>
      <c r="F3" s="10" cm="1">
        <f t="array" ref="F3">INDEX($B$11:$K$74, $A$3, F1)</f>
        <v>1.6</v>
      </c>
      <c r="G3" s="10" cm="1">
        <f t="array" ref="G3">INDEX($B$11:$K$74, $A$3, G1)</f>
        <v>8.43</v>
      </c>
      <c r="H3" s="10" cm="1">
        <f t="array" ref="H3">INDEX($B$11:$K$74, $A$3, H1)</f>
        <v>422</v>
      </c>
      <c r="I3" s="10" cm="1">
        <f t="array" ref="I3">INDEX($B$11:$K$74, $A$3, I1)</f>
        <v>0.36</v>
      </c>
      <c r="J3" s="10" cm="1">
        <f t="array" ref="J3">INDEX($B$11:$K$74, $A$3, J1)</f>
        <v>0.39</v>
      </c>
      <c r="K3" s="10" cm="1">
        <f t="array" ref="K3">INDEX($B$11:$K$74, $A$3, K1)</f>
        <v>0.52600000000000002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104.76</v>
      </c>
      <c r="F6" s="10">
        <f>A6*F3</f>
        <v>0</v>
      </c>
      <c r="G6" s="10">
        <f>A7*G3</f>
        <v>16.86</v>
      </c>
      <c r="H6" s="12">
        <f>A6*H3</f>
        <v>0</v>
      </c>
      <c r="I6" s="12">
        <f>A6*I3</f>
        <v>0</v>
      </c>
      <c r="J6" s="12">
        <f>A7*J3</f>
        <v>0.78</v>
      </c>
      <c r="K6" s="10">
        <f>A7*K3</f>
        <v>1.052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6273</v>
      </c>
      <c r="C11" s="2" t="s">
        <v>6274</v>
      </c>
      <c r="D11" s="3">
        <v>10.56</v>
      </c>
      <c r="E11" s="3">
        <v>52.38</v>
      </c>
      <c r="F11" s="3">
        <v>1.6</v>
      </c>
      <c r="G11" s="3">
        <v>8.43</v>
      </c>
      <c r="H11" s="3">
        <v>422</v>
      </c>
      <c r="I11" s="3">
        <v>0.36</v>
      </c>
      <c r="J11" s="3">
        <v>0.39</v>
      </c>
      <c r="K11" s="3">
        <v>0.52600000000000002</v>
      </c>
    </row>
    <row r="12" spans="1:11" x14ac:dyDescent="0.25">
      <c r="B12" s="2" t="s">
        <v>6275</v>
      </c>
      <c r="C12" s="2" t="s">
        <v>6276</v>
      </c>
      <c r="D12" s="3">
        <v>11.14</v>
      </c>
      <c r="E12" s="3">
        <v>57.39</v>
      </c>
      <c r="F12" s="3">
        <v>1.8</v>
      </c>
      <c r="G12" s="3">
        <v>9.14</v>
      </c>
      <c r="H12" s="3">
        <v>457</v>
      </c>
      <c r="I12" s="3">
        <v>0.22900000000000001</v>
      </c>
      <c r="J12" s="3">
        <v>0.245</v>
      </c>
      <c r="K12" s="3">
        <v>0.55400000000000005</v>
      </c>
    </row>
    <row r="13" spans="1:11" x14ac:dyDescent="0.25">
      <c r="B13" s="2" t="s">
        <v>6277</v>
      </c>
      <c r="C13" s="2" t="s">
        <v>6278</v>
      </c>
      <c r="D13" s="3">
        <v>10.6</v>
      </c>
      <c r="E13" s="3">
        <v>53</v>
      </c>
      <c r="F13" s="3">
        <v>2.2999999999999998</v>
      </c>
      <c r="H13" s="3">
        <v>505</v>
      </c>
      <c r="I13" s="3">
        <v>0.42099999999999999</v>
      </c>
      <c r="J13" s="3">
        <v>0.42</v>
      </c>
      <c r="K13" s="3">
        <v>0.64200000000000002</v>
      </c>
    </row>
    <row r="14" spans="1:11" x14ac:dyDescent="0.25">
      <c r="B14" s="2" t="s">
        <v>6279</v>
      </c>
      <c r="C14" s="2" t="s">
        <v>6280</v>
      </c>
      <c r="D14" s="3">
        <v>9.8000000000000007</v>
      </c>
      <c r="E14" s="3">
        <v>55.2</v>
      </c>
      <c r="F14" s="3">
        <v>2.2999999999999998</v>
      </c>
      <c r="G14" s="3">
        <v>5.98</v>
      </c>
      <c r="H14" s="3">
        <v>344</v>
      </c>
      <c r="I14" s="3">
        <v>0.27400000000000002</v>
      </c>
      <c r="J14" s="3">
        <v>0.17499999999999999</v>
      </c>
      <c r="K14" s="3">
        <v>0.67100000000000004</v>
      </c>
    </row>
    <row r="15" spans="1:11" x14ac:dyDescent="0.25">
      <c r="B15" s="2" t="s">
        <v>6281</v>
      </c>
      <c r="C15" s="2" t="s">
        <v>6282</v>
      </c>
      <c r="D15" s="3">
        <v>10.6</v>
      </c>
      <c r="E15" s="3">
        <v>59.3</v>
      </c>
      <c r="F15" s="3">
        <v>2.5</v>
      </c>
      <c r="G15" s="3">
        <v>6.43</v>
      </c>
      <c r="H15" s="3">
        <v>370</v>
      </c>
      <c r="I15" s="3">
        <v>0.29499999999999998</v>
      </c>
      <c r="J15" s="3">
        <v>0.188</v>
      </c>
      <c r="K15" s="3">
        <v>0.72199999999999998</v>
      </c>
    </row>
    <row r="16" spans="1:11" x14ac:dyDescent="0.25">
      <c r="B16" s="2" t="s">
        <v>6283</v>
      </c>
      <c r="C16" s="2" t="s">
        <v>6284</v>
      </c>
      <c r="D16" s="3">
        <v>10.7</v>
      </c>
      <c r="E16" s="3">
        <v>53.3</v>
      </c>
      <c r="F16" s="3">
        <v>3.6</v>
      </c>
      <c r="G16" s="3">
        <v>1.63</v>
      </c>
      <c r="H16" s="3">
        <v>590</v>
      </c>
      <c r="I16" s="3">
        <v>0.191</v>
      </c>
      <c r="J16" s="3">
        <v>0.249</v>
      </c>
      <c r="K16" s="3">
        <v>0.48599999999999999</v>
      </c>
    </row>
    <row r="17" spans="2:11" x14ac:dyDescent="0.25">
      <c r="B17" s="2" t="s">
        <v>6285</v>
      </c>
      <c r="C17" s="2" t="s">
        <v>6286</v>
      </c>
      <c r="D17" s="3">
        <v>6.2</v>
      </c>
      <c r="E17" s="3">
        <v>53.87</v>
      </c>
      <c r="F17" s="3">
        <v>1.3</v>
      </c>
      <c r="G17" s="3">
        <v>3.48</v>
      </c>
      <c r="H17" s="3">
        <v>942</v>
      </c>
      <c r="I17" s="3">
        <v>1.6759999999999999</v>
      </c>
      <c r="J17" s="3">
        <v>4.6470000000000002</v>
      </c>
      <c r="K17" s="3">
        <v>4.1779999999999999</v>
      </c>
    </row>
    <row r="18" spans="2:11" x14ac:dyDescent="0.25">
      <c r="B18" s="2" t="s">
        <v>6287</v>
      </c>
      <c r="C18" s="2" t="s">
        <v>6288</v>
      </c>
      <c r="D18" s="3">
        <v>8</v>
      </c>
      <c r="E18" s="3">
        <v>63.4</v>
      </c>
      <c r="F18" s="3">
        <v>2.1</v>
      </c>
      <c r="G18" s="3">
        <v>11.65</v>
      </c>
      <c r="H18" s="3">
        <v>1276</v>
      </c>
      <c r="I18" s="3">
        <v>3.9649999999999999</v>
      </c>
      <c r="J18" s="3">
        <v>8.5839999999999996</v>
      </c>
      <c r="K18" s="3">
        <v>2.0110000000000001</v>
      </c>
    </row>
    <row r="19" spans="2:11" x14ac:dyDescent="0.25">
      <c r="B19" s="2" t="s">
        <v>6289</v>
      </c>
      <c r="C19" s="2" t="s">
        <v>6290</v>
      </c>
      <c r="D19" s="3">
        <v>7.3</v>
      </c>
      <c r="E19" s="3">
        <v>48.4</v>
      </c>
      <c r="F19" s="3">
        <v>1.8</v>
      </c>
      <c r="H19" s="3">
        <v>955</v>
      </c>
      <c r="I19" s="3">
        <v>2.7890000000000001</v>
      </c>
      <c r="J19" s="3">
        <v>4.2060000000000004</v>
      </c>
      <c r="K19" s="3">
        <v>4.3049999999999997</v>
      </c>
    </row>
    <row r="20" spans="2:11" x14ac:dyDescent="0.25">
      <c r="B20" s="2" t="s">
        <v>6291</v>
      </c>
      <c r="C20" s="2" t="s">
        <v>6292</v>
      </c>
      <c r="D20" s="3">
        <v>6.7</v>
      </c>
      <c r="E20" s="3">
        <v>43.7</v>
      </c>
      <c r="F20" s="3">
        <v>2</v>
      </c>
      <c r="G20" s="3">
        <v>7.18</v>
      </c>
      <c r="H20" s="3">
        <v>828</v>
      </c>
      <c r="I20" s="3">
        <v>3.14</v>
      </c>
      <c r="J20" s="3">
        <v>2.4049999999999998</v>
      </c>
      <c r="K20" s="3">
        <v>0.67100000000000004</v>
      </c>
    </row>
    <row r="21" spans="2:11" x14ac:dyDescent="0.25">
      <c r="B21" s="2" t="s">
        <v>6293</v>
      </c>
      <c r="C21" s="2" t="s">
        <v>6294</v>
      </c>
      <c r="D21" s="3">
        <v>7.8</v>
      </c>
      <c r="E21" s="3">
        <v>51.6</v>
      </c>
      <c r="F21" s="3">
        <v>2.2999999999999998</v>
      </c>
      <c r="G21" s="3">
        <v>8.14</v>
      </c>
      <c r="H21" s="3">
        <v>962</v>
      </c>
      <c r="I21" s="3">
        <v>3.6480000000000001</v>
      </c>
      <c r="J21" s="3">
        <v>2.7970000000000002</v>
      </c>
      <c r="K21" s="3">
        <v>0.78</v>
      </c>
    </row>
    <row r="22" spans="2:11" x14ac:dyDescent="0.25">
      <c r="B22" s="2" t="s">
        <v>6295</v>
      </c>
      <c r="C22" s="2" t="s">
        <v>6296</v>
      </c>
      <c r="D22" s="3">
        <v>6.66</v>
      </c>
      <c r="E22" s="3">
        <v>46.32</v>
      </c>
      <c r="F22" s="3">
        <v>0.7</v>
      </c>
      <c r="G22" s="3">
        <v>7.4</v>
      </c>
      <c r="H22" s="3">
        <v>977</v>
      </c>
      <c r="I22" s="3">
        <v>2.806</v>
      </c>
      <c r="J22" s="3">
        <v>6.5590000000000002</v>
      </c>
      <c r="K22" s="3">
        <v>0.68100000000000005</v>
      </c>
    </row>
    <row r="23" spans="2:11" x14ac:dyDescent="0.25">
      <c r="B23" s="2" t="s">
        <v>6297</v>
      </c>
      <c r="C23" s="2" t="s">
        <v>6298</v>
      </c>
      <c r="D23" s="3">
        <v>6.79</v>
      </c>
      <c r="E23" s="3">
        <v>49.05</v>
      </c>
      <c r="F23" s="3">
        <v>2.8</v>
      </c>
      <c r="G23" s="3">
        <v>8.19</v>
      </c>
      <c r="H23" s="3">
        <v>1002</v>
      </c>
      <c r="I23" s="3">
        <v>5.5140000000000002</v>
      </c>
      <c r="J23" s="3">
        <v>2.3090000000000002</v>
      </c>
      <c r="K23" s="3">
        <v>2.6880000000000002</v>
      </c>
    </row>
    <row r="24" spans="2:11" x14ac:dyDescent="0.25">
      <c r="B24" s="2" t="s">
        <v>6299</v>
      </c>
      <c r="C24" s="2" t="s">
        <v>6300</v>
      </c>
      <c r="D24" s="3">
        <v>7</v>
      </c>
      <c r="E24" s="3">
        <v>44.6</v>
      </c>
      <c r="F24" s="3">
        <v>1.5</v>
      </c>
      <c r="G24" s="3">
        <v>2.1800000000000002</v>
      </c>
      <c r="H24" s="3">
        <v>580</v>
      </c>
      <c r="I24" s="3">
        <v>4.3239999999999998</v>
      </c>
      <c r="J24" s="3">
        <v>6.93</v>
      </c>
      <c r="K24" s="3">
        <v>4.1630000000000003</v>
      </c>
    </row>
    <row r="25" spans="2:11" x14ac:dyDescent="0.25">
      <c r="B25" s="2" t="s">
        <v>6301</v>
      </c>
      <c r="C25" s="2" t="s">
        <v>6302</v>
      </c>
      <c r="D25" s="3">
        <v>6.1</v>
      </c>
      <c r="E25" s="3">
        <v>47.4</v>
      </c>
      <c r="H25" s="3">
        <v>670</v>
      </c>
      <c r="I25" s="3">
        <v>1.3660000000000001</v>
      </c>
      <c r="J25" s="3">
        <v>2.9319999999999999</v>
      </c>
      <c r="K25" s="3">
        <v>0.88</v>
      </c>
    </row>
    <row r="26" spans="2:11" x14ac:dyDescent="0.25">
      <c r="B26" s="2" t="s">
        <v>6303</v>
      </c>
      <c r="C26" s="2" t="s">
        <v>6304</v>
      </c>
      <c r="D26" s="3">
        <v>4.3</v>
      </c>
      <c r="E26" s="3">
        <v>54.6</v>
      </c>
      <c r="F26" s="3">
        <v>1.1000000000000001</v>
      </c>
      <c r="H26" s="3">
        <v>302</v>
      </c>
      <c r="I26" s="3">
        <v>2.2370000000000001</v>
      </c>
      <c r="J26" s="3">
        <v>4.4800000000000004</v>
      </c>
      <c r="K26" s="3">
        <v>3.13</v>
      </c>
    </row>
    <row r="27" spans="2:11" x14ac:dyDescent="0.25">
      <c r="B27" s="2" t="s">
        <v>6305</v>
      </c>
      <c r="C27" s="2" t="s">
        <v>6306</v>
      </c>
      <c r="D27" s="3">
        <v>5.2</v>
      </c>
      <c r="E27" s="3">
        <v>43.3</v>
      </c>
      <c r="F27" s="3">
        <v>4.7</v>
      </c>
      <c r="G27" s="3">
        <v>2.42</v>
      </c>
      <c r="H27" s="3">
        <v>631</v>
      </c>
      <c r="I27" s="3">
        <v>0.28199999999999997</v>
      </c>
      <c r="J27" s="3">
        <v>0.20699999999999999</v>
      </c>
      <c r="K27" s="3">
        <v>0.56399999999999995</v>
      </c>
    </row>
    <row r="28" spans="2:11" x14ac:dyDescent="0.25">
      <c r="B28" s="2" t="s">
        <v>6307</v>
      </c>
      <c r="C28" s="2" t="s">
        <v>6308</v>
      </c>
      <c r="D28" s="3">
        <v>7</v>
      </c>
      <c r="E28" s="3">
        <v>69.5</v>
      </c>
      <c r="F28" s="3">
        <v>6.5</v>
      </c>
      <c r="G28" s="3">
        <v>20.34</v>
      </c>
      <c r="H28" s="3">
        <v>817</v>
      </c>
      <c r="I28" s="3">
        <v>3.0910000000000002</v>
      </c>
      <c r="J28" s="3">
        <v>6.7190000000000003</v>
      </c>
      <c r="K28" s="3">
        <v>1.6819999999999999</v>
      </c>
    </row>
    <row r="29" spans="2:11" x14ac:dyDescent="0.25">
      <c r="B29" s="2" t="s">
        <v>6309</v>
      </c>
      <c r="C29" s="2" t="s">
        <v>6310</v>
      </c>
      <c r="D29" s="3">
        <v>6.59</v>
      </c>
      <c r="E29" s="3">
        <v>54.46</v>
      </c>
      <c r="F29" s="3">
        <v>2.2999999999999998</v>
      </c>
      <c r="G29" s="3">
        <v>16.05</v>
      </c>
      <c r="H29" s="3">
        <v>599</v>
      </c>
      <c r="I29" s="3">
        <v>3.7320000000000002</v>
      </c>
      <c r="J29" s="3">
        <v>3.4940000000000002</v>
      </c>
      <c r="K29" s="3">
        <v>1.9630000000000001</v>
      </c>
    </row>
    <row r="30" spans="2:11" x14ac:dyDescent="0.25">
      <c r="B30" s="2" t="s">
        <v>6311</v>
      </c>
      <c r="C30" s="2" t="s">
        <v>6312</v>
      </c>
      <c r="D30" s="3">
        <v>6.7</v>
      </c>
      <c r="E30" s="3">
        <v>43.5</v>
      </c>
      <c r="H30" s="3">
        <v>658</v>
      </c>
      <c r="I30" s="3">
        <v>1.5549999999999999</v>
      </c>
      <c r="J30" s="3">
        <v>1.83</v>
      </c>
      <c r="K30" s="3">
        <v>3.206</v>
      </c>
    </row>
    <row r="31" spans="2:11" x14ac:dyDescent="0.25">
      <c r="B31" s="2" t="s">
        <v>6313</v>
      </c>
      <c r="C31" s="2" t="s">
        <v>6314</v>
      </c>
      <c r="D31" s="3">
        <v>8.6999999999999993</v>
      </c>
      <c r="E31" s="3">
        <v>49.5</v>
      </c>
      <c r="F31" s="3">
        <v>5.5</v>
      </c>
      <c r="H31" s="3">
        <v>538</v>
      </c>
      <c r="I31" s="3">
        <v>0.91600000000000004</v>
      </c>
      <c r="J31" s="3">
        <v>1.9019999999999999</v>
      </c>
      <c r="K31" s="3">
        <v>0.68200000000000005</v>
      </c>
    </row>
    <row r="32" spans="2:11" x14ac:dyDescent="0.25">
      <c r="B32" s="2" t="s">
        <v>6315</v>
      </c>
      <c r="C32" s="2" t="s">
        <v>6316</v>
      </c>
      <c r="D32" s="3">
        <v>9.5</v>
      </c>
      <c r="E32" s="3">
        <v>47.8</v>
      </c>
      <c r="F32" s="3">
        <v>2.2999999999999998</v>
      </c>
      <c r="G32" s="3">
        <v>1.78</v>
      </c>
      <c r="H32" s="3">
        <v>380</v>
      </c>
      <c r="I32" s="3">
        <v>1.593</v>
      </c>
      <c r="J32" s="3">
        <v>2.302</v>
      </c>
      <c r="K32" s="3">
        <v>1.1060000000000001</v>
      </c>
    </row>
    <row r="33" spans="2:11" x14ac:dyDescent="0.25">
      <c r="B33" s="2" t="s">
        <v>6317</v>
      </c>
      <c r="C33" s="2" t="s">
        <v>6318</v>
      </c>
      <c r="D33" s="3">
        <v>10.5</v>
      </c>
      <c r="E33" s="3">
        <v>52.6</v>
      </c>
      <c r="F33" s="3">
        <v>2.5</v>
      </c>
      <c r="G33" s="3">
        <v>1.94</v>
      </c>
      <c r="H33" s="3">
        <v>417</v>
      </c>
      <c r="I33" s="3">
        <v>1.6160000000000001</v>
      </c>
      <c r="J33" s="3">
        <v>2.9889999999999999</v>
      </c>
      <c r="K33" s="3">
        <v>1.149</v>
      </c>
    </row>
    <row r="34" spans="2:11" x14ac:dyDescent="0.25">
      <c r="B34" s="2" t="s">
        <v>6319</v>
      </c>
      <c r="C34" s="2" t="s">
        <v>6320</v>
      </c>
      <c r="D34" s="3">
        <v>10.75</v>
      </c>
      <c r="E34" s="3">
        <v>51.88</v>
      </c>
      <c r="F34" s="3">
        <v>2.2000000000000002</v>
      </c>
      <c r="G34" s="3">
        <v>4.62</v>
      </c>
      <c r="H34" s="3">
        <v>602</v>
      </c>
      <c r="I34" s="3">
        <v>0.52900000000000003</v>
      </c>
      <c r="J34" s="3">
        <v>0.36199999999999999</v>
      </c>
      <c r="K34" s="3">
        <v>0.85499999999999998</v>
      </c>
    </row>
    <row r="35" spans="2:11" x14ac:dyDescent="0.25">
      <c r="B35" s="2" t="s">
        <v>6321</v>
      </c>
      <c r="C35" s="2" t="s">
        <v>6322</v>
      </c>
      <c r="D35" s="3">
        <v>13</v>
      </c>
      <c r="E35" s="3">
        <v>61.93</v>
      </c>
      <c r="F35" s="3">
        <v>3.1</v>
      </c>
      <c r="G35" s="3">
        <v>3.59</v>
      </c>
      <c r="H35" s="3">
        <v>720</v>
      </c>
      <c r="I35" s="3">
        <v>0.502</v>
      </c>
      <c r="J35" s="3">
        <v>0.38600000000000001</v>
      </c>
      <c r="K35" s="3">
        <v>0.83</v>
      </c>
    </row>
    <row r="36" spans="2:11" x14ac:dyDescent="0.25">
      <c r="B36" s="2" t="s">
        <v>6323</v>
      </c>
      <c r="C36" s="2" t="s">
        <v>6324</v>
      </c>
      <c r="D36" s="3">
        <v>6.6</v>
      </c>
      <c r="E36" s="3">
        <v>56</v>
      </c>
      <c r="F36" s="3">
        <v>2.6</v>
      </c>
      <c r="H36" s="3">
        <v>398</v>
      </c>
      <c r="I36" s="3">
        <v>1.111</v>
      </c>
      <c r="J36" s="3">
        <v>1.9990000000000001</v>
      </c>
      <c r="K36" s="3">
        <v>1.478</v>
      </c>
    </row>
    <row r="37" spans="2:11" x14ac:dyDescent="0.25">
      <c r="B37" s="2" t="s">
        <v>6325</v>
      </c>
      <c r="C37" s="2" t="s">
        <v>6326</v>
      </c>
      <c r="D37" s="3">
        <v>8.8000000000000007</v>
      </c>
      <c r="E37" s="3">
        <v>50.1</v>
      </c>
      <c r="F37" s="3">
        <v>3.2</v>
      </c>
      <c r="G37" s="3">
        <v>3.17</v>
      </c>
      <c r="H37" s="3">
        <v>550</v>
      </c>
      <c r="I37" s="3">
        <v>0</v>
      </c>
      <c r="J37" s="3">
        <v>0.81200000000000006</v>
      </c>
      <c r="K37" s="3">
        <v>1.39</v>
      </c>
    </row>
    <row r="38" spans="2:11" x14ac:dyDescent="0.25">
      <c r="B38" s="2" t="s">
        <v>6327</v>
      </c>
      <c r="C38" s="2" t="s">
        <v>6328</v>
      </c>
      <c r="D38" s="3">
        <v>14.52</v>
      </c>
      <c r="E38" s="3">
        <v>47.11</v>
      </c>
      <c r="F38" s="3">
        <v>8.1</v>
      </c>
      <c r="G38" s="3">
        <v>6.94</v>
      </c>
      <c r="H38" s="3">
        <v>414</v>
      </c>
      <c r="I38" s="3">
        <v>0.94799999999999995</v>
      </c>
      <c r="J38" s="3">
        <v>0.82599999999999996</v>
      </c>
      <c r="K38" s="3">
        <v>2.0350000000000001</v>
      </c>
    </row>
    <row r="39" spans="2:11" x14ac:dyDescent="0.25">
      <c r="B39" s="2" t="s">
        <v>6329</v>
      </c>
      <c r="C39" s="2" t="s">
        <v>6330</v>
      </c>
      <c r="D39" s="3">
        <v>10.4</v>
      </c>
      <c r="E39" s="3">
        <v>39.799999999999997</v>
      </c>
      <c r="F39" s="3">
        <v>4.5</v>
      </c>
      <c r="G39" s="3">
        <v>7.7</v>
      </c>
      <c r="H39" s="3">
        <v>353</v>
      </c>
      <c r="I39" s="3">
        <v>0.69699999999999995</v>
      </c>
      <c r="J39" s="3">
        <v>1.59</v>
      </c>
      <c r="K39" s="3">
        <v>1.694</v>
      </c>
    </row>
    <row r="40" spans="2:11" x14ac:dyDescent="0.25">
      <c r="B40" s="2" t="s">
        <v>6331</v>
      </c>
      <c r="C40" s="2" t="s">
        <v>6332</v>
      </c>
      <c r="D40" s="3">
        <v>11.4</v>
      </c>
      <c r="E40" s="3">
        <v>43.7</v>
      </c>
      <c r="F40" s="3">
        <v>4.9000000000000004</v>
      </c>
      <c r="G40" s="3">
        <v>8.4600000000000009</v>
      </c>
      <c r="H40" s="3">
        <v>387</v>
      </c>
      <c r="I40" s="3">
        <v>0.76600000000000001</v>
      </c>
      <c r="J40" s="3">
        <v>1.748</v>
      </c>
      <c r="K40" s="3">
        <v>1.861</v>
      </c>
    </row>
    <row r="41" spans="2:11" x14ac:dyDescent="0.25">
      <c r="B41" s="2" t="s">
        <v>6333</v>
      </c>
      <c r="C41" s="2" t="s">
        <v>6334</v>
      </c>
      <c r="D41" s="3">
        <v>8.4</v>
      </c>
      <c r="E41" s="3">
        <v>48.5</v>
      </c>
      <c r="F41" s="3">
        <v>4</v>
      </c>
      <c r="G41" s="3">
        <v>8.14</v>
      </c>
      <c r="H41" s="3">
        <v>447</v>
      </c>
      <c r="I41" s="3">
        <v>0.70299999999999996</v>
      </c>
      <c r="J41" s="3">
        <v>1.5780000000000001</v>
      </c>
      <c r="K41" s="3">
        <v>1.702</v>
      </c>
    </row>
    <row r="42" spans="2:11" x14ac:dyDescent="0.25">
      <c r="B42" s="2" t="s">
        <v>6335</v>
      </c>
      <c r="C42" s="2" t="s">
        <v>6336</v>
      </c>
      <c r="D42" s="3">
        <v>9.1999999999999993</v>
      </c>
      <c r="E42" s="3">
        <v>52.7</v>
      </c>
      <c r="F42" s="3">
        <v>4.3</v>
      </c>
      <c r="G42" s="3">
        <v>8.84</v>
      </c>
      <c r="H42" s="3">
        <v>486</v>
      </c>
      <c r="I42" s="3">
        <v>0.76400000000000001</v>
      </c>
      <c r="J42" s="3">
        <v>1.7150000000000001</v>
      </c>
      <c r="K42" s="3">
        <v>1.85</v>
      </c>
    </row>
    <row r="43" spans="2:11" x14ac:dyDescent="0.25">
      <c r="B43" s="2" t="s">
        <v>6337</v>
      </c>
      <c r="C43" s="2" t="s">
        <v>6338</v>
      </c>
      <c r="D43" s="3">
        <v>9.1</v>
      </c>
      <c r="E43" s="3">
        <v>55.7</v>
      </c>
      <c r="F43" s="3">
        <v>2.2000000000000002</v>
      </c>
      <c r="G43" s="3">
        <v>1.3</v>
      </c>
      <c r="H43" s="3">
        <v>536</v>
      </c>
      <c r="I43" s="3">
        <v>0.16600000000000001</v>
      </c>
      <c r="J43" s="3">
        <v>0.105</v>
      </c>
      <c r="K43" s="3">
        <v>0.53500000000000003</v>
      </c>
    </row>
    <row r="44" spans="2:11" x14ac:dyDescent="0.25">
      <c r="B44" s="2" t="s">
        <v>6339</v>
      </c>
      <c r="C44" s="2" t="s">
        <v>6340</v>
      </c>
      <c r="D44" s="3">
        <v>9.8000000000000007</v>
      </c>
      <c r="E44" s="3">
        <v>55.89</v>
      </c>
      <c r="F44" s="3">
        <v>6.1</v>
      </c>
      <c r="G44" s="3">
        <v>2.87</v>
      </c>
      <c r="H44" s="3">
        <v>527</v>
      </c>
      <c r="I44" s="3">
        <v>0.14699999999999999</v>
      </c>
      <c r="J44" s="3">
        <v>0.247</v>
      </c>
      <c r="K44" s="3">
        <v>0.747</v>
      </c>
    </row>
    <row r="45" spans="2:11" x14ac:dyDescent="0.25">
      <c r="B45" s="2" t="s">
        <v>6341</v>
      </c>
      <c r="C45" s="2" t="s">
        <v>6342</v>
      </c>
      <c r="D45" s="3">
        <v>12.1</v>
      </c>
      <c r="E45" s="3">
        <v>43.8</v>
      </c>
      <c r="F45" s="3">
        <v>3</v>
      </c>
      <c r="G45" s="3">
        <v>1.44</v>
      </c>
      <c r="H45" s="3">
        <v>404</v>
      </c>
      <c r="I45" s="3">
        <v>0.33200000000000002</v>
      </c>
      <c r="J45" s="3">
        <v>0.183</v>
      </c>
      <c r="K45" s="3">
        <v>1.0089999999999999</v>
      </c>
    </row>
    <row r="46" spans="2:11" x14ac:dyDescent="0.25">
      <c r="B46" s="2" t="s">
        <v>6343</v>
      </c>
      <c r="C46" s="2" t="s">
        <v>6344</v>
      </c>
      <c r="D46" s="3">
        <v>8.6999999999999993</v>
      </c>
      <c r="E46" s="3">
        <v>47.5</v>
      </c>
      <c r="F46" s="3">
        <v>6.5</v>
      </c>
      <c r="G46" s="3">
        <v>0.53</v>
      </c>
      <c r="H46" s="3">
        <v>596</v>
      </c>
      <c r="I46" s="3">
        <v>0.437</v>
      </c>
      <c r="J46" s="3">
        <v>0.93200000000000005</v>
      </c>
      <c r="K46" s="3">
        <v>1.2370000000000001</v>
      </c>
    </row>
    <row r="47" spans="2:11" x14ac:dyDescent="0.25">
      <c r="B47" s="2" t="s">
        <v>6345</v>
      </c>
      <c r="C47" s="2" t="s">
        <v>6346</v>
      </c>
      <c r="D47" s="3">
        <v>9.5</v>
      </c>
      <c r="E47" s="3">
        <v>52.2</v>
      </c>
      <c r="F47" s="3">
        <v>7.1</v>
      </c>
      <c r="G47" s="3">
        <v>0.57999999999999996</v>
      </c>
      <c r="H47" s="3">
        <v>655</v>
      </c>
      <c r="I47" s="3">
        <v>0.48099999999999998</v>
      </c>
      <c r="J47" s="3">
        <v>1.024</v>
      </c>
      <c r="K47" s="3">
        <v>1.359</v>
      </c>
    </row>
    <row r="48" spans="2:11" x14ac:dyDescent="0.25">
      <c r="B48" s="2" t="s">
        <v>6347</v>
      </c>
      <c r="C48" s="2" t="s">
        <v>6348</v>
      </c>
      <c r="D48" s="3">
        <v>7.9</v>
      </c>
      <c r="E48" s="3">
        <v>52.3</v>
      </c>
      <c r="F48" s="3">
        <v>4.3</v>
      </c>
      <c r="G48" s="3">
        <v>5.68</v>
      </c>
      <c r="H48" s="3">
        <v>347</v>
      </c>
      <c r="I48" s="3">
        <v>1.081</v>
      </c>
      <c r="J48" s="3">
        <v>2.294</v>
      </c>
      <c r="K48" s="3">
        <v>0.67900000000000005</v>
      </c>
    </row>
    <row r="49" spans="2:11" x14ac:dyDescent="0.25">
      <c r="B49" s="2" t="s">
        <v>6349</v>
      </c>
      <c r="C49" s="2" t="s">
        <v>6350</v>
      </c>
      <c r="D49" s="3">
        <v>8.6</v>
      </c>
      <c r="E49" s="3">
        <v>56.9</v>
      </c>
      <c r="F49" s="3">
        <v>4.7</v>
      </c>
      <c r="G49" s="3">
        <v>6.18</v>
      </c>
      <c r="H49" s="3">
        <v>377</v>
      </c>
      <c r="I49" s="3">
        <v>1.175</v>
      </c>
      <c r="J49" s="3">
        <v>2.4940000000000002</v>
      </c>
      <c r="K49" s="3">
        <v>0.73799999999999999</v>
      </c>
    </row>
    <row r="50" spans="2:11" x14ac:dyDescent="0.25">
      <c r="B50" s="2" t="s">
        <v>6351</v>
      </c>
      <c r="C50" s="2" t="s">
        <v>6352</v>
      </c>
      <c r="D50" s="3">
        <v>8</v>
      </c>
      <c r="E50" s="3">
        <v>41.3</v>
      </c>
      <c r="F50" s="3">
        <v>12</v>
      </c>
      <c r="G50" s="3">
        <v>3.52</v>
      </c>
      <c r="H50" s="3">
        <v>459</v>
      </c>
      <c r="I50" s="3">
        <v>0.44500000000000001</v>
      </c>
      <c r="J50" s="3">
        <v>0.68400000000000005</v>
      </c>
      <c r="K50" s="3">
        <v>1.67</v>
      </c>
    </row>
    <row r="51" spans="2:11" x14ac:dyDescent="0.25">
      <c r="B51" s="2" t="s">
        <v>6353</v>
      </c>
      <c r="C51" s="2" t="s">
        <v>6354</v>
      </c>
      <c r="D51" s="3">
        <v>9.5</v>
      </c>
      <c r="E51" s="3">
        <v>49.2</v>
      </c>
      <c r="F51" s="3">
        <v>14.3</v>
      </c>
      <c r="G51" s="3">
        <v>4.2</v>
      </c>
      <c r="H51" s="3">
        <v>547</v>
      </c>
      <c r="I51" s="3">
        <v>0.53</v>
      </c>
      <c r="J51" s="3">
        <v>0.81399999999999995</v>
      </c>
      <c r="K51" s="3">
        <v>1.988</v>
      </c>
    </row>
    <row r="52" spans="2:11" x14ac:dyDescent="0.25">
      <c r="B52" s="2" t="s">
        <v>6355</v>
      </c>
      <c r="C52" s="2" t="s">
        <v>6356</v>
      </c>
      <c r="D52" s="3">
        <v>7.6</v>
      </c>
      <c r="E52" s="3">
        <v>43.3</v>
      </c>
      <c r="H52" s="3">
        <v>388</v>
      </c>
      <c r="I52" s="3">
        <v>0.59899999999999998</v>
      </c>
      <c r="J52" s="3">
        <v>0.82199999999999995</v>
      </c>
      <c r="K52" s="3">
        <v>1.351</v>
      </c>
    </row>
    <row r="53" spans="2:11" x14ac:dyDescent="0.25">
      <c r="B53" s="2" t="s">
        <v>6357</v>
      </c>
      <c r="C53" s="2" t="s">
        <v>6358</v>
      </c>
      <c r="D53" s="3">
        <v>9.1</v>
      </c>
      <c r="E53" s="3">
        <v>40.5</v>
      </c>
      <c r="F53" s="3">
        <v>12</v>
      </c>
      <c r="G53" s="3">
        <v>2.29</v>
      </c>
      <c r="H53" s="3">
        <v>513</v>
      </c>
      <c r="I53" s="3">
        <v>0.36799999999999999</v>
      </c>
      <c r="J53" s="3">
        <v>0.67200000000000004</v>
      </c>
      <c r="K53" s="3">
        <v>0.752</v>
      </c>
    </row>
    <row r="54" spans="2:11" x14ac:dyDescent="0.25">
      <c r="B54" s="2" t="s">
        <v>6359</v>
      </c>
      <c r="C54" s="2" t="s">
        <v>6360</v>
      </c>
      <c r="D54" s="3">
        <v>13.32</v>
      </c>
      <c r="E54" s="3">
        <v>42.47</v>
      </c>
      <c r="F54" s="3">
        <v>11.1</v>
      </c>
      <c r="G54" s="3">
        <v>3.71</v>
      </c>
      <c r="H54" s="3">
        <v>332</v>
      </c>
      <c r="I54" s="3">
        <v>0.84</v>
      </c>
      <c r="J54" s="3">
        <v>0.52300000000000002</v>
      </c>
      <c r="K54" s="3">
        <v>1.196</v>
      </c>
    </row>
    <row r="55" spans="2:11" x14ac:dyDescent="0.25">
      <c r="B55" s="2" t="s">
        <v>6361</v>
      </c>
      <c r="C55" s="2" t="s">
        <v>6362</v>
      </c>
      <c r="D55" s="3">
        <v>8.6999999999999993</v>
      </c>
      <c r="E55" s="3">
        <v>44.3</v>
      </c>
      <c r="F55" s="3">
        <v>9.6999999999999993</v>
      </c>
      <c r="G55" s="3">
        <v>4.76</v>
      </c>
      <c r="H55" s="3">
        <v>479</v>
      </c>
      <c r="I55" s="3">
        <v>0.54900000000000004</v>
      </c>
      <c r="J55" s="3">
        <v>1.077</v>
      </c>
      <c r="K55" s="3">
        <v>0.55900000000000005</v>
      </c>
    </row>
    <row r="56" spans="2:11" x14ac:dyDescent="0.25">
      <c r="B56" s="2" t="s">
        <v>6363</v>
      </c>
      <c r="C56" s="2" t="s">
        <v>6364</v>
      </c>
      <c r="D56" s="3">
        <v>8.9</v>
      </c>
      <c r="E56" s="3">
        <v>43.5</v>
      </c>
      <c r="F56" s="3">
        <v>4.9000000000000004</v>
      </c>
      <c r="G56" s="3">
        <v>4.67</v>
      </c>
      <c r="H56" s="3">
        <v>269</v>
      </c>
      <c r="I56" s="3">
        <v>0.70899999999999996</v>
      </c>
      <c r="J56" s="3">
        <v>1.6539999999999999</v>
      </c>
      <c r="K56" s="3">
        <v>1.76</v>
      </c>
    </row>
    <row r="57" spans="2:11" x14ac:dyDescent="0.25">
      <c r="B57" s="2" t="s">
        <v>6365</v>
      </c>
      <c r="C57" s="2" t="s">
        <v>6366</v>
      </c>
      <c r="D57" s="3">
        <v>8.5</v>
      </c>
      <c r="E57" s="3">
        <v>48.3</v>
      </c>
      <c r="F57" s="3">
        <v>5.8</v>
      </c>
      <c r="G57" s="3">
        <v>3.85</v>
      </c>
      <c r="H57" s="3">
        <v>603</v>
      </c>
      <c r="I57" s="3">
        <v>0.626</v>
      </c>
      <c r="J57" s="3">
        <v>1.3109999999999999</v>
      </c>
      <c r="K57" s="3">
        <v>0.79900000000000004</v>
      </c>
    </row>
    <row r="58" spans="2:11" x14ac:dyDescent="0.25">
      <c r="B58" s="2" t="s">
        <v>6367</v>
      </c>
      <c r="C58" s="2" t="s">
        <v>6368</v>
      </c>
      <c r="D58" s="3">
        <v>9.4</v>
      </c>
      <c r="E58" s="3">
        <v>53.1</v>
      </c>
      <c r="F58" s="3">
        <v>6.4</v>
      </c>
      <c r="G58" s="3">
        <v>4.2300000000000004</v>
      </c>
      <c r="H58" s="3">
        <v>664</v>
      </c>
      <c r="I58" s="3">
        <v>0.68799999999999994</v>
      </c>
      <c r="J58" s="3">
        <v>1.44</v>
      </c>
      <c r="K58" s="3">
        <v>0.879</v>
      </c>
    </row>
    <row r="59" spans="2:11" x14ac:dyDescent="0.25">
      <c r="B59" s="2" t="s">
        <v>6369</v>
      </c>
      <c r="C59" s="2" t="s">
        <v>6370</v>
      </c>
      <c r="D59" s="3">
        <v>10.67</v>
      </c>
      <c r="E59" s="3">
        <v>47.54</v>
      </c>
      <c r="F59" s="3">
        <v>4</v>
      </c>
      <c r="G59" s="3">
        <v>5.73</v>
      </c>
      <c r="H59" s="3">
        <v>473</v>
      </c>
      <c r="I59" s="3">
        <v>0.69699999999999995</v>
      </c>
      <c r="J59" s="3">
        <v>0.61199999999999999</v>
      </c>
      <c r="K59" s="3">
        <v>1.615</v>
      </c>
    </row>
    <row r="60" spans="2:11" x14ac:dyDescent="0.25">
      <c r="B60" s="2" t="s">
        <v>6371</v>
      </c>
      <c r="C60" s="2" t="s">
        <v>6372</v>
      </c>
      <c r="D60" s="3">
        <v>12.96</v>
      </c>
      <c r="E60" s="3">
        <v>55.77</v>
      </c>
      <c r="F60" s="3">
        <v>4.7</v>
      </c>
      <c r="G60" s="3">
        <v>6.42</v>
      </c>
      <c r="H60" s="3">
        <v>601</v>
      </c>
      <c r="I60" s="3">
        <v>0.98899999999999999</v>
      </c>
      <c r="J60" s="3">
        <v>1.0189999999999999</v>
      </c>
      <c r="K60" s="3">
        <v>1.72</v>
      </c>
    </row>
    <row r="61" spans="2:11" x14ac:dyDescent="0.25">
      <c r="B61" s="2" t="s">
        <v>6373</v>
      </c>
      <c r="C61" s="2" t="s">
        <v>6374</v>
      </c>
      <c r="D61" s="3">
        <v>8.8000000000000007</v>
      </c>
      <c r="E61" s="3">
        <v>47.8</v>
      </c>
      <c r="F61" s="3">
        <v>4</v>
      </c>
      <c r="G61" s="3">
        <v>9.68</v>
      </c>
      <c r="H61" s="3">
        <v>486</v>
      </c>
      <c r="I61" s="3">
        <v>0.77900000000000003</v>
      </c>
      <c r="J61" s="3">
        <v>1.6180000000000001</v>
      </c>
      <c r="K61" s="3">
        <v>0.64900000000000002</v>
      </c>
    </row>
    <row r="62" spans="2:11" x14ac:dyDescent="0.25">
      <c r="B62" s="2" t="s">
        <v>6375</v>
      </c>
      <c r="C62" s="2" t="s">
        <v>6376</v>
      </c>
      <c r="D62" s="3">
        <v>8.85</v>
      </c>
      <c r="E62" s="3">
        <v>49.42</v>
      </c>
      <c r="F62" s="3">
        <v>2.7</v>
      </c>
      <c r="G62" s="3">
        <v>5.67</v>
      </c>
      <c r="H62" s="3">
        <v>490</v>
      </c>
      <c r="I62" s="3">
        <v>0.69799999999999995</v>
      </c>
      <c r="J62" s="3">
        <v>0.59899999999999998</v>
      </c>
      <c r="K62" s="3">
        <v>1.6020000000000001</v>
      </c>
    </row>
    <row r="63" spans="2:11" x14ac:dyDescent="0.25">
      <c r="B63" s="2" t="s">
        <v>6377</v>
      </c>
      <c r="C63" s="2" t="s">
        <v>6378</v>
      </c>
      <c r="D63" s="3">
        <v>9</v>
      </c>
      <c r="E63" s="3">
        <v>54.5</v>
      </c>
      <c r="F63" s="3">
        <v>2.9</v>
      </c>
      <c r="G63" s="3">
        <v>6.2</v>
      </c>
      <c r="H63" s="3">
        <v>537</v>
      </c>
      <c r="I63" s="3">
        <v>0.76400000000000001</v>
      </c>
      <c r="J63" s="3">
        <v>0.79600000000000004</v>
      </c>
      <c r="K63" s="3">
        <v>2.09</v>
      </c>
    </row>
    <row r="64" spans="2:11" x14ac:dyDescent="0.25">
      <c r="B64" s="2" t="s">
        <v>6379</v>
      </c>
      <c r="C64" s="2" t="s">
        <v>6380</v>
      </c>
      <c r="D64" s="3">
        <v>7.7</v>
      </c>
      <c r="E64" s="3">
        <v>53.6</v>
      </c>
      <c r="F64" s="3">
        <v>2</v>
      </c>
      <c r="H64" s="3">
        <v>336</v>
      </c>
      <c r="I64" s="3">
        <v>0.39100000000000001</v>
      </c>
      <c r="J64" s="3">
        <v>0.52700000000000002</v>
      </c>
      <c r="K64" s="3">
        <v>1.401</v>
      </c>
    </row>
    <row r="65" spans="2:11" x14ac:dyDescent="0.25">
      <c r="B65" s="2" t="s">
        <v>6381</v>
      </c>
      <c r="C65" s="2" t="s">
        <v>6382</v>
      </c>
      <c r="D65" s="3">
        <v>7.9</v>
      </c>
      <c r="E65" s="3">
        <v>49.6</v>
      </c>
      <c r="F65" s="3">
        <v>2</v>
      </c>
      <c r="H65" s="3">
        <v>359</v>
      </c>
      <c r="I65" s="3">
        <v>1.1779999999999999</v>
      </c>
      <c r="J65" s="3">
        <v>1.298</v>
      </c>
      <c r="K65" s="3">
        <v>2.7810000000000001</v>
      </c>
    </row>
    <row r="66" spans="2:11" x14ac:dyDescent="0.25">
      <c r="B66" s="2" t="s">
        <v>6383</v>
      </c>
      <c r="C66" s="2" t="s">
        <v>6384</v>
      </c>
      <c r="D66" s="3">
        <v>12.45</v>
      </c>
      <c r="E66" s="3">
        <v>42.71</v>
      </c>
      <c r="F66" s="3">
        <v>6</v>
      </c>
      <c r="G66" s="3">
        <v>4.34</v>
      </c>
      <c r="H66" s="3">
        <v>455</v>
      </c>
      <c r="I66" s="3">
        <v>0.72199999999999998</v>
      </c>
      <c r="J66" s="3">
        <v>0.62</v>
      </c>
      <c r="K66" s="3">
        <v>1.5920000000000001</v>
      </c>
    </row>
    <row r="67" spans="2:11" x14ac:dyDescent="0.25">
      <c r="B67" s="2" t="s">
        <v>6385</v>
      </c>
      <c r="C67" s="2" t="s">
        <v>6386</v>
      </c>
      <c r="D67" s="3">
        <v>16.27</v>
      </c>
      <c r="E67" s="3">
        <v>51.16</v>
      </c>
      <c r="F67" s="3">
        <v>7.5</v>
      </c>
      <c r="G67" s="3">
        <v>5.77</v>
      </c>
      <c r="H67" s="3">
        <v>565</v>
      </c>
      <c r="I67" s="3">
        <v>0.92200000000000004</v>
      </c>
      <c r="J67" s="3">
        <v>1.972</v>
      </c>
      <c r="K67" s="3">
        <v>0.74</v>
      </c>
    </row>
    <row r="68" spans="2:11" x14ac:dyDescent="0.25">
      <c r="B68" s="2" t="s">
        <v>6387</v>
      </c>
      <c r="C68" s="2" t="s">
        <v>6388</v>
      </c>
      <c r="D68" s="3">
        <v>8.4</v>
      </c>
      <c r="E68" s="3">
        <v>51.4</v>
      </c>
      <c r="F68" s="3">
        <v>6</v>
      </c>
      <c r="G68" s="3">
        <v>3.84</v>
      </c>
      <c r="H68" s="3">
        <v>346</v>
      </c>
      <c r="I68" s="3">
        <v>0.79600000000000004</v>
      </c>
      <c r="J68" s="3">
        <v>1.1579999999999999</v>
      </c>
      <c r="K68" s="3">
        <v>2.9390000000000001</v>
      </c>
    </row>
    <row r="69" spans="2:11" x14ac:dyDescent="0.25">
      <c r="B69" s="2" t="s">
        <v>6389</v>
      </c>
      <c r="C69" s="2" t="s">
        <v>6390</v>
      </c>
      <c r="D69" s="3">
        <v>9.1999999999999993</v>
      </c>
      <c r="E69" s="3">
        <v>56.4</v>
      </c>
      <c r="F69" s="3">
        <v>6.7</v>
      </c>
      <c r="G69" s="3">
        <v>4.22</v>
      </c>
      <c r="H69" s="3">
        <v>381</v>
      </c>
      <c r="I69" s="3">
        <v>0.874</v>
      </c>
      <c r="J69" s="3">
        <v>1.272</v>
      </c>
      <c r="K69" s="3">
        <v>3.23</v>
      </c>
    </row>
    <row r="70" spans="2:11" x14ac:dyDescent="0.25">
      <c r="B70" s="2" t="s">
        <v>6391</v>
      </c>
      <c r="C70" s="2" t="s">
        <v>6392</v>
      </c>
      <c r="D70" s="3">
        <v>13.35</v>
      </c>
      <c r="E70" s="3">
        <v>71.98</v>
      </c>
      <c r="F70" s="3">
        <v>4.5</v>
      </c>
      <c r="G70" s="3">
        <v>6.2</v>
      </c>
      <c r="H70" s="3">
        <v>732</v>
      </c>
      <c r="I70" s="3">
        <v>1.2030000000000001</v>
      </c>
      <c r="J70" s="3">
        <v>1.0229999999999999</v>
      </c>
      <c r="K70" s="3">
        <v>2.06</v>
      </c>
    </row>
    <row r="71" spans="2:11" x14ac:dyDescent="0.25">
      <c r="B71" s="2" t="s">
        <v>6393</v>
      </c>
      <c r="C71" s="2" t="s">
        <v>6394</v>
      </c>
      <c r="D71" s="3">
        <v>12</v>
      </c>
      <c r="E71" s="3">
        <v>68.400000000000006</v>
      </c>
      <c r="F71" s="3">
        <v>3</v>
      </c>
      <c r="G71" s="3">
        <v>1.26</v>
      </c>
      <c r="H71" s="3">
        <v>713</v>
      </c>
      <c r="I71" s="3">
        <v>1.41</v>
      </c>
      <c r="J71" s="3">
        <v>3.5680000000000001</v>
      </c>
      <c r="K71" s="3">
        <v>3.6280000000000001</v>
      </c>
    </row>
    <row r="72" spans="2:11" x14ac:dyDescent="0.25">
      <c r="B72" s="2" t="s">
        <v>6395</v>
      </c>
      <c r="C72" s="2" t="s">
        <v>6396</v>
      </c>
      <c r="D72" s="3">
        <v>11</v>
      </c>
      <c r="E72" s="3">
        <v>76.2</v>
      </c>
      <c r="F72" s="3">
        <v>3.2</v>
      </c>
      <c r="G72" s="3">
        <v>8.27</v>
      </c>
      <c r="H72" s="3">
        <v>1405</v>
      </c>
      <c r="I72" s="3">
        <v>0.84499999999999997</v>
      </c>
      <c r="J72" s="3">
        <v>1.4930000000000001</v>
      </c>
      <c r="K72" s="3">
        <v>0.71299999999999997</v>
      </c>
    </row>
    <row r="73" spans="2:11" x14ac:dyDescent="0.25">
      <c r="B73" s="2" t="s">
        <v>6397</v>
      </c>
      <c r="C73" s="2" t="s">
        <v>6398</v>
      </c>
      <c r="D73" s="3">
        <v>2.73</v>
      </c>
      <c r="E73" s="3">
        <v>18.84</v>
      </c>
      <c r="F73" s="3">
        <v>0.8</v>
      </c>
      <c r="G73" s="3">
        <v>2.04</v>
      </c>
      <c r="H73" s="3">
        <v>479</v>
      </c>
      <c r="I73" s="3">
        <v>2.319</v>
      </c>
      <c r="J73" s="3">
        <v>5.7709999999999999</v>
      </c>
      <c r="K73" s="3">
        <v>3.5529999999999999</v>
      </c>
    </row>
    <row r="74" spans="2:11" x14ac:dyDescent="0.25">
      <c r="B74" s="2" t="s">
        <v>6399</v>
      </c>
      <c r="C74" s="2" t="s">
        <v>6400</v>
      </c>
      <c r="D74" s="3">
        <v>10</v>
      </c>
      <c r="E74" s="3">
        <v>76.7</v>
      </c>
      <c r="F74" s="3">
        <v>14.3</v>
      </c>
      <c r="G74" s="3">
        <v>13.16</v>
      </c>
      <c r="H74" s="3">
        <v>1429</v>
      </c>
      <c r="I74" s="3">
        <v>0.92200000000000004</v>
      </c>
      <c r="J74" s="3">
        <v>1.6619999999999999</v>
      </c>
      <c r="K74" s="3">
        <v>1.073</v>
      </c>
    </row>
    <row r="75" spans="2:11" x14ac:dyDescent="0.25">
      <c r="B75" s="2" t="s">
        <v>6401</v>
      </c>
      <c r="C75" s="2" t="s">
        <v>6402</v>
      </c>
      <c r="D75" s="3">
        <v>2.9</v>
      </c>
      <c r="E75" s="3">
        <v>21.9</v>
      </c>
      <c r="F75" s="3">
        <v>2.9</v>
      </c>
      <c r="G75" s="3">
        <v>0</v>
      </c>
      <c r="H75" s="3">
        <v>526</v>
      </c>
      <c r="I75" s="3">
        <v>1.7549999999999999</v>
      </c>
      <c r="J75" s="3">
        <v>3.8559999999999999</v>
      </c>
      <c r="K75" s="3">
        <v>2.706</v>
      </c>
    </row>
    <row r="76" spans="2:11" x14ac:dyDescent="0.25">
      <c r="B76" s="2" t="s">
        <v>6403</v>
      </c>
      <c r="C76" s="2" t="s">
        <v>6404</v>
      </c>
      <c r="D76" s="3">
        <v>5.9</v>
      </c>
      <c r="E76" s="3">
        <v>57.8</v>
      </c>
      <c r="F76" s="3">
        <v>1.5</v>
      </c>
      <c r="H76" s="3">
        <v>749</v>
      </c>
      <c r="I76" s="3">
        <v>0.121</v>
      </c>
      <c r="J76" s="3">
        <v>7.0999999999999994E-2</v>
      </c>
      <c r="K76" s="3">
        <v>0.36699999999999999</v>
      </c>
    </row>
    <row r="77" spans="2:11" x14ac:dyDescent="0.25">
      <c r="B77" s="2" t="s">
        <v>6405</v>
      </c>
      <c r="C77" s="2" t="s">
        <v>6406</v>
      </c>
      <c r="D77" s="3">
        <v>6.4</v>
      </c>
      <c r="E77" s="3">
        <v>86.13</v>
      </c>
      <c r="F77" s="3">
        <v>0.5</v>
      </c>
      <c r="G77" s="3">
        <v>61.33</v>
      </c>
      <c r="H77" s="3">
        <v>822</v>
      </c>
      <c r="I77" s="3">
        <v>3.9E-2</v>
      </c>
      <c r="J77" s="3">
        <v>2.4E-2</v>
      </c>
      <c r="K77" s="3">
        <v>0.11600000000000001</v>
      </c>
    </row>
    <row r="78" spans="2:11" x14ac:dyDescent="0.25">
      <c r="B78" s="2" t="s">
        <v>6407</v>
      </c>
      <c r="C78" s="2" t="s">
        <v>6408</v>
      </c>
      <c r="D78" s="3">
        <v>6.1</v>
      </c>
      <c r="E78" s="3">
        <v>58.7</v>
      </c>
      <c r="F78" s="3">
        <v>0.2</v>
      </c>
      <c r="G78" s="3">
        <v>30.51</v>
      </c>
      <c r="H78" s="3">
        <v>511</v>
      </c>
      <c r="I78" s="3">
        <v>4.2999999999999997E-2</v>
      </c>
      <c r="J78" s="3">
        <v>2.5999999999999999E-2</v>
      </c>
      <c r="K78" s="3">
        <v>0.124</v>
      </c>
    </row>
    <row r="79" spans="2:11" x14ac:dyDescent="0.25">
      <c r="B79" s="2" t="s">
        <v>6409</v>
      </c>
      <c r="C79" s="2" t="s">
        <v>6410</v>
      </c>
      <c r="D79" s="3">
        <v>2.4</v>
      </c>
      <c r="E79" s="3">
        <v>42.9</v>
      </c>
      <c r="F79" s="3">
        <v>1.4</v>
      </c>
      <c r="G79" s="3">
        <v>36.11</v>
      </c>
      <c r="H79" s="3">
        <v>254</v>
      </c>
      <c r="I79" s="3">
        <v>2.4449999999999998</v>
      </c>
      <c r="J79" s="3">
        <v>4.5439999999999996</v>
      </c>
      <c r="K79" s="3">
        <v>1.0089999999999999</v>
      </c>
    </row>
    <row r="80" spans="2:11" x14ac:dyDescent="0.25">
      <c r="B80" s="2" t="s">
        <v>6411</v>
      </c>
      <c r="C80" s="2" t="s">
        <v>6412</v>
      </c>
      <c r="D80" s="3">
        <v>5.0999999999999996</v>
      </c>
      <c r="E80" s="3">
        <v>79.2</v>
      </c>
      <c r="H80" s="3">
        <v>567</v>
      </c>
      <c r="I80" s="3">
        <v>1.472</v>
      </c>
      <c r="J80" s="3">
        <v>4.0359999999999996</v>
      </c>
      <c r="K80" s="3">
        <v>3.702</v>
      </c>
    </row>
    <row r="81" spans="2:11" x14ac:dyDescent="0.25">
      <c r="B81" s="2" t="s">
        <v>6413</v>
      </c>
      <c r="C81" s="2" t="s">
        <v>6414</v>
      </c>
      <c r="D81" s="3">
        <v>2.4</v>
      </c>
      <c r="E81" s="3">
        <v>38</v>
      </c>
      <c r="F81" s="3">
        <v>0.5</v>
      </c>
      <c r="G81" s="3">
        <v>32.94</v>
      </c>
      <c r="H81" s="3">
        <v>164</v>
      </c>
      <c r="I81" s="3">
        <v>5.0659999999999998</v>
      </c>
      <c r="J81" s="3">
        <v>4.4000000000000004</v>
      </c>
      <c r="K81" s="3">
        <v>2.34</v>
      </c>
    </row>
    <row r="82" spans="2:11" x14ac:dyDescent="0.25">
      <c r="B82" s="2" t="s">
        <v>6415</v>
      </c>
      <c r="C82" s="2" t="s">
        <v>6416</v>
      </c>
      <c r="D82" s="3">
        <v>3.48</v>
      </c>
      <c r="E82" s="3">
        <v>52.84</v>
      </c>
      <c r="F82" s="3">
        <v>2.2000000000000002</v>
      </c>
      <c r="G82" s="3">
        <v>39.96</v>
      </c>
      <c r="H82" s="3">
        <v>348</v>
      </c>
      <c r="I82" s="3">
        <v>5.9169999999999998</v>
      </c>
      <c r="J82" s="3">
        <v>7.343</v>
      </c>
      <c r="K82" s="3">
        <v>4.6219999999999999</v>
      </c>
    </row>
    <row r="83" spans="2:11" x14ac:dyDescent="0.25">
      <c r="B83" s="2" t="s">
        <v>6417</v>
      </c>
      <c r="C83" s="2" t="s">
        <v>6418</v>
      </c>
      <c r="D83" s="3">
        <v>4.5999999999999996</v>
      </c>
      <c r="E83" s="3">
        <v>80.16</v>
      </c>
      <c r="F83" s="3">
        <v>2.2999999999999998</v>
      </c>
      <c r="G83" s="3">
        <v>39.53</v>
      </c>
      <c r="H83" s="3">
        <v>767</v>
      </c>
      <c r="I83" s="3">
        <v>2.0219999999999998</v>
      </c>
      <c r="J83" s="3">
        <v>2.8029999999999999</v>
      </c>
      <c r="K83" s="3">
        <v>2.2690000000000001</v>
      </c>
    </row>
    <row r="84" spans="2:11" x14ac:dyDescent="0.25">
      <c r="B84" s="2" t="s">
        <v>6419</v>
      </c>
      <c r="C84" s="2" t="s">
        <v>6420</v>
      </c>
      <c r="D84" s="3">
        <v>5.3</v>
      </c>
      <c r="E84" s="3">
        <v>53.4</v>
      </c>
      <c r="F84" s="3">
        <v>1.6</v>
      </c>
      <c r="H84" s="3">
        <v>315</v>
      </c>
      <c r="I84" s="3">
        <v>5.43</v>
      </c>
      <c r="J84" s="3">
        <v>6.0389999999999997</v>
      </c>
      <c r="K84" s="3">
        <v>2.7610000000000001</v>
      </c>
    </row>
    <row r="85" spans="2:11" x14ac:dyDescent="0.25">
      <c r="B85" s="2" t="s">
        <v>6421</v>
      </c>
      <c r="C85" s="2" t="s">
        <v>6422</v>
      </c>
      <c r="D85" s="3">
        <v>4.4000000000000004</v>
      </c>
      <c r="E85" s="3">
        <v>63.2</v>
      </c>
      <c r="F85" s="3">
        <v>1</v>
      </c>
      <c r="G85" s="3">
        <v>57.39</v>
      </c>
      <c r="H85" s="3">
        <v>284</v>
      </c>
      <c r="I85" s="3">
        <v>3.8969999999999998</v>
      </c>
      <c r="J85" s="3">
        <v>3.6920000000000002</v>
      </c>
      <c r="K85" s="3">
        <v>2.1619999999999999</v>
      </c>
    </row>
    <row r="86" spans="2:11" x14ac:dyDescent="0.25">
      <c r="B86" s="2" t="s">
        <v>6423</v>
      </c>
      <c r="C86" s="2" t="s">
        <v>6424</v>
      </c>
      <c r="D86" s="3">
        <v>7</v>
      </c>
      <c r="E86" s="3">
        <v>44.3</v>
      </c>
      <c r="F86" s="3">
        <v>1</v>
      </c>
      <c r="H86" s="3">
        <v>339</v>
      </c>
      <c r="I86" s="3">
        <v>5.391</v>
      </c>
      <c r="J86" s="3">
        <v>7.1289999999999996</v>
      </c>
      <c r="K86" s="3">
        <v>1.645</v>
      </c>
    </row>
    <row r="87" spans="2:11" x14ac:dyDescent="0.25">
      <c r="B87" s="2" t="s">
        <v>6425</v>
      </c>
      <c r="C87" s="2" t="s">
        <v>6426</v>
      </c>
      <c r="D87" s="3">
        <v>6.8</v>
      </c>
      <c r="E87" s="3">
        <v>46.7</v>
      </c>
      <c r="F87" s="3">
        <v>2</v>
      </c>
      <c r="H87" s="3">
        <v>351</v>
      </c>
      <c r="I87" s="3">
        <v>5.7969999999999997</v>
      </c>
      <c r="J87" s="3">
        <v>12.976000000000001</v>
      </c>
      <c r="K87" s="3">
        <v>3.12</v>
      </c>
    </row>
    <row r="88" spans="2:11" x14ac:dyDescent="0.25">
      <c r="B88" s="2" t="s">
        <v>6427</v>
      </c>
      <c r="C88" s="2" t="s">
        <v>6428</v>
      </c>
      <c r="D88" s="3">
        <v>5</v>
      </c>
      <c r="E88" s="3">
        <v>53.8</v>
      </c>
      <c r="F88" s="3">
        <v>2</v>
      </c>
      <c r="H88" s="3">
        <v>323</v>
      </c>
      <c r="I88" s="3">
        <v>2.8330000000000002</v>
      </c>
      <c r="J88" s="3">
        <v>5.6639999999999997</v>
      </c>
      <c r="K88" s="3">
        <v>1.4650000000000001</v>
      </c>
    </row>
    <row r="89" spans="2:11" x14ac:dyDescent="0.25">
      <c r="B89" s="2" t="s">
        <v>6429</v>
      </c>
      <c r="C89" s="2" t="s">
        <v>6430</v>
      </c>
      <c r="D89" s="3">
        <v>5.2</v>
      </c>
      <c r="E89" s="3">
        <v>51.5</v>
      </c>
      <c r="F89" s="3">
        <v>2.5</v>
      </c>
      <c r="H89" s="3">
        <v>385</v>
      </c>
      <c r="I89" s="3">
        <v>2.4950000000000001</v>
      </c>
      <c r="J89" s="3">
        <v>5.5570000000000004</v>
      </c>
      <c r="K89" s="3">
        <v>1.4730000000000001</v>
      </c>
    </row>
    <row r="90" spans="2:11" x14ac:dyDescent="0.25">
      <c r="B90" s="2" t="s">
        <v>6431</v>
      </c>
      <c r="C90" s="2" t="s">
        <v>6432</v>
      </c>
      <c r="D90" s="3">
        <v>4.8</v>
      </c>
      <c r="E90" s="3">
        <v>77.7</v>
      </c>
      <c r="F90" s="3">
        <v>1.8</v>
      </c>
      <c r="G90" s="3">
        <v>42.52</v>
      </c>
      <c r="H90" s="3">
        <v>596</v>
      </c>
      <c r="I90" s="3">
        <v>2.9569999999999999</v>
      </c>
      <c r="J90" s="3">
        <v>5.1719999999999997</v>
      </c>
      <c r="K90" s="3">
        <v>3.2040000000000002</v>
      </c>
    </row>
    <row r="91" spans="2:11" x14ac:dyDescent="0.25">
      <c r="B91" s="2" t="s">
        <v>6433</v>
      </c>
      <c r="C91" s="2" t="s">
        <v>6434</v>
      </c>
      <c r="D91" s="3">
        <v>5.5</v>
      </c>
      <c r="E91" s="3">
        <v>52.8</v>
      </c>
      <c r="F91" s="3">
        <v>1.2</v>
      </c>
      <c r="G91" s="3">
        <v>29.53</v>
      </c>
      <c r="H91" s="3">
        <v>421</v>
      </c>
      <c r="I91" s="3">
        <v>1.855</v>
      </c>
      <c r="J91" s="3">
        <v>3.851</v>
      </c>
      <c r="K91" s="3">
        <v>3.165</v>
      </c>
    </row>
    <row r="92" spans="2:11" x14ac:dyDescent="0.25">
      <c r="B92" s="2" t="s">
        <v>6435</v>
      </c>
      <c r="C92" s="2" t="s">
        <v>6436</v>
      </c>
      <c r="D92" s="3">
        <v>2.9</v>
      </c>
      <c r="E92" s="3">
        <v>61.6</v>
      </c>
      <c r="F92" s="3">
        <v>3.7</v>
      </c>
      <c r="G92" s="3">
        <v>27.42</v>
      </c>
      <c r="H92" s="3">
        <v>101</v>
      </c>
      <c r="I92" s="3">
        <v>1.048</v>
      </c>
      <c r="J92" s="3">
        <v>4.2</v>
      </c>
      <c r="K92" s="3">
        <v>3.323</v>
      </c>
    </row>
    <row r="93" spans="2:11" x14ac:dyDescent="0.25">
      <c r="B93" s="2" t="s">
        <v>6437</v>
      </c>
      <c r="C93" s="2" t="s">
        <v>6438</v>
      </c>
      <c r="D93" s="3">
        <v>4.17</v>
      </c>
      <c r="E93" s="3">
        <v>81.25</v>
      </c>
      <c r="F93" s="3">
        <v>2.1</v>
      </c>
      <c r="G93" s="3">
        <v>42.13</v>
      </c>
      <c r="H93" s="3">
        <v>841</v>
      </c>
      <c r="I93" s="3">
        <v>1.8520000000000001</v>
      </c>
      <c r="J93" s="3">
        <v>0.69399999999999995</v>
      </c>
      <c r="K93" s="3">
        <v>0.23100000000000001</v>
      </c>
    </row>
    <row r="94" spans="2:11" x14ac:dyDescent="0.25">
      <c r="B94" s="2" t="s">
        <v>6439</v>
      </c>
      <c r="C94" s="2" t="s">
        <v>6440</v>
      </c>
      <c r="D94" s="3">
        <v>4.4000000000000004</v>
      </c>
      <c r="E94" s="3">
        <v>74.599999999999994</v>
      </c>
      <c r="F94" s="3">
        <v>1.7</v>
      </c>
      <c r="G94" s="3">
        <v>46.62</v>
      </c>
      <c r="H94" s="3">
        <v>657</v>
      </c>
      <c r="I94" s="3">
        <v>3.46</v>
      </c>
      <c r="J94" s="3">
        <v>7.7910000000000004</v>
      </c>
      <c r="K94" s="3">
        <v>1.804</v>
      </c>
    </row>
    <row r="95" spans="2:11" x14ac:dyDescent="0.25">
      <c r="B95" s="2" t="s">
        <v>6441</v>
      </c>
      <c r="C95" s="2" t="s">
        <v>6442</v>
      </c>
      <c r="D95" s="3">
        <v>3.9</v>
      </c>
      <c r="E95" s="3">
        <v>49.2</v>
      </c>
      <c r="H95" s="3">
        <v>327</v>
      </c>
      <c r="I95" s="3">
        <v>4.1219999999999999</v>
      </c>
      <c r="J95" s="3">
        <v>7.1239999999999997</v>
      </c>
      <c r="K95" s="3">
        <v>4.2160000000000002</v>
      </c>
    </row>
    <row r="96" spans="2:11" x14ac:dyDescent="0.25">
      <c r="B96" s="2" t="s">
        <v>6443</v>
      </c>
      <c r="C96" s="2" t="s">
        <v>6444</v>
      </c>
      <c r="D96" s="3">
        <v>3.4</v>
      </c>
      <c r="E96" s="3">
        <v>79.5</v>
      </c>
      <c r="F96" s="3">
        <v>2.9</v>
      </c>
      <c r="G96" s="3">
        <v>35.71</v>
      </c>
      <c r="H96" s="3">
        <v>519</v>
      </c>
      <c r="I96" s="3">
        <v>2.4500000000000002</v>
      </c>
      <c r="J96" s="3">
        <v>4.75</v>
      </c>
      <c r="K96" s="3">
        <v>3.7789999999999999</v>
      </c>
    </row>
    <row r="97" spans="2:11" x14ac:dyDescent="0.25">
      <c r="B97" s="2" t="s">
        <v>6445</v>
      </c>
      <c r="C97" s="2" t="s">
        <v>6446</v>
      </c>
      <c r="D97" s="3">
        <v>3.5</v>
      </c>
      <c r="E97" s="3">
        <v>50.5</v>
      </c>
      <c r="F97" s="3">
        <v>0.8</v>
      </c>
      <c r="H97" s="3">
        <v>319</v>
      </c>
      <c r="I97" s="3">
        <v>2.915</v>
      </c>
      <c r="J97" s="3">
        <v>5.194</v>
      </c>
      <c r="K97" s="3">
        <v>3.282</v>
      </c>
    </row>
    <row r="98" spans="2:11" x14ac:dyDescent="0.25">
      <c r="B98" s="2" t="s">
        <v>6447</v>
      </c>
      <c r="C98" s="2" t="s">
        <v>6448</v>
      </c>
      <c r="D98" s="3">
        <v>5</v>
      </c>
      <c r="E98" s="3">
        <v>53.64</v>
      </c>
      <c r="F98" s="3">
        <v>0.6</v>
      </c>
      <c r="G98" s="3">
        <v>33.36</v>
      </c>
      <c r="H98" s="3">
        <v>377</v>
      </c>
      <c r="I98" s="3">
        <v>4.8109999999999999</v>
      </c>
      <c r="J98" s="3">
        <v>3.02</v>
      </c>
      <c r="K98" s="3">
        <v>3.419</v>
      </c>
    </row>
    <row r="99" spans="2:11" x14ac:dyDescent="0.25">
      <c r="B99" s="2" t="s">
        <v>6449</v>
      </c>
      <c r="C99" s="2" t="s">
        <v>6450</v>
      </c>
      <c r="D99" s="3">
        <v>5.2</v>
      </c>
      <c r="E99" s="3">
        <v>52.5</v>
      </c>
      <c r="F99" s="3">
        <v>1</v>
      </c>
      <c r="H99" s="3">
        <v>400</v>
      </c>
      <c r="I99" s="3">
        <v>4.6470000000000002</v>
      </c>
      <c r="J99" s="3">
        <v>9.9350000000000005</v>
      </c>
      <c r="K99" s="3">
        <v>2.2509999999999999</v>
      </c>
    </row>
    <row r="100" spans="2:11" x14ac:dyDescent="0.25">
      <c r="B100" s="2" t="s">
        <v>6451</v>
      </c>
      <c r="C100" s="2" t="s">
        <v>6452</v>
      </c>
      <c r="D100" s="3">
        <v>6.1</v>
      </c>
      <c r="E100" s="3">
        <v>48.5</v>
      </c>
      <c r="H100" s="3">
        <v>506</v>
      </c>
      <c r="I100" s="3">
        <v>3.7719999999999998</v>
      </c>
      <c r="J100" s="3">
        <v>6.0449999999999999</v>
      </c>
      <c r="K100" s="3">
        <v>3.6320000000000001</v>
      </c>
    </row>
    <row r="101" spans="2:11" x14ac:dyDescent="0.25">
      <c r="B101" s="2" t="s">
        <v>6453</v>
      </c>
      <c r="C101" s="2" t="s">
        <v>6454</v>
      </c>
      <c r="D101" s="3">
        <v>3.63</v>
      </c>
      <c r="E101" s="3">
        <v>60.31</v>
      </c>
      <c r="F101" s="3">
        <v>3.2</v>
      </c>
      <c r="G101" s="3">
        <v>37.76</v>
      </c>
      <c r="H101" s="3">
        <v>332</v>
      </c>
      <c r="I101" s="3">
        <v>4.8840000000000003</v>
      </c>
      <c r="J101" s="3">
        <v>8.5250000000000004</v>
      </c>
      <c r="K101" s="3">
        <v>1.8220000000000001</v>
      </c>
    </row>
    <row r="102" spans="2:11" x14ac:dyDescent="0.25">
      <c r="B102" s="2" t="s">
        <v>6455</v>
      </c>
      <c r="C102" s="2" t="s">
        <v>6456</v>
      </c>
      <c r="D102" s="3">
        <v>3.47</v>
      </c>
      <c r="E102" s="3">
        <v>64.03</v>
      </c>
      <c r="F102" s="3">
        <v>1</v>
      </c>
      <c r="G102" s="3">
        <v>37.299999999999997</v>
      </c>
      <c r="H102" s="3">
        <v>470</v>
      </c>
      <c r="I102" s="3">
        <v>4.1390000000000002</v>
      </c>
      <c r="J102" s="3">
        <v>4.9059999999999997</v>
      </c>
      <c r="K102" s="3">
        <v>1.86</v>
      </c>
    </row>
    <row r="103" spans="2:11" x14ac:dyDescent="0.25">
      <c r="B103" s="2" t="s">
        <v>6457</v>
      </c>
      <c r="C103" s="2" t="s">
        <v>6458</v>
      </c>
      <c r="D103" s="3">
        <v>3</v>
      </c>
      <c r="E103" s="3">
        <v>79.599999999999994</v>
      </c>
      <c r="H103" s="3">
        <v>260</v>
      </c>
      <c r="I103" s="3">
        <v>1.2509999999999999</v>
      </c>
      <c r="J103" s="3">
        <v>3.48</v>
      </c>
      <c r="K103" s="3">
        <v>3.1829999999999998</v>
      </c>
    </row>
    <row r="104" spans="2:11" x14ac:dyDescent="0.25">
      <c r="B104" s="2" t="s">
        <v>6459</v>
      </c>
      <c r="C104" s="2" t="s">
        <v>6460</v>
      </c>
      <c r="D104" s="3">
        <v>5.4</v>
      </c>
      <c r="E104" s="3">
        <v>61</v>
      </c>
      <c r="F104" s="3">
        <v>0.5</v>
      </c>
      <c r="G104" s="3">
        <v>36.659999999999997</v>
      </c>
      <c r="H104" s="3">
        <v>623</v>
      </c>
      <c r="I104" s="3">
        <v>0.80200000000000005</v>
      </c>
      <c r="J104" s="3">
        <v>0.94899999999999995</v>
      </c>
      <c r="K104" s="3">
        <v>0.44800000000000001</v>
      </c>
    </row>
    <row r="105" spans="2:11" x14ac:dyDescent="0.25">
      <c r="B105" s="2" t="s">
        <v>6461</v>
      </c>
      <c r="C105" s="2" t="s">
        <v>6462</v>
      </c>
      <c r="D105" s="3">
        <v>7.3</v>
      </c>
      <c r="E105" s="3">
        <v>57.7</v>
      </c>
      <c r="H105" s="3">
        <v>228</v>
      </c>
      <c r="I105" s="3">
        <v>1.3009999999999999</v>
      </c>
      <c r="J105" s="3">
        <v>1.5760000000000001</v>
      </c>
      <c r="K105" s="3">
        <v>0.64900000000000002</v>
      </c>
    </row>
    <row r="106" spans="2:11" x14ac:dyDescent="0.25">
      <c r="B106" s="2" t="s">
        <v>6463</v>
      </c>
      <c r="C106" s="2" t="s">
        <v>6464</v>
      </c>
      <c r="D106" s="3">
        <v>3.9</v>
      </c>
      <c r="E106" s="3">
        <v>80.900000000000006</v>
      </c>
      <c r="F106" s="3">
        <v>0.7</v>
      </c>
      <c r="G106" s="3">
        <v>48.95</v>
      </c>
      <c r="H106" s="3">
        <v>665</v>
      </c>
      <c r="I106" s="3">
        <v>2.39</v>
      </c>
      <c r="J106" s="3">
        <v>4.093</v>
      </c>
      <c r="K106" s="3">
        <v>1.244</v>
      </c>
    </row>
    <row r="107" spans="2:11" x14ac:dyDescent="0.25">
      <c r="B107" s="2" t="s">
        <v>6465</v>
      </c>
      <c r="C107" s="2" t="s">
        <v>6466</v>
      </c>
      <c r="D107" s="3">
        <v>5.4</v>
      </c>
      <c r="E107" s="3">
        <v>57.2</v>
      </c>
      <c r="F107" s="3">
        <v>0.8</v>
      </c>
      <c r="G107" s="3">
        <v>35.49</v>
      </c>
      <c r="H107" s="3">
        <v>327</v>
      </c>
      <c r="I107" s="3">
        <v>3.2690000000000001</v>
      </c>
      <c r="J107" s="3">
        <v>5.3090000000000002</v>
      </c>
      <c r="K107" s="3">
        <v>3.1480000000000001</v>
      </c>
    </row>
    <row r="108" spans="2:11" x14ac:dyDescent="0.25">
      <c r="B108" s="2" t="s">
        <v>6467</v>
      </c>
      <c r="C108" s="2" t="s">
        <v>6468</v>
      </c>
      <c r="D108" s="3">
        <v>3.16</v>
      </c>
      <c r="E108" s="3">
        <v>55.36</v>
      </c>
      <c r="F108" s="3">
        <v>1.5</v>
      </c>
      <c r="G108" s="3">
        <v>39.22</v>
      </c>
      <c r="H108" s="3">
        <v>310</v>
      </c>
      <c r="I108" s="3">
        <v>5.7930000000000001</v>
      </c>
      <c r="J108" s="3">
        <v>7.2140000000000004</v>
      </c>
      <c r="K108" s="3">
        <v>4.7279999999999998</v>
      </c>
    </row>
    <row r="109" spans="2:11" x14ac:dyDescent="0.25">
      <c r="B109" s="2" t="s">
        <v>6469</v>
      </c>
      <c r="C109" s="2" t="s">
        <v>6470</v>
      </c>
      <c r="D109" s="3">
        <v>2.99</v>
      </c>
      <c r="E109" s="3">
        <v>56.2</v>
      </c>
      <c r="F109" s="3">
        <v>0.3</v>
      </c>
      <c r="G109" s="3">
        <v>41.79</v>
      </c>
      <c r="H109" s="3">
        <v>269</v>
      </c>
      <c r="I109" s="3">
        <v>2.9359999999999999</v>
      </c>
      <c r="J109" s="3">
        <v>7.5629999999999997</v>
      </c>
      <c r="K109" s="3">
        <v>6.3780000000000001</v>
      </c>
    </row>
    <row r="110" spans="2:11" x14ac:dyDescent="0.25">
      <c r="B110" s="2" t="s">
        <v>6471</v>
      </c>
      <c r="C110" s="2" t="s">
        <v>6472</v>
      </c>
      <c r="D110" s="3">
        <v>4</v>
      </c>
      <c r="E110" s="3">
        <v>80</v>
      </c>
      <c r="F110" s="3">
        <v>0.7</v>
      </c>
      <c r="G110" s="3">
        <v>44.21</v>
      </c>
      <c r="H110" s="3">
        <v>860</v>
      </c>
      <c r="I110" s="3">
        <v>2.4689999999999999</v>
      </c>
      <c r="J110" s="3">
        <v>5.4960000000000004</v>
      </c>
      <c r="K110" s="3">
        <v>1.2949999999999999</v>
      </c>
    </row>
    <row r="111" spans="2:11" x14ac:dyDescent="0.25">
      <c r="B111" s="2" t="s">
        <v>6473</v>
      </c>
      <c r="C111" s="2" t="s">
        <v>6474</v>
      </c>
      <c r="D111" s="3">
        <v>3.7</v>
      </c>
      <c r="E111" s="3">
        <v>81.92</v>
      </c>
      <c r="F111" s="3">
        <v>1.2</v>
      </c>
      <c r="G111" s="3">
        <v>43.29</v>
      </c>
      <c r="H111" s="3">
        <v>728</v>
      </c>
      <c r="I111" s="3">
        <v>1.62</v>
      </c>
      <c r="J111" s="3">
        <v>0.69399999999999995</v>
      </c>
      <c r="K111" s="3">
        <v>0.23100000000000001</v>
      </c>
    </row>
    <row r="112" spans="2:11" x14ac:dyDescent="0.25">
      <c r="B112" s="2" t="s">
        <v>6475</v>
      </c>
      <c r="C112" s="2" t="s">
        <v>6476</v>
      </c>
      <c r="D112" s="3">
        <v>5.3</v>
      </c>
      <c r="E112" s="3">
        <v>53</v>
      </c>
      <c r="F112" s="3">
        <v>0.7</v>
      </c>
      <c r="H112" s="3">
        <v>343</v>
      </c>
      <c r="I112" s="3">
        <v>3.9239999999999999</v>
      </c>
      <c r="J112" s="3">
        <v>6.2290000000000001</v>
      </c>
      <c r="K112" s="3">
        <v>3.57</v>
      </c>
    </row>
    <row r="113" spans="2:11" x14ac:dyDescent="0.25">
      <c r="B113" s="2" t="s">
        <v>6477</v>
      </c>
      <c r="C113" s="2" t="s">
        <v>6478</v>
      </c>
      <c r="D113" s="3">
        <v>5.5</v>
      </c>
      <c r="E113" s="3">
        <v>25.5</v>
      </c>
      <c r="F113" s="3">
        <v>0.4</v>
      </c>
      <c r="G113" s="3">
        <v>21.8</v>
      </c>
      <c r="H113" s="3">
        <v>438</v>
      </c>
      <c r="I113" s="3">
        <v>9.9209999999999994</v>
      </c>
      <c r="J113" s="3">
        <v>8.6340000000000003</v>
      </c>
      <c r="K113" s="3">
        <v>1.6020000000000001</v>
      </c>
    </row>
    <row r="114" spans="2:11" x14ac:dyDescent="0.25">
      <c r="B114" s="2" t="s">
        <v>6479</v>
      </c>
      <c r="C114" s="2" t="s">
        <v>6480</v>
      </c>
      <c r="D114" s="3">
        <v>5.5</v>
      </c>
      <c r="E114" s="3">
        <v>35.5</v>
      </c>
      <c r="F114" s="3">
        <v>1.9</v>
      </c>
      <c r="H114" s="3">
        <v>380</v>
      </c>
      <c r="I114" s="3">
        <v>6.6909999999999998</v>
      </c>
      <c r="J114" s="3">
        <v>4.5190000000000001</v>
      </c>
      <c r="K114" s="3">
        <v>0.80800000000000005</v>
      </c>
    </row>
    <row r="115" spans="2:11" x14ac:dyDescent="0.25">
      <c r="B115" s="2" t="s">
        <v>6481</v>
      </c>
      <c r="C115" s="2" t="s">
        <v>6482</v>
      </c>
      <c r="D115" s="3">
        <v>4.8</v>
      </c>
      <c r="E115" s="3">
        <v>63.9</v>
      </c>
      <c r="F115" s="3">
        <v>2.1</v>
      </c>
      <c r="G115" s="3">
        <v>36.61</v>
      </c>
      <c r="H115" s="3">
        <v>286</v>
      </c>
      <c r="I115" s="3">
        <v>4.2350000000000003</v>
      </c>
      <c r="J115" s="3">
        <v>8.9649999999999999</v>
      </c>
      <c r="K115" s="3">
        <v>2.2589999999999999</v>
      </c>
    </row>
    <row r="116" spans="2:11" x14ac:dyDescent="0.25">
      <c r="B116" s="2" t="s">
        <v>6483</v>
      </c>
      <c r="C116" s="2" t="s">
        <v>6484</v>
      </c>
      <c r="D116" s="3">
        <v>4</v>
      </c>
      <c r="E116" s="3">
        <v>76.599999999999994</v>
      </c>
      <c r="H116" s="3">
        <v>303</v>
      </c>
      <c r="I116" s="3">
        <v>2.5190000000000001</v>
      </c>
      <c r="J116" s="3">
        <v>5.1580000000000004</v>
      </c>
      <c r="K116" s="3">
        <v>6.3730000000000002</v>
      </c>
    </row>
    <row r="117" spans="2:11" x14ac:dyDescent="0.25">
      <c r="B117" s="2" t="s">
        <v>6485</v>
      </c>
      <c r="C117" s="2" t="s">
        <v>6486</v>
      </c>
      <c r="D117" s="3">
        <v>6.2</v>
      </c>
      <c r="E117" s="3">
        <v>50.2</v>
      </c>
      <c r="H117" s="3">
        <v>343</v>
      </c>
      <c r="I117" s="3">
        <v>7.319</v>
      </c>
      <c r="J117" s="3">
        <v>10.839</v>
      </c>
      <c r="K117" s="3">
        <v>9.4120000000000008</v>
      </c>
    </row>
    <row r="118" spans="2:11" x14ac:dyDescent="0.25">
      <c r="B118" s="2" t="s">
        <v>6487</v>
      </c>
      <c r="C118" s="2" t="s">
        <v>6488</v>
      </c>
      <c r="D118" s="3">
        <v>6.1</v>
      </c>
      <c r="E118" s="3">
        <v>68.900000000000006</v>
      </c>
      <c r="F118" s="3">
        <v>0.8</v>
      </c>
      <c r="G118" s="3">
        <v>20.239999999999998</v>
      </c>
      <c r="H118" s="3">
        <v>282</v>
      </c>
      <c r="I118" s="3">
        <v>11.051</v>
      </c>
      <c r="J118" s="3">
        <v>5.5220000000000002</v>
      </c>
      <c r="K118" s="3">
        <v>0.98199999999999998</v>
      </c>
    </row>
    <row r="119" spans="2:11" x14ac:dyDescent="0.25">
      <c r="B119" s="2" t="s">
        <v>6489</v>
      </c>
      <c r="C119" s="2" t="s">
        <v>6490</v>
      </c>
      <c r="D119" s="3">
        <v>5</v>
      </c>
      <c r="E119" s="3">
        <v>78.3</v>
      </c>
      <c r="F119" s="3">
        <v>2.8</v>
      </c>
      <c r="H119" s="3">
        <v>192</v>
      </c>
      <c r="I119" s="3">
        <v>1.1120000000000001</v>
      </c>
      <c r="J119" s="3">
        <v>1.8129999999999999</v>
      </c>
      <c r="K119" s="3">
        <v>0.46600000000000003</v>
      </c>
    </row>
    <row r="120" spans="2:11" x14ac:dyDescent="0.25">
      <c r="B120" s="2" t="s">
        <v>6491</v>
      </c>
      <c r="C120" s="2" t="s">
        <v>6492</v>
      </c>
      <c r="D120" s="3">
        <v>6.6</v>
      </c>
      <c r="E120" s="3">
        <v>72.7</v>
      </c>
      <c r="F120" s="3">
        <v>3.4</v>
      </c>
      <c r="G120" s="3">
        <v>37.43</v>
      </c>
      <c r="H120" s="3">
        <v>580</v>
      </c>
      <c r="I120" s="3">
        <v>4.2409999999999997</v>
      </c>
      <c r="J120" s="3">
        <v>4.8650000000000002</v>
      </c>
      <c r="K120" s="3">
        <v>4.1529999999999996</v>
      </c>
    </row>
    <row r="121" spans="2:11" x14ac:dyDescent="0.25">
      <c r="B121" s="2" t="s">
        <v>6493</v>
      </c>
      <c r="C121" s="2" t="s">
        <v>6494</v>
      </c>
      <c r="D121" s="3">
        <v>5.97</v>
      </c>
      <c r="E121" s="3">
        <v>67.489999999999995</v>
      </c>
      <c r="F121" s="3">
        <v>3</v>
      </c>
      <c r="G121" s="3">
        <v>32.840000000000003</v>
      </c>
      <c r="H121" s="3">
        <v>418</v>
      </c>
      <c r="I121" s="3">
        <v>5.9619999999999997</v>
      </c>
      <c r="J121" s="3">
        <v>5.4219999999999997</v>
      </c>
      <c r="K121" s="3">
        <v>5.641</v>
      </c>
    </row>
    <row r="122" spans="2:11" x14ac:dyDescent="0.25">
      <c r="B122" s="2" t="s">
        <v>6495</v>
      </c>
      <c r="C122" s="2" t="s">
        <v>6496</v>
      </c>
      <c r="D122" s="3">
        <v>5.0999999999999996</v>
      </c>
      <c r="E122" s="3">
        <v>65.36</v>
      </c>
      <c r="F122" s="3">
        <v>2</v>
      </c>
      <c r="G122" s="3">
        <v>32.9</v>
      </c>
      <c r="H122" s="3">
        <v>311</v>
      </c>
      <c r="I122" s="3">
        <v>8.0909999999999993</v>
      </c>
      <c r="J122" s="3">
        <v>6.2720000000000002</v>
      </c>
      <c r="K122" s="3">
        <v>8.4169999999999998</v>
      </c>
    </row>
    <row r="123" spans="2:11" x14ac:dyDescent="0.25">
      <c r="B123" s="2" t="s">
        <v>6497</v>
      </c>
      <c r="C123" s="2" t="s">
        <v>6498</v>
      </c>
      <c r="D123" s="3">
        <v>3.63</v>
      </c>
      <c r="E123" s="3">
        <v>65.75</v>
      </c>
      <c r="F123" s="3">
        <v>1.8</v>
      </c>
      <c r="G123" s="3">
        <v>37.1</v>
      </c>
      <c r="H123" s="3">
        <v>276</v>
      </c>
      <c r="I123" s="3">
        <v>9.7509999999999994</v>
      </c>
      <c r="J123" s="3">
        <v>6.9729999999999999</v>
      </c>
      <c r="K123" s="3">
        <v>1.786</v>
      </c>
    </row>
    <row r="124" spans="2:11" x14ac:dyDescent="0.25">
      <c r="B124" s="2" t="s">
        <v>6499</v>
      </c>
      <c r="C124" s="2" t="s">
        <v>6500</v>
      </c>
      <c r="D124" s="3">
        <v>4.5999999999999996</v>
      </c>
      <c r="E124" s="3">
        <v>66.099999999999994</v>
      </c>
      <c r="H124" s="3">
        <v>290</v>
      </c>
      <c r="I124" s="3">
        <v>8.3160000000000007</v>
      </c>
      <c r="J124" s="3">
        <v>13.077</v>
      </c>
      <c r="K124" s="3">
        <v>2.62</v>
      </c>
    </row>
    <row r="125" spans="2:11" x14ac:dyDescent="0.25">
      <c r="B125" s="2" t="s">
        <v>6501</v>
      </c>
      <c r="C125" s="2" t="s">
        <v>6502</v>
      </c>
      <c r="D125" s="3">
        <v>3.98</v>
      </c>
      <c r="E125" s="3">
        <v>61.02</v>
      </c>
      <c r="F125" s="3">
        <v>1.5</v>
      </c>
      <c r="G125" s="3">
        <v>38.04</v>
      </c>
      <c r="H125" s="3">
        <v>321</v>
      </c>
      <c r="I125" s="3">
        <v>8.39</v>
      </c>
      <c r="J125" s="3">
        <v>10.414</v>
      </c>
      <c r="K125" s="3">
        <v>2.1720000000000002</v>
      </c>
    </row>
    <row r="126" spans="2:11" x14ac:dyDescent="0.25">
      <c r="B126" s="2" t="s">
        <v>6503</v>
      </c>
      <c r="C126" s="2" t="s">
        <v>6504</v>
      </c>
      <c r="D126" s="3">
        <v>4.9000000000000004</v>
      </c>
      <c r="E126" s="3">
        <v>68.2</v>
      </c>
      <c r="F126" s="3">
        <v>1.7</v>
      </c>
      <c r="H126" s="3">
        <v>232</v>
      </c>
      <c r="I126" s="3">
        <v>7.7590000000000003</v>
      </c>
      <c r="J126" s="3">
        <v>11.257999999999999</v>
      </c>
      <c r="K126" s="3">
        <v>2.319</v>
      </c>
    </row>
    <row r="127" spans="2:11" x14ac:dyDescent="0.25">
      <c r="B127" s="2" t="s">
        <v>6505</v>
      </c>
      <c r="C127" s="2" t="s">
        <v>6506</v>
      </c>
      <c r="D127" s="3">
        <v>5.7</v>
      </c>
      <c r="E127" s="3">
        <v>58.4</v>
      </c>
      <c r="F127" s="3">
        <v>2.8</v>
      </c>
      <c r="H127" s="3">
        <v>361</v>
      </c>
      <c r="I127" s="3">
        <v>8.0739999999999998</v>
      </c>
      <c r="J127" s="3">
        <v>10.377000000000001</v>
      </c>
      <c r="K127" s="3">
        <v>8.41</v>
      </c>
    </row>
    <row r="128" spans="2:11" x14ac:dyDescent="0.25">
      <c r="B128" s="2" t="s">
        <v>6507</v>
      </c>
      <c r="C128" s="2" t="s">
        <v>6508</v>
      </c>
      <c r="D128" s="3">
        <v>5.21</v>
      </c>
      <c r="E128" s="3">
        <v>71</v>
      </c>
      <c r="F128" s="3">
        <v>2.9</v>
      </c>
      <c r="G128" s="3">
        <v>40.67</v>
      </c>
      <c r="H128" s="3">
        <v>388</v>
      </c>
      <c r="I128" s="3">
        <v>5.649</v>
      </c>
      <c r="J128" s="3">
        <v>9.2780000000000005</v>
      </c>
      <c r="K128" s="3">
        <v>3.5609999999999999</v>
      </c>
    </row>
    <row r="129" spans="2:11" x14ac:dyDescent="0.25">
      <c r="B129" s="2" t="s">
        <v>6509</v>
      </c>
      <c r="C129" s="2" t="s">
        <v>6510</v>
      </c>
      <c r="D129" s="3">
        <v>3.6</v>
      </c>
      <c r="E129" s="3">
        <v>66.400000000000006</v>
      </c>
      <c r="F129" s="3">
        <v>5.2</v>
      </c>
      <c r="G129" s="3">
        <v>49.58</v>
      </c>
      <c r="H129" s="3">
        <v>326</v>
      </c>
      <c r="I129" s="3">
        <v>7.4260000000000002</v>
      </c>
      <c r="J129" s="3">
        <v>14.584</v>
      </c>
      <c r="K129" s="3">
        <v>3.0009999999999999</v>
      </c>
    </row>
    <row r="130" spans="2:11" x14ac:dyDescent="0.25">
      <c r="B130" s="2" t="s">
        <v>6511</v>
      </c>
      <c r="C130" s="2" t="s">
        <v>6512</v>
      </c>
      <c r="D130" s="3">
        <v>4.33</v>
      </c>
      <c r="E130" s="3">
        <v>68.2</v>
      </c>
      <c r="F130" s="3">
        <v>2.7</v>
      </c>
      <c r="G130" s="3">
        <v>46</v>
      </c>
      <c r="H130" s="3">
        <v>351</v>
      </c>
      <c r="I130" s="3">
        <v>5.4539999999999997</v>
      </c>
      <c r="J130" s="3">
        <v>16.076000000000001</v>
      </c>
      <c r="K130" s="3">
        <v>2.4710000000000001</v>
      </c>
    </row>
    <row r="131" spans="2:11" x14ac:dyDescent="0.25">
      <c r="B131" s="2" t="s">
        <v>6513</v>
      </c>
      <c r="C131" s="2" t="s">
        <v>6514</v>
      </c>
      <c r="D131" s="3">
        <v>3.7</v>
      </c>
      <c r="E131" s="3">
        <v>70.900000000000006</v>
      </c>
      <c r="F131" s="3">
        <v>4.5999999999999996</v>
      </c>
      <c r="G131" s="3">
        <v>46.36</v>
      </c>
      <c r="H131" s="3">
        <v>350</v>
      </c>
      <c r="I131" s="3">
        <v>1.123</v>
      </c>
      <c r="J131" s="3">
        <v>3.0030000000000001</v>
      </c>
      <c r="K131" s="3">
        <v>2.7719999999999998</v>
      </c>
    </row>
    <row r="132" spans="2:11" x14ac:dyDescent="0.25">
      <c r="B132" s="2" t="s">
        <v>6515</v>
      </c>
      <c r="C132" s="2" t="s">
        <v>6516</v>
      </c>
      <c r="D132" s="3">
        <v>4.2</v>
      </c>
      <c r="E132" s="3">
        <v>84</v>
      </c>
      <c r="F132" s="3">
        <v>1.6</v>
      </c>
      <c r="G132" s="3">
        <v>45.42</v>
      </c>
      <c r="H132" s="3">
        <v>31</v>
      </c>
      <c r="I132" s="3">
        <v>0.66900000000000004</v>
      </c>
      <c r="J132" s="3">
        <v>1.345</v>
      </c>
      <c r="K132" s="3">
        <v>0.46600000000000003</v>
      </c>
    </row>
    <row r="133" spans="2:11" x14ac:dyDescent="0.25">
      <c r="B133" s="2" t="s">
        <v>6517</v>
      </c>
      <c r="C133" s="2" t="s">
        <v>6518</v>
      </c>
      <c r="D133" s="3">
        <v>5.6</v>
      </c>
      <c r="E133" s="3">
        <v>76.900000000000006</v>
      </c>
      <c r="F133" s="3">
        <v>2.2000000000000002</v>
      </c>
      <c r="G133" s="3">
        <v>19.920000000000002</v>
      </c>
      <c r="H133" s="3">
        <v>501</v>
      </c>
      <c r="I133" s="3">
        <v>2.4510000000000001</v>
      </c>
      <c r="J133" s="3">
        <v>5.3650000000000002</v>
      </c>
      <c r="K133" s="3">
        <v>1.3720000000000001</v>
      </c>
    </row>
    <row r="134" spans="2:11" x14ac:dyDescent="0.25">
      <c r="B134" s="2" t="s">
        <v>6519</v>
      </c>
      <c r="C134" s="2" t="s">
        <v>6520</v>
      </c>
      <c r="D134" s="3">
        <v>6.69</v>
      </c>
      <c r="E134" s="3">
        <v>77.66</v>
      </c>
      <c r="F134" s="3">
        <v>3.4</v>
      </c>
      <c r="G134" s="3">
        <v>24.85</v>
      </c>
      <c r="H134" s="3">
        <v>459</v>
      </c>
      <c r="I134" s="3">
        <v>1.633</v>
      </c>
      <c r="J134" s="3">
        <v>2.5089999999999999</v>
      </c>
      <c r="K134" s="3">
        <v>5.3879999999999999</v>
      </c>
    </row>
    <row r="135" spans="2:11" x14ac:dyDescent="0.25">
      <c r="B135" s="2" t="s">
        <v>6521</v>
      </c>
      <c r="C135" s="2" t="s">
        <v>6522</v>
      </c>
      <c r="D135" s="3">
        <v>4</v>
      </c>
      <c r="E135" s="3">
        <v>66.78</v>
      </c>
      <c r="F135" s="3">
        <v>2.2000000000000002</v>
      </c>
      <c r="G135" s="3">
        <v>37.299999999999997</v>
      </c>
      <c r="H135" s="3">
        <v>265</v>
      </c>
      <c r="I135" s="3">
        <v>17.2</v>
      </c>
      <c r="J135" s="3">
        <v>2.7</v>
      </c>
      <c r="K135" s="3">
        <v>4.9000000000000004</v>
      </c>
    </row>
    <row r="136" spans="2:11" x14ac:dyDescent="0.25">
      <c r="B136" s="2" t="s">
        <v>6523</v>
      </c>
      <c r="C136" s="2" t="s">
        <v>6524</v>
      </c>
      <c r="D136" s="3">
        <v>10.6</v>
      </c>
      <c r="E136" s="3">
        <v>59.7</v>
      </c>
      <c r="F136" s="3">
        <v>1</v>
      </c>
      <c r="G136" s="3">
        <v>25.39</v>
      </c>
      <c r="H136" s="3">
        <v>147</v>
      </c>
      <c r="I136" s="3">
        <v>3.069</v>
      </c>
      <c r="J136" s="3">
        <v>3.754</v>
      </c>
      <c r="K136" s="3">
        <v>1.4219999999999999</v>
      </c>
    </row>
    <row r="137" spans="2:11" x14ac:dyDescent="0.25">
      <c r="B137" s="2" t="s">
        <v>6525</v>
      </c>
      <c r="C137" s="2" t="s">
        <v>6526</v>
      </c>
      <c r="D137" s="3">
        <v>4</v>
      </c>
      <c r="E137" s="3">
        <v>67.7</v>
      </c>
      <c r="F137" s="3">
        <v>2</v>
      </c>
      <c r="G137" s="3">
        <v>44.8</v>
      </c>
      <c r="H137" s="3">
        <v>188</v>
      </c>
      <c r="I137" s="3">
        <v>4.7220000000000004</v>
      </c>
      <c r="J137" s="3">
        <v>9.3450000000000006</v>
      </c>
      <c r="K137" s="3">
        <v>1.9430000000000001</v>
      </c>
    </row>
    <row r="138" spans="2:11" x14ac:dyDescent="0.25">
      <c r="B138" s="2" t="s">
        <v>6527</v>
      </c>
      <c r="C138" s="2" t="s">
        <v>6528</v>
      </c>
      <c r="D138" s="3">
        <v>5.6</v>
      </c>
      <c r="E138" s="3">
        <v>73.8</v>
      </c>
      <c r="F138" s="3">
        <v>1</v>
      </c>
      <c r="G138" s="3">
        <v>17.600000000000001</v>
      </c>
      <c r="H138" s="3">
        <v>459</v>
      </c>
      <c r="I138" s="3">
        <v>3.2120000000000002</v>
      </c>
      <c r="J138" s="3">
        <v>7.13</v>
      </c>
      <c r="K138" s="3">
        <v>1.7290000000000001</v>
      </c>
    </row>
    <row r="139" spans="2:11" x14ac:dyDescent="0.25">
      <c r="B139" s="2" t="s">
        <v>6529</v>
      </c>
      <c r="C139" s="2" t="s">
        <v>6530</v>
      </c>
      <c r="D139" s="3">
        <v>6.2</v>
      </c>
      <c r="E139" s="3">
        <v>68.7</v>
      </c>
      <c r="F139" s="3">
        <v>2.8</v>
      </c>
      <c r="G139" s="3">
        <v>24.66</v>
      </c>
      <c r="H139" s="3">
        <v>383</v>
      </c>
      <c r="I139" s="3">
        <v>4.5190000000000001</v>
      </c>
      <c r="J139" s="3">
        <v>10.025</v>
      </c>
      <c r="K139" s="3">
        <v>2.5430000000000001</v>
      </c>
    </row>
    <row r="140" spans="2:11" x14ac:dyDescent="0.25">
      <c r="B140" s="2" t="s">
        <v>6531</v>
      </c>
      <c r="C140" s="2" t="s">
        <v>6532</v>
      </c>
      <c r="D140" s="3">
        <v>6.1</v>
      </c>
      <c r="E140" s="3">
        <v>65.7</v>
      </c>
      <c r="F140" s="3">
        <v>2.7</v>
      </c>
      <c r="H140" s="3">
        <v>349</v>
      </c>
      <c r="I140" s="3">
        <v>3.63</v>
      </c>
      <c r="J140" s="3">
        <v>7.9880000000000004</v>
      </c>
      <c r="K140" s="3">
        <v>2.2040000000000002</v>
      </c>
    </row>
    <row r="141" spans="2:11" x14ac:dyDescent="0.25">
      <c r="B141" s="2" t="s">
        <v>6533</v>
      </c>
      <c r="C141" s="2" t="s">
        <v>6534</v>
      </c>
      <c r="D141" s="3">
        <v>6.5</v>
      </c>
      <c r="E141" s="3">
        <v>67.3</v>
      </c>
      <c r="H141" s="3">
        <v>473</v>
      </c>
      <c r="I141" s="3">
        <v>4.7549999999999999</v>
      </c>
      <c r="J141" s="3">
        <v>10.567</v>
      </c>
      <c r="K141" s="3">
        <v>2.7919999999999998</v>
      </c>
    </row>
    <row r="142" spans="2:11" x14ac:dyDescent="0.25">
      <c r="B142" s="2" t="s">
        <v>6535</v>
      </c>
      <c r="C142" s="2" t="s">
        <v>6536</v>
      </c>
      <c r="D142" s="3">
        <v>5.4</v>
      </c>
      <c r="E142" s="3">
        <v>59.1</v>
      </c>
      <c r="F142" s="3">
        <v>2.5</v>
      </c>
      <c r="H142" s="3">
        <v>294</v>
      </c>
      <c r="I142" s="3">
        <v>4.7510000000000003</v>
      </c>
      <c r="J142" s="3">
        <v>10.531000000000001</v>
      </c>
      <c r="K142" s="3">
        <v>2.5920000000000001</v>
      </c>
    </row>
    <row r="143" spans="2:11" x14ac:dyDescent="0.25">
      <c r="B143" s="2" t="s">
        <v>6537</v>
      </c>
      <c r="C143" s="2" t="s">
        <v>6538</v>
      </c>
      <c r="D143" s="3">
        <v>6</v>
      </c>
      <c r="E143" s="3">
        <v>65.7</v>
      </c>
      <c r="F143" s="3">
        <v>2.8</v>
      </c>
      <c r="H143" s="3">
        <v>327</v>
      </c>
      <c r="I143" s="3">
        <v>5.3390000000000004</v>
      </c>
      <c r="J143" s="3">
        <v>11.728999999999999</v>
      </c>
      <c r="K143" s="3">
        <v>2.976</v>
      </c>
    </row>
    <row r="144" spans="2:11" x14ac:dyDescent="0.25">
      <c r="B144" s="2" t="s">
        <v>6539</v>
      </c>
      <c r="C144" s="2" t="s">
        <v>6540</v>
      </c>
      <c r="D144" s="3">
        <v>6.5</v>
      </c>
      <c r="E144" s="3">
        <v>68.400000000000006</v>
      </c>
      <c r="H144" s="3">
        <v>538</v>
      </c>
      <c r="I144" s="3">
        <v>3.2320000000000002</v>
      </c>
      <c r="J144" s="3">
        <v>6.8879999999999999</v>
      </c>
      <c r="K144" s="3">
        <v>5.0339999999999998</v>
      </c>
    </row>
    <row r="145" spans="2:11" x14ac:dyDescent="0.25">
      <c r="B145" s="2" t="s">
        <v>6541</v>
      </c>
      <c r="C145" s="2" t="s">
        <v>6542</v>
      </c>
      <c r="D145" s="3">
        <v>8.92</v>
      </c>
      <c r="E145" s="3">
        <v>58.15</v>
      </c>
      <c r="F145" s="3">
        <v>2.1</v>
      </c>
      <c r="G145" s="3">
        <v>28.58</v>
      </c>
      <c r="H145" s="3">
        <v>463</v>
      </c>
      <c r="I145" s="3">
        <v>6.7510000000000003</v>
      </c>
      <c r="J145" s="3">
        <v>10.8</v>
      </c>
      <c r="K145" s="3">
        <v>3.61</v>
      </c>
    </row>
    <row r="146" spans="2:11" x14ac:dyDescent="0.25">
      <c r="B146" s="2" t="s">
        <v>6543</v>
      </c>
      <c r="C146" s="2" t="s">
        <v>6544</v>
      </c>
      <c r="D146" s="3">
        <v>5.3</v>
      </c>
      <c r="E146" s="3">
        <v>57.7</v>
      </c>
      <c r="F146" s="3">
        <v>1.7</v>
      </c>
      <c r="H146" s="3">
        <v>336</v>
      </c>
      <c r="I146" s="3">
        <v>6.149</v>
      </c>
      <c r="J146" s="3">
        <v>13.843999999999999</v>
      </c>
      <c r="K146" s="3">
        <v>3.181</v>
      </c>
    </row>
    <row r="147" spans="2:11" x14ac:dyDescent="0.25">
      <c r="B147" s="2" t="s">
        <v>6545</v>
      </c>
      <c r="C147" s="2" t="s">
        <v>6546</v>
      </c>
      <c r="D147" s="3">
        <v>8.1999999999999993</v>
      </c>
      <c r="E147" s="3">
        <v>52.1</v>
      </c>
      <c r="F147" s="3">
        <v>1.1000000000000001</v>
      </c>
      <c r="H147" s="3">
        <v>397</v>
      </c>
      <c r="I147" s="3">
        <v>5.7910000000000004</v>
      </c>
      <c r="J147" s="3">
        <v>13.124000000000001</v>
      </c>
      <c r="K147" s="3">
        <v>4.7869999999999999</v>
      </c>
    </row>
    <row r="148" spans="2:11" x14ac:dyDescent="0.25">
      <c r="B148" s="2" t="s">
        <v>6547</v>
      </c>
      <c r="C148" s="2" t="s">
        <v>6548</v>
      </c>
      <c r="D148" s="3">
        <v>9.1</v>
      </c>
      <c r="E148" s="3">
        <v>57.3</v>
      </c>
      <c r="F148" s="3">
        <v>1.2</v>
      </c>
      <c r="H148" s="3">
        <v>436</v>
      </c>
      <c r="I148" s="3">
        <v>6.1989999999999998</v>
      </c>
      <c r="J148" s="3">
        <v>14.526</v>
      </c>
      <c r="K148" s="3">
        <v>4.8890000000000002</v>
      </c>
    </row>
    <row r="149" spans="2:11" x14ac:dyDescent="0.25">
      <c r="B149" s="2" t="s">
        <v>6549</v>
      </c>
      <c r="C149" s="2" t="s">
        <v>6550</v>
      </c>
      <c r="D149" s="3">
        <v>9</v>
      </c>
      <c r="E149" s="3">
        <v>58.9</v>
      </c>
      <c r="H149" s="3">
        <v>518</v>
      </c>
      <c r="I149" s="3">
        <v>4.4379999999999997</v>
      </c>
      <c r="J149" s="3">
        <v>10.832000000000001</v>
      </c>
      <c r="K149" s="3">
        <v>7.2229999999999999</v>
      </c>
    </row>
    <row r="150" spans="2:11" x14ac:dyDescent="0.25">
      <c r="B150" s="2" t="s">
        <v>6551</v>
      </c>
      <c r="C150" s="2" t="s">
        <v>6552</v>
      </c>
      <c r="D150" s="3">
        <v>8.8000000000000007</v>
      </c>
      <c r="E150" s="3">
        <v>65.599999999999994</v>
      </c>
      <c r="F150" s="3">
        <v>1.9</v>
      </c>
      <c r="G150" s="3">
        <v>35.44</v>
      </c>
      <c r="H150" s="3">
        <v>368</v>
      </c>
      <c r="I150" s="3">
        <v>4.9950000000000001</v>
      </c>
      <c r="J150" s="3">
        <v>11.191000000000001</v>
      </c>
      <c r="K150" s="3">
        <v>3.7949999999999999</v>
      </c>
    </row>
    <row r="151" spans="2:11" x14ac:dyDescent="0.25">
      <c r="B151" s="2" t="s">
        <v>6553</v>
      </c>
      <c r="C151" s="2" t="s">
        <v>6554</v>
      </c>
      <c r="D151" s="3">
        <v>4.0999999999999996</v>
      </c>
      <c r="E151" s="3">
        <v>68</v>
      </c>
      <c r="F151" s="3">
        <v>1.2</v>
      </c>
      <c r="G151" s="3">
        <v>47.56</v>
      </c>
      <c r="H151" s="3">
        <v>418</v>
      </c>
      <c r="I151" s="3">
        <v>3.46</v>
      </c>
      <c r="J151" s="3">
        <v>7.649</v>
      </c>
      <c r="K151" s="3">
        <v>1.756</v>
      </c>
    </row>
    <row r="152" spans="2:11" x14ac:dyDescent="0.25">
      <c r="B152" s="2" t="s">
        <v>6555</v>
      </c>
      <c r="C152" s="2" t="s">
        <v>6556</v>
      </c>
      <c r="D152" s="3">
        <v>5.37</v>
      </c>
      <c r="E152" s="3">
        <v>63.78</v>
      </c>
      <c r="F152" s="3">
        <v>1.3</v>
      </c>
      <c r="G152" s="3">
        <v>21.65</v>
      </c>
      <c r="H152" s="3">
        <v>353</v>
      </c>
      <c r="I152" s="3">
        <v>8.1050000000000004</v>
      </c>
      <c r="J152" s="3">
        <v>6.7080000000000002</v>
      </c>
      <c r="K152" s="3">
        <v>8.3260000000000005</v>
      </c>
    </row>
    <row r="153" spans="2:11" x14ac:dyDescent="0.25">
      <c r="B153" s="2" t="s">
        <v>6557</v>
      </c>
      <c r="C153" s="2" t="s">
        <v>6558</v>
      </c>
      <c r="D153" s="3">
        <v>4.9000000000000004</v>
      </c>
      <c r="E153" s="3">
        <v>58.3</v>
      </c>
      <c r="F153" s="3">
        <v>1.8</v>
      </c>
      <c r="H153" s="3">
        <v>281</v>
      </c>
      <c r="I153" s="3">
        <v>8.2040000000000006</v>
      </c>
      <c r="J153" s="3">
        <v>18.628</v>
      </c>
      <c r="K153" s="3">
        <v>4.1219999999999999</v>
      </c>
    </row>
    <row r="154" spans="2:11" x14ac:dyDescent="0.25">
      <c r="B154" s="2" t="s">
        <v>6559</v>
      </c>
      <c r="C154" s="2" t="s">
        <v>6560</v>
      </c>
      <c r="D154" s="3">
        <v>2.9</v>
      </c>
      <c r="E154" s="3">
        <v>80.400000000000006</v>
      </c>
      <c r="F154" s="3">
        <v>4.2</v>
      </c>
      <c r="H154" s="3">
        <v>83</v>
      </c>
      <c r="I154" s="3">
        <v>2.0179999999999998</v>
      </c>
      <c r="J154" s="3">
        <v>5.2329999999999997</v>
      </c>
      <c r="K154" s="3">
        <v>4.577</v>
      </c>
    </row>
    <row r="155" spans="2:11" x14ac:dyDescent="0.25">
      <c r="B155" s="2" t="s">
        <v>6561</v>
      </c>
      <c r="C155" s="2" t="s">
        <v>6562</v>
      </c>
      <c r="D155" s="3">
        <v>3.9</v>
      </c>
      <c r="E155" s="3">
        <v>73.400000000000006</v>
      </c>
      <c r="F155" s="3">
        <v>1.6</v>
      </c>
      <c r="G155" s="3">
        <v>39.81</v>
      </c>
      <c r="H155" s="3">
        <v>244</v>
      </c>
      <c r="I155" s="3">
        <v>4.1829999999999998</v>
      </c>
      <c r="J155" s="3">
        <v>6.73</v>
      </c>
      <c r="K155" s="3">
        <v>5.0350000000000001</v>
      </c>
    </row>
    <row r="156" spans="2:11" x14ac:dyDescent="0.25">
      <c r="B156" s="2" t="s">
        <v>6563</v>
      </c>
      <c r="C156" s="2" t="s">
        <v>6564</v>
      </c>
      <c r="D156" s="3">
        <v>4.5</v>
      </c>
      <c r="E156" s="3">
        <v>68</v>
      </c>
      <c r="F156" s="3">
        <v>4.0999999999999996</v>
      </c>
      <c r="G156" s="3">
        <v>19.73</v>
      </c>
      <c r="H156" s="3">
        <v>342</v>
      </c>
      <c r="I156" s="3">
        <v>3.992</v>
      </c>
      <c r="J156" s="3">
        <v>9.2070000000000007</v>
      </c>
      <c r="K156" s="3">
        <v>7.9189999999999996</v>
      </c>
    </row>
    <row r="157" spans="2:11" x14ac:dyDescent="0.25">
      <c r="B157" s="2" t="s">
        <v>6565</v>
      </c>
      <c r="C157" s="2" t="s">
        <v>6566</v>
      </c>
      <c r="D157" s="3">
        <v>4.8</v>
      </c>
      <c r="E157" s="3">
        <v>69.900000000000006</v>
      </c>
      <c r="F157" s="3">
        <v>2.9</v>
      </c>
      <c r="G157" s="3">
        <v>31.65</v>
      </c>
      <c r="H157" s="3">
        <v>273</v>
      </c>
      <c r="I157" s="3">
        <v>2.6930000000000001</v>
      </c>
      <c r="J157" s="3">
        <v>7.55</v>
      </c>
      <c r="K157" s="3">
        <v>6.7839999999999998</v>
      </c>
    </row>
    <row r="158" spans="2:11" x14ac:dyDescent="0.25">
      <c r="B158" s="2" t="s">
        <v>6567</v>
      </c>
      <c r="C158" s="2" t="s">
        <v>6568</v>
      </c>
      <c r="D158" s="3">
        <v>10</v>
      </c>
      <c r="E158" s="3">
        <v>50.8</v>
      </c>
      <c r="H158" s="3">
        <v>412</v>
      </c>
      <c r="I158" s="3">
        <v>4.9370000000000003</v>
      </c>
      <c r="J158" s="3">
        <v>15.391</v>
      </c>
      <c r="K158" s="3">
        <v>12.026</v>
      </c>
    </row>
    <row r="159" spans="2:11" x14ac:dyDescent="0.25">
      <c r="B159" s="2" t="s">
        <v>6569</v>
      </c>
      <c r="C159" s="2" t="s">
        <v>6570</v>
      </c>
      <c r="D159" s="3">
        <v>3.57</v>
      </c>
      <c r="E159" s="3">
        <v>66.260000000000005</v>
      </c>
      <c r="F159" s="3">
        <v>14.3</v>
      </c>
      <c r="G159" s="3">
        <v>0</v>
      </c>
      <c r="H159" s="3">
        <v>71</v>
      </c>
      <c r="I159" s="3">
        <v>4.2569999999999997</v>
      </c>
      <c r="J159" s="3">
        <v>12.137</v>
      </c>
      <c r="K159" s="3">
        <v>10.747999999999999</v>
      </c>
    </row>
    <row r="160" spans="2:11" x14ac:dyDescent="0.25">
      <c r="B160" s="2" t="s">
        <v>6571</v>
      </c>
      <c r="C160" s="2" t="s">
        <v>6572</v>
      </c>
      <c r="D160" s="3">
        <v>5.35</v>
      </c>
      <c r="E160" s="3">
        <v>67.34</v>
      </c>
      <c r="F160" s="3">
        <v>1.3</v>
      </c>
      <c r="G160" s="3">
        <v>27.31</v>
      </c>
      <c r="H160" s="3">
        <v>385</v>
      </c>
      <c r="I160" s="3">
        <v>7.6660000000000004</v>
      </c>
      <c r="J160" s="3">
        <v>6.9710000000000001</v>
      </c>
      <c r="K160" s="3">
        <v>3.746</v>
      </c>
    </row>
    <row r="161" spans="2:11" x14ac:dyDescent="0.25">
      <c r="B161" s="2" t="s">
        <v>6573</v>
      </c>
      <c r="C161" s="2" t="s">
        <v>6574</v>
      </c>
      <c r="D161" s="3">
        <v>4</v>
      </c>
      <c r="E161" s="3">
        <v>61.22</v>
      </c>
      <c r="F161" s="3">
        <v>0.9</v>
      </c>
      <c r="G161" s="3">
        <v>36.51</v>
      </c>
      <c r="H161" s="3">
        <v>328</v>
      </c>
      <c r="I161" s="3">
        <v>4.9550000000000001</v>
      </c>
      <c r="J161" s="3">
        <v>11.077</v>
      </c>
      <c r="K161" s="3">
        <v>2.4689999999999999</v>
      </c>
    </row>
    <row r="162" spans="2:11" x14ac:dyDescent="0.25">
      <c r="B162" s="2" t="s">
        <v>6575</v>
      </c>
      <c r="C162" s="2" t="s">
        <v>6576</v>
      </c>
      <c r="D162" s="3">
        <v>4.7</v>
      </c>
      <c r="E162" s="3">
        <v>65.599999999999994</v>
      </c>
      <c r="F162" s="3">
        <v>0.9</v>
      </c>
      <c r="G162" s="3">
        <v>40.36</v>
      </c>
      <c r="H162" s="3">
        <v>362</v>
      </c>
      <c r="I162" s="3">
        <v>5.9059999999999997</v>
      </c>
      <c r="J162" s="3">
        <v>13.01</v>
      </c>
      <c r="K162" s="3">
        <v>2.891</v>
      </c>
    </row>
    <row r="163" spans="2:11" x14ac:dyDescent="0.25">
      <c r="B163" s="2" t="s">
        <v>6577</v>
      </c>
      <c r="C163" s="2" t="s">
        <v>6578</v>
      </c>
      <c r="D163" s="3">
        <v>5.9</v>
      </c>
      <c r="E163" s="3">
        <v>60</v>
      </c>
      <c r="F163" s="3">
        <v>1.2</v>
      </c>
      <c r="G163" s="3">
        <v>24.86</v>
      </c>
      <c r="H163" s="3">
        <v>491</v>
      </c>
      <c r="I163" s="3">
        <v>4.6900000000000004</v>
      </c>
      <c r="J163" s="3">
        <v>10.189</v>
      </c>
      <c r="K163" s="3">
        <v>7.29</v>
      </c>
    </row>
    <row r="164" spans="2:11" x14ac:dyDescent="0.25">
      <c r="B164" s="2" t="s">
        <v>6579</v>
      </c>
      <c r="C164" s="2" t="s">
        <v>6580</v>
      </c>
      <c r="D164" s="3">
        <v>3.84</v>
      </c>
      <c r="E164" s="3">
        <v>70.64</v>
      </c>
      <c r="F164" s="3">
        <v>1.6</v>
      </c>
      <c r="G164" s="3">
        <v>42.95</v>
      </c>
      <c r="H164" s="3">
        <v>103</v>
      </c>
      <c r="I164" s="3">
        <v>11.898999999999999</v>
      </c>
      <c r="J164" s="3">
        <v>7.6970000000000001</v>
      </c>
      <c r="K164" s="3">
        <v>2.6509999999999998</v>
      </c>
    </row>
    <row r="165" spans="2:11" x14ac:dyDescent="0.25">
      <c r="B165" s="2" t="s">
        <v>6581</v>
      </c>
      <c r="C165" s="2" t="s">
        <v>6582</v>
      </c>
      <c r="D165" s="3">
        <v>4.5</v>
      </c>
      <c r="E165" s="3">
        <v>72.099999999999994</v>
      </c>
      <c r="F165" s="3">
        <v>1.5</v>
      </c>
      <c r="G165" s="3">
        <v>39.299999999999997</v>
      </c>
      <c r="H165" s="3">
        <v>349</v>
      </c>
      <c r="I165" s="3">
        <v>2.9790000000000001</v>
      </c>
      <c r="J165" s="3">
        <v>8.4369999999999994</v>
      </c>
      <c r="K165" s="3">
        <v>7.5510000000000002</v>
      </c>
    </row>
    <row r="166" spans="2:11" x14ac:dyDescent="0.25">
      <c r="B166" s="2" t="s">
        <v>6583</v>
      </c>
      <c r="C166" s="2" t="s">
        <v>6584</v>
      </c>
      <c r="D166" s="3">
        <v>7.4</v>
      </c>
      <c r="E166" s="3">
        <v>45.7</v>
      </c>
      <c r="F166" s="3">
        <v>1.5</v>
      </c>
      <c r="G166" s="3">
        <v>0.75</v>
      </c>
      <c r="H166" s="3">
        <v>253</v>
      </c>
      <c r="I166" s="3">
        <v>5.5019999999999998</v>
      </c>
      <c r="J166" s="3">
        <v>8.8279999999999994</v>
      </c>
      <c r="K166" s="3">
        <v>22.228000000000002</v>
      </c>
    </row>
    <row r="167" spans="2:11" x14ac:dyDescent="0.25">
      <c r="B167" s="2" t="s">
        <v>6585</v>
      </c>
      <c r="C167" s="2" t="s">
        <v>6586</v>
      </c>
      <c r="D167" s="3">
        <v>5</v>
      </c>
      <c r="E167" s="3">
        <v>73.599999999999994</v>
      </c>
      <c r="F167" s="3">
        <v>1.9</v>
      </c>
      <c r="G167" s="3">
        <v>37.5</v>
      </c>
      <c r="H167" s="3">
        <v>388</v>
      </c>
      <c r="I167" s="3">
        <v>3.8380000000000001</v>
      </c>
      <c r="J167" s="3">
        <v>6.5439999999999996</v>
      </c>
      <c r="K167" s="3">
        <v>3.887</v>
      </c>
    </row>
    <row r="168" spans="2:11" x14ac:dyDescent="0.25">
      <c r="B168" s="2" t="s">
        <v>6587</v>
      </c>
      <c r="C168" s="2" t="s">
        <v>6588</v>
      </c>
      <c r="D168" s="3">
        <v>4.9000000000000004</v>
      </c>
      <c r="E168" s="3">
        <v>72.599999999999994</v>
      </c>
      <c r="F168" s="3">
        <v>1.6</v>
      </c>
      <c r="G168" s="3">
        <v>35.07</v>
      </c>
      <c r="H168" s="3">
        <v>325</v>
      </c>
      <c r="I168" s="3">
        <v>4.2450000000000001</v>
      </c>
      <c r="J168" s="3">
        <v>4.4509999999999996</v>
      </c>
      <c r="K168" s="3">
        <v>6.7380000000000004</v>
      </c>
    </row>
    <row r="169" spans="2:11" x14ac:dyDescent="0.25">
      <c r="B169" s="2" t="s">
        <v>6589</v>
      </c>
      <c r="C169" s="2" t="s">
        <v>6590</v>
      </c>
      <c r="D169" s="3">
        <v>10.93</v>
      </c>
      <c r="E169" s="3">
        <v>59.42</v>
      </c>
      <c r="F169" s="3">
        <v>2.2999999999999998</v>
      </c>
      <c r="G169" s="3">
        <v>4.53</v>
      </c>
      <c r="H169" s="3">
        <v>973</v>
      </c>
      <c r="I169" s="3">
        <v>5.2880000000000003</v>
      </c>
      <c r="J169" s="3">
        <v>5.7439999999999998</v>
      </c>
      <c r="K169" s="3">
        <v>10.09</v>
      </c>
    </row>
    <row r="170" spans="2:11" x14ac:dyDescent="0.25">
      <c r="B170" s="2" t="s">
        <v>6591</v>
      </c>
      <c r="C170" s="2" t="s">
        <v>6592</v>
      </c>
      <c r="D170" s="3">
        <v>12.41</v>
      </c>
      <c r="E170" s="3">
        <v>56.74</v>
      </c>
      <c r="F170" s="3">
        <v>3.4</v>
      </c>
      <c r="G170" s="3">
        <v>6.98</v>
      </c>
      <c r="H170" s="3">
        <v>829</v>
      </c>
      <c r="I170" s="3">
        <v>4.4059999999999997</v>
      </c>
      <c r="J170" s="3">
        <v>13.003</v>
      </c>
      <c r="K170" s="3">
        <v>5.093</v>
      </c>
    </row>
    <row r="171" spans="2:11" x14ac:dyDescent="0.25">
      <c r="B171" s="2" t="s">
        <v>6593</v>
      </c>
      <c r="C171" s="2" t="s">
        <v>6594</v>
      </c>
      <c r="D171" s="3">
        <v>7.9</v>
      </c>
      <c r="E171" s="3">
        <v>82.2</v>
      </c>
      <c r="F171" s="3">
        <v>16.5</v>
      </c>
      <c r="G171" s="3">
        <v>1.07</v>
      </c>
      <c r="H171" s="3">
        <v>410</v>
      </c>
      <c r="I171" s="3">
        <v>0.14499999999999999</v>
      </c>
      <c r="J171" s="3">
        <v>0.16500000000000001</v>
      </c>
      <c r="K171" s="3">
        <v>0.55700000000000005</v>
      </c>
    </row>
    <row r="172" spans="2:11" x14ac:dyDescent="0.25">
      <c r="B172" s="2" t="s">
        <v>6595</v>
      </c>
      <c r="C172" s="2" t="s">
        <v>6596</v>
      </c>
      <c r="D172" s="3">
        <v>10</v>
      </c>
      <c r="E172" s="3">
        <v>83.7</v>
      </c>
      <c r="F172" s="3">
        <v>3</v>
      </c>
      <c r="G172" s="3">
        <v>0.28999999999999998</v>
      </c>
      <c r="H172" s="3">
        <v>0</v>
      </c>
      <c r="I172" s="3">
        <v>0.22600000000000001</v>
      </c>
      <c r="J172" s="3">
        <v>0.127</v>
      </c>
      <c r="K172" s="3">
        <v>0.60299999999999998</v>
      </c>
    </row>
    <row r="173" spans="2:11" x14ac:dyDescent="0.25">
      <c r="B173" s="2" t="s">
        <v>6597</v>
      </c>
      <c r="C173" s="2" t="s">
        <v>6598</v>
      </c>
      <c r="D173" s="3">
        <v>12.3</v>
      </c>
      <c r="E173" s="3">
        <v>78.599999999999994</v>
      </c>
      <c r="F173" s="3">
        <v>2.8</v>
      </c>
      <c r="H173" s="3">
        <v>21</v>
      </c>
      <c r="I173" s="3">
        <v>0.54800000000000004</v>
      </c>
      <c r="J173" s="3">
        <v>0.61199999999999999</v>
      </c>
      <c r="K173" s="3">
        <v>0.47299999999999998</v>
      </c>
    </row>
    <row r="174" spans="2:11" x14ac:dyDescent="0.25">
      <c r="B174" s="2" t="s">
        <v>6599</v>
      </c>
      <c r="C174" s="2" t="s">
        <v>6600</v>
      </c>
      <c r="D174" s="3">
        <v>13.1</v>
      </c>
      <c r="E174" s="3">
        <v>78.900000000000006</v>
      </c>
      <c r="F174" s="3">
        <v>11.8</v>
      </c>
      <c r="H174" s="3">
        <v>2</v>
      </c>
      <c r="I174" s="3">
        <v>0.24299999999999999</v>
      </c>
      <c r="J174" s="3">
        <v>0.19400000000000001</v>
      </c>
      <c r="K174" s="3">
        <v>0.65300000000000002</v>
      </c>
    </row>
    <row r="175" spans="2:11" x14ac:dyDescent="0.25">
      <c r="B175" s="2" t="s">
        <v>6601</v>
      </c>
      <c r="C175" s="2" t="s">
        <v>6602</v>
      </c>
      <c r="D175" s="3">
        <v>12.1</v>
      </c>
      <c r="E175" s="3">
        <v>76.599999999999994</v>
      </c>
      <c r="F175" s="3">
        <v>6.3</v>
      </c>
      <c r="G175" s="3">
        <v>0.94</v>
      </c>
      <c r="H175" s="3">
        <v>598</v>
      </c>
      <c r="I175" s="3">
        <v>0.44500000000000001</v>
      </c>
      <c r="J175" s="3">
        <v>0.78200000000000003</v>
      </c>
      <c r="K175" s="3">
        <v>1.282</v>
      </c>
    </row>
    <row r="176" spans="2:11" x14ac:dyDescent="0.25">
      <c r="B176" s="2" t="s">
        <v>6603</v>
      </c>
      <c r="C176" s="2" t="s">
        <v>6604</v>
      </c>
      <c r="D176" s="3">
        <v>11.6</v>
      </c>
      <c r="E176" s="3">
        <v>77.3</v>
      </c>
      <c r="F176" s="3">
        <v>8</v>
      </c>
      <c r="H176" s="3">
        <v>899</v>
      </c>
      <c r="I176" s="3">
        <v>0.45300000000000001</v>
      </c>
      <c r="J176" s="3">
        <v>0.90700000000000003</v>
      </c>
      <c r="K176" s="3">
        <v>1.347</v>
      </c>
    </row>
    <row r="177" spans="2:11" x14ac:dyDescent="0.25">
      <c r="B177" s="2" t="s">
        <v>6605</v>
      </c>
      <c r="C177" s="2" t="s">
        <v>6606</v>
      </c>
      <c r="D177" s="3">
        <v>12.9</v>
      </c>
      <c r="E177" s="3">
        <v>76.400000000000006</v>
      </c>
      <c r="F177" s="3">
        <v>7.4</v>
      </c>
      <c r="H177" s="3">
        <v>837</v>
      </c>
      <c r="I177" s="3">
        <v>0.33700000000000002</v>
      </c>
      <c r="J177" s="3">
        <v>0.54400000000000004</v>
      </c>
      <c r="K177" s="3">
        <v>0.91</v>
      </c>
    </row>
    <row r="178" spans="2:11" x14ac:dyDescent="0.25">
      <c r="B178" s="2" t="s">
        <v>6607</v>
      </c>
      <c r="C178" s="2" t="s">
        <v>6608</v>
      </c>
      <c r="D178" s="3">
        <v>7.6</v>
      </c>
      <c r="E178" s="3">
        <v>71.73</v>
      </c>
      <c r="F178" s="3">
        <v>3.4</v>
      </c>
      <c r="G178" s="3">
        <v>10.32</v>
      </c>
      <c r="H178" s="3">
        <v>687</v>
      </c>
      <c r="I178" s="3">
        <v>2.9119999999999999</v>
      </c>
      <c r="J178" s="3">
        <v>5.4850000000000003</v>
      </c>
      <c r="K178" s="3">
        <v>4.867</v>
      </c>
    </row>
    <row r="179" spans="2:11" x14ac:dyDescent="0.25">
      <c r="B179" s="2" t="s">
        <v>6609</v>
      </c>
      <c r="C179" s="2" t="s">
        <v>6610</v>
      </c>
      <c r="D179" s="3">
        <v>13.5</v>
      </c>
      <c r="E179" s="3">
        <v>72.3</v>
      </c>
      <c r="H179" s="3">
        <v>253</v>
      </c>
      <c r="I179" s="3">
        <v>1.3759999999999999</v>
      </c>
      <c r="J179" s="3">
        <v>2.7549999999999999</v>
      </c>
      <c r="K179" s="3">
        <v>2.31</v>
      </c>
    </row>
    <row r="180" spans="2:11" x14ac:dyDescent="0.25">
      <c r="B180" s="2" t="s">
        <v>6611</v>
      </c>
      <c r="C180" s="2" t="s">
        <v>6612</v>
      </c>
      <c r="D180" s="3">
        <v>9.1999999999999993</v>
      </c>
      <c r="E180" s="3">
        <v>60.8</v>
      </c>
      <c r="F180" s="3">
        <v>3.6</v>
      </c>
      <c r="H180" s="3">
        <v>1044</v>
      </c>
      <c r="I180" s="3">
        <v>5.9870000000000001</v>
      </c>
      <c r="J180" s="3">
        <v>12.236000000000001</v>
      </c>
      <c r="K180" s="3">
        <v>2.863</v>
      </c>
    </row>
    <row r="181" spans="2:11" x14ac:dyDescent="0.25">
      <c r="B181" s="2" t="s">
        <v>6613</v>
      </c>
      <c r="C181" s="2" t="s">
        <v>6614</v>
      </c>
      <c r="D181" s="3">
        <v>9.6</v>
      </c>
      <c r="E181" s="3">
        <v>80.400000000000006</v>
      </c>
      <c r="F181" s="3">
        <v>22.9</v>
      </c>
      <c r="G181" s="3">
        <v>1.01</v>
      </c>
      <c r="H181" s="3">
        <v>557</v>
      </c>
      <c r="I181" s="3">
        <v>0.108</v>
      </c>
      <c r="J181" s="3">
        <v>0.152</v>
      </c>
      <c r="K181" s="3">
        <v>0.39700000000000002</v>
      </c>
    </row>
    <row r="182" spans="2:11" x14ac:dyDescent="0.25">
      <c r="B182" s="2" t="s">
        <v>6615</v>
      </c>
      <c r="C182" s="2" t="s">
        <v>6616</v>
      </c>
      <c r="D182" s="3">
        <v>9</v>
      </c>
      <c r="E182" s="3">
        <v>73.8</v>
      </c>
      <c r="F182" s="3">
        <v>20.9</v>
      </c>
      <c r="H182" s="3">
        <v>887</v>
      </c>
      <c r="I182" s="3">
        <v>1.2869999999999999</v>
      </c>
      <c r="J182" s="3">
        <v>3.27</v>
      </c>
      <c r="K182" s="3">
        <v>3.6080000000000001</v>
      </c>
    </row>
    <row r="183" spans="2:11" x14ac:dyDescent="0.25">
      <c r="B183" s="2" t="s">
        <v>6617</v>
      </c>
      <c r="C183" s="2" t="s">
        <v>6618</v>
      </c>
      <c r="D183" s="3">
        <v>9.4600000000000009</v>
      </c>
      <c r="E183" s="3">
        <v>74.05</v>
      </c>
      <c r="F183" s="3">
        <v>2.8</v>
      </c>
      <c r="G183" s="3">
        <v>1.29</v>
      </c>
      <c r="H183" s="3">
        <v>941</v>
      </c>
      <c r="I183" s="3">
        <v>1.653</v>
      </c>
      <c r="J183" s="3">
        <v>1.986</v>
      </c>
      <c r="K183" s="3">
        <v>4.835</v>
      </c>
    </row>
    <row r="184" spans="2:11" x14ac:dyDescent="0.25">
      <c r="B184" s="2" t="s">
        <v>6619</v>
      </c>
      <c r="C184" s="2" t="s">
        <v>6620</v>
      </c>
      <c r="D184" s="3">
        <v>6.64</v>
      </c>
      <c r="E184" s="3">
        <v>61.3</v>
      </c>
      <c r="F184" s="3">
        <v>2.2999999999999998</v>
      </c>
      <c r="G184" s="3">
        <v>8.18</v>
      </c>
      <c r="H184" s="3">
        <v>726</v>
      </c>
      <c r="I184" s="3">
        <v>5.5620000000000003</v>
      </c>
      <c r="J184" s="3">
        <v>6.5529999999999999</v>
      </c>
      <c r="K184" s="3">
        <v>13.137</v>
      </c>
    </row>
    <row r="185" spans="2:11" x14ac:dyDescent="0.25">
      <c r="B185" s="2" t="s">
        <v>6621</v>
      </c>
      <c r="C185" s="2" t="s">
        <v>6622</v>
      </c>
      <c r="D185" s="3">
        <v>9.3000000000000007</v>
      </c>
      <c r="E185" s="3">
        <v>61.7</v>
      </c>
      <c r="F185" s="3">
        <v>1.9</v>
      </c>
      <c r="G185" s="3">
        <v>3.18</v>
      </c>
      <c r="H185" s="3">
        <v>978</v>
      </c>
      <c r="I185" s="3">
        <v>6.125</v>
      </c>
      <c r="J185" s="3">
        <v>11.254</v>
      </c>
      <c r="K185" s="3">
        <v>2.5670000000000002</v>
      </c>
    </row>
    <row r="186" spans="2:11" x14ac:dyDescent="0.25">
      <c r="B186" s="2" t="s">
        <v>6623</v>
      </c>
      <c r="C186" s="2" t="s">
        <v>6624</v>
      </c>
      <c r="D186" s="3">
        <v>11.47</v>
      </c>
      <c r="E186" s="3">
        <v>58.38</v>
      </c>
      <c r="F186" s="3">
        <v>2.2999999999999998</v>
      </c>
      <c r="G186" s="3">
        <v>10.5</v>
      </c>
      <c r="H186" s="3">
        <v>801</v>
      </c>
      <c r="I186" s="3">
        <v>4.8029999999999999</v>
      </c>
      <c r="J186" s="3">
        <v>13.468</v>
      </c>
      <c r="K186" s="3">
        <v>4.5510000000000002</v>
      </c>
    </row>
    <row r="187" spans="2:11" x14ac:dyDescent="0.25">
      <c r="B187" s="2" t="s">
        <v>6625</v>
      </c>
      <c r="C187" s="2" t="s">
        <v>6626</v>
      </c>
      <c r="D187" s="3">
        <v>7.3</v>
      </c>
      <c r="E187" s="3">
        <v>70.73</v>
      </c>
      <c r="F187" s="3">
        <v>6.9</v>
      </c>
      <c r="G187" s="3">
        <v>15.48</v>
      </c>
      <c r="H187" s="3">
        <v>699</v>
      </c>
      <c r="I187" s="3">
        <v>3.21</v>
      </c>
      <c r="J187" s="3">
        <v>3.47</v>
      </c>
      <c r="K187" s="3">
        <v>8.4740000000000002</v>
      </c>
    </row>
    <row r="188" spans="2:11" x14ac:dyDescent="0.25">
      <c r="B188" s="2" t="s">
        <v>6627</v>
      </c>
      <c r="C188" s="2" t="s">
        <v>6628</v>
      </c>
      <c r="D188" s="3">
        <v>9.8000000000000007</v>
      </c>
      <c r="E188" s="3">
        <v>58.2</v>
      </c>
      <c r="F188" s="3">
        <v>3.1</v>
      </c>
      <c r="H188" s="3">
        <v>839</v>
      </c>
      <c r="I188" s="3">
        <v>4.1289999999999996</v>
      </c>
      <c r="J188" s="3">
        <v>10.351000000000001</v>
      </c>
      <c r="K188" s="3">
        <v>9.1660000000000004</v>
      </c>
    </row>
    <row r="189" spans="2:11" x14ac:dyDescent="0.25">
      <c r="B189" s="2" t="s">
        <v>6629</v>
      </c>
      <c r="C189" s="2" t="s">
        <v>6630</v>
      </c>
      <c r="D189" s="3">
        <v>13.5</v>
      </c>
      <c r="E189" s="3">
        <v>53.8</v>
      </c>
      <c r="F189" s="3">
        <v>4.4000000000000004</v>
      </c>
      <c r="H189" s="3">
        <v>807</v>
      </c>
      <c r="I189" s="3">
        <v>4.6020000000000003</v>
      </c>
      <c r="J189" s="3">
        <v>11.766</v>
      </c>
      <c r="K189" s="3">
        <v>8.8620000000000001</v>
      </c>
    </row>
    <row r="190" spans="2:11" x14ac:dyDescent="0.25">
      <c r="B190" s="2" t="s">
        <v>6631</v>
      </c>
      <c r="C190" s="2" t="s">
        <v>6632</v>
      </c>
      <c r="D190" s="3">
        <v>10.58</v>
      </c>
      <c r="E190" s="3">
        <v>69.55</v>
      </c>
      <c r="F190" s="3">
        <v>10.3</v>
      </c>
      <c r="G190" s="3">
        <v>1.19</v>
      </c>
      <c r="H190" s="3">
        <v>704</v>
      </c>
      <c r="I190" s="3">
        <v>2.0630000000000002</v>
      </c>
      <c r="J190" s="3">
        <v>3.2480000000000002</v>
      </c>
      <c r="K190" s="3">
        <v>6.9450000000000003</v>
      </c>
    </row>
    <row r="191" spans="2:11" x14ac:dyDescent="0.25">
      <c r="B191" s="2" t="s">
        <v>6633</v>
      </c>
      <c r="C191" s="2" t="s">
        <v>6634</v>
      </c>
      <c r="D191" s="3">
        <v>9.3000000000000007</v>
      </c>
      <c r="E191" s="3">
        <v>80.900000000000006</v>
      </c>
      <c r="F191" s="3">
        <v>2.6</v>
      </c>
      <c r="G191" s="3">
        <v>0.33</v>
      </c>
      <c r="H191" s="3">
        <v>16</v>
      </c>
      <c r="I191" s="3">
        <v>0.27100000000000002</v>
      </c>
      <c r="J191" s="3">
        <v>0.152</v>
      </c>
      <c r="K191" s="3">
        <v>0.72199999999999998</v>
      </c>
    </row>
    <row r="192" spans="2:11" x14ac:dyDescent="0.25">
      <c r="B192" s="2" t="s">
        <v>6635</v>
      </c>
      <c r="C192" s="2" t="s">
        <v>6636</v>
      </c>
      <c r="D192" s="3">
        <v>9</v>
      </c>
      <c r="E192" s="3">
        <v>22.8</v>
      </c>
      <c r="F192" s="3">
        <v>0.8</v>
      </c>
      <c r="G192" s="3">
        <v>0.25</v>
      </c>
      <c r="H192" s="3">
        <v>483</v>
      </c>
      <c r="I192" s="3">
        <v>5.5990000000000002</v>
      </c>
      <c r="J192" s="3">
        <v>11.128</v>
      </c>
      <c r="K192" s="3">
        <v>7.38</v>
      </c>
    </row>
    <row r="193" spans="2:11" x14ac:dyDescent="0.25">
      <c r="B193" s="2" t="s">
        <v>6637</v>
      </c>
      <c r="C193" s="2" t="s">
        <v>6638</v>
      </c>
      <c r="D193" s="3">
        <v>8.1999999999999993</v>
      </c>
      <c r="E193" s="3">
        <v>45.8</v>
      </c>
      <c r="F193" s="3">
        <v>2.6</v>
      </c>
      <c r="G193" s="3">
        <v>11.26</v>
      </c>
      <c r="H193" s="3">
        <v>467</v>
      </c>
      <c r="I193" s="3">
        <v>11.659000000000001</v>
      </c>
      <c r="J193" s="3">
        <v>5.5250000000000004</v>
      </c>
      <c r="K193" s="3">
        <v>1.0940000000000001</v>
      </c>
    </row>
    <row r="194" spans="2:11" x14ac:dyDescent="0.25">
      <c r="B194" s="2" t="s">
        <v>6639</v>
      </c>
      <c r="C194" s="2" t="s">
        <v>6640</v>
      </c>
      <c r="D194" s="3">
        <v>7.4</v>
      </c>
      <c r="E194" s="3">
        <v>37.1</v>
      </c>
      <c r="F194" s="3">
        <v>2.5</v>
      </c>
      <c r="H194" s="3">
        <v>274</v>
      </c>
      <c r="I194" s="3">
        <v>4.9939999999999998</v>
      </c>
      <c r="J194" s="3">
        <v>2.3929999999999998</v>
      </c>
      <c r="K194" s="3">
        <v>0.628</v>
      </c>
    </row>
    <row r="195" spans="2:11" x14ac:dyDescent="0.25">
      <c r="B195" s="2" t="s">
        <v>6641</v>
      </c>
      <c r="C195" s="2" t="s">
        <v>6642</v>
      </c>
      <c r="D195" s="3">
        <v>9.1999999999999993</v>
      </c>
      <c r="E195" s="3">
        <v>47</v>
      </c>
      <c r="F195" s="3">
        <v>2.6</v>
      </c>
      <c r="G195" s="3">
        <v>11.35</v>
      </c>
      <c r="H195" s="3">
        <v>361</v>
      </c>
      <c r="I195" s="3">
        <v>10.628</v>
      </c>
      <c r="J195" s="3">
        <v>6.5090000000000003</v>
      </c>
      <c r="K195" s="3">
        <v>2.3839999999999999</v>
      </c>
    </row>
    <row r="196" spans="2:11" x14ac:dyDescent="0.25">
      <c r="B196" s="2" t="s">
        <v>6643</v>
      </c>
      <c r="C196" s="2" t="s">
        <v>6644</v>
      </c>
      <c r="D196" s="3">
        <v>11.9</v>
      </c>
      <c r="E196" s="3">
        <v>73.5</v>
      </c>
      <c r="F196" s="3">
        <v>5.0999999999999996</v>
      </c>
      <c r="H196" s="3">
        <v>698</v>
      </c>
      <c r="I196" s="3">
        <v>1.51</v>
      </c>
      <c r="J196" s="3">
        <v>3.0590000000000002</v>
      </c>
      <c r="K196" s="3">
        <v>1.2729999999999999</v>
      </c>
    </row>
    <row r="197" spans="2:11" x14ac:dyDescent="0.25">
      <c r="B197" s="2" t="s">
        <v>6645</v>
      </c>
      <c r="C197" s="2" t="s">
        <v>6646</v>
      </c>
      <c r="D197" s="3">
        <v>10.8</v>
      </c>
      <c r="E197" s="3">
        <v>63.5</v>
      </c>
      <c r="F197" s="3">
        <v>5</v>
      </c>
      <c r="G197" s="3">
        <v>4.41</v>
      </c>
      <c r="H197" s="3">
        <v>1089</v>
      </c>
      <c r="I197" s="3">
        <v>5.2469999999999999</v>
      </c>
      <c r="J197" s="3">
        <v>9.4979999999999993</v>
      </c>
      <c r="K197" s="3">
        <v>2.3679999999999999</v>
      </c>
    </row>
    <row r="198" spans="2:11" x14ac:dyDescent="0.25">
      <c r="B198" s="2" t="s">
        <v>6647</v>
      </c>
      <c r="C198" s="2" t="s">
        <v>6648</v>
      </c>
      <c r="D198" s="3">
        <v>7</v>
      </c>
      <c r="E198" s="3">
        <v>44.6</v>
      </c>
      <c r="F198" s="3">
        <v>1.3</v>
      </c>
      <c r="G198" s="3">
        <v>19.78</v>
      </c>
      <c r="H198" s="3">
        <v>414</v>
      </c>
      <c r="I198" s="3">
        <v>5.681</v>
      </c>
      <c r="J198" s="3">
        <v>12.515000000000001</v>
      </c>
      <c r="K198" s="3">
        <v>2.9329999999999998</v>
      </c>
    </row>
    <row r="199" spans="2:11" x14ac:dyDescent="0.25">
      <c r="B199" s="2" t="s">
        <v>6649</v>
      </c>
      <c r="C199" s="2" t="s">
        <v>6650</v>
      </c>
      <c r="D199" s="3">
        <v>8</v>
      </c>
      <c r="E199" s="3">
        <v>37.200000000000003</v>
      </c>
      <c r="F199" s="3">
        <v>1</v>
      </c>
      <c r="G199" s="3">
        <v>6.95</v>
      </c>
      <c r="H199" s="3">
        <v>417</v>
      </c>
      <c r="I199" s="3">
        <v>6.7939999999999996</v>
      </c>
      <c r="J199" s="3">
        <v>11.313000000000001</v>
      </c>
      <c r="K199" s="3">
        <v>2.5750000000000002</v>
      </c>
    </row>
    <row r="200" spans="2:11" x14ac:dyDescent="0.25">
      <c r="B200" s="2" t="s">
        <v>6651</v>
      </c>
      <c r="C200" s="2" t="s">
        <v>6652</v>
      </c>
      <c r="D200" s="3">
        <v>5.4</v>
      </c>
      <c r="E200" s="3">
        <v>47.8</v>
      </c>
      <c r="F200" s="3">
        <v>1.9</v>
      </c>
      <c r="G200" s="3">
        <v>27.53</v>
      </c>
      <c r="H200" s="3">
        <v>445</v>
      </c>
      <c r="I200" s="3">
        <v>4.8600000000000003</v>
      </c>
      <c r="J200" s="3">
        <v>10.026</v>
      </c>
      <c r="K200" s="3">
        <v>2.3639999999999999</v>
      </c>
    </row>
    <row r="201" spans="2:11" x14ac:dyDescent="0.25">
      <c r="B201" s="2" t="s">
        <v>6653</v>
      </c>
      <c r="C201" s="2" t="s">
        <v>6654</v>
      </c>
      <c r="D201" s="3">
        <v>7.1</v>
      </c>
      <c r="E201" s="3">
        <v>45.7</v>
      </c>
      <c r="F201" s="3">
        <v>2</v>
      </c>
      <c r="G201" s="3">
        <v>25.87</v>
      </c>
      <c r="H201" s="3">
        <v>298</v>
      </c>
      <c r="I201" s="3">
        <v>5.8209999999999997</v>
      </c>
      <c r="J201" s="3">
        <v>13.685</v>
      </c>
      <c r="K201" s="3">
        <v>4.2809999999999997</v>
      </c>
    </row>
    <row r="202" spans="2:11" x14ac:dyDescent="0.25">
      <c r="B202" s="2" t="s">
        <v>6655</v>
      </c>
      <c r="C202" s="2" t="s">
        <v>6656</v>
      </c>
      <c r="D202" s="3">
        <v>5.31</v>
      </c>
      <c r="E202" s="3">
        <v>47.06</v>
      </c>
      <c r="F202" s="3">
        <v>1.7</v>
      </c>
      <c r="G202" s="3">
        <v>18.149999999999999</v>
      </c>
      <c r="H202" s="3">
        <v>477</v>
      </c>
      <c r="I202" s="3">
        <v>11.105</v>
      </c>
      <c r="J202" s="3">
        <v>8.5440000000000005</v>
      </c>
      <c r="K202" s="3">
        <v>3.915</v>
      </c>
    </row>
    <row r="203" spans="2:11" x14ac:dyDescent="0.25">
      <c r="B203" s="2" t="s">
        <v>6657</v>
      </c>
      <c r="C203" s="2" t="s">
        <v>6658</v>
      </c>
      <c r="D203" s="3">
        <v>4.93</v>
      </c>
      <c r="E203" s="3">
        <v>51.33</v>
      </c>
      <c r="F203" s="3">
        <v>1.9</v>
      </c>
      <c r="G203" s="3">
        <v>26.65</v>
      </c>
      <c r="H203" s="3">
        <v>326</v>
      </c>
      <c r="I203" s="3">
        <v>13.47</v>
      </c>
      <c r="J203" s="3">
        <v>8.6180000000000003</v>
      </c>
      <c r="K203" s="3">
        <v>1.96</v>
      </c>
    </row>
    <row r="204" spans="2:11" x14ac:dyDescent="0.25">
      <c r="B204" s="2" t="s">
        <v>6659</v>
      </c>
      <c r="C204" s="2" t="s">
        <v>6660</v>
      </c>
      <c r="D204" s="3">
        <v>5.2</v>
      </c>
      <c r="E204" s="3">
        <v>50.8</v>
      </c>
      <c r="F204" s="3">
        <v>1.5</v>
      </c>
      <c r="H204" s="3">
        <v>402</v>
      </c>
      <c r="I204" s="3">
        <v>5.9260000000000002</v>
      </c>
      <c r="J204" s="3">
        <v>12.696999999999999</v>
      </c>
      <c r="K204" s="3">
        <v>2.9089999999999998</v>
      </c>
    </row>
    <row r="205" spans="2:11" x14ac:dyDescent="0.25">
      <c r="B205" s="2" t="s">
        <v>6661</v>
      </c>
      <c r="C205" s="2" t="s">
        <v>6662</v>
      </c>
      <c r="D205" s="3">
        <v>4.5</v>
      </c>
      <c r="E205" s="3">
        <v>57.4</v>
      </c>
      <c r="F205" s="3">
        <v>2.2000000000000002</v>
      </c>
      <c r="G205" s="3">
        <v>31.92</v>
      </c>
      <c r="H205" s="3">
        <v>215</v>
      </c>
      <c r="I205" s="3">
        <v>5.1319999999999997</v>
      </c>
      <c r="J205" s="3">
        <v>11.278</v>
      </c>
      <c r="K205" s="3">
        <v>2.4769999999999999</v>
      </c>
    </row>
    <row r="206" spans="2:11" x14ac:dyDescent="0.25">
      <c r="B206" s="2" t="s">
        <v>6663</v>
      </c>
      <c r="C206" s="2" t="s">
        <v>6664</v>
      </c>
      <c r="D206" s="3">
        <v>3.1</v>
      </c>
      <c r="E206" s="3">
        <v>59.5</v>
      </c>
      <c r="F206" s="3">
        <v>1.2</v>
      </c>
      <c r="G206" s="3">
        <v>35.11</v>
      </c>
      <c r="H206" s="3">
        <v>345</v>
      </c>
      <c r="I206" s="3">
        <v>4.6669999999999998</v>
      </c>
      <c r="J206" s="3">
        <v>10.446</v>
      </c>
      <c r="K206" s="3">
        <v>2.2850000000000001</v>
      </c>
    </row>
    <row r="207" spans="2:11" x14ac:dyDescent="0.25">
      <c r="B207" s="2" t="s">
        <v>6665</v>
      </c>
      <c r="C207" s="2" t="s">
        <v>6666</v>
      </c>
      <c r="D207" s="3">
        <v>6.4</v>
      </c>
      <c r="E207" s="3">
        <v>30</v>
      </c>
      <c r="F207" s="3">
        <v>0.8</v>
      </c>
      <c r="G207" s="3">
        <v>14.55</v>
      </c>
      <c r="H207" s="3">
        <v>309</v>
      </c>
      <c r="I207" s="3">
        <v>5.43</v>
      </c>
      <c r="J207" s="3">
        <v>12.08</v>
      </c>
      <c r="K207" s="3">
        <v>3.0819999999999999</v>
      </c>
    </row>
    <row r="208" spans="2:11" x14ac:dyDescent="0.25">
      <c r="B208" s="2" t="s">
        <v>6667</v>
      </c>
      <c r="C208" s="2" t="s">
        <v>6668</v>
      </c>
      <c r="D208" s="3">
        <v>6.14</v>
      </c>
      <c r="E208" s="3">
        <v>47.93</v>
      </c>
      <c r="F208" s="3">
        <v>2.1</v>
      </c>
      <c r="G208" s="3">
        <v>22.75</v>
      </c>
      <c r="H208" s="3">
        <v>316</v>
      </c>
      <c r="I208" s="3">
        <v>9.4529999999999994</v>
      </c>
      <c r="J208" s="3">
        <v>7.2480000000000002</v>
      </c>
      <c r="K208" s="3">
        <v>3.5880000000000001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G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G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G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G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G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G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H259" s="3"/>
      <c r="I259" s="3"/>
      <c r="J259" s="3"/>
      <c r="K259" s="3"/>
    </row>
    <row r="260" spans="2:11" x14ac:dyDescent="0.25">
      <c r="B260" s="2"/>
      <c r="C260" s="2"/>
      <c r="D260" s="3"/>
      <c r="E260" s="3"/>
      <c r="F260" s="3"/>
      <c r="G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G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G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G264" s="3"/>
      <c r="H264" s="3"/>
      <c r="I264" s="3"/>
      <c r="J264" s="3"/>
      <c r="K264" s="3"/>
    </row>
    <row r="265" spans="2:11" x14ac:dyDescent="0.25">
      <c r="B265" s="2"/>
      <c r="C265" s="2"/>
      <c r="D265" s="3"/>
      <c r="E265" s="3"/>
      <c r="F265" s="3"/>
      <c r="G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G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G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G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H271" s="3"/>
      <c r="I271" s="3"/>
      <c r="J271" s="3"/>
      <c r="K271" s="3"/>
    </row>
    <row r="272" spans="2:11" x14ac:dyDescent="0.25">
      <c r="B272" s="2"/>
      <c r="C272" s="2"/>
      <c r="D272" s="3"/>
      <c r="E272" s="3"/>
      <c r="F272" s="3"/>
      <c r="H272" s="3"/>
      <c r="I272" s="3"/>
      <c r="J272" s="3"/>
      <c r="K272" s="3"/>
    </row>
    <row r="273" spans="2:11" x14ac:dyDescent="0.25">
      <c r="B273" s="2"/>
      <c r="C273" s="2"/>
      <c r="D273" s="3"/>
      <c r="E273" s="3"/>
      <c r="F273" s="3"/>
      <c r="G273" s="3"/>
      <c r="H273" s="3"/>
      <c r="I273" s="3"/>
      <c r="J273" s="3"/>
      <c r="K273" s="3"/>
    </row>
    <row r="274" spans="2:11" x14ac:dyDescent="0.25">
      <c r="B274" s="2"/>
      <c r="C274" s="2"/>
      <c r="D274" s="3"/>
      <c r="E274" s="3"/>
      <c r="F274" s="3"/>
      <c r="G274" s="3"/>
      <c r="H274" s="3"/>
      <c r="I274" s="3"/>
      <c r="J274" s="3"/>
      <c r="K274" s="3"/>
    </row>
    <row r="275" spans="2:11" x14ac:dyDescent="0.25">
      <c r="B275" s="2"/>
      <c r="C275" s="2"/>
      <c r="D275" s="3"/>
      <c r="E275" s="3"/>
      <c r="F275" s="3"/>
      <c r="G275" s="3"/>
      <c r="H275" s="3"/>
      <c r="I275" s="3"/>
      <c r="J275" s="3"/>
      <c r="K275" s="3"/>
    </row>
    <row r="276" spans="2:11" x14ac:dyDescent="0.25">
      <c r="B276" s="2"/>
      <c r="C276" s="2"/>
      <c r="D276" s="3"/>
      <c r="E276" s="3"/>
      <c r="F276" s="3"/>
      <c r="G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F277" s="3"/>
      <c r="G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H278" s="3"/>
      <c r="I278" s="3"/>
      <c r="J278" s="3"/>
      <c r="K278" s="3"/>
    </row>
    <row r="279" spans="2:11" x14ac:dyDescent="0.25">
      <c r="B279" s="2"/>
      <c r="C279" s="2"/>
      <c r="D279" s="3"/>
      <c r="E279" s="3"/>
      <c r="F279" s="3"/>
      <c r="G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F280" s="3"/>
      <c r="G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F281" s="3"/>
      <c r="G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F282" s="3"/>
      <c r="G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F283" s="3"/>
      <c r="G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F284" s="3"/>
      <c r="G284" s="3"/>
      <c r="H284" s="3"/>
      <c r="I284" s="3"/>
      <c r="J284" s="3"/>
      <c r="K284" s="3"/>
    </row>
    <row r="285" spans="2:11" x14ac:dyDescent="0.25">
      <c r="B285" s="2"/>
      <c r="C285" s="2"/>
      <c r="D285" s="3"/>
      <c r="E285" s="3"/>
      <c r="F285" s="3"/>
      <c r="G285" s="3"/>
      <c r="H285" s="3"/>
      <c r="I285" s="3"/>
      <c r="J285" s="3"/>
      <c r="K285" s="3"/>
    </row>
    <row r="286" spans="2:11" x14ac:dyDescent="0.25">
      <c r="B286" s="2"/>
      <c r="C286" s="2"/>
      <c r="D286" s="3"/>
      <c r="E286" s="3"/>
      <c r="F286" s="3"/>
      <c r="G286" s="3"/>
      <c r="H286" s="3"/>
      <c r="I286" s="3"/>
      <c r="J286" s="3"/>
      <c r="K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F288" s="3"/>
      <c r="G288" s="3"/>
      <c r="H288" s="3"/>
      <c r="I288" s="3"/>
      <c r="J288" s="3"/>
      <c r="K288" s="3"/>
    </row>
    <row r="289" spans="2:11" x14ac:dyDescent="0.25">
      <c r="B289" s="2"/>
      <c r="C289" s="2"/>
      <c r="D289" s="3"/>
      <c r="E289" s="3"/>
      <c r="F289" s="3"/>
      <c r="G289" s="3"/>
      <c r="H289" s="3"/>
      <c r="I289" s="3"/>
      <c r="J289" s="3"/>
      <c r="K289" s="3"/>
    </row>
    <row r="290" spans="2:11" x14ac:dyDescent="0.25">
      <c r="B290" s="2"/>
      <c r="C290" s="2"/>
      <c r="D290" s="3"/>
      <c r="E290" s="3"/>
      <c r="F290" s="3"/>
      <c r="G290" s="3"/>
      <c r="H290" s="3"/>
      <c r="I290" s="3"/>
      <c r="J290" s="3"/>
      <c r="K290" s="3"/>
    </row>
    <row r="291" spans="2:11" x14ac:dyDescent="0.25">
      <c r="B291" s="2"/>
      <c r="C291" s="2"/>
      <c r="D291" s="3"/>
      <c r="E291" s="3"/>
      <c r="F291" s="3"/>
      <c r="H291" s="3"/>
      <c r="I291" s="3"/>
      <c r="J291" s="3"/>
      <c r="K291" s="3"/>
    </row>
    <row r="292" spans="2:11" x14ac:dyDescent="0.25">
      <c r="B292" s="2"/>
      <c r="C292" s="2"/>
      <c r="D292" s="3"/>
      <c r="E292" s="3"/>
      <c r="F292" s="3"/>
      <c r="G292" s="3"/>
      <c r="H292" s="3"/>
      <c r="I292" s="3"/>
      <c r="J292" s="3"/>
      <c r="K292" s="3"/>
    </row>
    <row r="293" spans="2:11" x14ac:dyDescent="0.25">
      <c r="B293" s="2"/>
      <c r="C293" s="2"/>
      <c r="D293" s="3"/>
      <c r="E293" s="3"/>
      <c r="H293" s="3"/>
      <c r="I293" s="3"/>
      <c r="J293" s="3"/>
      <c r="K293" s="3"/>
    </row>
    <row r="294" spans="2:11" x14ac:dyDescent="0.25">
      <c r="B294" s="2"/>
      <c r="C294" s="2"/>
      <c r="D294" s="3"/>
      <c r="E294" s="3"/>
      <c r="H294" s="3"/>
      <c r="I294" s="3"/>
      <c r="J294" s="3"/>
      <c r="K294" s="3"/>
    </row>
    <row r="295" spans="2:11" x14ac:dyDescent="0.25">
      <c r="B295" s="2"/>
      <c r="C295" s="2"/>
      <c r="D295" s="3"/>
      <c r="E295" s="3"/>
      <c r="F295" s="3"/>
      <c r="G295" s="3"/>
      <c r="H295" s="3"/>
      <c r="I295" s="3"/>
      <c r="J295" s="3"/>
      <c r="K295" s="3"/>
    </row>
    <row r="296" spans="2:11" x14ac:dyDescent="0.25">
      <c r="B296" s="2"/>
      <c r="C296" s="2"/>
      <c r="D296" s="3"/>
      <c r="E296" s="3"/>
      <c r="F296" s="3"/>
      <c r="G296" s="3"/>
      <c r="H296" s="3"/>
    </row>
    <row r="297" spans="2:11" x14ac:dyDescent="0.25">
      <c r="B297" s="2"/>
      <c r="C297" s="2"/>
      <c r="D297" s="3"/>
      <c r="E297" s="3"/>
      <c r="F297" s="3"/>
      <c r="G297" s="3"/>
      <c r="H297" s="3"/>
      <c r="I297" s="3"/>
      <c r="J297" s="3"/>
      <c r="K297" s="3"/>
    </row>
    <row r="298" spans="2:11" x14ac:dyDescent="0.25">
      <c r="B298" s="2"/>
      <c r="C298" s="2"/>
      <c r="D298" s="3"/>
      <c r="E298" s="3"/>
      <c r="F298" s="3"/>
      <c r="G298" s="3"/>
      <c r="H298" s="3"/>
      <c r="I298" s="3"/>
      <c r="J298" s="3"/>
      <c r="K298" s="3"/>
    </row>
    <row r="299" spans="2:11" x14ac:dyDescent="0.25">
      <c r="B299" s="2"/>
      <c r="C299" s="2"/>
      <c r="D299" s="3"/>
      <c r="E299" s="3"/>
      <c r="F299" s="3"/>
      <c r="G299" s="3"/>
      <c r="H299" s="3"/>
      <c r="I299" s="3"/>
      <c r="J299" s="3"/>
      <c r="K299" s="3"/>
    </row>
    <row r="300" spans="2:11" x14ac:dyDescent="0.25">
      <c r="B300" s="2"/>
      <c r="C300" s="2"/>
      <c r="D300" s="3"/>
      <c r="E300" s="3"/>
      <c r="F300" s="3"/>
      <c r="G300" s="3"/>
      <c r="H300" s="3"/>
      <c r="I300" s="3"/>
      <c r="J300" s="3"/>
      <c r="K300" s="3"/>
    </row>
    <row r="301" spans="2:11" x14ac:dyDescent="0.25">
      <c r="B301" s="2"/>
      <c r="C301" s="2"/>
      <c r="D301" s="3"/>
      <c r="E301" s="3"/>
      <c r="H301" s="3"/>
      <c r="I301" s="3"/>
      <c r="J301" s="3"/>
      <c r="K301" s="3"/>
    </row>
    <row r="302" spans="2:11" x14ac:dyDescent="0.25">
      <c r="B302" s="2"/>
      <c r="C302" s="2"/>
      <c r="D302" s="3"/>
      <c r="E302" s="3"/>
      <c r="F302" s="3"/>
      <c r="H302" s="3"/>
      <c r="I302" s="3"/>
      <c r="J302" s="3"/>
      <c r="K302" s="3"/>
    </row>
    <row r="303" spans="2:11" x14ac:dyDescent="0.25">
      <c r="B303" s="2"/>
      <c r="C303" s="2"/>
      <c r="D303" s="3"/>
      <c r="E303" s="3"/>
      <c r="F303" s="3"/>
      <c r="G303" s="3"/>
      <c r="H303" s="3"/>
      <c r="I303" s="3"/>
      <c r="J303" s="3"/>
      <c r="K303" s="3"/>
    </row>
    <row r="304" spans="2:11" x14ac:dyDescent="0.25">
      <c r="B304" s="2"/>
      <c r="C304" s="2"/>
      <c r="D304" s="3"/>
      <c r="E304" s="3"/>
      <c r="F304" s="3"/>
      <c r="G304" s="3"/>
      <c r="H304" s="3"/>
      <c r="I304" s="3"/>
      <c r="J304" s="3"/>
      <c r="K304" s="3"/>
    </row>
    <row r="305" spans="2:11" x14ac:dyDescent="0.25">
      <c r="B305" s="2"/>
      <c r="C305" s="2"/>
      <c r="D305" s="3"/>
      <c r="E305" s="3"/>
      <c r="F305" s="3"/>
      <c r="G305" s="3"/>
      <c r="H305" s="3"/>
      <c r="I305" s="3"/>
      <c r="J305" s="3"/>
      <c r="K305" s="3"/>
    </row>
    <row r="306" spans="2:11" x14ac:dyDescent="0.25">
      <c r="B306" s="2"/>
      <c r="C306" s="2"/>
      <c r="D306" s="3"/>
      <c r="E306" s="3"/>
      <c r="F306" s="3"/>
      <c r="G306" s="3"/>
      <c r="H306" s="3"/>
      <c r="I306" s="3"/>
      <c r="J306" s="3"/>
      <c r="K306" s="3"/>
    </row>
    <row r="307" spans="2:11" x14ac:dyDescent="0.25">
      <c r="B307" s="2"/>
      <c r="C307" s="2"/>
      <c r="D307" s="3"/>
      <c r="E307" s="3"/>
      <c r="F307" s="3"/>
      <c r="G307" s="3"/>
      <c r="H307" s="3"/>
      <c r="I307" s="3"/>
      <c r="J307" s="3"/>
      <c r="K307" s="3"/>
    </row>
    <row r="308" spans="2:11" x14ac:dyDescent="0.25">
      <c r="B308" s="2"/>
      <c r="C308" s="2"/>
      <c r="D308" s="3"/>
      <c r="E308" s="3"/>
      <c r="F308" s="3"/>
      <c r="G308" s="3"/>
      <c r="H308" s="3"/>
      <c r="I308" s="3"/>
      <c r="J308" s="3"/>
      <c r="K308" s="3"/>
    </row>
    <row r="309" spans="2:11" x14ac:dyDescent="0.25">
      <c r="B309" s="2"/>
      <c r="C309" s="2"/>
      <c r="D309" s="3"/>
      <c r="E309" s="3"/>
      <c r="F309" s="3"/>
      <c r="G309" s="3"/>
      <c r="H309" s="3"/>
      <c r="I309" s="3"/>
      <c r="J309" s="3"/>
      <c r="K309" s="3"/>
    </row>
    <row r="310" spans="2:11" x14ac:dyDescent="0.25">
      <c r="B310" s="2"/>
      <c r="C310" s="2"/>
      <c r="D310" s="3"/>
      <c r="E310" s="3"/>
      <c r="F310" s="3"/>
      <c r="G310" s="3"/>
      <c r="H310" s="3"/>
      <c r="I310" s="3"/>
      <c r="J310" s="3"/>
      <c r="K310" s="3"/>
    </row>
    <row r="311" spans="2:11" x14ac:dyDescent="0.25">
      <c r="B311" s="2"/>
      <c r="C311" s="2"/>
      <c r="D311" s="3"/>
      <c r="E311" s="3"/>
      <c r="H311" s="3"/>
      <c r="I311" s="3"/>
      <c r="J311" s="3"/>
      <c r="K311" s="3"/>
    </row>
    <row r="312" spans="2:11" x14ac:dyDescent="0.25">
      <c r="B312" s="2"/>
      <c r="C312" s="2"/>
      <c r="D312" s="3"/>
      <c r="E312" s="3"/>
      <c r="H312" s="3"/>
      <c r="I312" s="3"/>
      <c r="J312" s="3"/>
      <c r="K312" s="3"/>
    </row>
    <row r="313" spans="2:11" x14ac:dyDescent="0.25">
      <c r="B313" s="2"/>
      <c r="C313" s="2"/>
      <c r="D313" s="3"/>
      <c r="E313" s="3"/>
      <c r="F313" s="3"/>
      <c r="G313" s="3"/>
      <c r="H313" s="3"/>
      <c r="I313" s="3"/>
      <c r="J313" s="3"/>
      <c r="K313" s="3"/>
    </row>
    <row r="314" spans="2:11" x14ac:dyDescent="0.25">
      <c r="B314" s="2"/>
      <c r="C314" s="2"/>
      <c r="D314" s="3"/>
      <c r="E314" s="3"/>
      <c r="F314" s="3"/>
      <c r="G314" s="3"/>
      <c r="H314" s="3"/>
      <c r="I314" s="3"/>
      <c r="J314" s="3"/>
      <c r="K314" s="3"/>
    </row>
    <row r="315" spans="2:11" x14ac:dyDescent="0.25">
      <c r="B315" s="2"/>
      <c r="C315" s="2"/>
      <c r="D315" s="3"/>
      <c r="E315" s="3"/>
      <c r="F315" s="3"/>
      <c r="G315" s="3"/>
      <c r="H315" s="3"/>
      <c r="I315" s="3"/>
      <c r="J315" s="3"/>
      <c r="K315" s="3"/>
    </row>
    <row r="316" spans="2:11" x14ac:dyDescent="0.25">
      <c r="B316" s="2"/>
      <c r="C316" s="2"/>
      <c r="D316" s="3"/>
      <c r="E316" s="3"/>
      <c r="F316" s="3"/>
      <c r="G316" s="3"/>
      <c r="H316" s="3"/>
      <c r="I316" s="3"/>
      <c r="J316" s="3"/>
      <c r="K316" s="3"/>
    </row>
    <row r="317" spans="2:11" x14ac:dyDescent="0.25">
      <c r="B317" s="2"/>
      <c r="C317" s="2"/>
      <c r="D317" s="3"/>
      <c r="E317" s="3"/>
      <c r="F317" s="3"/>
      <c r="G317" s="3"/>
      <c r="H317" s="3"/>
      <c r="I317" s="3"/>
      <c r="J317" s="3"/>
      <c r="K317" s="3"/>
    </row>
    <row r="318" spans="2:11" x14ac:dyDescent="0.25">
      <c r="B318" s="2"/>
      <c r="C318" s="2"/>
      <c r="D318" s="3"/>
      <c r="E318" s="3"/>
      <c r="H318" s="3"/>
      <c r="I318" s="3"/>
      <c r="J318" s="3"/>
      <c r="K318" s="3"/>
    </row>
    <row r="319" spans="2:11" x14ac:dyDescent="0.25">
      <c r="B319" s="2"/>
      <c r="C319" s="2"/>
      <c r="D319" s="3"/>
      <c r="E319" s="3"/>
      <c r="F319" s="3"/>
      <c r="H319" s="3"/>
      <c r="I319" s="3"/>
      <c r="J319" s="3"/>
      <c r="K319" s="3"/>
    </row>
    <row r="320" spans="2:11" x14ac:dyDescent="0.25">
      <c r="B320" s="2"/>
      <c r="C320" s="2"/>
      <c r="D320" s="3"/>
      <c r="E320" s="3"/>
      <c r="F320" s="3"/>
      <c r="G320" s="3"/>
      <c r="H320" s="3"/>
      <c r="I320" s="3"/>
      <c r="J320" s="3"/>
      <c r="K320" s="3"/>
    </row>
    <row r="321" spans="2:11" x14ac:dyDescent="0.25">
      <c r="B321" s="2"/>
      <c r="C321" s="2"/>
      <c r="D321" s="3"/>
      <c r="E321" s="3"/>
      <c r="F321" s="3"/>
      <c r="H321" s="3"/>
      <c r="I321" s="3"/>
      <c r="J321" s="3"/>
      <c r="K321" s="3"/>
    </row>
    <row r="322" spans="2:11" x14ac:dyDescent="0.25">
      <c r="B322" s="2"/>
      <c r="C322" s="2"/>
      <c r="D322" s="3"/>
      <c r="E322" s="3"/>
      <c r="F322" s="3"/>
      <c r="G322" s="3"/>
      <c r="H322" s="3"/>
      <c r="I322" s="3"/>
      <c r="J322" s="3"/>
      <c r="K322" s="3"/>
    </row>
    <row r="323" spans="2:11" x14ac:dyDescent="0.25">
      <c r="B323" s="2"/>
      <c r="C323" s="2"/>
      <c r="D323" s="3"/>
      <c r="E323" s="3"/>
      <c r="F323" s="3"/>
      <c r="G323" s="3"/>
      <c r="H323" s="3"/>
      <c r="I323" s="3"/>
      <c r="J323" s="3"/>
      <c r="K323" s="3"/>
    </row>
    <row r="324" spans="2:11" x14ac:dyDescent="0.25">
      <c r="B324" s="2"/>
      <c r="C324" s="2"/>
      <c r="D324" s="3"/>
      <c r="E324" s="3"/>
      <c r="F324" s="3"/>
      <c r="G324" s="3"/>
      <c r="H324" s="3"/>
      <c r="I324" s="3"/>
      <c r="J324" s="3"/>
      <c r="K324" s="3"/>
    </row>
    <row r="325" spans="2:11" x14ac:dyDescent="0.25">
      <c r="B325" s="2"/>
      <c r="C325" s="2"/>
      <c r="D325" s="3"/>
      <c r="E325" s="3"/>
      <c r="F325" s="3"/>
      <c r="H325" s="3"/>
      <c r="I325" s="3"/>
      <c r="J325" s="3"/>
      <c r="K325" s="3"/>
    </row>
    <row r="326" spans="2:11" x14ac:dyDescent="0.25">
      <c r="B326" s="2"/>
      <c r="C326" s="2"/>
      <c r="D326" s="3"/>
      <c r="E326" s="3"/>
      <c r="F326" s="3"/>
      <c r="H326" s="3"/>
      <c r="I326" s="3"/>
      <c r="J326" s="3"/>
      <c r="K326" s="3"/>
    </row>
    <row r="327" spans="2:11" x14ac:dyDescent="0.25">
      <c r="B327" s="2"/>
      <c r="C327" s="2"/>
      <c r="D327" s="3"/>
      <c r="E327" s="3"/>
      <c r="F327" s="3"/>
      <c r="H327" s="3"/>
      <c r="I327" s="3"/>
      <c r="J327" s="3"/>
      <c r="K327" s="3"/>
    </row>
    <row r="328" spans="2:11" x14ac:dyDescent="0.25">
      <c r="B328" s="2"/>
      <c r="C328" s="2"/>
      <c r="D328" s="3"/>
      <c r="E328" s="3"/>
      <c r="F328" s="3"/>
      <c r="H328" s="3"/>
      <c r="I328" s="3"/>
      <c r="J328" s="3"/>
      <c r="K328" s="3"/>
    </row>
    <row r="329" spans="2:11" x14ac:dyDescent="0.25">
      <c r="B329" s="2"/>
      <c r="C329" s="2"/>
      <c r="D329" s="3"/>
      <c r="E329" s="3"/>
      <c r="F329" s="3"/>
      <c r="H329" s="3"/>
      <c r="I329" s="3"/>
      <c r="J329" s="3"/>
      <c r="K329" s="3"/>
    </row>
    <row r="330" spans="2:11" x14ac:dyDescent="0.25">
      <c r="B330" s="2"/>
      <c r="C330" s="2"/>
      <c r="D330" s="3"/>
      <c r="E330" s="3"/>
      <c r="F330" s="3"/>
      <c r="H330" s="3"/>
      <c r="I330" s="3"/>
      <c r="J330" s="3"/>
      <c r="K330" s="3"/>
    </row>
    <row r="331" spans="2:11" x14ac:dyDescent="0.25">
      <c r="B331" s="2"/>
      <c r="C331" s="2"/>
      <c r="D331" s="3"/>
      <c r="E331" s="3"/>
      <c r="F331" s="3"/>
      <c r="G331" s="3"/>
      <c r="H331" s="3"/>
      <c r="I331" s="3"/>
      <c r="J331" s="3"/>
      <c r="K331" s="3"/>
    </row>
    <row r="332" spans="2:11" x14ac:dyDescent="0.25">
      <c r="B332" s="2"/>
      <c r="C332" s="2"/>
      <c r="D332" s="3"/>
      <c r="E332" s="3"/>
      <c r="F332" s="3"/>
      <c r="H332" s="3"/>
      <c r="I332" s="3"/>
      <c r="J332" s="3"/>
      <c r="K332" s="3"/>
    </row>
    <row r="333" spans="2:11" x14ac:dyDescent="0.25">
      <c r="B333" s="2"/>
      <c r="C333" s="2"/>
      <c r="D333" s="3"/>
      <c r="E333" s="3"/>
      <c r="F333" s="3"/>
      <c r="H333" s="3"/>
      <c r="I333" s="3"/>
      <c r="J333" s="3"/>
      <c r="K333" s="3"/>
    </row>
    <row r="334" spans="2:11" x14ac:dyDescent="0.25">
      <c r="B334" s="2"/>
      <c r="C334" s="2"/>
      <c r="D334" s="3"/>
      <c r="E334" s="3"/>
      <c r="F334" s="3"/>
      <c r="H334" s="3"/>
      <c r="I334" s="3"/>
      <c r="J334" s="3"/>
      <c r="K334" s="3"/>
    </row>
    <row r="335" spans="2:11" x14ac:dyDescent="0.25">
      <c r="B335" s="2"/>
      <c r="C335" s="2"/>
      <c r="D335" s="3"/>
      <c r="E335" s="3"/>
      <c r="F335" s="3"/>
      <c r="H335" s="3"/>
      <c r="I335" s="3"/>
      <c r="J335" s="3"/>
      <c r="K335" s="3"/>
    </row>
    <row r="336" spans="2:11" x14ac:dyDescent="0.25">
      <c r="B336" s="2"/>
      <c r="C336" s="2"/>
      <c r="D336" s="3"/>
      <c r="E336" s="3"/>
      <c r="F336" s="3"/>
      <c r="H336" s="3"/>
      <c r="I336" s="3"/>
      <c r="J336" s="3"/>
      <c r="K336" s="3"/>
    </row>
    <row r="337" spans="2:11" x14ac:dyDescent="0.25">
      <c r="B337" s="2"/>
      <c r="C337" s="2"/>
      <c r="D337" s="3"/>
      <c r="E337" s="3"/>
      <c r="F337" s="3"/>
      <c r="H337" s="3"/>
      <c r="I337" s="3"/>
      <c r="J337" s="3"/>
      <c r="K337" s="3"/>
    </row>
    <row r="338" spans="2:11" x14ac:dyDescent="0.25">
      <c r="B338" s="2"/>
      <c r="C338" s="2"/>
      <c r="D338" s="3"/>
      <c r="E338" s="3"/>
      <c r="F338" s="3"/>
      <c r="H338" s="3"/>
      <c r="I338" s="3"/>
      <c r="J338" s="3"/>
      <c r="K338" s="3"/>
    </row>
    <row r="339" spans="2:11" x14ac:dyDescent="0.25">
      <c r="B339" s="2"/>
      <c r="C339" s="2"/>
      <c r="D339" s="3"/>
      <c r="E339" s="3"/>
      <c r="F339" s="3"/>
      <c r="H339" s="3"/>
      <c r="I339" s="3"/>
      <c r="J339" s="3"/>
      <c r="K339" s="3"/>
    </row>
    <row r="340" spans="2:11" x14ac:dyDescent="0.25">
      <c r="B340" s="2"/>
      <c r="C340" s="2"/>
      <c r="D340" s="3"/>
      <c r="E340" s="3"/>
      <c r="F340" s="3"/>
      <c r="G340" s="3"/>
      <c r="H340" s="3"/>
      <c r="I340" s="3"/>
      <c r="J340" s="3"/>
      <c r="K340" s="3"/>
    </row>
    <row r="341" spans="2:11" x14ac:dyDescent="0.25">
      <c r="B341" s="2"/>
      <c r="C341" s="2"/>
      <c r="D341" s="3"/>
      <c r="E341" s="3"/>
      <c r="F341" s="3"/>
      <c r="H341" s="3"/>
      <c r="I341" s="3"/>
      <c r="J341" s="3"/>
      <c r="K341" s="3"/>
    </row>
    <row r="342" spans="2:11" x14ac:dyDescent="0.25">
      <c r="B342" s="2"/>
      <c r="C342" s="2"/>
      <c r="D342" s="3"/>
      <c r="E342" s="3"/>
      <c r="F342" s="3"/>
      <c r="G342" s="3"/>
      <c r="H342" s="3"/>
      <c r="I342" s="3"/>
      <c r="J342" s="3"/>
      <c r="K342" s="3"/>
    </row>
    <row r="343" spans="2:11" x14ac:dyDescent="0.25">
      <c r="B343" s="2"/>
      <c r="C343" s="2"/>
      <c r="D343" s="3"/>
      <c r="E343" s="3"/>
      <c r="F343" s="3"/>
      <c r="G343" s="3"/>
      <c r="H343" s="3"/>
      <c r="I343" s="3"/>
      <c r="J343" s="3"/>
      <c r="K343" s="3"/>
    </row>
    <row r="344" spans="2:11" x14ac:dyDescent="0.25">
      <c r="B344" s="2"/>
      <c r="C344" s="2"/>
      <c r="D344" s="3"/>
      <c r="E344" s="3"/>
      <c r="F344" s="3"/>
      <c r="G344" s="3"/>
      <c r="H344" s="3"/>
      <c r="I344" s="3"/>
      <c r="J344" s="3"/>
      <c r="K344" s="3"/>
    </row>
    <row r="345" spans="2:11" x14ac:dyDescent="0.25">
      <c r="B345" s="2"/>
      <c r="C345" s="2"/>
      <c r="D345" s="3"/>
      <c r="E345" s="3"/>
      <c r="F345" s="3"/>
      <c r="H345" s="3"/>
      <c r="I345" s="3"/>
      <c r="J345" s="3"/>
      <c r="K345" s="3"/>
    </row>
    <row r="346" spans="2:11" x14ac:dyDescent="0.25">
      <c r="B346" s="2"/>
      <c r="C346" s="2"/>
      <c r="D346" s="3"/>
      <c r="E346" s="3"/>
      <c r="F346" s="3"/>
      <c r="H346" s="3"/>
      <c r="I346" s="3"/>
      <c r="J346" s="3"/>
      <c r="K346" s="3"/>
    </row>
    <row r="347" spans="2:11" x14ac:dyDescent="0.25">
      <c r="B347" s="2"/>
      <c r="C347" s="2"/>
      <c r="D347" s="3"/>
      <c r="E347" s="3"/>
      <c r="H347" s="3"/>
      <c r="I347" s="3"/>
      <c r="J347" s="3"/>
      <c r="K347" s="3"/>
    </row>
    <row r="348" spans="2:11" x14ac:dyDescent="0.25">
      <c r="B348" s="2"/>
      <c r="C348" s="2"/>
      <c r="D348" s="3"/>
      <c r="E348" s="3"/>
      <c r="F348" s="3"/>
      <c r="H348" s="3"/>
      <c r="I348" s="3"/>
      <c r="J348" s="3"/>
      <c r="K348" s="3"/>
    </row>
    <row r="349" spans="2:11" x14ac:dyDescent="0.25">
      <c r="B349" s="2"/>
      <c r="C349" s="2"/>
      <c r="D349" s="3"/>
      <c r="E349" s="3"/>
      <c r="F349" s="3"/>
      <c r="G349" s="3"/>
      <c r="H349" s="3"/>
      <c r="I349" s="3"/>
      <c r="J349" s="3"/>
      <c r="K349" s="3"/>
    </row>
    <row r="350" spans="2:11" x14ac:dyDescent="0.25">
      <c r="B350" s="2"/>
      <c r="C350" s="2"/>
      <c r="D350" s="3"/>
      <c r="E350" s="3"/>
      <c r="F350" s="3"/>
      <c r="H350" s="3"/>
      <c r="I350" s="3"/>
      <c r="J350" s="3"/>
      <c r="K350" s="3"/>
    </row>
    <row r="351" spans="2:11" x14ac:dyDescent="0.25">
      <c r="B351" s="2"/>
      <c r="C351" s="2"/>
      <c r="D351" s="3"/>
      <c r="E351" s="3"/>
      <c r="F351" s="3"/>
      <c r="H351" s="3"/>
      <c r="I351" s="3"/>
      <c r="J351" s="3"/>
      <c r="K351" s="3"/>
    </row>
    <row r="352" spans="2:11" x14ac:dyDescent="0.25">
      <c r="B352" s="2"/>
      <c r="C352" s="2"/>
      <c r="D352" s="3"/>
      <c r="E352" s="3"/>
      <c r="F352" s="3"/>
      <c r="H352" s="3"/>
      <c r="I352" s="3"/>
      <c r="J352" s="3"/>
      <c r="K352" s="3"/>
    </row>
    <row r="353" spans="2:11" x14ac:dyDescent="0.25">
      <c r="B353" s="2"/>
      <c r="C353" s="2"/>
      <c r="D353" s="3"/>
      <c r="E353" s="3"/>
      <c r="F353" s="3"/>
      <c r="H353" s="3"/>
      <c r="I353" s="3"/>
      <c r="J353" s="3"/>
      <c r="K353" s="3"/>
    </row>
    <row r="354" spans="2:11" x14ac:dyDescent="0.25">
      <c r="B354" s="2"/>
      <c r="C354" s="2"/>
      <c r="D354" s="3"/>
      <c r="E354" s="3"/>
      <c r="F354" s="3"/>
      <c r="H354" s="3"/>
      <c r="I354" s="3"/>
      <c r="J354" s="3"/>
      <c r="K354" s="3"/>
    </row>
    <row r="355" spans="2:11" x14ac:dyDescent="0.25">
      <c r="B355" s="2"/>
      <c r="C355" s="2"/>
      <c r="D355" s="3"/>
      <c r="E355" s="3"/>
      <c r="F355" s="3"/>
      <c r="H355" s="3"/>
      <c r="I355" s="3"/>
      <c r="J355" s="3"/>
      <c r="K355" s="3"/>
    </row>
    <row r="356" spans="2:11" x14ac:dyDescent="0.25">
      <c r="B356" s="2"/>
      <c r="C356" s="2"/>
      <c r="D356" s="3"/>
      <c r="E356" s="3"/>
      <c r="F356" s="3"/>
      <c r="H356" s="3"/>
      <c r="I356" s="3"/>
      <c r="J356" s="3"/>
      <c r="K356" s="3"/>
    </row>
    <row r="357" spans="2:11" x14ac:dyDescent="0.25">
      <c r="B357" s="2"/>
      <c r="C357" s="2"/>
      <c r="D357" s="3"/>
      <c r="E357" s="3"/>
      <c r="F357" s="3"/>
      <c r="H357" s="3"/>
      <c r="I357" s="3"/>
      <c r="J357" s="3"/>
      <c r="K357" s="3"/>
    </row>
    <row r="358" spans="2:11" x14ac:dyDescent="0.25">
      <c r="B358" s="2"/>
      <c r="C358" s="2"/>
      <c r="D358" s="3"/>
      <c r="E358" s="3"/>
      <c r="F358" s="3"/>
      <c r="H358" s="3"/>
      <c r="I358" s="3"/>
      <c r="J358" s="3"/>
      <c r="K358" s="3"/>
    </row>
    <row r="359" spans="2:11" x14ac:dyDescent="0.25">
      <c r="B359" s="2"/>
      <c r="C359" s="2"/>
      <c r="D359" s="3"/>
      <c r="E359" s="3"/>
      <c r="H359" s="3"/>
      <c r="I359" s="3"/>
      <c r="J359" s="3"/>
      <c r="K359" s="3"/>
    </row>
    <row r="360" spans="2:11" x14ac:dyDescent="0.25">
      <c r="B360" s="2"/>
      <c r="C360" s="2"/>
      <c r="D360" s="3"/>
      <c r="E360" s="3"/>
      <c r="F360" s="3"/>
      <c r="H360" s="3"/>
      <c r="I360" s="3"/>
      <c r="J360" s="3"/>
      <c r="K360" s="3"/>
    </row>
    <row r="361" spans="2:11" x14ac:dyDescent="0.25">
      <c r="B361" s="2"/>
      <c r="C361" s="2"/>
      <c r="D361" s="3"/>
      <c r="E361" s="3"/>
      <c r="F361" s="3"/>
      <c r="H361" s="3"/>
      <c r="I361" s="3"/>
      <c r="J361" s="3"/>
      <c r="K361" s="3"/>
    </row>
    <row r="362" spans="2:11" x14ac:dyDescent="0.25">
      <c r="B362" s="2"/>
      <c r="C362" s="2"/>
      <c r="D362" s="3"/>
      <c r="E362" s="3"/>
      <c r="F362" s="3"/>
      <c r="H362" s="3"/>
      <c r="I362" s="3"/>
      <c r="J362" s="3"/>
      <c r="K362" s="3"/>
    </row>
    <row r="363" spans="2:11" x14ac:dyDescent="0.25">
      <c r="B363" s="2"/>
      <c r="C363" s="2"/>
      <c r="D363" s="3"/>
      <c r="E363" s="3"/>
      <c r="F363" s="3"/>
      <c r="G363" s="3"/>
      <c r="H363" s="3"/>
      <c r="I363" s="3"/>
      <c r="J363" s="3"/>
      <c r="K363" s="3"/>
    </row>
    <row r="364" spans="2:11" x14ac:dyDescent="0.25">
      <c r="B364" s="2"/>
      <c r="C364" s="2"/>
      <c r="D364" s="3"/>
      <c r="E364" s="3"/>
      <c r="F364" s="3"/>
      <c r="H364" s="3"/>
      <c r="I364" s="3"/>
      <c r="J364" s="3"/>
      <c r="K364" s="3"/>
    </row>
    <row r="365" spans="2:11" x14ac:dyDescent="0.25">
      <c r="B365" s="2"/>
      <c r="C365" s="2"/>
      <c r="D365" s="3"/>
      <c r="E365" s="3"/>
      <c r="F365" s="3"/>
      <c r="G365" s="3"/>
      <c r="H365" s="3"/>
      <c r="I365" s="3"/>
      <c r="J365" s="3"/>
      <c r="K365" s="3"/>
    </row>
    <row r="366" spans="2:11" x14ac:dyDescent="0.25">
      <c r="B366" s="2"/>
      <c r="C366" s="2"/>
      <c r="D366" s="3"/>
      <c r="E366" s="3"/>
      <c r="F366" s="3"/>
      <c r="G366" s="3"/>
      <c r="H366" s="3"/>
      <c r="I366" s="3"/>
      <c r="J366" s="3"/>
      <c r="K366" s="3"/>
    </row>
    <row r="367" spans="2:11" x14ac:dyDescent="0.25">
      <c r="B367" s="2"/>
      <c r="C367" s="2"/>
      <c r="D367" s="3"/>
      <c r="E367" s="3"/>
      <c r="F367" s="3"/>
      <c r="G367" s="3"/>
      <c r="H367" s="3"/>
      <c r="I367" s="3"/>
      <c r="J367" s="3"/>
      <c r="K367" s="3"/>
    </row>
    <row r="368" spans="2:11" x14ac:dyDescent="0.25">
      <c r="B368" s="2"/>
      <c r="C368" s="2"/>
      <c r="D368" s="3"/>
      <c r="E368" s="3"/>
      <c r="F368" s="3"/>
      <c r="G368" s="3"/>
      <c r="H368" s="3"/>
      <c r="I368" s="3"/>
      <c r="J368" s="3"/>
      <c r="K368" s="3"/>
    </row>
    <row r="369" spans="2:11" x14ac:dyDescent="0.25">
      <c r="B369" s="2"/>
      <c r="C369" s="2"/>
      <c r="D369" s="3"/>
      <c r="E369" s="3"/>
      <c r="F369" s="3"/>
      <c r="G369" s="3"/>
      <c r="H369" s="3"/>
      <c r="I369" s="3"/>
      <c r="J369" s="3"/>
      <c r="K369" s="3"/>
    </row>
    <row r="370" spans="2:11" x14ac:dyDescent="0.25">
      <c r="B370" s="2"/>
      <c r="C370" s="2"/>
      <c r="D370" s="3"/>
      <c r="E370" s="3"/>
      <c r="F370" s="3"/>
      <c r="G370" s="3"/>
      <c r="H370" s="3"/>
      <c r="I370" s="3"/>
      <c r="J370" s="3"/>
      <c r="K370" s="3"/>
    </row>
    <row r="371" spans="2:11" x14ac:dyDescent="0.25">
      <c r="B371" s="2"/>
      <c r="C371" s="2"/>
      <c r="D371" s="3"/>
      <c r="E371" s="3"/>
      <c r="F371" s="3"/>
      <c r="G371" s="3"/>
      <c r="H371" s="3"/>
      <c r="I371" s="3"/>
      <c r="J371" s="3"/>
      <c r="K371" s="3"/>
    </row>
    <row r="372" spans="2:11" x14ac:dyDescent="0.25">
      <c r="B372" s="2"/>
      <c r="C372" s="2"/>
      <c r="D372" s="3"/>
      <c r="E372" s="3"/>
      <c r="F372" s="3"/>
      <c r="G372" s="3"/>
      <c r="H372" s="3"/>
      <c r="I372" s="3"/>
      <c r="J372" s="3"/>
      <c r="K372" s="3"/>
    </row>
    <row r="373" spans="2:11" x14ac:dyDescent="0.25">
      <c r="B373" s="2"/>
      <c r="C373" s="2"/>
      <c r="D373" s="3"/>
      <c r="E373" s="3"/>
      <c r="F373" s="3"/>
      <c r="G373" s="3"/>
      <c r="H373" s="3"/>
      <c r="I373" s="3"/>
      <c r="J373" s="3"/>
      <c r="K373" s="3"/>
    </row>
    <row r="374" spans="2:11" x14ac:dyDescent="0.25">
      <c r="B374" s="2"/>
      <c r="C374" s="2"/>
      <c r="D374" s="3"/>
      <c r="E374" s="3"/>
      <c r="F374" s="3"/>
      <c r="G374" s="3"/>
      <c r="H374" s="3"/>
      <c r="I374" s="3"/>
      <c r="J374" s="3"/>
      <c r="K374" s="3"/>
    </row>
    <row r="375" spans="2:11" x14ac:dyDescent="0.25">
      <c r="B375" s="2"/>
      <c r="C375" s="2"/>
      <c r="D375" s="3"/>
      <c r="E375" s="3"/>
      <c r="F375" s="3"/>
      <c r="G375" s="3"/>
      <c r="H375" s="3"/>
      <c r="I375" s="3"/>
      <c r="J375" s="3"/>
      <c r="K375" s="3"/>
    </row>
    <row r="376" spans="2:11" x14ac:dyDescent="0.25">
      <c r="B376" s="2"/>
      <c r="C376" s="2"/>
      <c r="D376" s="3"/>
      <c r="E376" s="3"/>
      <c r="F376" s="3"/>
      <c r="G376" s="3"/>
      <c r="H376" s="3"/>
      <c r="I376" s="3"/>
      <c r="J376" s="3"/>
      <c r="K376" s="3"/>
    </row>
    <row r="377" spans="2:11" x14ac:dyDescent="0.25">
      <c r="B377" s="2"/>
      <c r="C377" s="2"/>
      <c r="D377" s="3"/>
      <c r="E377" s="3"/>
      <c r="F377" s="3"/>
      <c r="G377" s="3"/>
      <c r="H377" s="3"/>
      <c r="I377" s="3"/>
      <c r="J377" s="3"/>
      <c r="K377" s="3"/>
    </row>
    <row r="378" spans="2:11" x14ac:dyDescent="0.25">
      <c r="B378" s="2"/>
      <c r="C378" s="2"/>
      <c r="D378" s="3"/>
      <c r="E378" s="3"/>
      <c r="F378" s="3"/>
      <c r="G378" s="3"/>
      <c r="H378" s="3"/>
      <c r="I378" s="3"/>
      <c r="J378" s="3"/>
      <c r="K378" s="3"/>
    </row>
    <row r="379" spans="2:11" x14ac:dyDescent="0.25">
      <c r="B379" s="2"/>
      <c r="C379" s="2"/>
      <c r="D379" s="3"/>
      <c r="E379" s="3"/>
      <c r="F379" s="3"/>
      <c r="G379" s="3"/>
      <c r="H379" s="3"/>
      <c r="I379" s="3"/>
      <c r="J379" s="3"/>
      <c r="K379" s="3"/>
    </row>
    <row r="380" spans="2:11" x14ac:dyDescent="0.25">
      <c r="B380" s="2"/>
      <c r="C380" s="2"/>
      <c r="D380" s="3"/>
      <c r="E380" s="3"/>
      <c r="F380" s="3"/>
      <c r="G380" s="3"/>
      <c r="H380" s="3"/>
      <c r="I380" s="3"/>
      <c r="J380" s="3"/>
      <c r="K380" s="3"/>
    </row>
    <row r="381" spans="2:11" x14ac:dyDescent="0.25">
      <c r="B381" s="2"/>
      <c r="C381" s="2"/>
      <c r="D381" s="3"/>
      <c r="E381" s="3"/>
      <c r="F381" s="3"/>
      <c r="G381" s="3"/>
      <c r="H381" s="3"/>
      <c r="I381" s="3"/>
      <c r="J381" s="3"/>
      <c r="K381" s="3"/>
    </row>
    <row r="382" spans="2:11" x14ac:dyDescent="0.25">
      <c r="B382" s="2"/>
      <c r="C382" s="2"/>
      <c r="D382" s="3"/>
      <c r="E382" s="3"/>
      <c r="F382" s="3"/>
      <c r="G382" s="3"/>
      <c r="H382" s="3"/>
      <c r="I382" s="3"/>
      <c r="J382" s="3"/>
      <c r="K382" s="3"/>
    </row>
    <row r="383" spans="2:11" x14ac:dyDescent="0.25">
      <c r="B383" s="2"/>
      <c r="C383" s="2"/>
      <c r="D383" s="3"/>
      <c r="E383" s="3"/>
      <c r="F383" s="3"/>
      <c r="G383" s="3"/>
      <c r="H383" s="3"/>
      <c r="I383" s="3"/>
      <c r="J383" s="3"/>
      <c r="K383" s="3"/>
    </row>
    <row r="384" spans="2:11" x14ac:dyDescent="0.25">
      <c r="B384" s="2"/>
      <c r="C384" s="2"/>
      <c r="D384" s="3"/>
      <c r="E384" s="3"/>
      <c r="F384" s="3"/>
      <c r="G384" s="3"/>
      <c r="H384" s="3"/>
      <c r="I384" s="3"/>
      <c r="J384" s="3"/>
      <c r="K384" s="3"/>
    </row>
    <row r="385" spans="2:11" x14ac:dyDescent="0.25">
      <c r="B385" s="2"/>
      <c r="C385" s="2"/>
      <c r="D385" s="3"/>
      <c r="E385" s="3"/>
      <c r="F385" s="3"/>
      <c r="G385" s="3"/>
      <c r="H385" s="3"/>
      <c r="I385" s="3"/>
      <c r="J385" s="3"/>
      <c r="K385" s="3"/>
    </row>
    <row r="386" spans="2:11" x14ac:dyDescent="0.25">
      <c r="B386" s="2"/>
      <c r="C386" s="2"/>
      <c r="D386" s="3"/>
      <c r="E386" s="3"/>
      <c r="F386" s="3"/>
      <c r="G386" s="3"/>
      <c r="H386" s="3"/>
      <c r="I386" s="3"/>
      <c r="J386" s="3"/>
      <c r="K386" s="3"/>
    </row>
    <row r="387" spans="2:11" x14ac:dyDescent="0.25">
      <c r="B387" s="2"/>
      <c r="C387" s="2"/>
      <c r="D387" s="3"/>
      <c r="E387" s="3"/>
      <c r="F387" s="3"/>
      <c r="G387" s="3"/>
      <c r="H387" s="3"/>
      <c r="I387" s="3"/>
      <c r="J387" s="3"/>
      <c r="K387" s="3"/>
    </row>
    <row r="388" spans="2:11" x14ac:dyDescent="0.25">
      <c r="B388" s="2"/>
      <c r="C388" s="2"/>
      <c r="D388" s="3"/>
      <c r="E388" s="3"/>
      <c r="F388" s="3"/>
      <c r="G388" s="3"/>
      <c r="H388" s="3"/>
      <c r="I388" s="3"/>
      <c r="J388" s="3"/>
      <c r="K388" s="3"/>
    </row>
    <row r="389" spans="2:11" x14ac:dyDescent="0.25">
      <c r="B389" s="2"/>
      <c r="C389" s="2"/>
      <c r="D389" s="3"/>
      <c r="E389" s="3"/>
      <c r="F389" s="3"/>
      <c r="G389" s="3"/>
      <c r="H389" s="3"/>
      <c r="I389" s="3"/>
      <c r="J389" s="3"/>
      <c r="K389" s="3"/>
    </row>
    <row r="390" spans="2:11" x14ac:dyDescent="0.25">
      <c r="B390" s="2"/>
      <c r="C390" s="2"/>
      <c r="D390" s="3"/>
      <c r="E390" s="3"/>
      <c r="F390" s="3"/>
      <c r="G390" s="3"/>
      <c r="H390" s="3"/>
      <c r="I390" s="3"/>
      <c r="J390" s="3"/>
      <c r="K390" s="3"/>
    </row>
    <row r="391" spans="2:11" x14ac:dyDescent="0.25">
      <c r="B391" s="2"/>
      <c r="C391" s="2"/>
      <c r="D391" s="3"/>
      <c r="E391" s="3"/>
      <c r="F391" s="3"/>
      <c r="G391" s="3"/>
      <c r="H391" s="3"/>
      <c r="I391" s="3"/>
      <c r="J391" s="3"/>
      <c r="K391" s="3"/>
    </row>
    <row r="392" spans="2:11" x14ac:dyDescent="0.25">
      <c r="B392" s="2"/>
      <c r="C392" s="2"/>
      <c r="D392" s="3"/>
      <c r="E392" s="3"/>
      <c r="F392" s="3"/>
      <c r="G392" s="3"/>
      <c r="H392" s="3"/>
      <c r="I392" s="3"/>
      <c r="J392" s="3"/>
      <c r="K392" s="3"/>
    </row>
    <row r="393" spans="2:11" x14ac:dyDescent="0.25">
      <c r="B393" s="2"/>
      <c r="C393" s="2"/>
      <c r="D393" s="3"/>
      <c r="E393" s="3"/>
      <c r="F393" s="3"/>
      <c r="G393" s="3"/>
      <c r="H393" s="3"/>
      <c r="I393" s="3"/>
      <c r="J393" s="3"/>
      <c r="K393" s="3"/>
    </row>
    <row r="394" spans="2:11" x14ac:dyDescent="0.25">
      <c r="B394" s="2"/>
      <c r="C394" s="2"/>
      <c r="D394" s="3"/>
      <c r="E394" s="3"/>
      <c r="F394" s="3"/>
      <c r="G394" s="3"/>
      <c r="H394" s="3"/>
      <c r="I394" s="3"/>
      <c r="J394" s="3"/>
      <c r="K394" s="3"/>
    </row>
    <row r="395" spans="2:11" x14ac:dyDescent="0.25">
      <c r="B395" s="2"/>
      <c r="C395" s="2"/>
      <c r="D395" s="3"/>
      <c r="E395" s="3"/>
      <c r="F395" s="3"/>
      <c r="G395" s="3"/>
      <c r="H395" s="3"/>
      <c r="I395" s="3"/>
      <c r="J395" s="3"/>
      <c r="K395" s="3"/>
    </row>
    <row r="396" spans="2:11" x14ac:dyDescent="0.25">
      <c r="B396" s="2"/>
      <c r="C396" s="2"/>
      <c r="D396" s="3"/>
      <c r="E396" s="3"/>
      <c r="F396" s="3"/>
      <c r="G396" s="3"/>
      <c r="H396" s="3"/>
      <c r="I396" s="3"/>
      <c r="J396" s="3"/>
      <c r="K396" s="3"/>
    </row>
    <row r="397" spans="2:11" x14ac:dyDescent="0.25">
      <c r="B397" s="2"/>
      <c r="C397" s="2"/>
      <c r="D397" s="3"/>
      <c r="E397" s="3"/>
      <c r="F397" s="3"/>
      <c r="G397" s="3"/>
      <c r="H397" s="3"/>
      <c r="I397" s="3"/>
      <c r="J397" s="3"/>
      <c r="K397" s="3"/>
    </row>
    <row r="398" spans="2:11" x14ac:dyDescent="0.25">
      <c r="B398" s="2"/>
      <c r="C398" s="2"/>
      <c r="D398" s="3"/>
      <c r="E398" s="3"/>
      <c r="F398" s="3"/>
      <c r="G398" s="3"/>
      <c r="H398" s="3"/>
      <c r="I398" s="3"/>
      <c r="J398" s="3"/>
      <c r="K398" s="3"/>
    </row>
    <row r="399" spans="2:11" x14ac:dyDescent="0.25">
      <c r="B399" s="2"/>
      <c r="C399" s="2"/>
      <c r="D399" s="3"/>
      <c r="E399" s="3"/>
      <c r="F399" s="3"/>
      <c r="G399" s="3"/>
      <c r="H399" s="3"/>
      <c r="I399" s="3"/>
      <c r="J399" s="3"/>
      <c r="K399" s="3"/>
    </row>
    <row r="400" spans="2:11" x14ac:dyDescent="0.25">
      <c r="B400" s="2"/>
      <c r="C400" s="2"/>
      <c r="D400" s="3"/>
      <c r="E400" s="3"/>
      <c r="F400" s="3"/>
      <c r="G400" s="3"/>
      <c r="H400" s="3"/>
      <c r="I400" s="3"/>
      <c r="J400" s="3"/>
      <c r="K400" s="3"/>
    </row>
    <row r="401" spans="2:11" x14ac:dyDescent="0.25">
      <c r="B401" s="2"/>
      <c r="C401" s="2"/>
      <c r="D401" s="3"/>
      <c r="E401" s="3"/>
      <c r="F401" s="3"/>
      <c r="G401" s="3"/>
      <c r="H401" s="3"/>
      <c r="I401" s="3"/>
      <c r="J401" s="3"/>
      <c r="K401" s="3"/>
    </row>
    <row r="402" spans="2:11" x14ac:dyDescent="0.25">
      <c r="B402" s="2"/>
      <c r="C402" s="2"/>
      <c r="D402" s="3"/>
      <c r="E402" s="3"/>
      <c r="H402" s="3"/>
      <c r="I402" s="3"/>
      <c r="J402" s="3"/>
      <c r="K402" s="3"/>
    </row>
    <row r="403" spans="2:11" x14ac:dyDescent="0.25">
      <c r="B403" s="2"/>
      <c r="C403" s="2"/>
      <c r="D403" s="3"/>
      <c r="E403" s="3"/>
      <c r="F403" s="3"/>
      <c r="G403" s="3"/>
      <c r="H403" s="3"/>
      <c r="I403" s="3"/>
    </row>
    <row r="404" spans="2:11" x14ac:dyDescent="0.25">
      <c r="B404" s="2"/>
      <c r="C404" s="2"/>
      <c r="D404" s="3"/>
      <c r="E404" s="3"/>
      <c r="F404" s="3"/>
      <c r="H404" s="3"/>
      <c r="I404" s="3"/>
      <c r="J404" s="3"/>
      <c r="K404" s="3"/>
    </row>
    <row r="405" spans="2:11" x14ac:dyDescent="0.25">
      <c r="B405" s="2"/>
      <c r="C405" s="2"/>
      <c r="D405" s="3"/>
      <c r="E405" s="3"/>
      <c r="G405" s="3"/>
      <c r="H405" s="3"/>
      <c r="I405" s="3"/>
      <c r="J405" s="3"/>
      <c r="K405" s="3"/>
    </row>
    <row r="406" spans="2:11" x14ac:dyDescent="0.25">
      <c r="B406" s="2"/>
      <c r="C406" s="2"/>
      <c r="D406" s="3"/>
      <c r="E406" s="3"/>
      <c r="F406" s="3"/>
      <c r="G406" s="3"/>
      <c r="H406" s="3"/>
      <c r="I406" s="3"/>
      <c r="J406" s="3"/>
      <c r="K406" s="3"/>
    </row>
    <row r="407" spans="2:11" x14ac:dyDescent="0.25">
      <c r="B407" s="2"/>
      <c r="C407" s="2"/>
      <c r="D407" s="3"/>
      <c r="E407" s="3"/>
      <c r="F407" s="3"/>
      <c r="G407" s="3"/>
      <c r="H407" s="3"/>
      <c r="I407" s="3"/>
    </row>
    <row r="408" spans="2:11" x14ac:dyDescent="0.25">
      <c r="B408" s="2"/>
      <c r="C408" s="2"/>
      <c r="D408" s="3"/>
      <c r="E408" s="3"/>
      <c r="G408" s="3"/>
      <c r="H408" s="3"/>
      <c r="I408" s="3"/>
    </row>
    <row r="409" spans="2:11" x14ac:dyDescent="0.25">
      <c r="B409" s="2"/>
      <c r="C409" s="2"/>
      <c r="D409" s="3"/>
      <c r="E409" s="3"/>
      <c r="F409" s="3"/>
      <c r="G409" s="3"/>
      <c r="H409" s="3"/>
      <c r="I409" s="3"/>
    </row>
    <row r="410" spans="2:11" x14ac:dyDescent="0.25">
      <c r="B410" s="2"/>
      <c r="C410" s="2"/>
      <c r="D410" s="3"/>
      <c r="E410" s="3"/>
      <c r="F410" s="3"/>
      <c r="G410" s="3"/>
      <c r="H410" s="3"/>
      <c r="I410" s="3"/>
    </row>
    <row r="411" spans="2:11" x14ac:dyDescent="0.25">
      <c r="B411" s="2"/>
      <c r="C411" s="2"/>
      <c r="D411" s="3"/>
      <c r="E411" s="3"/>
      <c r="H411" s="3"/>
      <c r="I411" s="3"/>
      <c r="J411" s="3"/>
      <c r="K411" s="3"/>
    </row>
    <row r="412" spans="2:11" x14ac:dyDescent="0.25">
      <c r="B412" s="2"/>
      <c r="C412" s="2"/>
      <c r="D412" s="3"/>
      <c r="E412" s="3"/>
      <c r="F412" s="3"/>
      <c r="G412" s="3"/>
      <c r="H412" s="3"/>
      <c r="I412" s="3"/>
      <c r="J412" s="3"/>
      <c r="K412" s="3"/>
    </row>
    <row r="413" spans="2:11" x14ac:dyDescent="0.25">
      <c r="B413" s="2"/>
      <c r="C413" s="2"/>
      <c r="D413" s="3"/>
      <c r="E413" s="3"/>
      <c r="F413" s="3"/>
      <c r="G413" s="3"/>
      <c r="H413" s="3"/>
      <c r="I413" s="3"/>
      <c r="J413" s="3"/>
      <c r="K413" s="3"/>
    </row>
    <row r="414" spans="2:11" x14ac:dyDescent="0.25">
      <c r="B414" s="2"/>
      <c r="C414" s="2"/>
      <c r="D414" s="3"/>
      <c r="E414" s="3"/>
      <c r="F414" s="3"/>
      <c r="G414" s="3"/>
      <c r="H414" s="3"/>
      <c r="I414" s="3"/>
      <c r="J414" s="3"/>
      <c r="K414" s="3"/>
    </row>
    <row r="415" spans="2:11" x14ac:dyDescent="0.25">
      <c r="B415" s="2"/>
      <c r="C415" s="2"/>
      <c r="D415" s="3"/>
      <c r="E415" s="3"/>
      <c r="F415" s="3"/>
      <c r="G415" s="3"/>
      <c r="H415" s="3"/>
      <c r="I415" s="3"/>
    </row>
    <row r="416" spans="2:11" x14ac:dyDescent="0.25">
      <c r="B416" s="2"/>
      <c r="C416" s="2"/>
      <c r="D416" s="3"/>
      <c r="E416" s="3"/>
      <c r="F416" s="3"/>
      <c r="G416" s="3"/>
      <c r="H416" s="3"/>
      <c r="I416" s="3"/>
    </row>
    <row r="417" spans="2:11" x14ac:dyDescent="0.25">
      <c r="B417" s="2"/>
      <c r="C417" s="2"/>
      <c r="D417" s="3"/>
      <c r="E417" s="3"/>
      <c r="F417" s="3"/>
      <c r="G417" s="3"/>
      <c r="H417" s="3"/>
      <c r="I417" s="3"/>
    </row>
    <row r="418" spans="2:11" x14ac:dyDescent="0.25">
      <c r="B418" s="2"/>
      <c r="C418" s="2"/>
      <c r="D418" s="3"/>
      <c r="E418" s="3"/>
      <c r="G418" s="3"/>
      <c r="H418" s="3"/>
      <c r="I418" s="3"/>
      <c r="J418" s="3"/>
      <c r="K418" s="3"/>
    </row>
    <row r="419" spans="2:11" x14ac:dyDescent="0.25">
      <c r="B419" s="2"/>
      <c r="C419" s="2"/>
      <c r="D419" s="3"/>
      <c r="E419" s="3"/>
      <c r="F419" s="3"/>
      <c r="G419" s="3"/>
      <c r="H419" s="3"/>
      <c r="I419" s="3"/>
    </row>
    <row r="420" spans="2:11" x14ac:dyDescent="0.25">
      <c r="B420" s="2"/>
      <c r="C420" s="2"/>
      <c r="D420" s="3"/>
      <c r="E420" s="3"/>
      <c r="F420" s="3"/>
      <c r="G420" s="3"/>
      <c r="H420" s="3"/>
      <c r="I420" s="3"/>
    </row>
    <row r="421" spans="2:11" x14ac:dyDescent="0.25">
      <c r="B421" s="2"/>
      <c r="C421" s="2"/>
      <c r="D421" s="3"/>
      <c r="E421" s="3"/>
      <c r="F421" s="3"/>
      <c r="G421" s="3"/>
      <c r="H421" s="3"/>
      <c r="I421" s="3"/>
    </row>
    <row r="422" spans="2:11" x14ac:dyDescent="0.25">
      <c r="B422" s="2"/>
      <c r="C422" s="2"/>
      <c r="D422" s="3"/>
      <c r="E422" s="3"/>
      <c r="H422" s="3"/>
    </row>
    <row r="423" spans="2:11" x14ac:dyDescent="0.25">
      <c r="B423" s="2"/>
      <c r="C423" s="2"/>
      <c r="D423" s="3"/>
      <c r="E423" s="3"/>
      <c r="H423" s="3"/>
      <c r="I423" s="3"/>
      <c r="J423" s="3"/>
      <c r="K423" s="3"/>
    </row>
    <row r="424" spans="2:11" x14ac:dyDescent="0.25">
      <c r="B424" s="2"/>
      <c r="C424" s="2"/>
      <c r="D424" s="3"/>
      <c r="E424" s="3"/>
      <c r="F424" s="3"/>
      <c r="G424" s="3"/>
      <c r="H424" s="3"/>
      <c r="I424" s="3"/>
      <c r="J424" s="3"/>
      <c r="K424" s="3"/>
    </row>
    <row r="425" spans="2:11" x14ac:dyDescent="0.25">
      <c r="B425" s="2"/>
      <c r="C425" s="2"/>
      <c r="D425" s="3"/>
      <c r="E425" s="3"/>
      <c r="F425" s="3"/>
      <c r="G425" s="3"/>
      <c r="H425" s="3"/>
      <c r="I425" s="3"/>
      <c r="J425" s="3"/>
      <c r="K425" s="3"/>
    </row>
    <row r="426" spans="2:11" x14ac:dyDescent="0.25">
      <c r="B426" s="2"/>
      <c r="C426" s="2"/>
      <c r="D426" s="3"/>
      <c r="E426" s="3"/>
      <c r="G426" s="3"/>
      <c r="H426" s="3"/>
      <c r="I426" s="3"/>
    </row>
    <row r="427" spans="2:11" x14ac:dyDescent="0.25">
      <c r="B427" s="2"/>
      <c r="C427" s="2"/>
      <c r="D427" s="3"/>
      <c r="E427" s="3"/>
      <c r="F427" s="3"/>
      <c r="G427" s="3"/>
      <c r="H427" s="3"/>
      <c r="I427" s="3"/>
      <c r="J427" s="3"/>
      <c r="K427" s="3"/>
    </row>
    <row r="428" spans="2:11" x14ac:dyDescent="0.25">
      <c r="B428" s="2"/>
      <c r="C428" s="2"/>
      <c r="D428" s="3"/>
      <c r="E428" s="3"/>
      <c r="F428" s="3"/>
      <c r="G428" s="3"/>
      <c r="H428" s="3"/>
      <c r="I428" s="3"/>
      <c r="J428" s="3"/>
      <c r="K428" s="3"/>
    </row>
    <row r="429" spans="2:11" x14ac:dyDescent="0.25">
      <c r="B429" s="2"/>
      <c r="C429" s="2"/>
      <c r="D429" s="3"/>
      <c r="E429" s="3"/>
      <c r="F429" s="3"/>
      <c r="H429" s="3"/>
      <c r="I429" s="3"/>
      <c r="J429" s="3"/>
      <c r="K429" s="3"/>
    </row>
    <row r="430" spans="2:11" x14ac:dyDescent="0.25">
      <c r="B430" s="2"/>
      <c r="C430" s="2"/>
      <c r="D430" s="3"/>
      <c r="E430" s="3"/>
      <c r="F430" s="3"/>
      <c r="H430" s="3"/>
      <c r="I430" s="3"/>
      <c r="J430" s="3"/>
      <c r="K430" s="3"/>
    </row>
    <row r="431" spans="2:11" x14ac:dyDescent="0.25">
      <c r="B431" s="2"/>
      <c r="C431" s="2"/>
      <c r="D431" s="3"/>
      <c r="E431" s="3"/>
      <c r="F431" s="3"/>
      <c r="G431" s="3"/>
      <c r="H431" s="3"/>
      <c r="I431" s="3"/>
      <c r="J431" s="3"/>
      <c r="K431" s="3"/>
    </row>
    <row r="432" spans="2:11" x14ac:dyDescent="0.25">
      <c r="B432" s="2"/>
      <c r="C432" s="2"/>
      <c r="D432" s="3"/>
      <c r="E432" s="3"/>
      <c r="F432" s="3"/>
      <c r="G432" s="3"/>
      <c r="H432" s="3"/>
      <c r="I432" s="3"/>
      <c r="J432" s="3"/>
      <c r="K432" s="3"/>
    </row>
    <row r="433" spans="2:11" x14ac:dyDescent="0.25">
      <c r="B433" s="2"/>
      <c r="C433" s="2"/>
      <c r="D433" s="3"/>
      <c r="E433" s="3"/>
      <c r="F433" s="3"/>
      <c r="G433" s="3"/>
      <c r="H433" s="3"/>
      <c r="I433" s="3"/>
      <c r="J433" s="3"/>
      <c r="K433" s="3"/>
    </row>
    <row r="434" spans="2:11" x14ac:dyDescent="0.25">
      <c r="B434" s="2"/>
      <c r="C434" s="2"/>
      <c r="D434" s="3"/>
      <c r="E434" s="3"/>
      <c r="F434" s="3"/>
      <c r="G434" s="3"/>
      <c r="H434" s="3"/>
      <c r="I434" s="3"/>
      <c r="J434" s="3"/>
      <c r="K434" s="3"/>
    </row>
    <row r="435" spans="2:11" x14ac:dyDescent="0.25">
      <c r="B435" s="2"/>
      <c r="C435" s="2"/>
      <c r="D435" s="3"/>
      <c r="E435" s="3"/>
      <c r="F435" s="3"/>
      <c r="G435" s="3"/>
      <c r="H435" s="3"/>
      <c r="I435" s="3"/>
      <c r="J435" s="3"/>
      <c r="K435" s="3"/>
    </row>
    <row r="436" spans="2:11" x14ac:dyDescent="0.25">
      <c r="B436" s="2"/>
      <c r="C436" s="2"/>
      <c r="D436" s="3"/>
      <c r="E436" s="3"/>
      <c r="F436" s="3"/>
      <c r="G436" s="3"/>
      <c r="H436" s="3"/>
      <c r="I436" s="3"/>
      <c r="J436" s="3"/>
      <c r="K436" s="3"/>
    </row>
    <row r="437" spans="2:11" x14ac:dyDescent="0.25">
      <c r="B437" s="2"/>
      <c r="C437" s="2"/>
      <c r="D437" s="3"/>
      <c r="E437" s="3"/>
      <c r="F437" s="3"/>
      <c r="G437" s="3"/>
      <c r="H437" s="3"/>
      <c r="I437" s="3"/>
      <c r="J437" s="3"/>
      <c r="K437" s="3"/>
    </row>
    <row r="438" spans="2:11" x14ac:dyDescent="0.25">
      <c r="B438" s="2"/>
      <c r="C438" s="2"/>
      <c r="D438" s="3"/>
      <c r="E438" s="3"/>
      <c r="F438" s="3"/>
      <c r="G438" s="3"/>
      <c r="H438" s="3"/>
      <c r="I438" s="3"/>
      <c r="J438" s="3"/>
      <c r="K438" s="3"/>
    </row>
    <row r="439" spans="2:11" x14ac:dyDescent="0.25">
      <c r="B439" s="2"/>
      <c r="C439" s="2"/>
      <c r="D439" s="3"/>
      <c r="E439" s="3"/>
      <c r="F439" s="3"/>
      <c r="G439" s="3"/>
      <c r="H439" s="3"/>
      <c r="I439" s="3"/>
      <c r="J439" s="3"/>
      <c r="K439" s="3"/>
    </row>
    <row r="440" spans="2:11" x14ac:dyDescent="0.25">
      <c r="B440" s="2"/>
      <c r="C440" s="2"/>
      <c r="D440" s="3"/>
      <c r="E440" s="3"/>
      <c r="F440" s="3"/>
      <c r="G440" s="3"/>
      <c r="H440" s="3"/>
      <c r="I440" s="3"/>
      <c r="J440" s="3"/>
      <c r="K440" s="3"/>
    </row>
    <row r="441" spans="2:11" x14ac:dyDescent="0.25">
      <c r="B441" s="2"/>
      <c r="C441" s="2"/>
      <c r="D441" s="3"/>
      <c r="E441" s="3"/>
      <c r="F441" s="3"/>
      <c r="G441" s="3"/>
      <c r="H441" s="3"/>
      <c r="I441" s="3"/>
      <c r="J441" s="3"/>
      <c r="K441" s="3"/>
    </row>
    <row r="442" spans="2:11" x14ac:dyDescent="0.25">
      <c r="B442" s="2"/>
      <c r="C442" s="2"/>
      <c r="D442" s="3"/>
      <c r="E442" s="3"/>
      <c r="F442" s="3"/>
      <c r="H442" s="3"/>
      <c r="I442" s="3"/>
      <c r="J442" s="3"/>
      <c r="K442" s="3"/>
    </row>
    <row r="443" spans="2:11" x14ac:dyDescent="0.25">
      <c r="B443" s="2"/>
      <c r="C443" s="2"/>
      <c r="D443" s="3"/>
      <c r="E443" s="3"/>
      <c r="F443" s="3"/>
      <c r="H443" s="3"/>
      <c r="I443" s="3"/>
      <c r="J443" s="3"/>
      <c r="K443" s="3"/>
    </row>
    <row r="444" spans="2:11" x14ac:dyDescent="0.25">
      <c r="B444" s="2"/>
      <c r="C444" s="2"/>
      <c r="D444" s="3"/>
      <c r="E444" s="3"/>
      <c r="F444" s="3"/>
      <c r="H444" s="3"/>
      <c r="I444" s="3"/>
      <c r="J444" s="3"/>
      <c r="K444" s="3"/>
    </row>
    <row r="445" spans="2:11" x14ac:dyDescent="0.25">
      <c r="B445" s="2"/>
      <c r="C445" s="2"/>
      <c r="D445" s="3"/>
      <c r="E445" s="3"/>
      <c r="F445" s="3"/>
      <c r="H445" s="3"/>
      <c r="I445" s="3"/>
      <c r="J445" s="3"/>
      <c r="K445" s="3"/>
    </row>
    <row r="446" spans="2:11" x14ac:dyDescent="0.25">
      <c r="B446" s="2"/>
      <c r="C446" s="2"/>
      <c r="D446" s="3"/>
      <c r="E446" s="3"/>
      <c r="F446" s="3"/>
      <c r="G446" s="3"/>
      <c r="H446" s="3"/>
      <c r="I446" s="3"/>
      <c r="J446" s="3"/>
      <c r="K446" s="3"/>
    </row>
    <row r="447" spans="2:11" x14ac:dyDescent="0.25">
      <c r="B447" s="2"/>
      <c r="C447" s="2"/>
      <c r="D447" s="3"/>
      <c r="E447" s="3"/>
      <c r="F447" s="3"/>
      <c r="G447" s="3"/>
      <c r="H447" s="3"/>
      <c r="I447" s="3"/>
      <c r="J447" s="3"/>
      <c r="K447" s="3"/>
    </row>
    <row r="448" spans="2:11" x14ac:dyDescent="0.25">
      <c r="B448" s="2"/>
      <c r="C448" s="2"/>
      <c r="D448" s="3"/>
      <c r="E448" s="3"/>
      <c r="F448" s="3"/>
      <c r="G448" s="3"/>
      <c r="H448" s="3"/>
      <c r="I448" s="3"/>
      <c r="J448" s="3"/>
      <c r="K448" s="3"/>
    </row>
    <row r="449" spans="2:11" x14ac:dyDescent="0.25">
      <c r="B449" s="2"/>
      <c r="C449" s="2"/>
      <c r="D449" s="3"/>
      <c r="E449" s="3"/>
      <c r="F449" s="3"/>
      <c r="H449" s="3"/>
      <c r="I449" s="3"/>
      <c r="J449" s="3"/>
      <c r="K449" s="3"/>
    </row>
    <row r="450" spans="2:11" x14ac:dyDescent="0.25">
      <c r="B450" s="2"/>
      <c r="C450" s="2"/>
      <c r="D450" s="3"/>
      <c r="E450" s="3"/>
      <c r="F450" s="3"/>
      <c r="G450" s="3"/>
      <c r="H450" s="3"/>
      <c r="I450" s="3"/>
      <c r="J450" s="3"/>
      <c r="K450" s="3"/>
    </row>
    <row r="451" spans="2:11" x14ac:dyDescent="0.25">
      <c r="B451" s="2"/>
      <c r="C451" s="2"/>
      <c r="D451" s="3"/>
      <c r="E451" s="3"/>
      <c r="F451" s="3"/>
      <c r="G451" s="3"/>
      <c r="H451" s="3"/>
      <c r="I451" s="3"/>
      <c r="J451" s="3"/>
      <c r="K451" s="3"/>
    </row>
    <row r="452" spans="2:11" x14ac:dyDescent="0.25">
      <c r="B452" s="2"/>
      <c r="C452" s="2"/>
      <c r="D452" s="3"/>
      <c r="E452" s="3"/>
      <c r="F452" s="3"/>
      <c r="G452" s="3"/>
      <c r="H452" s="3"/>
      <c r="I452" s="3"/>
      <c r="J452" s="3"/>
      <c r="K452" s="3"/>
    </row>
    <row r="453" spans="2:11" x14ac:dyDescent="0.25">
      <c r="B453" s="2"/>
      <c r="C453" s="2"/>
      <c r="D453" s="3"/>
      <c r="E453" s="3"/>
      <c r="F453" s="3"/>
      <c r="G453" s="3"/>
      <c r="H453" s="3"/>
    </row>
    <row r="454" spans="2:11" x14ac:dyDescent="0.25">
      <c r="B454" s="2"/>
      <c r="C454" s="2"/>
      <c r="D454" s="3"/>
      <c r="E454" s="3"/>
      <c r="F454" s="3"/>
      <c r="G454" s="3"/>
      <c r="H454" s="3"/>
    </row>
    <row r="455" spans="2:11" x14ac:dyDescent="0.25">
      <c r="B455" s="2"/>
      <c r="C455" s="2"/>
      <c r="D455" s="3"/>
      <c r="E455" s="3"/>
      <c r="F455" s="3"/>
      <c r="G455" s="3"/>
      <c r="H455" s="3"/>
    </row>
    <row r="456" spans="2:11" x14ac:dyDescent="0.25">
      <c r="B456" s="2"/>
      <c r="C456" s="2"/>
      <c r="D456" s="3"/>
      <c r="E456" s="3"/>
      <c r="F456" s="3"/>
      <c r="G456" s="3"/>
      <c r="H456" s="3"/>
      <c r="I456" s="3"/>
      <c r="J456" s="3"/>
      <c r="K456" s="3"/>
    </row>
    <row r="457" spans="2:11" x14ac:dyDescent="0.25">
      <c r="B457" s="2"/>
      <c r="C457" s="2"/>
      <c r="D457" s="3"/>
      <c r="E457" s="3"/>
      <c r="F457" s="3"/>
      <c r="G457" s="3"/>
      <c r="H457" s="3"/>
      <c r="I457" s="3"/>
      <c r="J457" s="3"/>
      <c r="K457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8CF79-9D40-FE4F-86E7-76AEB5C334F9}">
  <sheetPr codeName="Sheet21"/>
  <dimension ref="A1:K288"/>
  <sheetViews>
    <sheetView workbookViewId="0">
      <selection sqref="A1:XFD10"/>
    </sheetView>
  </sheetViews>
  <sheetFormatPr defaultColWidth="11" defaultRowHeight="15.75" x14ac:dyDescent="0.25"/>
  <cols>
    <col min="3" max="3" width="56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19000</v>
      </c>
      <c r="C3" s="10" t="str" cm="1">
        <f t="array" ref="C3">INDEX($B$11:$K$208, $A$3, C1)</f>
        <v>SCHIFF,TIGER'S MILK BAR</v>
      </c>
      <c r="D3" s="10" cm="1">
        <f t="array" ref="D3">INDEX($B$11:$K$74, $A$3, D1)</f>
        <v>16.8</v>
      </c>
      <c r="E3" s="10" cm="1">
        <f t="array" ref="E3">INDEX($B$11:$K$74, $A$3, E1)</f>
        <v>56.46</v>
      </c>
      <c r="F3" s="10" cm="1">
        <f t="array" ref="F3">INDEX($B$11:$K$74, $A$3, F1)</f>
        <v>2.2999999999999998</v>
      </c>
      <c r="G3" s="10" cm="1">
        <f t="array" ref="G3">INDEX($B$11:$K$74, $A$3, G1)</f>
        <v>36.4</v>
      </c>
      <c r="H3" s="10" cm="1">
        <f t="array" ref="H3">INDEX($B$11:$K$74, $A$3, H1)</f>
        <v>168</v>
      </c>
      <c r="I3" s="10" cm="1">
        <f t="array" ref="I3">INDEX($B$11:$K$74, $A$3, I1)</f>
        <v>2.073</v>
      </c>
      <c r="J3" s="10" cm="1">
        <f t="array" ref="J3">INDEX($B$11:$K$74, $A$3, J1)</f>
        <v>7.907</v>
      </c>
      <c r="K3" s="10" cm="1">
        <f t="array" ref="K3">INDEX($B$11:$K$74, $A$3, K1)</f>
        <v>3.6779999999999999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112.92</v>
      </c>
      <c r="F6" s="10">
        <f>A6*F3</f>
        <v>0</v>
      </c>
      <c r="G6" s="10">
        <f>A7*G3</f>
        <v>72.8</v>
      </c>
      <c r="H6" s="12">
        <f>A6*H3</f>
        <v>0</v>
      </c>
      <c r="I6" s="12">
        <f>A6*I3</f>
        <v>0</v>
      </c>
      <c r="J6" s="12">
        <f>A7*J3</f>
        <v>15.814</v>
      </c>
      <c r="K6" s="10">
        <f>A7*K3</f>
        <v>7.3559999999999999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6669</v>
      </c>
      <c r="C11" s="2" t="s">
        <v>6670</v>
      </c>
      <c r="D11" s="3">
        <v>16.8</v>
      </c>
      <c r="E11" s="3">
        <v>56.46</v>
      </c>
      <c r="F11" s="3">
        <v>2.2999999999999998</v>
      </c>
      <c r="G11" s="3">
        <v>36.4</v>
      </c>
      <c r="H11" s="3">
        <v>168</v>
      </c>
      <c r="I11" s="3">
        <v>2.073</v>
      </c>
      <c r="J11" s="3">
        <v>7.907</v>
      </c>
      <c r="K11" s="3">
        <v>3.6779999999999999</v>
      </c>
    </row>
    <row r="12" spans="1:11" x14ac:dyDescent="0.25">
      <c r="B12" s="2" t="s">
        <v>6671</v>
      </c>
      <c r="C12" s="2" t="s">
        <v>6672</v>
      </c>
      <c r="D12" s="3">
        <v>5.71</v>
      </c>
      <c r="E12" s="3">
        <v>61.21</v>
      </c>
      <c r="F12" s="3">
        <v>2.5</v>
      </c>
      <c r="G12" s="3">
        <v>55.74</v>
      </c>
      <c r="H12" s="3">
        <v>54</v>
      </c>
      <c r="I12" s="3">
        <v>17.143000000000001</v>
      </c>
      <c r="J12" s="3">
        <v>3.7440000000000002</v>
      </c>
      <c r="K12" s="3">
        <v>3.234</v>
      </c>
    </row>
    <row r="13" spans="1:11" x14ac:dyDescent="0.25">
      <c r="B13" s="2" t="s">
        <v>6673</v>
      </c>
      <c r="C13" s="2" t="s">
        <v>6674</v>
      </c>
      <c r="D13" s="3">
        <v>33.200000000000003</v>
      </c>
      <c r="E13" s="3">
        <v>11</v>
      </c>
      <c r="F13" s="3">
        <v>1.8</v>
      </c>
      <c r="G13" s="3">
        <v>9</v>
      </c>
      <c r="H13" s="3">
        <v>2081</v>
      </c>
      <c r="I13" s="3">
        <v>10.85</v>
      </c>
      <c r="J13" s="3">
        <v>11.305</v>
      </c>
      <c r="K13" s="3">
        <v>1.0109999999999999</v>
      </c>
    </row>
    <row r="14" spans="1:11" x14ac:dyDescent="0.25">
      <c r="B14" s="2" t="s">
        <v>6675</v>
      </c>
      <c r="C14" s="2" t="s">
        <v>6676</v>
      </c>
      <c r="D14" s="3">
        <v>6.17</v>
      </c>
      <c r="E14" s="3">
        <v>56.9</v>
      </c>
      <c r="F14" s="3">
        <v>4</v>
      </c>
      <c r="G14" s="3">
        <v>0.27</v>
      </c>
      <c r="H14" s="3">
        <v>514</v>
      </c>
      <c r="I14" s="3">
        <v>4.3310000000000004</v>
      </c>
      <c r="J14" s="3">
        <v>9.1340000000000003</v>
      </c>
      <c r="K14" s="3">
        <v>16.437999999999999</v>
      </c>
    </row>
    <row r="15" spans="1:11" x14ac:dyDescent="0.25">
      <c r="B15" s="2" t="s">
        <v>6677</v>
      </c>
      <c r="C15" s="2" t="s">
        <v>6678</v>
      </c>
      <c r="D15" s="3">
        <v>7</v>
      </c>
      <c r="E15" s="3">
        <v>56.2</v>
      </c>
      <c r="F15" s="3">
        <v>5.2</v>
      </c>
      <c r="H15" s="3">
        <v>763</v>
      </c>
      <c r="I15" s="3">
        <v>4.46</v>
      </c>
      <c r="J15" s="3">
        <v>9.48</v>
      </c>
      <c r="K15" s="3">
        <v>16.170000000000002</v>
      </c>
    </row>
    <row r="16" spans="1:11" x14ac:dyDescent="0.25">
      <c r="B16" s="2" t="s">
        <v>6679</v>
      </c>
      <c r="C16" s="2" t="s">
        <v>6680</v>
      </c>
      <c r="D16" s="3">
        <v>5.8</v>
      </c>
      <c r="E16" s="3">
        <v>62.9</v>
      </c>
      <c r="F16" s="3">
        <v>1.1000000000000001</v>
      </c>
      <c r="H16" s="3">
        <v>1022</v>
      </c>
      <c r="I16" s="3">
        <v>22.75</v>
      </c>
      <c r="J16" s="3">
        <v>1.7</v>
      </c>
      <c r="K16" s="3">
        <v>0.78</v>
      </c>
    </row>
    <row r="17" spans="2:11" x14ac:dyDescent="0.25">
      <c r="B17" s="2" t="s">
        <v>6681</v>
      </c>
      <c r="C17" s="2" t="s">
        <v>6682</v>
      </c>
      <c r="D17" s="3">
        <v>7.7</v>
      </c>
      <c r="E17" s="3">
        <v>65.099999999999994</v>
      </c>
      <c r="F17" s="3">
        <v>3.9</v>
      </c>
      <c r="G17" s="3">
        <v>4.83</v>
      </c>
      <c r="H17" s="3">
        <v>950</v>
      </c>
      <c r="I17" s="3">
        <v>4.34</v>
      </c>
      <c r="J17" s="3">
        <v>13.36</v>
      </c>
      <c r="K17" s="3">
        <v>3.14</v>
      </c>
    </row>
    <row r="18" spans="2:11" x14ac:dyDescent="0.25">
      <c r="B18" s="2" t="s">
        <v>6683</v>
      </c>
      <c r="C18" s="2" t="s">
        <v>6684</v>
      </c>
      <c r="D18" s="3">
        <v>5.46</v>
      </c>
      <c r="E18" s="3">
        <v>54.54</v>
      </c>
      <c r="F18" s="3">
        <v>0.8</v>
      </c>
      <c r="G18" s="3">
        <v>3.57</v>
      </c>
      <c r="H18" s="3">
        <v>928</v>
      </c>
      <c r="I18" s="3">
        <v>3.7490000000000001</v>
      </c>
      <c r="J18" s="3">
        <v>0.47799999999999998</v>
      </c>
      <c r="K18" s="3">
        <v>17.934000000000001</v>
      </c>
    </row>
    <row r="19" spans="2:11" x14ac:dyDescent="0.25">
      <c r="B19" s="2" t="s">
        <v>6685</v>
      </c>
      <c r="C19" s="2" t="s">
        <v>6686</v>
      </c>
      <c r="D19" s="3">
        <v>8.5</v>
      </c>
      <c r="E19" s="3">
        <v>71.86</v>
      </c>
      <c r="F19" s="3">
        <v>6.9</v>
      </c>
      <c r="G19" s="3">
        <v>0.61</v>
      </c>
      <c r="H19" s="3">
        <v>564</v>
      </c>
      <c r="I19" s="3">
        <v>2.4300000000000002</v>
      </c>
      <c r="J19" s="3">
        <v>9.4600000000000009</v>
      </c>
      <c r="K19" s="3">
        <v>3.05</v>
      </c>
    </row>
    <row r="20" spans="2:11" x14ac:dyDescent="0.25">
      <c r="B20" s="2" t="s">
        <v>6687</v>
      </c>
      <c r="C20" s="2" t="s">
        <v>6688</v>
      </c>
      <c r="D20" s="3">
        <v>5.0999999999999996</v>
      </c>
      <c r="E20" s="3">
        <v>73</v>
      </c>
      <c r="F20" s="3">
        <v>2.2000000000000002</v>
      </c>
      <c r="H20" s="3">
        <v>278</v>
      </c>
      <c r="I20" s="3">
        <v>5.24</v>
      </c>
      <c r="J20" s="3">
        <v>3.99</v>
      </c>
      <c r="K20" s="3">
        <v>3.65</v>
      </c>
    </row>
    <row r="21" spans="2:11" x14ac:dyDescent="0.25">
      <c r="B21" s="2" t="s">
        <v>6689</v>
      </c>
      <c r="C21" s="2" t="s">
        <v>6690</v>
      </c>
      <c r="D21" s="3">
        <v>1</v>
      </c>
      <c r="E21" s="3">
        <v>82.82</v>
      </c>
      <c r="F21" s="3">
        <v>0</v>
      </c>
      <c r="G21" s="3">
        <v>57.58</v>
      </c>
      <c r="H21" s="3">
        <v>403</v>
      </c>
      <c r="I21" s="3">
        <v>0.65</v>
      </c>
      <c r="J21" s="3">
        <v>1.48</v>
      </c>
      <c r="K21" s="3">
        <v>0.55000000000000004</v>
      </c>
    </row>
    <row r="22" spans="2:11" x14ac:dyDescent="0.25">
      <c r="B22" s="2" t="s">
        <v>6691</v>
      </c>
      <c r="C22" s="2" t="s">
        <v>6692</v>
      </c>
      <c r="D22" s="3">
        <v>0.1</v>
      </c>
      <c r="E22" s="3">
        <v>85.8</v>
      </c>
      <c r="F22" s="3">
        <v>0</v>
      </c>
      <c r="G22" s="3">
        <v>49.16</v>
      </c>
      <c r="H22" s="3">
        <v>317</v>
      </c>
      <c r="I22" s="3">
        <v>0.67200000000000004</v>
      </c>
      <c r="J22" s="3">
        <v>1.48</v>
      </c>
      <c r="K22" s="3">
        <v>0.55200000000000005</v>
      </c>
    </row>
    <row r="23" spans="2:11" x14ac:dyDescent="0.25">
      <c r="B23" s="2" t="s">
        <v>6693</v>
      </c>
      <c r="C23" s="2" t="s">
        <v>6694</v>
      </c>
      <c r="D23" s="3">
        <v>10.1</v>
      </c>
      <c r="E23" s="3">
        <v>64.400000000000006</v>
      </c>
      <c r="F23" s="3">
        <v>5.3</v>
      </c>
      <c r="G23" s="3">
        <v>28.57</v>
      </c>
      <c r="H23" s="3">
        <v>294</v>
      </c>
      <c r="I23" s="3">
        <v>2.37</v>
      </c>
      <c r="J23" s="3">
        <v>4.38</v>
      </c>
      <c r="K23" s="3">
        <v>12.05</v>
      </c>
    </row>
    <row r="24" spans="2:11" x14ac:dyDescent="0.25">
      <c r="B24" s="2" t="s">
        <v>6695</v>
      </c>
      <c r="C24" s="2" t="s">
        <v>6696</v>
      </c>
      <c r="D24" s="3">
        <v>7.7</v>
      </c>
      <c r="E24" s="3">
        <v>62</v>
      </c>
      <c r="F24" s="3">
        <v>4.8</v>
      </c>
      <c r="H24" s="3">
        <v>256</v>
      </c>
      <c r="I24" s="3">
        <v>12.51</v>
      </c>
      <c r="J24" s="3">
        <v>7.74</v>
      </c>
      <c r="K24" s="3">
        <v>3.76</v>
      </c>
    </row>
    <row r="25" spans="2:11" x14ac:dyDescent="0.25">
      <c r="B25" s="2" t="s">
        <v>6697</v>
      </c>
      <c r="C25" s="2" t="s">
        <v>6698</v>
      </c>
      <c r="D25" s="3">
        <v>7.3</v>
      </c>
      <c r="E25" s="3">
        <v>72.099999999999994</v>
      </c>
      <c r="F25" s="3">
        <v>4.4000000000000004</v>
      </c>
      <c r="H25" s="3">
        <v>344</v>
      </c>
      <c r="I25" s="3">
        <v>11.41</v>
      </c>
      <c r="J25" s="3">
        <v>2.63</v>
      </c>
      <c r="K25" s="3">
        <v>1.27</v>
      </c>
    </row>
    <row r="26" spans="2:11" x14ac:dyDescent="0.25">
      <c r="B26" s="2" t="s">
        <v>6699</v>
      </c>
      <c r="C26" s="2" t="s">
        <v>6700</v>
      </c>
      <c r="D26" s="3">
        <v>0</v>
      </c>
      <c r="E26" s="3">
        <v>85.13</v>
      </c>
      <c r="F26" s="3">
        <v>0.1</v>
      </c>
      <c r="G26" s="3">
        <v>53</v>
      </c>
      <c r="H26" s="3">
        <v>0</v>
      </c>
      <c r="I26" s="3">
        <v>0</v>
      </c>
      <c r="J26" s="3">
        <v>0</v>
      </c>
      <c r="K26" s="3">
        <v>0</v>
      </c>
    </row>
    <row r="27" spans="2:11" x14ac:dyDescent="0.25">
      <c r="B27" s="2" t="s">
        <v>6701</v>
      </c>
      <c r="C27" s="2" t="s">
        <v>6702</v>
      </c>
      <c r="D27" s="3">
        <v>7.4</v>
      </c>
      <c r="E27" s="3">
        <v>67.3</v>
      </c>
      <c r="F27" s="3">
        <v>4.5999999999999996</v>
      </c>
      <c r="H27" s="3">
        <v>278</v>
      </c>
      <c r="I27" s="3">
        <v>7.25</v>
      </c>
      <c r="J27" s="3">
        <v>3.82</v>
      </c>
      <c r="K27" s="3">
        <v>5.32</v>
      </c>
    </row>
    <row r="28" spans="2:11" x14ac:dyDescent="0.25">
      <c r="B28" s="2" t="s">
        <v>6703</v>
      </c>
      <c r="C28" s="2" t="s">
        <v>6704</v>
      </c>
      <c r="D28" s="3">
        <v>10.5</v>
      </c>
      <c r="E28" s="3">
        <v>64.400000000000006</v>
      </c>
      <c r="F28" s="3">
        <v>4.3</v>
      </c>
      <c r="H28" s="3">
        <v>409</v>
      </c>
      <c r="I28" s="3">
        <v>3.65</v>
      </c>
      <c r="J28" s="3">
        <v>6.59</v>
      </c>
      <c r="K28" s="3">
        <v>4.2699999999999996</v>
      </c>
    </row>
    <row r="29" spans="2:11" x14ac:dyDescent="0.25">
      <c r="B29" s="2" t="s">
        <v>6705</v>
      </c>
      <c r="C29" s="2" t="s">
        <v>6706</v>
      </c>
      <c r="D29" s="3">
        <v>7.6</v>
      </c>
      <c r="E29" s="3">
        <v>66.400000000000006</v>
      </c>
      <c r="F29" s="3">
        <v>4.2</v>
      </c>
      <c r="H29" s="3">
        <v>282</v>
      </c>
      <c r="I29" s="3">
        <v>9.57</v>
      </c>
      <c r="J29" s="3">
        <v>2.84</v>
      </c>
      <c r="K29" s="3">
        <v>3.21</v>
      </c>
    </row>
    <row r="30" spans="2:11" x14ac:dyDescent="0.25">
      <c r="B30" s="2" t="s">
        <v>6707</v>
      </c>
      <c r="C30" s="2" t="s">
        <v>6708</v>
      </c>
      <c r="D30" s="3">
        <v>5.8</v>
      </c>
      <c r="E30" s="3">
        <v>63.8</v>
      </c>
      <c r="F30" s="3">
        <v>3.4</v>
      </c>
      <c r="H30" s="3">
        <v>200</v>
      </c>
      <c r="I30" s="3">
        <v>14.22</v>
      </c>
      <c r="J30" s="3">
        <v>7.77</v>
      </c>
      <c r="K30" s="3">
        <v>1.82</v>
      </c>
    </row>
    <row r="31" spans="2:11" x14ac:dyDescent="0.25">
      <c r="B31" s="2" t="s">
        <v>6709</v>
      </c>
      <c r="C31" s="2" t="s">
        <v>6710</v>
      </c>
      <c r="D31" s="3">
        <v>8.7200000000000006</v>
      </c>
      <c r="E31" s="3">
        <v>67.41</v>
      </c>
      <c r="F31" s="3">
        <v>1.9</v>
      </c>
      <c r="G31" s="3">
        <v>62.68</v>
      </c>
      <c r="H31" s="3">
        <v>174</v>
      </c>
      <c r="I31" s="3">
        <v>5.7350000000000003</v>
      </c>
      <c r="J31" s="3">
        <v>8.4960000000000004</v>
      </c>
      <c r="K31" s="3">
        <v>4.7939999999999996</v>
      </c>
    </row>
    <row r="32" spans="2:11" x14ac:dyDescent="0.25">
      <c r="B32" s="2" t="s">
        <v>6711</v>
      </c>
      <c r="C32" s="2" t="s">
        <v>6712</v>
      </c>
      <c r="D32" s="3">
        <v>10.199999999999999</v>
      </c>
      <c r="E32" s="3">
        <v>53.4</v>
      </c>
      <c r="F32" s="3">
        <v>2.8</v>
      </c>
      <c r="G32" s="3">
        <v>23.74</v>
      </c>
      <c r="H32" s="3">
        <v>193</v>
      </c>
      <c r="I32" s="3">
        <v>17.010000000000002</v>
      </c>
      <c r="J32" s="3">
        <v>6.54</v>
      </c>
      <c r="K32" s="3">
        <v>1.9</v>
      </c>
    </row>
    <row r="33" spans="2:11" x14ac:dyDescent="0.25">
      <c r="B33" s="2" t="s">
        <v>6713</v>
      </c>
      <c r="C33" s="2" t="s">
        <v>6714</v>
      </c>
      <c r="D33" s="3">
        <v>9.8000000000000007</v>
      </c>
      <c r="E33" s="3">
        <v>62.2</v>
      </c>
      <c r="F33" s="3">
        <v>4.2</v>
      </c>
      <c r="H33" s="3">
        <v>328</v>
      </c>
      <c r="I33" s="3">
        <v>5.59</v>
      </c>
      <c r="J33" s="3">
        <v>8.36</v>
      </c>
      <c r="K33" s="3">
        <v>4.6100000000000003</v>
      </c>
    </row>
    <row r="34" spans="2:11" x14ac:dyDescent="0.25">
      <c r="B34" s="2" t="s">
        <v>6715</v>
      </c>
      <c r="C34" s="2" t="s">
        <v>6716</v>
      </c>
      <c r="D34" s="3">
        <v>2.94</v>
      </c>
      <c r="E34" s="3">
        <v>50.07</v>
      </c>
      <c r="F34" s="3">
        <v>2.9</v>
      </c>
      <c r="G34" s="3">
        <v>47.06</v>
      </c>
      <c r="H34" s="3">
        <v>29</v>
      </c>
      <c r="I34" s="3">
        <v>20.59</v>
      </c>
      <c r="J34" s="3">
        <v>6.1559999999999997</v>
      </c>
      <c r="K34" s="3">
        <v>15.093999999999999</v>
      </c>
    </row>
    <row r="35" spans="2:11" x14ac:dyDescent="0.25">
      <c r="B35" s="2" t="s">
        <v>6717</v>
      </c>
      <c r="C35" s="2" t="s">
        <v>6718</v>
      </c>
      <c r="D35" s="3">
        <v>0</v>
      </c>
      <c r="E35" s="3">
        <v>65.099999999999994</v>
      </c>
      <c r="F35" s="3">
        <v>0</v>
      </c>
      <c r="G35" s="3">
        <v>65</v>
      </c>
      <c r="H35" s="3">
        <v>0</v>
      </c>
      <c r="I35" s="3">
        <v>0</v>
      </c>
      <c r="J35" s="3">
        <v>0</v>
      </c>
      <c r="K35" s="3">
        <v>0</v>
      </c>
    </row>
    <row r="36" spans="2:11" x14ac:dyDescent="0.25">
      <c r="B36" s="2" t="s">
        <v>6719</v>
      </c>
      <c r="C36" s="2" t="s">
        <v>6720</v>
      </c>
      <c r="D36" s="3">
        <v>17.309999999999999</v>
      </c>
      <c r="E36" s="3">
        <v>51.62</v>
      </c>
      <c r="F36" s="3">
        <v>13.2</v>
      </c>
      <c r="G36" s="3">
        <v>3</v>
      </c>
      <c r="H36" s="3">
        <v>413</v>
      </c>
      <c r="I36" s="3">
        <v>3.7850000000000001</v>
      </c>
      <c r="J36" s="3">
        <v>9.86</v>
      </c>
      <c r="K36" s="3">
        <v>10.643000000000001</v>
      </c>
    </row>
    <row r="37" spans="2:11" x14ac:dyDescent="0.25">
      <c r="B37" s="2" t="s">
        <v>6721</v>
      </c>
      <c r="C37" s="2" t="s">
        <v>6722</v>
      </c>
      <c r="D37" s="3">
        <v>8.83</v>
      </c>
      <c r="E37" s="3">
        <v>75.69</v>
      </c>
      <c r="F37" s="3">
        <v>5.8</v>
      </c>
      <c r="G37" s="3">
        <v>7.35</v>
      </c>
      <c r="H37" s="3">
        <v>696</v>
      </c>
      <c r="I37" s="3">
        <v>1.601</v>
      </c>
      <c r="J37" s="3">
        <v>4.4589999999999996</v>
      </c>
      <c r="K37" s="3">
        <v>3.7509999999999999</v>
      </c>
    </row>
    <row r="38" spans="2:11" x14ac:dyDescent="0.25">
      <c r="B38" s="2" t="s">
        <v>6723</v>
      </c>
      <c r="C38" s="2" t="s">
        <v>6724</v>
      </c>
      <c r="D38" s="3">
        <v>12.94</v>
      </c>
      <c r="E38" s="3">
        <v>77.78</v>
      </c>
      <c r="F38" s="3">
        <v>14.5</v>
      </c>
      <c r="G38" s="3">
        <v>0.87</v>
      </c>
      <c r="H38" s="3">
        <v>8</v>
      </c>
      <c r="I38" s="3">
        <v>0.63700000000000001</v>
      </c>
      <c r="J38" s="3">
        <v>0.95</v>
      </c>
      <c r="K38" s="3">
        <v>2.3180000000000001</v>
      </c>
    </row>
    <row r="39" spans="2:11" x14ac:dyDescent="0.25">
      <c r="B39" s="2" t="s">
        <v>6725</v>
      </c>
      <c r="C39" s="2" t="s">
        <v>6726</v>
      </c>
      <c r="D39" s="3">
        <v>7.29</v>
      </c>
      <c r="E39" s="3">
        <v>45.06</v>
      </c>
      <c r="F39" s="3">
        <v>8.1</v>
      </c>
      <c r="G39" s="3">
        <v>0.46</v>
      </c>
      <c r="H39" s="3">
        <v>679</v>
      </c>
      <c r="I39" s="3">
        <v>6.82</v>
      </c>
      <c r="J39" s="3">
        <v>9.8089999999999993</v>
      </c>
      <c r="K39" s="3">
        <v>23.190999999999999</v>
      </c>
    </row>
    <row r="40" spans="2:11" x14ac:dyDescent="0.25">
      <c r="B40" s="2" t="s">
        <v>6727</v>
      </c>
      <c r="C40" s="2" t="s">
        <v>6728</v>
      </c>
      <c r="D40" s="3">
        <v>9.6999999999999993</v>
      </c>
      <c r="E40" s="3">
        <v>80.099999999999994</v>
      </c>
      <c r="F40" s="3">
        <v>2.9</v>
      </c>
      <c r="G40" s="3">
        <v>0.72</v>
      </c>
      <c r="H40" s="3">
        <v>288</v>
      </c>
      <c r="I40" s="3">
        <v>0.48</v>
      </c>
      <c r="J40" s="3">
        <v>0.92</v>
      </c>
      <c r="K40" s="3">
        <v>1.35</v>
      </c>
    </row>
    <row r="41" spans="2:11" x14ac:dyDescent="0.25">
      <c r="B41" s="2" t="s">
        <v>6729</v>
      </c>
      <c r="C41" s="2" t="s">
        <v>6730</v>
      </c>
      <c r="D41" s="3">
        <v>6.4</v>
      </c>
      <c r="E41" s="3">
        <v>80.7</v>
      </c>
      <c r="F41" s="3">
        <v>3.8</v>
      </c>
      <c r="G41" s="3">
        <v>45.36</v>
      </c>
      <c r="H41" s="3">
        <v>177</v>
      </c>
      <c r="I41" s="3">
        <v>1.04</v>
      </c>
      <c r="J41" s="3">
        <v>2.73</v>
      </c>
      <c r="K41" s="3">
        <v>3.27</v>
      </c>
    </row>
    <row r="42" spans="2:11" x14ac:dyDescent="0.25">
      <c r="B42" s="2" t="s">
        <v>6731</v>
      </c>
      <c r="C42" s="2" t="s">
        <v>6732</v>
      </c>
      <c r="D42" s="3">
        <v>3.8</v>
      </c>
      <c r="E42" s="3">
        <v>79.099999999999994</v>
      </c>
      <c r="F42" s="3">
        <v>5.2</v>
      </c>
      <c r="G42" s="3">
        <v>53.19</v>
      </c>
      <c r="H42" s="3">
        <v>206</v>
      </c>
      <c r="I42" s="3">
        <v>3.61</v>
      </c>
      <c r="J42" s="3">
        <v>2.88</v>
      </c>
      <c r="K42" s="3">
        <v>4.4800000000000004</v>
      </c>
    </row>
    <row r="43" spans="2:11" x14ac:dyDescent="0.25">
      <c r="B43" s="2" t="s">
        <v>6733</v>
      </c>
      <c r="C43" s="2" t="s">
        <v>6734</v>
      </c>
      <c r="D43" s="3">
        <v>9.3000000000000007</v>
      </c>
      <c r="E43" s="3">
        <v>51.6</v>
      </c>
      <c r="F43" s="3">
        <v>9.9</v>
      </c>
      <c r="G43" s="3">
        <v>0.79</v>
      </c>
      <c r="H43" s="3">
        <v>889</v>
      </c>
      <c r="I43" s="3">
        <v>6.41</v>
      </c>
      <c r="J43" s="3">
        <v>9.6999999999999993</v>
      </c>
      <c r="K43" s="3">
        <v>15.37</v>
      </c>
    </row>
    <row r="44" spans="2:11" x14ac:dyDescent="0.25">
      <c r="B44" s="2" t="s">
        <v>6735</v>
      </c>
      <c r="C44" s="2" t="s">
        <v>6736</v>
      </c>
      <c r="D44" s="3">
        <v>61.3</v>
      </c>
      <c r="E44" s="3">
        <v>0</v>
      </c>
      <c r="F44" s="3">
        <v>0</v>
      </c>
      <c r="G44" s="3">
        <v>0</v>
      </c>
      <c r="H44" s="3">
        <v>1818</v>
      </c>
      <c r="I44" s="3">
        <v>11.37</v>
      </c>
      <c r="J44" s="3">
        <v>14.78</v>
      </c>
      <c r="K44" s="3">
        <v>3.64</v>
      </c>
    </row>
    <row r="45" spans="2:11" x14ac:dyDescent="0.25">
      <c r="B45" s="2" t="s">
        <v>6737</v>
      </c>
      <c r="C45" s="2" t="s">
        <v>6738</v>
      </c>
      <c r="D45" s="3">
        <v>6.51</v>
      </c>
      <c r="E45" s="3">
        <v>55.92</v>
      </c>
      <c r="F45" s="3">
        <v>3.8</v>
      </c>
      <c r="G45" s="3">
        <v>5.47</v>
      </c>
      <c r="H45" s="3">
        <v>545</v>
      </c>
      <c r="I45" s="3">
        <v>4.0019999999999998</v>
      </c>
      <c r="J45" s="3">
        <v>13.221</v>
      </c>
      <c r="K45" s="3">
        <v>12.207000000000001</v>
      </c>
    </row>
    <row r="46" spans="2:11" x14ac:dyDescent="0.25">
      <c r="B46" s="2" t="s">
        <v>6739</v>
      </c>
      <c r="C46" s="2" t="s">
        <v>6740</v>
      </c>
      <c r="D46" s="3">
        <v>8.1</v>
      </c>
      <c r="E46" s="3">
        <v>51.5</v>
      </c>
      <c r="F46" s="3">
        <v>5.2</v>
      </c>
      <c r="H46" s="3">
        <v>549</v>
      </c>
      <c r="I46" s="3">
        <v>8.89</v>
      </c>
      <c r="J46" s="3">
        <v>6.12</v>
      </c>
      <c r="K46" s="3">
        <v>17.420000000000002</v>
      </c>
    </row>
    <row r="47" spans="2:11" x14ac:dyDescent="0.25">
      <c r="B47" s="2" t="s">
        <v>6741</v>
      </c>
      <c r="C47" s="2" t="s">
        <v>6742</v>
      </c>
      <c r="D47" s="3">
        <v>4.5599999999999996</v>
      </c>
      <c r="E47" s="3">
        <v>64.760000000000005</v>
      </c>
      <c r="F47" s="3">
        <v>3.2</v>
      </c>
      <c r="G47" s="3">
        <v>0.63</v>
      </c>
      <c r="H47" s="3">
        <v>450</v>
      </c>
      <c r="I47" s="3">
        <v>6.7590000000000003</v>
      </c>
      <c r="J47" s="3">
        <v>4.5529999999999999</v>
      </c>
      <c r="K47" s="3">
        <v>12.201000000000001</v>
      </c>
    </row>
    <row r="48" spans="2:11" x14ac:dyDescent="0.25">
      <c r="B48" s="2" t="s">
        <v>6743</v>
      </c>
      <c r="C48" s="2" t="s">
        <v>6744</v>
      </c>
      <c r="D48" s="3">
        <v>6.6</v>
      </c>
      <c r="E48" s="3">
        <v>51.3</v>
      </c>
      <c r="F48" s="3">
        <v>1.2</v>
      </c>
      <c r="H48" s="3">
        <v>541</v>
      </c>
      <c r="I48" s="3">
        <v>9.4700000000000006</v>
      </c>
      <c r="J48" s="3">
        <v>7.12</v>
      </c>
      <c r="K48" s="3">
        <v>18.78</v>
      </c>
    </row>
    <row r="49" spans="2:11" x14ac:dyDescent="0.25">
      <c r="B49" s="2" t="s">
        <v>6745</v>
      </c>
      <c r="C49" s="2" t="s">
        <v>6746</v>
      </c>
      <c r="D49" s="3">
        <v>10.039999999999999</v>
      </c>
      <c r="E49" s="3">
        <v>80.39</v>
      </c>
      <c r="F49" s="3">
        <v>3.4</v>
      </c>
      <c r="G49" s="3">
        <v>2.21</v>
      </c>
      <c r="H49" s="3">
        <v>1240</v>
      </c>
      <c r="I49" s="3">
        <v>0.39100000000000001</v>
      </c>
      <c r="J49" s="3">
        <v>0.72699999999999998</v>
      </c>
      <c r="K49" s="3">
        <v>1.2909999999999999</v>
      </c>
    </row>
    <row r="50" spans="2:11" x14ac:dyDescent="0.25">
      <c r="B50" s="2" t="s">
        <v>6747</v>
      </c>
      <c r="C50" s="2" t="s">
        <v>6748</v>
      </c>
      <c r="D50" s="3">
        <v>7.5</v>
      </c>
      <c r="E50" s="3">
        <v>70.900000000000006</v>
      </c>
      <c r="F50" s="3">
        <v>2.4</v>
      </c>
      <c r="G50" s="3">
        <v>38.799999999999997</v>
      </c>
      <c r="H50" s="3">
        <v>569</v>
      </c>
      <c r="I50" s="3">
        <v>7.68</v>
      </c>
      <c r="J50" s="3">
        <v>5.39</v>
      </c>
      <c r="K50" s="3">
        <v>2.15</v>
      </c>
    </row>
    <row r="51" spans="2:11" x14ac:dyDescent="0.25">
      <c r="B51" s="2" t="s">
        <v>6749</v>
      </c>
      <c r="C51" s="2" t="s">
        <v>6750</v>
      </c>
      <c r="D51" s="3">
        <v>9.85</v>
      </c>
      <c r="E51" s="3">
        <v>66.5</v>
      </c>
      <c r="F51" s="3">
        <v>3.6</v>
      </c>
      <c r="G51" s="3">
        <v>17.600000000000001</v>
      </c>
      <c r="H51" s="3">
        <v>1117</v>
      </c>
      <c r="I51" s="3">
        <v>9.6560000000000006</v>
      </c>
      <c r="J51" s="3">
        <v>3.806</v>
      </c>
      <c r="K51" s="3">
        <v>1.3540000000000001</v>
      </c>
    </row>
    <row r="52" spans="2:11" x14ac:dyDescent="0.25">
      <c r="B52" s="2" t="s">
        <v>6751</v>
      </c>
      <c r="C52" s="2" t="s">
        <v>6752</v>
      </c>
      <c r="D52" s="3">
        <v>11.1</v>
      </c>
      <c r="E52" s="3">
        <v>81.3</v>
      </c>
      <c r="F52" s="3">
        <v>7.7</v>
      </c>
      <c r="H52" s="3">
        <v>203</v>
      </c>
      <c r="I52" s="3">
        <v>0.56000000000000005</v>
      </c>
      <c r="J52" s="3">
        <v>1.03</v>
      </c>
      <c r="K52" s="3">
        <v>0.83</v>
      </c>
    </row>
    <row r="53" spans="2:11" x14ac:dyDescent="0.25">
      <c r="B53" s="2" t="s">
        <v>6753</v>
      </c>
      <c r="C53" s="2" t="s">
        <v>6754</v>
      </c>
      <c r="D53" s="3">
        <v>8.1999999999999993</v>
      </c>
      <c r="E53" s="3">
        <v>81.5</v>
      </c>
      <c r="F53" s="3">
        <v>4.2</v>
      </c>
      <c r="G53" s="3">
        <v>0.89</v>
      </c>
      <c r="H53" s="3">
        <v>326</v>
      </c>
      <c r="I53" s="3">
        <v>0.56999999999999995</v>
      </c>
      <c r="J53" s="3">
        <v>1.03</v>
      </c>
      <c r="K53" s="3">
        <v>0.99</v>
      </c>
    </row>
    <row r="54" spans="2:11" x14ac:dyDescent="0.25">
      <c r="B54" s="2" t="s">
        <v>6755</v>
      </c>
      <c r="C54" s="2" t="s">
        <v>6756</v>
      </c>
      <c r="D54" s="3">
        <v>9</v>
      </c>
      <c r="E54" s="3">
        <v>80.099999999999994</v>
      </c>
      <c r="F54" s="3">
        <v>3.8</v>
      </c>
      <c r="H54" s="3">
        <v>116</v>
      </c>
      <c r="I54" s="3">
        <v>0.64</v>
      </c>
      <c r="J54" s="3">
        <v>1.1100000000000001</v>
      </c>
      <c r="K54" s="3">
        <v>1.1100000000000001</v>
      </c>
    </row>
    <row r="55" spans="2:11" x14ac:dyDescent="0.25">
      <c r="B55" s="2" t="s">
        <v>6757</v>
      </c>
      <c r="C55" s="2" t="s">
        <v>6758</v>
      </c>
      <c r="D55" s="3">
        <v>7.6</v>
      </c>
      <c r="E55" s="3">
        <v>81.5</v>
      </c>
      <c r="F55" s="3">
        <v>5.4</v>
      </c>
      <c r="H55" s="3">
        <v>227</v>
      </c>
      <c r="I55" s="3">
        <v>0.54</v>
      </c>
      <c r="J55" s="3">
        <v>1.1000000000000001</v>
      </c>
      <c r="K55" s="3">
        <v>1.1499999999999999</v>
      </c>
    </row>
    <row r="56" spans="2:11" x14ac:dyDescent="0.25">
      <c r="B56" s="2" t="s">
        <v>6759</v>
      </c>
      <c r="C56" s="2" t="s">
        <v>6760</v>
      </c>
      <c r="D56" s="3">
        <v>7.1</v>
      </c>
      <c r="E56" s="3">
        <v>67.78</v>
      </c>
      <c r="F56" s="3">
        <v>5.4</v>
      </c>
      <c r="G56" s="3">
        <v>0.78</v>
      </c>
      <c r="H56" s="3">
        <v>328</v>
      </c>
      <c r="I56" s="3">
        <v>2.8109999999999999</v>
      </c>
      <c r="J56" s="3">
        <v>5.6639999999999997</v>
      </c>
      <c r="K56" s="3">
        <v>10.769</v>
      </c>
    </row>
    <row r="57" spans="2:11" x14ac:dyDescent="0.25">
      <c r="B57" s="2" t="s">
        <v>6761</v>
      </c>
      <c r="C57" s="2" t="s">
        <v>6762</v>
      </c>
      <c r="D57" s="3">
        <v>7.36</v>
      </c>
      <c r="E57" s="3">
        <v>60.81</v>
      </c>
      <c r="F57" s="3">
        <v>5.0999999999999996</v>
      </c>
      <c r="G57" s="3">
        <v>2.59</v>
      </c>
      <c r="H57" s="3">
        <v>691</v>
      </c>
      <c r="I57" s="3">
        <v>3.8759999999999999</v>
      </c>
      <c r="J57" s="3">
        <v>9.0890000000000004</v>
      </c>
      <c r="K57" s="3">
        <v>12.257</v>
      </c>
    </row>
    <row r="58" spans="2:11" x14ac:dyDescent="0.25">
      <c r="B58" s="2" t="s">
        <v>6763</v>
      </c>
      <c r="C58" s="2" t="s">
        <v>6764</v>
      </c>
      <c r="D58" s="3">
        <v>7.19</v>
      </c>
      <c r="E58" s="3">
        <v>62.74</v>
      </c>
      <c r="F58" s="3">
        <v>4</v>
      </c>
      <c r="G58" s="3">
        <v>3.03</v>
      </c>
      <c r="H58" s="3">
        <v>519</v>
      </c>
      <c r="I58" s="3">
        <v>3.5390000000000001</v>
      </c>
      <c r="J58" s="3">
        <v>7.0469999999999997</v>
      </c>
      <c r="K58" s="3">
        <v>13.528</v>
      </c>
    </row>
    <row r="59" spans="2:11" x14ac:dyDescent="0.25">
      <c r="B59" s="2" t="s">
        <v>6765</v>
      </c>
      <c r="C59" s="2" t="s">
        <v>6766</v>
      </c>
      <c r="D59" s="3">
        <v>13.8</v>
      </c>
      <c r="E59" s="3">
        <v>44.9</v>
      </c>
      <c r="H59" s="3">
        <v>229</v>
      </c>
      <c r="I59" s="3">
        <v>5.55</v>
      </c>
      <c r="J59" s="3">
        <v>12.53</v>
      </c>
      <c r="K59" s="3">
        <v>9.65</v>
      </c>
    </row>
    <row r="60" spans="2:11" x14ac:dyDescent="0.25">
      <c r="B60" s="2" t="s">
        <v>6767</v>
      </c>
      <c r="C60" s="2" t="s">
        <v>6768</v>
      </c>
      <c r="D60" s="3">
        <v>6.3</v>
      </c>
      <c r="E60" s="3">
        <v>65.599999999999994</v>
      </c>
      <c r="H60" s="3">
        <v>95</v>
      </c>
      <c r="I60" s="3">
        <v>8.48</v>
      </c>
      <c r="J60" s="3">
        <v>2.4900000000000002</v>
      </c>
      <c r="K60" s="3">
        <v>5.16</v>
      </c>
    </row>
    <row r="61" spans="2:11" x14ac:dyDescent="0.25">
      <c r="B61" s="2" t="s">
        <v>6769</v>
      </c>
      <c r="C61" s="2" t="s">
        <v>6770</v>
      </c>
      <c r="D61" s="3">
        <v>14.2</v>
      </c>
      <c r="E61" s="3">
        <v>44.9</v>
      </c>
      <c r="F61" s="3">
        <v>5</v>
      </c>
      <c r="G61" s="3">
        <v>23.88</v>
      </c>
      <c r="H61" s="3">
        <v>121</v>
      </c>
      <c r="I61" s="3">
        <v>6.09</v>
      </c>
      <c r="J61" s="3">
        <v>13.026999999999999</v>
      </c>
      <c r="K61" s="3">
        <v>10.87</v>
      </c>
    </row>
    <row r="62" spans="2:11" x14ac:dyDescent="0.25">
      <c r="B62" s="2" t="s">
        <v>6771</v>
      </c>
      <c r="C62" s="2" t="s">
        <v>6772</v>
      </c>
      <c r="D62" s="3">
        <v>7.9</v>
      </c>
      <c r="E62" s="3">
        <v>63.1</v>
      </c>
      <c r="F62" s="3">
        <v>5.3</v>
      </c>
      <c r="H62" s="3">
        <v>787</v>
      </c>
      <c r="I62" s="3">
        <v>4.6399999999999997</v>
      </c>
      <c r="J62" s="3">
        <v>14.29</v>
      </c>
      <c r="K62" s="3">
        <v>3.36</v>
      </c>
    </row>
    <row r="63" spans="2:11" x14ac:dyDescent="0.25">
      <c r="B63" s="2" t="s">
        <v>6773</v>
      </c>
      <c r="C63" s="2" t="s">
        <v>6774</v>
      </c>
      <c r="D63" s="3">
        <v>1.59</v>
      </c>
      <c r="E63" s="3">
        <v>87.73</v>
      </c>
      <c r="F63" s="3">
        <v>0.1</v>
      </c>
      <c r="G63" s="3">
        <v>56.32</v>
      </c>
      <c r="H63" s="3">
        <v>44</v>
      </c>
      <c r="I63" s="3">
        <v>0.96699999999999997</v>
      </c>
      <c r="J63" s="3">
        <v>1.929</v>
      </c>
      <c r="K63" s="3">
        <v>0.26600000000000001</v>
      </c>
    </row>
    <row r="64" spans="2:11" x14ac:dyDescent="0.25">
      <c r="B64" s="2" t="s">
        <v>6775</v>
      </c>
      <c r="C64" s="2" t="s">
        <v>6776</v>
      </c>
      <c r="D64" s="3">
        <v>4.13</v>
      </c>
      <c r="E64" s="3">
        <v>59.51</v>
      </c>
      <c r="F64" s="3">
        <v>5</v>
      </c>
      <c r="G64" s="3">
        <v>48.34</v>
      </c>
      <c r="H64" s="3">
        <v>142</v>
      </c>
      <c r="I64" s="3">
        <v>17.59</v>
      </c>
      <c r="J64" s="3">
        <v>5.26</v>
      </c>
      <c r="K64" s="3">
        <v>1.18</v>
      </c>
    </row>
    <row r="65" spans="2:11" x14ac:dyDescent="0.25">
      <c r="B65" s="2" t="s">
        <v>6777</v>
      </c>
      <c r="C65" s="2" t="s">
        <v>6778</v>
      </c>
      <c r="D65" s="3">
        <v>2.97</v>
      </c>
      <c r="E65" s="3">
        <v>79.38</v>
      </c>
      <c r="F65" s="3">
        <v>0.1</v>
      </c>
      <c r="H65" s="3">
        <v>261</v>
      </c>
      <c r="I65" s="3">
        <v>0.25</v>
      </c>
      <c r="J65" s="3">
        <v>0.49</v>
      </c>
      <c r="K65" s="3">
        <v>0.04</v>
      </c>
    </row>
    <row r="66" spans="2:11" x14ac:dyDescent="0.25">
      <c r="B66" s="2" t="s">
        <v>6779</v>
      </c>
      <c r="C66" s="2" t="s">
        <v>6780</v>
      </c>
      <c r="D66" s="3">
        <v>2</v>
      </c>
      <c r="E66" s="3">
        <v>80.89</v>
      </c>
      <c r="F66" s="3">
        <v>0.2</v>
      </c>
      <c r="G66" s="3">
        <v>48</v>
      </c>
      <c r="H66" s="3">
        <v>295</v>
      </c>
      <c r="I66" s="3">
        <v>5.5</v>
      </c>
      <c r="J66" s="3">
        <v>1.03</v>
      </c>
      <c r="K66" s="3">
        <v>0.33800000000000002</v>
      </c>
    </row>
    <row r="67" spans="2:11" x14ac:dyDescent="0.25">
      <c r="B67" s="2" t="s">
        <v>6781</v>
      </c>
      <c r="C67" s="2" t="s">
        <v>6782</v>
      </c>
      <c r="D67" s="3">
        <v>5.4</v>
      </c>
      <c r="E67" s="3">
        <v>72.900000000000006</v>
      </c>
      <c r="F67" s="3">
        <v>2</v>
      </c>
      <c r="G67" s="3">
        <v>45.9</v>
      </c>
      <c r="H67" s="3">
        <v>230</v>
      </c>
      <c r="I67" s="3">
        <v>9.5</v>
      </c>
      <c r="J67" s="3">
        <v>5.1189999999999998</v>
      </c>
      <c r="K67" s="3">
        <v>3.1640000000000001</v>
      </c>
    </row>
    <row r="68" spans="2:11" x14ac:dyDescent="0.25">
      <c r="B68" s="2" t="s">
        <v>6783</v>
      </c>
      <c r="C68" s="2" t="s">
        <v>6784</v>
      </c>
      <c r="D68" s="3">
        <v>0.03</v>
      </c>
      <c r="E68" s="3">
        <v>90.4</v>
      </c>
      <c r="F68" s="3">
        <v>0</v>
      </c>
      <c r="G68" s="3">
        <v>80.459999999999994</v>
      </c>
      <c r="H68" s="3">
        <v>391</v>
      </c>
      <c r="I68" s="3">
        <v>2.0649999999999999</v>
      </c>
      <c r="J68" s="3">
        <v>0.84499999999999997</v>
      </c>
      <c r="K68" s="3">
        <v>0.122</v>
      </c>
    </row>
    <row r="69" spans="2:11" x14ac:dyDescent="0.25">
      <c r="B69" s="2" t="s">
        <v>6785</v>
      </c>
      <c r="C69" s="2" t="s">
        <v>6786</v>
      </c>
      <c r="D69" s="3">
        <v>8.15</v>
      </c>
      <c r="E69" s="3">
        <v>56.29</v>
      </c>
      <c r="F69" s="3">
        <v>3.8</v>
      </c>
      <c r="G69" s="3">
        <v>34.11</v>
      </c>
      <c r="H69" s="3">
        <v>107</v>
      </c>
      <c r="I69" s="3">
        <v>29.018000000000001</v>
      </c>
      <c r="J69" s="3">
        <v>0.48299999999999998</v>
      </c>
      <c r="K69" s="3">
        <v>0.29499999999999998</v>
      </c>
    </row>
    <row r="70" spans="2:11" x14ac:dyDescent="0.25">
      <c r="B70" s="2" t="s">
        <v>6787</v>
      </c>
      <c r="C70" s="2" t="s">
        <v>6788</v>
      </c>
      <c r="D70" s="3">
        <v>4.5999999999999996</v>
      </c>
      <c r="E70" s="3">
        <v>77</v>
      </c>
      <c r="F70" s="3">
        <v>0</v>
      </c>
      <c r="G70" s="3">
        <v>65.5</v>
      </c>
      <c r="H70" s="3">
        <v>245</v>
      </c>
      <c r="I70" s="3">
        <v>2.476</v>
      </c>
      <c r="J70" s="3">
        <v>1.542</v>
      </c>
      <c r="K70" s="3">
        <v>3.4780000000000002</v>
      </c>
    </row>
    <row r="71" spans="2:11" x14ac:dyDescent="0.25">
      <c r="B71" s="2" t="s">
        <v>6789</v>
      </c>
      <c r="C71" s="2" t="s">
        <v>6790</v>
      </c>
      <c r="D71" s="3">
        <v>6.19</v>
      </c>
      <c r="E71" s="3">
        <v>63.81</v>
      </c>
      <c r="F71" s="3">
        <v>1.2</v>
      </c>
      <c r="G71" s="3">
        <v>56.92</v>
      </c>
      <c r="H71" s="3">
        <v>122</v>
      </c>
      <c r="I71" s="3">
        <v>12.72</v>
      </c>
      <c r="J71" s="3">
        <v>5.29</v>
      </c>
      <c r="K71" s="3">
        <v>0.63</v>
      </c>
    </row>
    <row r="72" spans="2:11" x14ac:dyDescent="0.25">
      <c r="B72" s="2" t="s">
        <v>6791</v>
      </c>
      <c r="C72" s="2" t="s">
        <v>6792</v>
      </c>
      <c r="D72" s="3">
        <v>1.59</v>
      </c>
      <c r="E72" s="3">
        <v>87.73</v>
      </c>
      <c r="F72" s="3">
        <v>0.1</v>
      </c>
      <c r="G72" s="3">
        <v>56.32</v>
      </c>
      <c r="H72" s="3">
        <v>44</v>
      </c>
      <c r="I72" s="3">
        <v>0.96699999999999997</v>
      </c>
      <c r="J72" s="3">
        <v>1.929</v>
      </c>
      <c r="K72" s="3">
        <v>0.26600000000000001</v>
      </c>
    </row>
    <row r="73" spans="2:11" x14ac:dyDescent="0.25">
      <c r="B73" s="2" t="s">
        <v>6793</v>
      </c>
      <c r="C73" s="2" t="s">
        <v>6794</v>
      </c>
      <c r="D73" s="3">
        <v>12.1</v>
      </c>
      <c r="E73" s="3">
        <v>36.200000000000003</v>
      </c>
      <c r="F73" s="3">
        <v>18.100000000000001</v>
      </c>
      <c r="G73" s="3">
        <v>0</v>
      </c>
      <c r="H73" s="3">
        <v>12</v>
      </c>
      <c r="I73" s="3">
        <v>25.29</v>
      </c>
      <c r="J73" s="3">
        <v>9.23</v>
      </c>
      <c r="K73" s="3">
        <v>10.7</v>
      </c>
    </row>
    <row r="74" spans="2:11" x14ac:dyDescent="0.25">
      <c r="B74" s="2" t="s">
        <v>6795</v>
      </c>
      <c r="C74" s="2" t="s">
        <v>6796</v>
      </c>
      <c r="D74" s="3">
        <v>14.32</v>
      </c>
      <c r="E74" s="3">
        <v>28.42</v>
      </c>
      <c r="F74" s="3">
        <v>16.600000000000001</v>
      </c>
      <c r="G74" s="3">
        <v>0.91</v>
      </c>
      <c r="H74" s="3">
        <v>24</v>
      </c>
      <c r="I74" s="3">
        <v>32.277000000000001</v>
      </c>
      <c r="J74" s="3">
        <v>16.068000000000001</v>
      </c>
      <c r="K74" s="3">
        <v>1.5509999999999999</v>
      </c>
    </row>
    <row r="75" spans="2:11" x14ac:dyDescent="0.25">
      <c r="B75" s="2" t="s">
        <v>6797</v>
      </c>
      <c r="C75" s="2" t="s">
        <v>6798</v>
      </c>
      <c r="D75" s="3">
        <v>5.87</v>
      </c>
      <c r="E75" s="3">
        <v>63.94</v>
      </c>
      <c r="F75" s="3">
        <v>0</v>
      </c>
      <c r="G75" s="3">
        <v>62.36</v>
      </c>
      <c r="H75" s="3">
        <v>88</v>
      </c>
      <c r="I75" s="3">
        <v>24.103999999999999</v>
      </c>
      <c r="J75" s="3">
        <v>0.52600000000000002</v>
      </c>
      <c r="K75" s="3">
        <v>0.52400000000000002</v>
      </c>
    </row>
    <row r="76" spans="2:11" x14ac:dyDescent="0.25">
      <c r="B76" s="2" t="s">
        <v>6799</v>
      </c>
      <c r="C76" s="2" t="s">
        <v>6800</v>
      </c>
      <c r="D76" s="3">
        <v>4.2</v>
      </c>
      <c r="E76" s="3">
        <v>63.9</v>
      </c>
      <c r="F76" s="3">
        <v>5.9</v>
      </c>
      <c r="G76" s="3">
        <v>54.5</v>
      </c>
      <c r="H76" s="3">
        <v>11</v>
      </c>
      <c r="I76" s="3">
        <v>17.75</v>
      </c>
      <c r="J76" s="3">
        <v>9.9659999999999993</v>
      </c>
      <c r="K76" s="3">
        <v>0.96599999999999997</v>
      </c>
    </row>
    <row r="77" spans="2:11" x14ac:dyDescent="0.25">
      <c r="B77" s="2" t="s">
        <v>6801</v>
      </c>
      <c r="C77" s="2" t="s">
        <v>6802</v>
      </c>
      <c r="D77" s="3">
        <v>3.9</v>
      </c>
      <c r="E77" s="3">
        <v>60.4</v>
      </c>
      <c r="F77" s="3">
        <v>5.5</v>
      </c>
      <c r="G77" s="3">
        <v>51.48</v>
      </c>
      <c r="H77" s="3">
        <v>16</v>
      </c>
      <c r="I77" s="3">
        <v>20.079999999999998</v>
      </c>
      <c r="J77" s="3">
        <v>11.22</v>
      </c>
      <c r="K77" s="3">
        <v>0.99</v>
      </c>
    </row>
    <row r="78" spans="2:11" x14ac:dyDescent="0.25">
      <c r="B78" s="2" t="s">
        <v>6803</v>
      </c>
      <c r="C78" s="2" t="s">
        <v>6804</v>
      </c>
      <c r="D78" s="3">
        <v>2.2000000000000002</v>
      </c>
      <c r="E78" s="3">
        <v>80.400000000000006</v>
      </c>
      <c r="F78" s="3">
        <v>2.1</v>
      </c>
      <c r="G78" s="3">
        <v>71.42</v>
      </c>
      <c r="H78" s="3">
        <v>26</v>
      </c>
      <c r="I78" s="3">
        <v>5.46</v>
      </c>
      <c r="J78" s="3">
        <v>3.09</v>
      </c>
      <c r="K78" s="3">
        <v>0.3</v>
      </c>
    </row>
    <row r="79" spans="2:11" x14ac:dyDescent="0.25">
      <c r="B79" s="2" t="s">
        <v>6805</v>
      </c>
      <c r="C79" s="2" t="s">
        <v>6806</v>
      </c>
      <c r="D79" s="3">
        <v>11.97</v>
      </c>
      <c r="E79" s="3">
        <v>46.85</v>
      </c>
      <c r="F79" s="3">
        <v>4.4000000000000004</v>
      </c>
      <c r="G79" s="3">
        <v>37.130000000000003</v>
      </c>
      <c r="H79" s="3">
        <v>52</v>
      </c>
      <c r="I79" s="3">
        <v>15.23</v>
      </c>
    </row>
    <row r="80" spans="2:11" x14ac:dyDescent="0.25">
      <c r="B80" s="2" t="s">
        <v>6807</v>
      </c>
      <c r="C80" s="2" t="s">
        <v>6808</v>
      </c>
      <c r="D80" s="3">
        <v>2.2000000000000002</v>
      </c>
      <c r="E80" s="3">
        <v>67.099999999999994</v>
      </c>
      <c r="F80" s="3">
        <v>0</v>
      </c>
      <c r="G80" s="3">
        <v>67.099999999999994</v>
      </c>
      <c r="H80" s="3">
        <v>89</v>
      </c>
      <c r="I80" s="3">
        <v>24.1</v>
      </c>
      <c r="J80" s="3">
        <v>2.2709999999999999</v>
      </c>
      <c r="K80" s="3">
        <v>1.0409999999999999</v>
      </c>
    </row>
    <row r="81" spans="2:11" x14ac:dyDescent="0.25">
      <c r="B81" s="2" t="s">
        <v>6809</v>
      </c>
      <c r="C81" s="2" t="s">
        <v>6810</v>
      </c>
      <c r="D81" s="3">
        <v>18.3</v>
      </c>
      <c r="E81" s="3">
        <v>46.88</v>
      </c>
      <c r="F81" s="3">
        <v>5</v>
      </c>
      <c r="G81" s="3">
        <v>38.299999999999997</v>
      </c>
      <c r="H81" s="3">
        <v>250</v>
      </c>
      <c r="I81" s="3">
        <v>13.12</v>
      </c>
      <c r="J81" s="3">
        <v>12.829000000000001</v>
      </c>
      <c r="K81" s="3">
        <v>2.0529999999999999</v>
      </c>
    </row>
    <row r="82" spans="2:11" x14ac:dyDescent="0.25">
      <c r="B82" s="2" t="s">
        <v>6811</v>
      </c>
      <c r="C82" s="2" t="s">
        <v>6812</v>
      </c>
      <c r="D82" s="3">
        <v>5.87</v>
      </c>
      <c r="E82" s="3">
        <v>59.24</v>
      </c>
      <c r="F82" s="3">
        <v>0.2</v>
      </c>
      <c r="G82" s="3">
        <v>59</v>
      </c>
      <c r="H82" s="3">
        <v>90</v>
      </c>
      <c r="I82" s="3">
        <v>19.411999999999999</v>
      </c>
      <c r="J82" s="3">
        <v>9.0969999999999995</v>
      </c>
      <c r="K82" s="3">
        <v>1.0129999999999999</v>
      </c>
    </row>
    <row r="83" spans="2:11" x14ac:dyDescent="0.25">
      <c r="B83" s="2" t="s">
        <v>6813</v>
      </c>
      <c r="C83" s="2" t="s">
        <v>6814</v>
      </c>
      <c r="D83" s="3">
        <v>4.78</v>
      </c>
      <c r="E83" s="3">
        <v>29.46</v>
      </c>
      <c r="F83" s="3">
        <v>0.3</v>
      </c>
      <c r="G83" s="3">
        <v>22.12</v>
      </c>
      <c r="H83" s="3">
        <v>74</v>
      </c>
      <c r="I83" s="3">
        <v>2.927</v>
      </c>
      <c r="J83" s="3">
        <v>1.2809999999999999</v>
      </c>
      <c r="K83" s="3">
        <v>0.219</v>
      </c>
    </row>
    <row r="84" spans="2:11" x14ac:dyDescent="0.25">
      <c r="B84" s="2" t="s">
        <v>6815</v>
      </c>
      <c r="C84" s="2" t="s">
        <v>6816</v>
      </c>
      <c r="D84" s="3">
        <v>3.5</v>
      </c>
      <c r="E84" s="3">
        <v>22.29</v>
      </c>
      <c r="F84" s="3">
        <v>0</v>
      </c>
      <c r="G84" s="3">
        <v>20.65</v>
      </c>
      <c r="H84" s="3">
        <v>61</v>
      </c>
      <c r="I84" s="3">
        <v>10.329000000000001</v>
      </c>
      <c r="J84" s="3">
        <v>4.46</v>
      </c>
      <c r="K84" s="3">
        <v>0.68</v>
      </c>
    </row>
    <row r="85" spans="2:11" x14ac:dyDescent="0.25">
      <c r="B85" s="2" t="s">
        <v>6817</v>
      </c>
      <c r="C85" s="2" t="s">
        <v>6818</v>
      </c>
      <c r="D85" s="3">
        <v>4.0999999999999996</v>
      </c>
      <c r="E85" s="3">
        <v>22.2</v>
      </c>
      <c r="F85" s="3">
        <v>0.7</v>
      </c>
      <c r="G85" s="3">
        <v>21.16</v>
      </c>
      <c r="H85" s="3">
        <v>61</v>
      </c>
      <c r="I85" s="3">
        <v>7.48</v>
      </c>
      <c r="J85" s="3">
        <v>3.49</v>
      </c>
      <c r="K85" s="3">
        <v>0.45</v>
      </c>
    </row>
    <row r="86" spans="2:11" x14ac:dyDescent="0.25">
      <c r="B86" s="2" t="s">
        <v>6819</v>
      </c>
      <c r="C86" s="2" t="s">
        <v>6820</v>
      </c>
      <c r="D86" s="3">
        <v>2.19</v>
      </c>
      <c r="E86" s="3">
        <v>80.989999999999995</v>
      </c>
      <c r="F86" s="3">
        <v>2</v>
      </c>
      <c r="G86" s="3">
        <v>63.78</v>
      </c>
      <c r="H86" s="3">
        <v>28</v>
      </c>
      <c r="I86" s="3">
        <v>4.34</v>
      </c>
      <c r="J86" s="3">
        <v>0.41</v>
      </c>
      <c r="K86" s="3">
        <v>0.11</v>
      </c>
    </row>
    <row r="87" spans="2:11" x14ac:dyDescent="0.25">
      <c r="B87" s="2" t="s">
        <v>6821</v>
      </c>
      <c r="C87" s="2" t="s">
        <v>6822</v>
      </c>
      <c r="D87" s="3">
        <v>2.2999999999999998</v>
      </c>
      <c r="E87" s="3">
        <v>79.37</v>
      </c>
      <c r="F87" s="3">
        <v>0.6</v>
      </c>
      <c r="G87" s="3">
        <v>51.35</v>
      </c>
      <c r="H87" s="3">
        <v>195</v>
      </c>
      <c r="I87" s="3">
        <v>0.54</v>
      </c>
      <c r="J87" s="3">
        <v>1.88</v>
      </c>
      <c r="K87" s="3">
        <v>0.14000000000000001</v>
      </c>
    </row>
    <row r="88" spans="2:11" x14ac:dyDescent="0.25">
      <c r="B88" s="2" t="s">
        <v>6823</v>
      </c>
      <c r="C88" s="2" t="s">
        <v>6824</v>
      </c>
      <c r="D88" s="3">
        <v>8.51</v>
      </c>
      <c r="E88" s="3">
        <v>58.01</v>
      </c>
      <c r="F88" s="3">
        <v>1.7</v>
      </c>
      <c r="G88" s="3">
        <v>53.96</v>
      </c>
      <c r="H88" s="3">
        <v>101</v>
      </c>
      <c r="I88" s="3">
        <v>18.34</v>
      </c>
      <c r="J88" s="3">
        <v>7.91</v>
      </c>
      <c r="K88" s="3">
        <v>0.69</v>
      </c>
    </row>
    <row r="89" spans="2:11" x14ac:dyDescent="0.25">
      <c r="B89" s="2" t="s">
        <v>6825</v>
      </c>
      <c r="C89" s="2" t="s">
        <v>6826</v>
      </c>
      <c r="D89" s="3">
        <v>4.53</v>
      </c>
      <c r="E89" s="3">
        <v>22.78</v>
      </c>
      <c r="F89" s="3">
        <v>0</v>
      </c>
      <c r="G89" s="3">
        <v>23.15</v>
      </c>
      <c r="H89" s="3">
        <v>53</v>
      </c>
      <c r="I89" s="3">
        <v>1.7989999999999999</v>
      </c>
      <c r="J89" s="3">
        <v>1.266</v>
      </c>
      <c r="K89" s="3">
        <v>0.39200000000000002</v>
      </c>
    </row>
    <row r="90" spans="2:11" x14ac:dyDescent="0.25">
      <c r="B90" s="2" t="s">
        <v>6827</v>
      </c>
      <c r="C90" s="2" t="s">
        <v>6828</v>
      </c>
      <c r="D90" s="3">
        <v>3.5</v>
      </c>
      <c r="E90" s="3">
        <v>23.6</v>
      </c>
      <c r="F90" s="3">
        <v>0.7</v>
      </c>
      <c r="G90" s="3">
        <v>21.22</v>
      </c>
      <c r="H90" s="3">
        <v>80</v>
      </c>
      <c r="I90" s="3">
        <v>6.79</v>
      </c>
      <c r="J90" s="3">
        <v>2.9689999999999999</v>
      </c>
      <c r="K90" s="3">
        <v>0.45200000000000001</v>
      </c>
    </row>
    <row r="91" spans="2:11" x14ac:dyDescent="0.25">
      <c r="B91" s="2" t="s">
        <v>6829</v>
      </c>
      <c r="C91" s="2" t="s">
        <v>6830</v>
      </c>
      <c r="D91" s="3">
        <v>4.9000000000000004</v>
      </c>
      <c r="E91" s="3">
        <v>21.8</v>
      </c>
      <c r="F91" s="3">
        <v>0</v>
      </c>
      <c r="G91" s="3">
        <v>18.690000000000001</v>
      </c>
      <c r="H91" s="3">
        <v>70</v>
      </c>
      <c r="I91" s="3">
        <v>1.63</v>
      </c>
      <c r="J91" s="3">
        <v>0.76</v>
      </c>
      <c r="K91" s="3">
        <v>0.1</v>
      </c>
    </row>
    <row r="92" spans="2:11" x14ac:dyDescent="0.25">
      <c r="B92" s="2" t="s">
        <v>6831</v>
      </c>
      <c r="C92" s="2" t="s">
        <v>6832</v>
      </c>
      <c r="D92" s="3">
        <v>1.1000000000000001</v>
      </c>
      <c r="E92" s="3">
        <v>30.4</v>
      </c>
      <c r="F92" s="3">
        <v>1.3</v>
      </c>
      <c r="G92" s="3">
        <v>24.32</v>
      </c>
      <c r="H92" s="3">
        <v>46</v>
      </c>
      <c r="I92" s="3">
        <v>1.1599999999999999</v>
      </c>
      <c r="J92" s="3">
        <v>0.53</v>
      </c>
      <c r="K92" s="3">
        <v>0.08</v>
      </c>
    </row>
    <row r="93" spans="2:11" x14ac:dyDescent="0.25">
      <c r="B93" s="2" t="s">
        <v>6833</v>
      </c>
      <c r="C93" s="2" t="s">
        <v>6834</v>
      </c>
      <c r="D93" s="3">
        <v>8.7799999999999994</v>
      </c>
      <c r="E93" s="3">
        <v>62.68</v>
      </c>
      <c r="F93" s="3">
        <v>3.1</v>
      </c>
      <c r="G93" s="3">
        <v>47.19</v>
      </c>
      <c r="H93" s="3">
        <v>225</v>
      </c>
      <c r="I93" s="3">
        <v>6.65</v>
      </c>
      <c r="J93" s="3">
        <v>10.6</v>
      </c>
      <c r="K93" s="3">
        <v>3.39</v>
      </c>
    </row>
    <row r="94" spans="2:11" x14ac:dyDescent="0.25">
      <c r="B94" s="2" t="s">
        <v>6835</v>
      </c>
      <c r="C94" s="2" t="s">
        <v>6836</v>
      </c>
      <c r="D94" s="3">
        <v>0</v>
      </c>
      <c r="E94" s="3">
        <v>93.18</v>
      </c>
      <c r="F94" s="3">
        <v>0</v>
      </c>
      <c r="G94" s="3">
        <v>88.9</v>
      </c>
      <c r="H94" s="3">
        <v>11</v>
      </c>
      <c r="I94" s="3">
        <v>0</v>
      </c>
      <c r="J94" s="3">
        <v>0</v>
      </c>
      <c r="K94" s="3">
        <v>0</v>
      </c>
    </row>
    <row r="95" spans="2:11" x14ac:dyDescent="0.25">
      <c r="B95" s="2" t="s">
        <v>6837</v>
      </c>
      <c r="C95" s="2" t="s">
        <v>6838</v>
      </c>
      <c r="D95" s="3">
        <v>2.39</v>
      </c>
      <c r="E95" s="3">
        <v>76.44</v>
      </c>
      <c r="F95" s="3">
        <v>1.7</v>
      </c>
      <c r="G95" s="3">
        <v>73.12</v>
      </c>
      <c r="H95" s="3">
        <v>45</v>
      </c>
      <c r="I95" s="3">
        <v>6.4480000000000004</v>
      </c>
      <c r="J95" s="3">
        <v>2.9430000000000001</v>
      </c>
      <c r="K95" s="3">
        <v>0.373</v>
      </c>
    </row>
    <row r="96" spans="2:11" x14ac:dyDescent="0.25">
      <c r="B96" s="2" t="s">
        <v>6839</v>
      </c>
      <c r="C96" s="2" t="s">
        <v>6840</v>
      </c>
      <c r="D96" s="3">
        <v>4.38</v>
      </c>
      <c r="E96" s="3">
        <v>67.930000000000007</v>
      </c>
      <c r="F96" s="3">
        <v>2.5</v>
      </c>
      <c r="G96" s="3">
        <v>63.37</v>
      </c>
      <c r="H96" s="3">
        <v>39</v>
      </c>
      <c r="I96" s="3">
        <v>6.4889999999999999</v>
      </c>
      <c r="J96" s="3">
        <v>3.9</v>
      </c>
      <c r="K96" s="3">
        <v>7.5289999999999999</v>
      </c>
    </row>
    <row r="97" spans="2:11" x14ac:dyDescent="0.25">
      <c r="B97" s="2" t="s">
        <v>6841</v>
      </c>
      <c r="C97" s="2" t="s">
        <v>6842</v>
      </c>
      <c r="D97" s="3">
        <v>3.78</v>
      </c>
      <c r="E97" s="3">
        <v>77.75</v>
      </c>
      <c r="F97" s="3">
        <v>0.7</v>
      </c>
      <c r="G97" s="3">
        <v>73.36</v>
      </c>
      <c r="H97" s="3">
        <v>118</v>
      </c>
      <c r="I97" s="3">
        <v>1.7210000000000001</v>
      </c>
      <c r="J97" s="3">
        <v>2.867</v>
      </c>
      <c r="K97" s="3">
        <v>1.5880000000000001</v>
      </c>
    </row>
    <row r="98" spans="2:11" x14ac:dyDescent="0.25">
      <c r="B98" s="2" t="s">
        <v>6843</v>
      </c>
      <c r="C98" s="2" t="s">
        <v>6844</v>
      </c>
      <c r="D98" s="3">
        <v>1.05</v>
      </c>
      <c r="E98" s="3">
        <v>82.15</v>
      </c>
      <c r="F98" s="3">
        <v>0</v>
      </c>
      <c r="G98" s="3">
        <v>79.77</v>
      </c>
      <c r="H98" s="3">
        <v>47</v>
      </c>
      <c r="I98" s="3">
        <v>3.3820000000000001</v>
      </c>
      <c r="J98" s="3">
        <v>1.399</v>
      </c>
      <c r="K98" s="3">
        <v>0.22700000000000001</v>
      </c>
    </row>
    <row r="99" spans="2:11" x14ac:dyDescent="0.25">
      <c r="B99" s="2" t="s">
        <v>6845</v>
      </c>
      <c r="C99" s="2" t="s">
        <v>6846</v>
      </c>
      <c r="D99" s="3">
        <v>3</v>
      </c>
      <c r="E99" s="3">
        <v>74.61</v>
      </c>
      <c r="F99" s="3">
        <v>0.9</v>
      </c>
      <c r="G99" s="3">
        <v>71</v>
      </c>
      <c r="H99" s="3">
        <v>42</v>
      </c>
      <c r="I99" s="3">
        <v>3.8279999999999998</v>
      </c>
      <c r="J99" s="3">
        <v>2.4540000000000002</v>
      </c>
      <c r="K99" s="3">
        <v>6.6139999999999999</v>
      </c>
    </row>
    <row r="100" spans="2:11" x14ac:dyDescent="0.25">
      <c r="B100" s="2" t="s">
        <v>6847</v>
      </c>
      <c r="C100" s="2" t="s">
        <v>6848</v>
      </c>
      <c r="D100" s="3">
        <v>9.6999999999999993</v>
      </c>
      <c r="E100" s="3">
        <v>53</v>
      </c>
      <c r="F100" s="3">
        <v>9.6999999999999993</v>
      </c>
      <c r="G100" s="3">
        <v>43</v>
      </c>
      <c r="H100" s="3">
        <v>36</v>
      </c>
      <c r="I100" s="3">
        <v>12.1</v>
      </c>
    </row>
    <row r="101" spans="2:11" x14ac:dyDescent="0.25">
      <c r="B101" s="2" t="s">
        <v>6849</v>
      </c>
      <c r="C101" s="2" t="s">
        <v>6850</v>
      </c>
      <c r="D101" s="3">
        <v>0</v>
      </c>
      <c r="E101" s="3">
        <v>98.9</v>
      </c>
      <c r="F101" s="3">
        <v>0.1</v>
      </c>
      <c r="G101" s="3">
        <v>58.97</v>
      </c>
      <c r="H101" s="3">
        <v>44</v>
      </c>
      <c r="I101" s="3">
        <v>0</v>
      </c>
      <c r="J101" s="3">
        <v>0</v>
      </c>
      <c r="K101" s="3">
        <v>0</v>
      </c>
    </row>
    <row r="102" spans="2:11" x14ac:dyDescent="0.25">
      <c r="B102" s="2" t="s">
        <v>6851</v>
      </c>
      <c r="C102" s="2" t="s">
        <v>6852</v>
      </c>
      <c r="D102" s="3">
        <v>0</v>
      </c>
      <c r="E102" s="3">
        <v>98</v>
      </c>
      <c r="F102" s="3">
        <v>0</v>
      </c>
      <c r="G102" s="3">
        <v>62.9</v>
      </c>
      <c r="H102" s="3">
        <v>38</v>
      </c>
      <c r="I102" s="3">
        <v>0</v>
      </c>
      <c r="J102" s="3">
        <v>0</v>
      </c>
      <c r="K102" s="3">
        <v>0</v>
      </c>
    </row>
    <row r="103" spans="2:11" x14ac:dyDescent="0.25">
      <c r="B103" s="2" t="s">
        <v>6853</v>
      </c>
      <c r="C103" s="2" t="s">
        <v>6854</v>
      </c>
      <c r="D103" s="3">
        <v>0</v>
      </c>
      <c r="E103" s="3">
        <v>93.55</v>
      </c>
      <c r="F103" s="3">
        <v>0.2</v>
      </c>
      <c r="G103" s="3">
        <v>70</v>
      </c>
      <c r="H103" s="3">
        <v>50</v>
      </c>
      <c r="I103" s="3">
        <v>0</v>
      </c>
      <c r="J103" s="3">
        <v>0</v>
      </c>
      <c r="K103" s="3">
        <v>0</v>
      </c>
    </row>
    <row r="104" spans="2:11" x14ac:dyDescent="0.25">
      <c r="B104" s="2" t="s">
        <v>6855</v>
      </c>
      <c r="C104" s="2" t="s">
        <v>6856</v>
      </c>
      <c r="D104" s="3">
        <v>6.51</v>
      </c>
      <c r="E104" s="3">
        <v>64.59</v>
      </c>
      <c r="F104" s="3">
        <v>1</v>
      </c>
      <c r="G104" s="3">
        <v>48.68</v>
      </c>
      <c r="H104" s="3">
        <v>54</v>
      </c>
      <c r="I104" s="3">
        <v>17.952999999999999</v>
      </c>
      <c r="J104" s="3">
        <v>5.8440000000000003</v>
      </c>
      <c r="K104" s="3">
        <v>0.89500000000000002</v>
      </c>
    </row>
    <row r="105" spans="2:11" x14ac:dyDescent="0.25">
      <c r="B105" s="2" t="s">
        <v>6857</v>
      </c>
      <c r="C105" s="2" t="s">
        <v>6858</v>
      </c>
      <c r="D105" s="3">
        <v>6.62</v>
      </c>
      <c r="E105" s="3">
        <v>63.96</v>
      </c>
      <c r="F105" s="3">
        <v>2.2000000000000002</v>
      </c>
      <c r="G105" s="3">
        <v>52.53</v>
      </c>
      <c r="H105" s="3">
        <v>196</v>
      </c>
      <c r="I105" s="3">
        <v>15.92</v>
      </c>
      <c r="J105" s="3">
        <v>6.25</v>
      </c>
      <c r="K105" s="3">
        <v>0.56999999999999995</v>
      </c>
    </row>
    <row r="106" spans="2:11" x14ac:dyDescent="0.25">
      <c r="B106" s="2" t="s">
        <v>6859</v>
      </c>
      <c r="C106" s="2" t="s">
        <v>6860</v>
      </c>
      <c r="D106" s="3">
        <v>5.4</v>
      </c>
      <c r="E106" s="3">
        <v>64.8</v>
      </c>
      <c r="F106" s="3">
        <v>2</v>
      </c>
      <c r="G106" s="3">
        <v>54</v>
      </c>
      <c r="H106" s="3">
        <v>230</v>
      </c>
      <c r="I106" s="3">
        <v>12.1</v>
      </c>
      <c r="J106" s="3">
        <v>5.5570000000000004</v>
      </c>
      <c r="K106" s="3">
        <v>2.6379999999999999</v>
      </c>
    </row>
    <row r="107" spans="2:11" x14ac:dyDescent="0.25">
      <c r="B107" s="2" t="s">
        <v>6861</v>
      </c>
      <c r="C107" s="2" t="s">
        <v>6862</v>
      </c>
      <c r="D107" s="3">
        <v>2.56</v>
      </c>
      <c r="E107" s="3">
        <v>79.16</v>
      </c>
      <c r="F107" s="3">
        <v>0</v>
      </c>
      <c r="G107" s="3">
        <v>39.64</v>
      </c>
      <c r="H107" s="3">
        <v>287</v>
      </c>
      <c r="I107" s="3">
        <v>0</v>
      </c>
    </row>
    <row r="108" spans="2:11" x14ac:dyDescent="0.25">
      <c r="B108" s="2" t="s">
        <v>6863</v>
      </c>
      <c r="C108" s="2" t="s">
        <v>6864</v>
      </c>
      <c r="D108" s="3">
        <v>0</v>
      </c>
      <c r="E108" s="3">
        <v>72.430000000000007</v>
      </c>
      <c r="F108" s="3">
        <v>0</v>
      </c>
      <c r="G108" s="3">
        <v>72.25</v>
      </c>
      <c r="H108" s="3">
        <v>287</v>
      </c>
      <c r="I108" s="3">
        <v>0</v>
      </c>
      <c r="J108" s="3">
        <v>0</v>
      </c>
      <c r="K108" s="3">
        <v>0</v>
      </c>
    </row>
    <row r="109" spans="2:11" x14ac:dyDescent="0.25">
      <c r="B109" s="2" t="s">
        <v>6865</v>
      </c>
      <c r="C109" s="2" t="s">
        <v>6866</v>
      </c>
      <c r="D109" s="3">
        <v>5</v>
      </c>
      <c r="E109" s="3">
        <v>25.7</v>
      </c>
      <c r="F109" s="3">
        <v>0.8</v>
      </c>
      <c r="G109" s="3">
        <v>24.71</v>
      </c>
      <c r="H109" s="3">
        <v>71</v>
      </c>
      <c r="I109" s="3">
        <v>4.38</v>
      </c>
      <c r="J109" s="3">
        <v>2.0550000000000002</v>
      </c>
      <c r="K109" s="3">
        <v>0.24099999999999999</v>
      </c>
    </row>
    <row r="110" spans="2:11" x14ac:dyDescent="0.25">
      <c r="B110" s="2" t="s">
        <v>6867</v>
      </c>
      <c r="C110" s="2" t="s">
        <v>6868</v>
      </c>
      <c r="D110" s="3">
        <v>8.1</v>
      </c>
      <c r="E110" s="3">
        <v>62.7</v>
      </c>
      <c r="F110" s="3">
        <v>2</v>
      </c>
      <c r="G110" s="3">
        <v>52.1</v>
      </c>
      <c r="H110" s="3">
        <v>170</v>
      </c>
      <c r="I110" s="3">
        <v>7.2679999999999998</v>
      </c>
      <c r="J110" s="3">
        <v>10.693</v>
      </c>
      <c r="K110" s="3">
        <v>3.98</v>
      </c>
    </row>
    <row r="111" spans="2:11" x14ac:dyDescent="0.25">
      <c r="B111" s="2" t="s">
        <v>6869</v>
      </c>
      <c r="C111" s="2" t="s">
        <v>6870</v>
      </c>
      <c r="D111" s="3">
        <v>1.8</v>
      </c>
      <c r="E111" s="3">
        <v>81.3</v>
      </c>
      <c r="F111" s="3">
        <v>0.1</v>
      </c>
      <c r="G111" s="3">
        <v>57.56</v>
      </c>
      <c r="H111" s="3">
        <v>80</v>
      </c>
      <c r="I111" s="3">
        <v>5.6000000000000001E-2</v>
      </c>
      <c r="J111" s="3">
        <v>0.08</v>
      </c>
      <c r="K111" s="3">
        <v>4.7E-2</v>
      </c>
    </row>
    <row r="112" spans="2:11" x14ac:dyDescent="0.25">
      <c r="B112" s="2" t="s">
        <v>6871</v>
      </c>
      <c r="C112" s="2" t="s">
        <v>6872</v>
      </c>
      <c r="D112" s="3">
        <v>12.49</v>
      </c>
      <c r="E112" s="3">
        <v>60.49</v>
      </c>
      <c r="F112" s="3">
        <v>4.5</v>
      </c>
      <c r="H112" s="3">
        <v>195</v>
      </c>
      <c r="I112" s="3">
        <v>4.1269999999999998</v>
      </c>
      <c r="J112" s="3">
        <v>8.1940000000000008</v>
      </c>
      <c r="K112" s="3">
        <v>8.4809999999999999</v>
      </c>
    </row>
    <row r="113" spans="2:11" x14ac:dyDescent="0.25">
      <c r="B113" s="2" t="s">
        <v>6873</v>
      </c>
      <c r="C113" s="2" t="s">
        <v>6874</v>
      </c>
      <c r="D113" s="3">
        <v>7.7</v>
      </c>
      <c r="E113" s="3">
        <v>65.5</v>
      </c>
      <c r="F113" s="3">
        <v>1.9</v>
      </c>
      <c r="G113" s="3">
        <v>46.2</v>
      </c>
      <c r="H113" s="3">
        <v>193</v>
      </c>
      <c r="I113" s="3">
        <v>9.6</v>
      </c>
      <c r="J113" s="3">
        <v>5.53</v>
      </c>
      <c r="K113" s="3">
        <v>2.706</v>
      </c>
    </row>
    <row r="114" spans="2:11" x14ac:dyDescent="0.25">
      <c r="B114" s="2" t="s">
        <v>6875</v>
      </c>
      <c r="C114" s="2" t="s">
        <v>6876</v>
      </c>
      <c r="D114" s="3">
        <v>7.5</v>
      </c>
      <c r="E114" s="3">
        <v>60</v>
      </c>
      <c r="F114" s="3">
        <v>2.5</v>
      </c>
      <c r="G114" s="3">
        <v>52.5</v>
      </c>
      <c r="H114" s="3">
        <v>38</v>
      </c>
      <c r="I114" s="3">
        <v>12.5</v>
      </c>
    </row>
    <row r="115" spans="2:11" x14ac:dyDescent="0.25">
      <c r="B115" s="2" t="s">
        <v>6877</v>
      </c>
      <c r="C115" s="2" t="s">
        <v>6878</v>
      </c>
      <c r="D115" s="3">
        <v>7.65</v>
      </c>
      <c r="E115" s="3">
        <v>59.4</v>
      </c>
      <c r="F115" s="3">
        <v>3.4</v>
      </c>
      <c r="G115" s="3">
        <v>51.5</v>
      </c>
      <c r="H115" s="3">
        <v>79</v>
      </c>
      <c r="I115" s="3">
        <v>18.509</v>
      </c>
      <c r="J115" s="3">
        <v>7.1859999999999999</v>
      </c>
      <c r="K115" s="3">
        <v>1.3759999999999999</v>
      </c>
    </row>
    <row r="116" spans="2:11" x14ac:dyDescent="0.25">
      <c r="B116" s="2" t="s">
        <v>6879</v>
      </c>
      <c r="C116" s="2" t="s">
        <v>6880</v>
      </c>
      <c r="D116" s="3">
        <v>2.76</v>
      </c>
      <c r="E116" s="3">
        <v>19.739999999999998</v>
      </c>
      <c r="F116" s="3">
        <v>0</v>
      </c>
      <c r="H116" s="3">
        <v>296</v>
      </c>
      <c r="I116" s="3">
        <v>0.97099999999999997</v>
      </c>
      <c r="J116" s="3">
        <v>0.46</v>
      </c>
      <c r="K116" s="3">
        <v>0.11799999999999999</v>
      </c>
    </row>
    <row r="117" spans="2:11" x14ac:dyDescent="0.25">
      <c r="B117" s="2" t="s">
        <v>6881</v>
      </c>
      <c r="C117" s="2" t="s">
        <v>6882</v>
      </c>
      <c r="D117" s="3">
        <v>2.9</v>
      </c>
      <c r="E117" s="3">
        <v>18.43</v>
      </c>
      <c r="F117" s="3">
        <v>0</v>
      </c>
      <c r="H117" s="3">
        <v>164</v>
      </c>
      <c r="I117" s="3">
        <v>1.0149999999999999</v>
      </c>
      <c r="J117" s="3">
        <v>0.46200000000000002</v>
      </c>
      <c r="K117" s="3">
        <v>8.7999999999999995E-2</v>
      </c>
    </row>
    <row r="118" spans="2:11" x14ac:dyDescent="0.25">
      <c r="B118" s="2" t="s">
        <v>6883</v>
      </c>
      <c r="C118" s="2" t="s">
        <v>6884</v>
      </c>
      <c r="D118" s="3">
        <v>3.15</v>
      </c>
      <c r="E118" s="3">
        <v>18.89</v>
      </c>
      <c r="F118" s="3">
        <v>0.4</v>
      </c>
      <c r="H118" s="3">
        <v>284</v>
      </c>
      <c r="I118" s="3">
        <v>1.0640000000000001</v>
      </c>
      <c r="J118" s="3">
        <v>0.56100000000000005</v>
      </c>
      <c r="K118" s="3">
        <v>0.13200000000000001</v>
      </c>
    </row>
    <row r="119" spans="2:11" x14ac:dyDescent="0.25">
      <c r="B119" s="2" t="s">
        <v>6885</v>
      </c>
      <c r="C119" s="2" t="s">
        <v>6886</v>
      </c>
      <c r="D119" s="3">
        <v>3.64</v>
      </c>
      <c r="E119" s="3">
        <v>77.41</v>
      </c>
      <c r="F119" s="3">
        <v>4</v>
      </c>
      <c r="G119" s="3">
        <v>69.400000000000006</v>
      </c>
      <c r="H119" s="3">
        <v>3</v>
      </c>
      <c r="I119" s="3">
        <v>8.6059999999999999</v>
      </c>
      <c r="J119" s="3">
        <v>5.0439999999999996</v>
      </c>
      <c r="K119" s="3">
        <v>1.1619999999999999</v>
      </c>
    </row>
    <row r="120" spans="2:11" x14ac:dyDescent="0.25">
      <c r="B120" s="2" t="s">
        <v>6887</v>
      </c>
      <c r="C120" s="2" t="s">
        <v>6888</v>
      </c>
      <c r="D120" s="3">
        <v>5.41</v>
      </c>
      <c r="E120" s="3">
        <v>62.16</v>
      </c>
      <c r="F120" s="3">
        <v>5.4</v>
      </c>
      <c r="G120" s="3">
        <v>54.05</v>
      </c>
      <c r="H120" s="3">
        <v>41</v>
      </c>
      <c r="I120" s="3">
        <v>28.422999999999998</v>
      </c>
      <c r="J120" s="3">
        <v>0</v>
      </c>
      <c r="K120" s="3">
        <v>0</v>
      </c>
    </row>
    <row r="121" spans="2:11" x14ac:dyDescent="0.25">
      <c r="B121" s="2" t="s">
        <v>6889</v>
      </c>
      <c r="C121" s="2" t="s">
        <v>6890</v>
      </c>
      <c r="D121" s="3">
        <v>13.1</v>
      </c>
      <c r="E121" s="3">
        <v>49.7</v>
      </c>
      <c r="F121" s="3">
        <v>4.7</v>
      </c>
      <c r="G121" s="3">
        <v>37.590000000000003</v>
      </c>
      <c r="H121" s="3">
        <v>41</v>
      </c>
      <c r="I121" s="3">
        <v>14.6</v>
      </c>
      <c r="J121" s="3">
        <v>12.92</v>
      </c>
      <c r="K121" s="3">
        <v>4.33</v>
      </c>
    </row>
    <row r="122" spans="2:11" x14ac:dyDescent="0.25">
      <c r="B122" s="2" t="s">
        <v>6891</v>
      </c>
      <c r="C122" s="2" t="s">
        <v>6892</v>
      </c>
      <c r="D122" s="3">
        <v>4.0999999999999996</v>
      </c>
      <c r="E122" s="3">
        <v>68.400000000000006</v>
      </c>
      <c r="F122" s="3">
        <v>3.1</v>
      </c>
      <c r="G122" s="3">
        <v>62.22</v>
      </c>
      <c r="H122" s="3">
        <v>36</v>
      </c>
      <c r="I122" s="3">
        <v>10.272</v>
      </c>
      <c r="J122" s="3">
        <v>3.1339999999999999</v>
      </c>
      <c r="K122" s="3">
        <v>0.57099999999999995</v>
      </c>
    </row>
    <row r="123" spans="2:11" x14ac:dyDescent="0.25">
      <c r="B123" s="2" t="s">
        <v>6893</v>
      </c>
      <c r="C123" s="2" t="s">
        <v>6894</v>
      </c>
      <c r="D123" s="3">
        <v>0</v>
      </c>
      <c r="E123" s="3">
        <v>44.55</v>
      </c>
      <c r="F123" s="3">
        <v>0</v>
      </c>
      <c r="G123" s="3">
        <v>32.799999999999997</v>
      </c>
      <c r="H123" s="3">
        <v>178</v>
      </c>
      <c r="I123" s="3">
        <v>0</v>
      </c>
      <c r="J123" s="3">
        <v>0</v>
      </c>
      <c r="K123" s="3">
        <v>0</v>
      </c>
    </row>
    <row r="124" spans="2:11" x14ac:dyDescent="0.25">
      <c r="B124" s="2" t="s">
        <v>6895</v>
      </c>
      <c r="C124" s="2" t="s">
        <v>6896</v>
      </c>
      <c r="D124" s="3">
        <v>0</v>
      </c>
      <c r="E124" s="3">
        <v>61.47</v>
      </c>
      <c r="F124" s="3">
        <v>0</v>
      </c>
      <c r="G124" s="3">
        <v>21.47</v>
      </c>
      <c r="H124" s="3">
        <v>82</v>
      </c>
      <c r="I124" s="3">
        <v>0</v>
      </c>
      <c r="J124" s="3">
        <v>0</v>
      </c>
      <c r="K124" s="3">
        <v>0</v>
      </c>
    </row>
    <row r="125" spans="2:11" x14ac:dyDescent="0.25">
      <c r="B125" s="2" t="s">
        <v>6897</v>
      </c>
      <c r="C125" s="2" t="s">
        <v>6898</v>
      </c>
      <c r="D125" s="3">
        <v>12.82</v>
      </c>
      <c r="E125" s="3">
        <v>44.89</v>
      </c>
      <c r="F125" s="3">
        <v>3.8</v>
      </c>
      <c r="G125" s="3">
        <v>38.46</v>
      </c>
      <c r="H125" s="3">
        <v>64</v>
      </c>
      <c r="I125" s="3">
        <v>16.667000000000002</v>
      </c>
    </row>
    <row r="126" spans="2:11" x14ac:dyDescent="0.25">
      <c r="B126" s="2" t="s">
        <v>6899</v>
      </c>
      <c r="C126" s="2" t="s">
        <v>6900</v>
      </c>
      <c r="D126" s="3">
        <v>9</v>
      </c>
      <c r="E126" s="3">
        <v>53.4</v>
      </c>
      <c r="F126" s="3">
        <v>6.2</v>
      </c>
      <c r="G126" s="3">
        <v>43.9</v>
      </c>
      <c r="H126" s="3">
        <v>74</v>
      </c>
      <c r="I126" s="3">
        <v>17.701000000000001</v>
      </c>
      <c r="J126" s="3">
        <v>11.96</v>
      </c>
      <c r="K126" s="3">
        <v>3.0190000000000001</v>
      </c>
    </row>
    <row r="127" spans="2:11" x14ac:dyDescent="0.25">
      <c r="B127" s="2" t="s">
        <v>6901</v>
      </c>
      <c r="C127" s="2" t="s">
        <v>6902</v>
      </c>
      <c r="D127" s="3">
        <v>7.64</v>
      </c>
      <c r="E127" s="3">
        <v>59.67</v>
      </c>
      <c r="F127" s="3">
        <v>3.3</v>
      </c>
      <c r="G127" s="3">
        <v>51.06</v>
      </c>
      <c r="H127" s="3">
        <v>86</v>
      </c>
      <c r="I127" s="3">
        <v>15.89</v>
      </c>
      <c r="J127" s="3">
        <v>8.64</v>
      </c>
      <c r="K127" s="3">
        <v>0.78</v>
      </c>
    </row>
    <row r="128" spans="2:11" x14ac:dyDescent="0.25">
      <c r="B128" s="2" t="s">
        <v>6903</v>
      </c>
      <c r="C128" s="2" t="s">
        <v>6904</v>
      </c>
      <c r="D128" s="3">
        <v>4.01</v>
      </c>
      <c r="E128" s="3">
        <v>71.17</v>
      </c>
      <c r="F128" s="3">
        <v>1</v>
      </c>
      <c r="G128" s="3">
        <v>59.69</v>
      </c>
      <c r="H128" s="3">
        <v>167</v>
      </c>
      <c r="I128" s="3">
        <v>12.016</v>
      </c>
      <c r="J128" s="3">
        <v>2.23</v>
      </c>
      <c r="K128" s="3">
        <v>0.26</v>
      </c>
    </row>
    <row r="129" spans="2:11" x14ac:dyDescent="0.25">
      <c r="B129" s="2" t="s">
        <v>6905</v>
      </c>
      <c r="C129" s="2" t="s">
        <v>6906</v>
      </c>
      <c r="D129" s="3">
        <v>3.13</v>
      </c>
      <c r="E129" s="3">
        <v>63.73</v>
      </c>
      <c r="F129" s="3">
        <v>1.3</v>
      </c>
      <c r="G129" s="3">
        <v>59.89</v>
      </c>
      <c r="H129" s="3">
        <v>317</v>
      </c>
      <c r="I129" s="3">
        <v>18.78</v>
      </c>
      <c r="J129" s="3">
        <v>9.7140000000000004</v>
      </c>
      <c r="K129" s="3">
        <v>1.1910000000000001</v>
      </c>
    </row>
    <row r="130" spans="2:11" x14ac:dyDescent="0.25">
      <c r="B130" s="2" t="s">
        <v>6907</v>
      </c>
      <c r="C130" s="2" t="s">
        <v>6908</v>
      </c>
      <c r="D130" s="3">
        <v>0.2</v>
      </c>
      <c r="E130" s="3">
        <v>66.3</v>
      </c>
      <c r="F130" s="3">
        <v>0.7</v>
      </c>
      <c r="G130" s="3">
        <v>27.38</v>
      </c>
      <c r="H130" s="3">
        <v>21</v>
      </c>
      <c r="I130" s="3">
        <v>5.0000000000000001E-3</v>
      </c>
      <c r="J130" s="3">
        <v>1.4E-2</v>
      </c>
      <c r="K130" s="3">
        <v>0.05</v>
      </c>
    </row>
    <row r="131" spans="2:11" x14ac:dyDescent="0.25">
      <c r="B131" s="2" t="s">
        <v>6909</v>
      </c>
      <c r="C131" s="2" t="s">
        <v>6910</v>
      </c>
      <c r="D131" s="3">
        <v>6.21</v>
      </c>
      <c r="E131" s="3">
        <v>44.88</v>
      </c>
      <c r="F131" s="3">
        <v>2.5</v>
      </c>
      <c r="G131" s="3">
        <v>38.31</v>
      </c>
      <c r="H131" s="3">
        <v>68</v>
      </c>
      <c r="I131" s="3">
        <v>18.488</v>
      </c>
      <c r="J131" s="3">
        <v>12.635999999999999</v>
      </c>
      <c r="K131" s="3">
        <v>1.0129999999999999</v>
      </c>
    </row>
    <row r="132" spans="2:11" x14ac:dyDescent="0.25">
      <c r="B132" s="2" t="s">
        <v>6911</v>
      </c>
      <c r="C132" s="2" t="s">
        <v>6912</v>
      </c>
      <c r="D132" s="3">
        <v>4.4400000000000004</v>
      </c>
      <c r="E132" s="3">
        <v>65.959999999999994</v>
      </c>
      <c r="F132" s="3">
        <v>6.7</v>
      </c>
      <c r="G132" s="3">
        <v>53.07</v>
      </c>
      <c r="H132" s="3">
        <v>2</v>
      </c>
      <c r="I132" s="3">
        <v>15.618</v>
      </c>
    </row>
    <row r="133" spans="2:11" x14ac:dyDescent="0.25">
      <c r="B133" s="2" t="s">
        <v>6913</v>
      </c>
      <c r="C133" s="2" t="s">
        <v>6914</v>
      </c>
      <c r="D133" s="3">
        <v>9.57</v>
      </c>
      <c r="E133" s="3">
        <v>60.48</v>
      </c>
      <c r="F133" s="3">
        <v>3.7</v>
      </c>
      <c r="G133" s="3">
        <v>50.75</v>
      </c>
      <c r="H133" s="3">
        <v>50</v>
      </c>
      <c r="I133" s="3">
        <v>10.169</v>
      </c>
      <c r="J133" s="3">
        <v>8.0860000000000003</v>
      </c>
      <c r="K133" s="3">
        <v>3.456</v>
      </c>
    </row>
    <row r="134" spans="2:11" x14ac:dyDescent="0.25">
      <c r="B134" s="2" t="s">
        <v>6915</v>
      </c>
      <c r="C134" s="2" t="s">
        <v>6916</v>
      </c>
      <c r="D134" s="3">
        <v>4.33</v>
      </c>
      <c r="E134" s="3">
        <v>71.19</v>
      </c>
      <c r="F134" s="3">
        <v>2.8</v>
      </c>
      <c r="G134" s="3">
        <v>63.68</v>
      </c>
      <c r="H134" s="3">
        <v>61</v>
      </c>
      <c r="I134" s="3">
        <v>13.08</v>
      </c>
      <c r="J134" s="3">
        <v>5.1829999999999998</v>
      </c>
      <c r="K134" s="3">
        <v>0.92100000000000004</v>
      </c>
    </row>
    <row r="135" spans="2:11" x14ac:dyDescent="0.25">
      <c r="B135" s="2" t="s">
        <v>6917</v>
      </c>
      <c r="C135" s="2" t="s">
        <v>6918</v>
      </c>
      <c r="D135" s="3">
        <v>4.5999999999999996</v>
      </c>
      <c r="E135" s="3">
        <v>58.59</v>
      </c>
      <c r="F135" s="3">
        <v>3.7</v>
      </c>
      <c r="G135" s="3">
        <v>46.19</v>
      </c>
      <c r="H135" s="3">
        <v>145</v>
      </c>
      <c r="I135" s="3">
        <v>20.58</v>
      </c>
      <c r="J135" s="3">
        <v>0.39</v>
      </c>
      <c r="K135" s="3">
        <v>0.14000000000000001</v>
      </c>
    </row>
    <row r="136" spans="2:11" x14ac:dyDescent="0.25">
      <c r="B136" s="2" t="s">
        <v>6919</v>
      </c>
      <c r="C136" s="2" t="s">
        <v>6920</v>
      </c>
      <c r="D136" s="3">
        <v>10.220000000000001</v>
      </c>
      <c r="E136" s="3">
        <v>54.34</v>
      </c>
      <c r="F136" s="3">
        <v>3.8</v>
      </c>
      <c r="G136" s="3">
        <v>47.22</v>
      </c>
      <c r="H136" s="3">
        <v>41</v>
      </c>
      <c r="I136" s="3">
        <v>14.13</v>
      </c>
      <c r="J136" s="3">
        <v>8.2029999999999994</v>
      </c>
      <c r="K136" s="3">
        <v>4.3659999999999997</v>
      </c>
    </row>
    <row r="137" spans="2:11" x14ac:dyDescent="0.25">
      <c r="B137" s="2" t="s">
        <v>6921</v>
      </c>
      <c r="C137" s="2" t="s">
        <v>6922</v>
      </c>
      <c r="D137" s="3">
        <v>2.5</v>
      </c>
      <c r="E137" s="3">
        <v>70.97</v>
      </c>
      <c r="F137" s="3">
        <v>1</v>
      </c>
      <c r="G137" s="3">
        <v>51.9</v>
      </c>
      <c r="H137" s="3">
        <v>203</v>
      </c>
      <c r="I137" s="3">
        <v>11.9</v>
      </c>
      <c r="J137" s="3">
        <v>6.0389999999999997</v>
      </c>
      <c r="K137" s="3">
        <v>1.3879999999999999</v>
      </c>
    </row>
    <row r="138" spans="2:11" x14ac:dyDescent="0.25">
      <c r="B138" s="2" t="s">
        <v>6923</v>
      </c>
      <c r="C138" s="2" t="s">
        <v>6924</v>
      </c>
      <c r="D138" s="3">
        <v>5</v>
      </c>
      <c r="E138" s="3">
        <v>67</v>
      </c>
      <c r="F138" s="3">
        <v>1.9</v>
      </c>
      <c r="G138" s="3">
        <v>55</v>
      </c>
      <c r="H138" s="3">
        <v>150</v>
      </c>
      <c r="I138" s="3">
        <v>16</v>
      </c>
    </row>
    <row r="139" spans="2:11" x14ac:dyDescent="0.25">
      <c r="B139" s="2" t="s">
        <v>6925</v>
      </c>
      <c r="C139" s="2" t="s">
        <v>6926</v>
      </c>
      <c r="D139" s="3">
        <v>4.78</v>
      </c>
      <c r="E139" s="3">
        <v>68.400000000000006</v>
      </c>
      <c r="F139" s="3">
        <v>2.7</v>
      </c>
      <c r="G139" s="3">
        <v>62.54</v>
      </c>
      <c r="H139" s="3">
        <v>68</v>
      </c>
      <c r="I139" s="3">
        <v>14.465999999999999</v>
      </c>
    </row>
    <row r="140" spans="2:11" x14ac:dyDescent="0.25">
      <c r="B140" s="2" t="s">
        <v>6927</v>
      </c>
      <c r="C140" s="2" t="s">
        <v>6928</v>
      </c>
      <c r="D140" s="3">
        <v>15.5</v>
      </c>
      <c r="E140" s="3">
        <v>47.4</v>
      </c>
      <c r="F140" s="3">
        <v>4.0999999999999996</v>
      </c>
      <c r="G140" s="3">
        <v>42.22</v>
      </c>
      <c r="H140" s="3">
        <v>156</v>
      </c>
      <c r="I140" s="3">
        <v>4.6779999999999999</v>
      </c>
      <c r="J140" s="3">
        <v>16.721</v>
      </c>
      <c r="K140" s="3">
        <v>10.65</v>
      </c>
    </row>
    <row r="141" spans="2:11" x14ac:dyDescent="0.25">
      <c r="B141" s="2" t="s">
        <v>6929</v>
      </c>
      <c r="C141" s="2" t="s">
        <v>6930</v>
      </c>
      <c r="D141" s="3">
        <v>7.57</v>
      </c>
      <c r="E141" s="3">
        <v>71.239999999999995</v>
      </c>
      <c r="F141" s="3">
        <v>2.5</v>
      </c>
      <c r="G141" s="3">
        <v>51.33</v>
      </c>
      <c r="H141" s="3">
        <v>445</v>
      </c>
      <c r="I141" s="3">
        <v>4.1440000000000001</v>
      </c>
      <c r="J141" s="3">
        <v>8.0640000000000001</v>
      </c>
      <c r="K141" s="3">
        <v>4.5579999999999998</v>
      </c>
    </row>
    <row r="142" spans="2:11" x14ac:dyDescent="0.25">
      <c r="B142" s="2" t="s">
        <v>6931</v>
      </c>
      <c r="C142" s="2" t="s">
        <v>6932</v>
      </c>
      <c r="D142" s="3">
        <v>4.4000000000000004</v>
      </c>
      <c r="E142" s="3">
        <v>71</v>
      </c>
      <c r="F142" s="3">
        <v>2.2000000000000002</v>
      </c>
      <c r="G142" s="3">
        <v>59</v>
      </c>
      <c r="H142" s="3">
        <v>33</v>
      </c>
      <c r="I142" s="3">
        <v>11</v>
      </c>
    </row>
    <row r="143" spans="2:11" x14ac:dyDescent="0.25">
      <c r="B143" s="2" t="s">
        <v>6933</v>
      </c>
      <c r="C143" s="2" t="s">
        <v>6934</v>
      </c>
      <c r="D143" s="3">
        <v>10.24</v>
      </c>
      <c r="E143" s="3">
        <v>55.36</v>
      </c>
      <c r="F143" s="3">
        <v>3.6</v>
      </c>
      <c r="G143" s="3">
        <v>47.17</v>
      </c>
      <c r="H143" s="3">
        <v>357</v>
      </c>
      <c r="I143" s="3">
        <v>10.73</v>
      </c>
      <c r="J143" s="3">
        <v>13.1</v>
      </c>
      <c r="K143" s="3">
        <v>5.5</v>
      </c>
    </row>
    <row r="144" spans="2:11" x14ac:dyDescent="0.25">
      <c r="B144" s="2" t="s">
        <v>6935</v>
      </c>
      <c r="C144" s="2" t="s">
        <v>6936</v>
      </c>
      <c r="D144" s="3">
        <v>12.46</v>
      </c>
      <c r="E144" s="3">
        <v>59.86</v>
      </c>
      <c r="F144" s="3">
        <v>3</v>
      </c>
      <c r="G144" s="3">
        <v>53.25</v>
      </c>
      <c r="H144" s="3">
        <v>194</v>
      </c>
      <c r="I144" s="3">
        <v>16.420000000000002</v>
      </c>
      <c r="J144" s="3">
        <v>4.46</v>
      </c>
      <c r="K144" s="3">
        <v>1.88</v>
      </c>
    </row>
    <row r="145" spans="2:11" x14ac:dyDescent="0.25">
      <c r="B145" s="2" t="s">
        <v>6937</v>
      </c>
      <c r="C145" s="2" t="s">
        <v>6938</v>
      </c>
      <c r="D145" s="3">
        <v>5.08</v>
      </c>
      <c r="E145" s="3">
        <v>67.95</v>
      </c>
      <c r="F145" s="3">
        <v>0.9</v>
      </c>
      <c r="G145" s="3">
        <v>63.93</v>
      </c>
      <c r="H145" s="3">
        <v>188</v>
      </c>
      <c r="I145" s="3">
        <v>14.542</v>
      </c>
      <c r="J145" s="3">
        <v>2.1040000000000001</v>
      </c>
      <c r="K145" s="3">
        <v>0.26500000000000001</v>
      </c>
    </row>
    <row r="146" spans="2:11" x14ac:dyDescent="0.25">
      <c r="B146" s="2" t="s">
        <v>6939</v>
      </c>
      <c r="C146" s="2" t="s">
        <v>6940</v>
      </c>
      <c r="D146" s="3">
        <v>1.67</v>
      </c>
      <c r="E146" s="3">
        <v>79.53</v>
      </c>
      <c r="F146" s="3">
        <v>2.4</v>
      </c>
      <c r="G146" s="3">
        <v>66.599999999999994</v>
      </c>
      <c r="H146" s="3">
        <v>1</v>
      </c>
      <c r="I146" s="3">
        <v>8.33</v>
      </c>
    </row>
    <row r="147" spans="2:11" x14ac:dyDescent="0.25">
      <c r="B147" s="2" t="s">
        <v>6941</v>
      </c>
      <c r="C147" s="2" t="s">
        <v>6942</v>
      </c>
      <c r="D147" s="3">
        <v>11.6</v>
      </c>
      <c r="E147" s="3">
        <v>50.3</v>
      </c>
      <c r="F147" s="3">
        <v>7.7</v>
      </c>
      <c r="G147" s="3">
        <v>31.17</v>
      </c>
      <c r="H147" s="3">
        <v>167</v>
      </c>
      <c r="I147" s="3">
        <v>4.6619999999999999</v>
      </c>
      <c r="J147" s="3">
        <v>12.571</v>
      </c>
      <c r="K147" s="3">
        <v>14.590999999999999</v>
      </c>
    </row>
    <row r="148" spans="2:11" x14ac:dyDescent="0.25">
      <c r="B148" s="2" t="s">
        <v>6943</v>
      </c>
      <c r="C148" s="2" t="s">
        <v>6944</v>
      </c>
      <c r="D148" s="3">
        <v>7.53</v>
      </c>
      <c r="E148" s="3">
        <v>61.51</v>
      </c>
      <c r="F148" s="3">
        <v>2.2999999999999998</v>
      </c>
      <c r="G148" s="3">
        <v>50.47</v>
      </c>
      <c r="H148" s="3">
        <v>239</v>
      </c>
      <c r="I148" s="3">
        <v>9.0690000000000008</v>
      </c>
      <c r="J148" s="3">
        <v>7.875</v>
      </c>
      <c r="K148" s="3">
        <v>3.0139999999999998</v>
      </c>
    </row>
    <row r="149" spans="2:11" x14ac:dyDescent="0.25">
      <c r="B149" s="2" t="s">
        <v>6945</v>
      </c>
      <c r="C149" s="2" t="s">
        <v>6946</v>
      </c>
      <c r="D149" s="3">
        <v>0.41</v>
      </c>
      <c r="E149" s="3">
        <v>82.57</v>
      </c>
      <c r="F149" s="3">
        <v>0</v>
      </c>
      <c r="G149" s="3">
        <v>58.12</v>
      </c>
      <c r="H149" s="3">
        <v>2</v>
      </c>
      <c r="I149" s="3">
        <v>7.7779999999999996</v>
      </c>
      <c r="J149" s="3">
        <v>0</v>
      </c>
      <c r="K149" s="3">
        <v>0</v>
      </c>
    </row>
    <row r="150" spans="2:11" x14ac:dyDescent="0.25">
      <c r="B150" s="2" t="s">
        <v>6947</v>
      </c>
      <c r="C150" s="2" t="s">
        <v>6948</v>
      </c>
      <c r="D150" s="3">
        <v>4.78</v>
      </c>
      <c r="E150" s="3">
        <v>68.400000000000006</v>
      </c>
      <c r="F150" s="3">
        <v>2.7</v>
      </c>
      <c r="G150" s="3">
        <v>62.54</v>
      </c>
      <c r="H150" s="3">
        <v>68</v>
      </c>
      <c r="I150" s="3">
        <v>14.465999999999999</v>
      </c>
    </row>
    <row r="151" spans="2:11" x14ac:dyDescent="0.25">
      <c r="B151" s="2" t="s">
        <v>6949</v>
      </c>
      <c r="C151" s="2" t="s">
        <v>6950</v>
      </c>
      <c r="D151" s="3">
        <v>2.6</v>
      </c>
      <c r="E151" s="3">
        <v>77.77</v>
      </c>
      <c r="F151" s="3">
        <v>1.5</v>
      </c>
      <c r="G151" s="3">
        <v>66.89</v>
      </c>
      <c r="H151" s="3">
        <v>194</v>
      </c>
      <c r="I151" s="3">
        <v>8.6460000000000008</v>
      </c>
      <c r="J151" s="3">
        <v>2.3730000000000002</v>
      </c>
      <c r="K151" s="3">
        <v>0.316</v>
      </c>
    </row>
    <row r="152" spans="2:11" x14ac:dyDescent="0.25">
      <c r="B152" s="2" t="s">
        <v>6951</v>
      </c>
      <c r="C152" s="2" t="s">
        <v>6952</v>
      </c>
      <c r="D152" s="3">
        <v>4.91</v>
      </c>
      <c r="E152" s="3">
        <v>64.8</v>
      </c>
      <c r="F152" s="3">
        <v>1.1000000000000001</v>
      </c>
      <c r="G152" s="3">
        <v>48.25</v>
      </c>
      <c r="H152" s="3">
        <v>198</v>
      </c>
      <c r="I152" s="3">
        <v>18.96</v>
      </c>
      <c r="J152" s="3">
        <v>2.988</v>
      </c>
      <c r="K152" s="3">
        <v>0.628</v>
      </c>
    </row>
    <row r="153" spans="2:11" x14ac:dyDescent="0.25">
      <c r="B153" s="2" t="s">
        <v>6953</v>
      </c>
      <c r="C153" s="2" t="s">
        <v>6954</v>
      </c>
      <c r="D153" s="3">
        <v>9.18</v>
      </c>
      <c r="E153" s="3">
        <v>54.15</v>
      </c>
      <c r="F153" s="3">
        <v>3.1</v>
      </c>
      <c r="G153" s="3">
        <v>36.130000000000003</v>
      </c>
      <c r="H153" s="3">
        <v>226</v>
      </c>
      <c r="I153" s="3">
        <v>15.757999999999999</v>
      </c>
      <c r="J153" s="3">
        <v>12.317</v>
      </c>
      <c r="K153" s="3">
        <v>3.407</v>
      </c>
    </row>
    <row r="154" spans="2:11" x14ac:dyDescent="0.25">
      <c r="B154" s="2" t="s">
        <v>6955</v>
      </c>
      <c r="C154" s="2" t="s">
        <v>6956</v>
      </c>
      <c r="D154" s="3">
        <v>8.0399999999999991</v>
      </c>
      <c r="E154" s="3">
        <v>63.23</v>
      </c>
      <c r="F154" s="3">
        <v>1.9</v>
      </c>
      <c r="G154" s="3">
        <v>48.86</v>
      </c>
      <c r="H154" s="3">
        <v>299</v>
      </c>
      <c r="I154" s="3">
        <v>17.04</v>
      </c>
      <c r="J154" s="3">
        <v>3.78</v>
      </c>
      <c r="K154" s="3">
        <v>0.83</v>
      </c>
    </row>
    <row r="155" spans="2:11" x14ac:dyDescent="0.25">
      <c r="B155" s="2" t="s">
        <v>6957</v>
      </c>
      <c r="C155" s="2" t="s">
        <v>6958</v>
      </c>
      <c r="D155" s="3">
        <v>0</v>
      </c>
      <c r="E155" s="3">
        <v>96.7</v>
      </c>
      <c r="F155" s="3">
        <v>2.4</v>
      </c>
      <c r="G155" s="3">
        <v>66.08</v>
      </c>
      <c r="H155" s="3">
        <v>1</v>
      </c>
      <c r="I155" s="3">
        <v>4.2000000000000003E-2</v>
      </c>
      <c r="J155" s="3">
        <v>7.9000000000000001E-2</v>
      </c>
      <c r="K155" s="3">
        <v>0.13700000000000001</v>
      </c>
    </row>
    <row r="156" spans="2:11" x14ac:dyDescent="0.25">
      <c r="B156" s="2" t="s">
        <v>6959</v>
      </c>
      <c r="C156" s="2" t="s">
        <v>6960</v>
      </c>
      <c r="D156" s="3">
        <v>5.54</v>
      </c>
      <c r="E156" s="3">
        <v>60.49</v>
      </c>
      <c r="F156" s="3">
        <v>6.5</v>
      </c>
      <c r="G156" s="3">
        <v>47.56</v>
      </c>
      <c r="H156" s="3">
        <v>6</v>
      </c>
      <c r="J156" s="3">
        <v>5.14</v>
      </c>
      <c r="K156" s="3">
        <v>0.44</v>
      </c>
    </row>
    <row r="157" spans="2:11" x14ac:dyDescent="0.25">
      <c r="B157" s="2" t="s">
        <v>6961</v>
      </c>
      <c r="C157" s="2" t="s">
        <v>6962</v>
      </c>
      <c r="D157" s="3">
        <v>19.600000000000001</v>
      </c>
      <c r="E157" s="3">
        <v>57.9</v>
      </c>
      <c r="F157" s="3">
        <v>37</v>
      </c>
      <c r="G157" s="3">
        <v>1.75</v>
      </c>
      <c r="H157" s="3">
        <v>21</v>
      </c>
      <c r="I157" s="3">
        <v>8.07</v>
      </c>
      <c r="J157" s="3">
        <v>4.57</v>
      </c>
      <c r="K157" s="3">
        <v>0.44</v>
      </c>
    </row>
    <row r="158" spans="2:11" x14ac:dyDescent="0.25">
      <c r="B158" s="2" t="s">
        <v>6963</v>
      </c>
      <c r="C158" s="2" t="s">
        <v>6964</v>
      </c>
      <c r="D158" s="3">
        <v>18.100000000000001</v>
      </c>
      <c r="E158" s="3">
        <v>58.3</v>
      </c>
      <c r="F158" s="3">
        <v>29.8</v>
      </c>
      <c r="G158" s="3">
        <v>1.76</v>
      </c>
      <c r="H158" s="3">
        <v>19</v>
      </c>
      <c r="I158" s="3">
        <v>7.76</v>
      </c>
      <c r="J158" s="3">
        <v>4.3899999999999997</v>
      </c>
      <c r="K158" s="3">
        <v>0.42</v>
      </c>
    </row>
    <row r="159" spans="2:11" x14ac:dyDescent="0.25">
      <c r="B159" s="2" t="s">
        <v>6965</v>
      </c>
      <c r="C159" s="2" t="s">
        <v>6966</v>
      </c>
      <c r="D159" s="3">
        <v>5.0199999999999996</v>
      </c>
      <c r="E159" s="3">
        <v>11</v>
      </c>
      <c r="F159" s="3">
        <v>0</v>
      </c>
      <c r="G159" s="3">
        <v>11</v>
      </c>
      <c r="H159" s="3">
        <v>61</v>
      </c>
      <c r="I159" s="3">
        <v>2.1640000000000001</v>
      </c>
      <c r="J159" s="3">
        <v>1.379</v>
      </c>
      <c r="K159" s="3">
        <v>0.41</v>
      </c>
    </row>
    <row r="160" spans="2:11" x14ac:dyDescent="0.25">
      <c r="B160" s="2" t="s">
        <v>6967</v>
      </c>
      <c r="C160" s="2" t="s">
        <v>6968</v>
      </c>
      <c r="D160" s="3">
        <v>6.9</v>
      </c>
      <c r="E160" s="3">
        <v>82.8</v>
      </c>
      <c r="F160" s="3">
        <v>0</v>
      </c>
      <c r="H160" s="3">
        <v>281</v>
      </c>
      <c r="I160" s="3">
        <v>2.0299999999999998</v>
      </c>
      <c r="J160" s="3">
        <v>2.4</v>
      </c>
      <c r="K160" s="3">
        <v>0.85</v>
      </c>
    </row>
    <row r="161" spans="2:11" x14ac:dyDescent="0.25">
      <c r="B161" s="2" t="s">
        <v>6969</v>
      </c>
      <c r="C161" s="2" t="s">
        <v>6970</v>
      </c>
      <c r="D161" s="3">
        <v>3.99</v>
      </c>
      <c r="E161" s="3">
        <v>17.600000000000001</v>
      </c>
      <c r="F161" s="3">
        <v>0</v>
      </c>
      <c r="G161" s="3">
        <v>4.82</v>
      </c>
      <c r="H161" s="3">
        <v>84</v>
      </c>
      <c r="I161" s="3">
        <v>2.032</v>
      </c>
      <c r="J161" s="3">
        <v>1.127</v>
      </c>
      <c r="K161" s="3">
        <v>0.312</v>
      </c>
    </row>
    <row r="162" spans="2:11" x14ac:dyDescent="0.25">
      <c r="B162" s="2" t="s">
        <v>6971</v>
      </c>
      <c r="C162" s="2" t="s">
        <v>6972</v>
      </c>
      <c r="D162" s="3">
        <v>20</v>
      </c>
      <c r="E162" s="3">
        <v>60</v>
      </c>
      <c r="F162" s="3">
        <v>20</v>
      </c>
      <c r="G162" s="3">
        <v>0</v>
      </c>
      <c r="H162" s="3">
        <v>0</v>
      </c>
      <c r="I162" s="3">
        <v>0</v>
      </c>
    </row>
    <row r="163" spans="2:11" x14ac:dyDescent="0.25">
      <c r="B163" s="2" t="s">
        <v>6973</v>
      </c>
      <c r="C163" s="2" t="s">
        <v>6974</v>
      </c>
      <c r="D163" s="3">
        <v>7.8</v>
      </c>
      <c r="E163" s="3">
        <v>90.5</v>
      </c>
      <c r="F163" s="3">
        <v>0</v>
      </c>
      <c r="G163" s="3">
        <v>86.04</v>
      </c>
      <c r="H163" s="3">
        <v>466</v>
      </c>
      <c r="I163" s="3">
        <v>0</v>
      </c>
      <c r="J163" s="3">
        <v>0</v>
      </c>
      <c r="K163" s="3">
        <v>0</v>
      </c>
    </row>
    <row r="164" spans="2:11" x14ac:dyDescent="0.25">
      <c r="B164" s="2" t="s">
        <v>6975</v>
      </c>
      <c r="C164" s="2" t="s">
        <v>6976</v>
      </c>
      <c r="D164" s="3">
        <v>1.22</v>
      </c>
      <c r="E164" s="3">
        <v>14.19</v>
      </c>
      <c r="F164" s="3">
        <v>0</v>
      </c>
      <c r="G164" s="3">
        <v>13.49</v>
      </c>
      <c r="H164" s="3">
        <v>75</v>
      </c>
      <c r="I164" s="3">
        <v>0</v>
      </c>
      <c r="J164" s="3">
        <v>0</v>
      </c>
      <c r="K164" s="3">
        <v>0</v>
      </c>
    </row>
    <row r="165" spans="2:11" x14ac:dyDescent="0.25">
      <c r="B165" s="2" t="s">
        <v>6977</v>
      </c>
      <c r="C165" s="2" t="s">
        <v>6978</v>
      </c>
      <c r="D165" s="3">
        <v>15.67</v>
      </c>
      <c r="E165" s="3">
        <v>80.209999999999994</v>
      </c>
      <c r="F165" s="3">
        <v>0.1</v>
      </c>
      <c r="G165" s="3">
        <v>0</v>
      </c>
      <c r="H165" s="3">
        <v>862</v>
      </c>
      <c r="I165" s="3">
        <v>0</v>
      </c>
      <c r="J165" s="3">
        <v>0</v>
      </c>
      <c r="K165" s="3">
        <v>0</v>
      </c>
    </row>
    <row r="166" spans="2:11" x14ac:dyDescent="0.25">
      <c r="B166" s="2" t="s">
        <v>6979</v>
      </c>
      <c r="C166" s="2" t="s">
        <v>6980</v>
      </c>
      <c r="D166" s="3">
        <v>0.83</v>
      </c>
      <c r="E166" s="3">
        <v>4.22</v>
      </c>
      <c r="F166" s="3">
        <v>0</v>
      </c>
      <c r="G166" s="3">
        <v>0</v>
      </c>
      <c r="H166" s="3">
        <v>48</v>
      </c>
      <c r="I166" s="3">
        <v>0</v>
      </c>
      <c r="J166" s="3">
        <v>0</v>
      </c>
      <c r="K166" s="3">
        <v>0</v>
      </c>
    </row>
    <row r="167" spans="2:11" x14ac:dyDescent="0.25">
      <c r="B167" s="2" t="s">
        <v>6981</v>
      </c>
      <c r="C167" s="2" t="s">
        <v>6982</v>
      </c>
      <c r="D167" s="3">
        <v>85.6</v>
      </c>
      <c r="E167" s="3">
        <v>0</v>
      </c>
      <c r="F167" s="3">
        <v>0</v>
      </c>
      <c r="G167" s="3">
        <v>0</v>
      </c>
      <c r="H167" s="3">
        <v>196</v>
      </c>
      <c r="I167" s="3">
        <v>7.0000000000000007E-2</v>
      </c>
      <c r="J167" s="3">
        <v>0.06</v>
      </c>
      <c r="K167" s="3">
        <v>0.01</v>
      </c>
    </row>
    <row r="168" spans="2:11" x14ac:dyDescent="0.25">
      <c r="B168" s="2" t="s">
        <v>6983</v>
      </c>
      <c r="C168" s="2" t="s">
        <v>6984</v>
      </c>
      <c r="D168" s="3">
        <v>1.78</v>
      </c>
      <c r="E168" s="3">
        <v>81.64</v>
      </c>
      <c r="F168" s="3">
        <v>2</v>
      </c>
      <c r="G168" s="3">
        <v>75</v>
      </c>
      <c r="H168" s="3">
        <v>46</v>
      </c>
      <c r="I168" s="3">
        <v>4.43</v>
      </c>
      <c r="J168" s="3">
        <v>0.48</v>
      </c>
      <c r="K168" s="3">
        <v>0.1</v>
      </c>
    </row>
    <row r="169" spans="2:11" x14ac:dyDescent="0.25">
      <c r="B169" s="2" t="s">
        <v>6985</v>
      </c>
      <c r="C169" s="2" t="s">
        <v>6986</v>
      </c>
      <c r="D169" s="3">
        <v>4.1399999999999997</v>
      </c>
      <c r="E169" s="3">
        <v>16.07</v>
      </c>
      <c r="F169" s="3">
        <v>0.6</v>
      </c>
      <c r="G169" s="3">
        <v>14.81</v>
      </c>
      <c r="H169" s="3">
        <v>38</v>
      </c>
      <c r="I169" s="3">
        <v>9.1509999999999998</v>
      </c>
      <c r="J169" s="3">
        <v>5.0270000000000001</v>
      </c>
      <c r="K169" s="3">
        <v>0.879</v>
      </c>
    </row>
    <row r="170" spans="2:11" x14ac:dyDescent="0.25">
      <c r="B170" s="2" t="s">
        <v>6987</v>
      </c>
      <c r="C170" s="2" t="s">
        <v>6988</v>
      </c>
      <c r="D170" s="3">
        <v>2.09</v>
      </c>
      <c r="E170" s="3">
        <v>23.01</v>
      </c>
      <c r="F170" s="3">
        <v>0</v>
      </c>
      <c r="G170" s="3">
        <v>17.170000000000002</v>
      </c>
      <c r="H170" s="3">
        <v>152</v>
      </c>
      <c r="I170" s="3">
        <v>1.2629999999999999</v>
      </c>
      <c r="J170" s="3">
        <v>2.7309999999999999</v>
      </c>
      <c r="K170" s="3">
        <v>0.105</v>
      </c>
    </row>
    <row r="171" spans="2:11" x14ac:dyDescent="0.25">
      <c r="B171" s="2" t="s">
        <v>6989</v>
      </c>
      <c r="C171" s="2" t="s">
        <v>6990</v>
      </c>
      <c r="D171" s="3">
        <v>2.2999999999999998</v>
      </c>
      <c r="E171" s="3">
        <v>87.9</v>
      </c>
      <c r="F171" s="3">
        <v>3.6</v>
      </c>
      <c r="G171" s="3">
        <v>67.86</v>
      </c>
      <c r="H171" s="3">
        <v>1771</v>
      </c>
      <c r="I171" s="3">
        <v>0.82499999999999996</v>
      </c>
      <c r="J171" s="3">
        <v>0.48699999999999999</v>
      </c>
      <c r="K171" s="3">
        <v>0.34799999999999998</v>
      </c>
    </row>
    <row r="172" spans="2:11" x14ac:dyDescent="0.25">
      <c r="B172" s="2" t="s">
        <v>6991</v>
      </c>
      <c r="C172" s="2" t="s">
        <v>6992</v>
      </c>
      <c r="D172" s="3">
        <v>3.1</v>
      </c>
      <c r="E172" s="3">
        <v>18.8</v>
      </c>
      <c r="F172" s="3">
        <v>1</v>
      </c>
      <c r="H172" s="3">
        <v>284</v>
      </c>
      <c r="I172" s="3">
        <v>1.83</v>
      </c>
      <c r="J172" s="3">
        <v>0.92</v>
      </c>
      <c r="K172" s="3">
        <v>0.18</v>
      </c>
    </row>
    <row r="173" spans="2:11" x14ac:dyDescent="0.25">
      <c r="B173" s="2" t="s">
        <v>6993</v>
      </c>
      <c r="C173" s="2" t="s">
        <v>6994</v>
      </c>
      <c r="D173" s="3">
        <v>1.75</v>
      </c>
      <c r="E173" s="3">
        <v>30.84</v>
      </c>
      <c r="F173" s="3">
        <v>1.4</v>
      </c>
      <c r="G173" s="3">
        <v>19.68</v>
      </c>
      <c r="H173" s="3">
        <v>351</v>
      </c>
      <c r="I173" s="3">
        <v>0.68500000000000005</v>
      </c>
      <c r="J173" s="3">
        <v>1.3340000000000001</v>
      </c>
      <c r="K173" s="3">
        <v>1.1439999999999999</v>
      </c>
    </row>
    <row r="174" spans="2:11" x14ac:dyDescent="0.25">
      <c r="B174" s="2" t="s">
        <v>6995</v>
      </c>
      <c r="C174" s="2" t="s">
        <v>6996</v>
      </c>
      <c r="D174" s="3">
        <v>0</v>
      </c>
      <c r="E174" s="3">
        <v>91.6</v>
      </c>
      <c r="F174" s="3">
        <v>0</v>
      </c>
      <c r="H174" s="3">
        <v>432</v>
      </c>
    </row>
    <row r="175" spans="2:11" x14ac:dyDescent="0.25">
      <c r="B175" s="2" t="s">
        <v>6997</v>
      </c>
      <c r="C175" s="2" t="s">
        <v>6998</v>
      </c>
      <c r="D175" s="3">
        <v>2.6</v>
      </c>
      <c r="E175" s="3">
        <v>89.3</v>
      </c>
      <c r="F175" s="3">
        <v>4.5</v>
      </c>
      <c r="G175" s="3">
        <v>42.88</v>
      </c>
      <c r="H175" s="3">
        <v>479</v>
      </c>
      <c r="I175" s="3">
        <v>1.234</v>
      </c>
      <c r="J175" s="3">
        <v>0.70299999999999996</v>
      </c>
      <c r="K175" s="3">
        <v>7.9000000000000001E-2</v>
      </c>
    </row>
    <row r="176" spans="2:11" x14ac:dyDescent="0.25">
      <c r="B176" s="2" t="s">
        <v>6999</v>
      </c>
      <c r="C176" s="2" t="s">
        <v>7000</v>
      </c>
      <c r="D176" s="3">
        <v>3.16</v>
      </c>
      <c r="E176" s="3">
        <v>19.64</v>
      </c>
      <c r="F176" s="3">
        <v>0.8</v>
      </c>
      <c r="G176" s="3">
        <v>11.96</v>
      </c>
      <c r="H176" s="3">
        <v>98</v>
      </c>
      <c r="I176" s="3">
        <v>1.81</v>
      </c>
      <c r="J176" s="3">
        <v>0.81899999999999995</v>
      </c>
      <c r="K176" s="3">
        <v>0.18</v>
      </c>
    </row>
    <row r="177" spans="2:11" x14ac:dyDescent="0.25">
      <c r="B177" s="2" t="s">
        <v>7001</v>
      </c>
      <c r="C177" s="2" t="s">
        <v>7002</v>
      </c>
      <c r="D177" s="3">
        <v>3.28</v>
      </c>
      <c r="E177" s="3">
        <v>19.760000000000002</v>
      </c>
      <c r="F177" s="3">
        <v>0.8</v>
      </c>
      <c r="G177" s="3">
        <v>11.85</v>
      </c>
      <c r="H177" s="3">
        <v>102</v>
      </c>
      <c r="I177" s="3">
        <v>1.2889999999999999</v>
      </c>
      <c r="J177" s="3">
        <v>0.60199999999999998</v>
      </c>
      <c r="K177" s="3">
        <v>7.5999999999999998E-2</v>
      </c>
    </row>
    <row r="178" spans="2:11" x14ac:dyDescent="0.25">
      <c r="B178" s="2" t="s">
        <v>7003</v>
      </c>
      <c r="C178" s="2" t="s">
        <v>7004</v>
      </c>
      <c r="D178" s="3">
        <v>2.9</v>
      </c>
      <c r="E178" s="3">
        <v>19.2</v>
      </c>
      <c r="F178" s="3">
        <v>0.1</v>
      </c>
      <c r="H178" s="3">
        <v>246</v>
      </c>
      <c r="I178" s="3">
        <v>1.37</v>
      </c>
      <c r="J178" s="3">
        <v>0.62</v>
      </c>
      <c r="K178" s="3">
        <v>0.19</v>
      </c>
    </row>
    <row r="179" spans="2:11" x14ac:dyDescent="0.25">
      <c r="B179" s="2" t="s">
        <v>7005</v>
      </c>
      <c r="C179" s="2" t="s">
        <v>7006</v>
      </c>
      <c r="D179" s="3">
        <v>3.23</v>
      </c>
      <c r="E179" s="3">
        <v>18.39</v>
      </c>
      <c r="F179" s="3">
        <v>0.3</v>
      </c>
      <c r="G179" s="3">
        <v>11.59</v>
      </c>
      <c r="H179" s="3">
        <v>97</v>
      </c>
      <c r="I179" s="3">
        <v>1.208</v>
      </c>
      <c r="J179" s="3">
        <v>0.55600000000000005</v>
      </c>
      <c r="K179" s="3">
        <v>0.129</v>
      </c>
    </row>
    <row r="180" spans="2:11" x14ac:dyDescent="0.25">
      <c r="B180" s="2" t="s">
        <v>7007</v>
      </c>
      <c r="C180" s="2" t="s">
        <v>7008</v>
      </c>
      <c r="D180" s="3">
        <v>2.7</v>
      </c>
      <c r="E180" s="3">
        <v>91.2</v>
      </c>
      <c r="F180" s="3">
        <v>0.7</v>
      </c>
      <c r="H180" s="3">
        <v>366</v>
      </c>
    </row>
    <row r="181" spans="2:11" x14ac:dyDescent="0.25">
      <c r="B181" s="2" t="s">
        <v>7009</v>
      </c>
      <c r="C181" s="2" t="s">
        <v>7010</v>
      </c>
      <c r="D181" s="3">
        <v>3.25</v>
      </c>
      <c r="E181" s="3">
        <v>20.68</v>
      </c>
      <c r="F181" s="3">
        <v>0.1</v>
      </c>
      <c r="H181" s="3">
        <v>108</v>
      </c>
      <c r="I181" s="3">
        <v>1.6819999999999999</v>
      </c>
      <c r="J181" s="3">
        <v>0.76700000000000002</v>
      </c>
      <c r="K181" s="3">
        <v>0.104</v>
      </c>
    </row>
    <row r="182" spans="2:11" x14ac:dyDescent="0.25">
      <c r="B182" s="2" t="s">
        <v>7011</v>
      </c>
      <c r="C182" s="2" t="s">
        <v>7012</v>
      </c>
      <c r="D182" s="3">
        <v>0.1</v>
      </c>
      <c r="E182" s="3">
        <v>94.3</v>
      </c>
      <c r="F182" s="3">
        <v>0.2</v>
      </c>
      <c r="G182" s="3">
        <v>65</v>
      </c>
      <c r="H182" s="3">
        <v>477</v>
      </c>
    </row>
    <row r="183" spans="2:11" x14ac:dyDescent="0.25">
      <c r="B183" s="2" t="s">
        <v>7013</v>
      </c>
      <c r="C183" s="2" t="s">
        <v>7014</v>
      </c>
      <c r="D183" s="3">
        <v>2.84</v>
      </c>
      <c r="E183" s="3">
        <v>19.43</v>
      </c>
      <c r="F183" s="3">
        <v>0</v>
      </c>
      <c r="H183" s="3">
        <v>120</v>
      </c>
      <c r="I183" s="3">
        <v>1.724</v>
      </c>
      <c r="J183" s="3">
        <v>0.78600000000000003</v>
      </c>
      <c r="K183" s="3">
        <v>0.107</v>
      </c>
    </row>
    <row r="184" spans="2:11" x14ac:dyDescent="0.25">
      <c r="B184" s="2" t="s">
        <v>7015</v>
      </c>
      <c r="C184" s="2" t="s">
        <v>7016</v>
      </c>
      <c r="D184" s="3">
        <v>1.45</v>
      </c>
      <c r="E184" s="3">
        <v>22.6</v>
      </c>
      <c r="F184" s="3">
        <v>0</v>
      </c>
      <c r="G184" s="3">
        <v>16.97</v>
      </c>
      <c r="H184" s="3">
        <v>142</v>
      </c>
      <c r="I184" s="3">
        <v>1.016</v>
      </c>
      <c r="J184" s="3">
        <v>2.286</v>
      </c>
      <c r="K184" s="3">
        <v>8.6999999999999994E-2</v>
      </c>
    </row>
    <row r="185" spans="2:11" x14ac:dyDescent="0.25">
      <c r="B185" s="2" t="s">
        <v>7017</v>
      </c>
      <c r="C185" s="2" t="s">
        <v>7018</v>
      </c>
      <c r="D185" s="3">
        <v>0</v>
      </c>
      <c r="E185" s="3">
        <v>92.9</v>
      </c>
      <c r="F185" s="3">
        <v>0</v>
      </c>
      <c r="G185" s="3">
        <v>92.9</v>
      </c>
      <c r="H185" s="3">
        <v>1441</v>
      </c>
      <c r="I185" s="3">
        <v>0.432</v>
      </c>
      <c r="J185" s="3">
        <v>0.12</v>
      </c>
      <c r="K185" s="3">
        <v>0.01</v>
      </c>
    </row>
    <row r="186" spans="2:11" x14ac:dyDescent="0.25">
      <c r="B186" s="2" t="s">
        <v>7019</v>
      </c>
      <c r="C186" s="2" t="s">
        <v>7020</v>
      </c>
      <c r="D186" s="3">
        <v>2.7</v>
      </c>
      <c r="E186" s="3">
        <v>19.7</v>
      </c>
      <c r="F186" s="3">
        <v>0</v>
      </c>
      <c r="G186" s="3">
        <v>18.03</v>
      </c>
      <c r="H186" s="3">
        <v>286</v>
      </c>
      <c r="I186" s="3">
        <v>1.74</v>
      </c>
      <c r="J186" s="3">
        <v>0.84</v>
      </c>
      <c r="K186" s="3">
        <v>0.15</v>
      </c>
    </row>
    <row r="187" spans="2:11" x14ac:dyDescent="0.25">
      <c r="B187" s="2" t="s">
        <v>7021</v>
      </c>
      <c r="C187" s="2" t="s">
        <v>7022</v>
      </c>
      <c r="D187" s="3">
        <v>2.76</v>
      </c>
      <c r="E187" s="3">
        <v>20.2</v>
      </c>
      <c r="F187" s="3">
        <v>0</v>
      </c>
      <c r="H187" s="3">
        <v>268</v>
      </c>
      <c r="I187" s="3">
        <v>0.97399999999999998</v>
      </c>
      <c r="J187" s="3">
        <v>0.48399999999999999</v>
      </c>
      <c r="K187" s="3">
        <v>0.10100000000000001</v>
      </c>
    </row>
    <row r="188" spans="2:11" x14ac:dyDescent="0.25">
      <c r="B188" s="2" t="s">
        <v>7023</v>
      </c>
      <c r="C188" s="2" t="s">
        <v>7024</v>
      </c>
      <c r="D188" s="3">
        <v>4.13</v>
      </c>
      <c r="E188" s="3">
        <v>17.61</v>
      </c>
      <c r="F188" s="3">
        <v>0</v>
      </c>
      <c r="G188" s="3">
        <v>4.63</v>
      </c>
      <c r="H188" s="3">
        <v>87</v>
      </c>
      <c r="I188" s="3">
        <v>1.4750000000000001</v>
      </c>
      <c r="J188" s="3">
        <v>0.89600000000000002</v>
      </c>
      <c r="K188" s="3">
        <v>0.20100000000000001</v>
      </c>
    </row>
    <row r="189" spans="2:11" x14ac:dyDescent="0.25">
      <c r="B189" s="2" t="s">
        <v>7025</v>
      </c>
      <c r="C189" s="2" t="s">
        <v>7026</v>
      </c>
      <c r="D189" s="3">
        <v>0.3</v>
      </c>
      <c r="E189" s="3">
        <v>93.5</v>
      </c>
      <c r="F189" s="3">
        <v>0.6</v>
      </c>
      <c r="G189" s="3">
        <v>79.34</v>
      </c>
      <c r="H189" s="3">
        <v>635</v>
      </c>
      <c r="I189" s="3">
        <v>0.09</v>
      </c>
      <c r="J189" s="3">
        <v>0.03</v>
      </c>
      <c r="K189" s="3">
        <v>0.17</v>
      </c>
    </row>
    <row r="190" spans="2:11" x14ac:dyDescent="0.25">
      <c r="B190" s="2" t="s">
        <v>7027</v>
      </c>
      <c r="C190" s="2" t="s">
        <v>7028</v>
      </c>
      <c r="D190" s="3">
        <v>2.8</v>
      </c>
      <c r="E190" s="3">
        <v>18.920000000000002</v>
      </c>
      <c r="F190" s="3">
        <v>0.1</v>
      </c>
      <c r="G190" s="3">
        <v>17.09</v>
      </c>
      <c r="H190" s="3">
        <v>156</v>
      </c>
      <c r="I190" s="3">
        <v>1.643</v>
      </c>
      <c r="J190" s="3">
        <v>0.71399999999999997</v>
      </c>
      <c r="K190" s="3">
        <v>0.19700000000000001</v>
      </c>
    </row>
    <row r="191" spans="2:11" x14ac:dyDescent="0.25">
      <c r="B191" s="2" t="s">
        <v>7029</v>
      </c>
      <c r="C191" s="2" t="s">
        <v>7030</v>
      </c>
      <c r="D191" s="3">
        <v>3.29</v>
      </c>
      <c r="E191" s="3">
        <v>20.81</v>
      </c>
      <c r="F191" s="3">
        <v>0.1</v>
      </c>
      <c r="H191" s="3">
        <v>109</v>
      </c>
      <c r="I191" s="3">
        <v>0.96699999999999997</v>
      </c>
      <c r="J191" s="3">
        <v>0.441</v>
      </c>
      <c r="K191" s="3">
        <v>0.06</v>
      </c>
    </row>
    <row r="192" spans="2:11" x14ac:dyDescent="0.25">
      <c r="B192" s="2" t="s">
        <v>7031</v>
      </c>
      <c r="C192" s="2" t="s">
        <v>7032</v>
      </c>
      <c r="D192" s="3">
        <v>2.88</v>
      </c>
      <c r="E192" s="3">
        <v>19.559999999999999</v>
      </c>
      <c r="F192" s="3">
        <v>0</v>
      </c>
      <c r="H192" s="3">
        <v>121</v>
      </c>
      <c r="I192" s="3">
        <v>0.99099999999999999</v>
      </c>
      <c r="J192" s="3">
        <v>0.45200000000000001</v>
      </c>
      <c r="K192" s="3">
        <v>6.0999999999999999E-2</v>
      </c>
    </row>
    <row r="193" spans="2:11" x14ac:dyDescent="0.25">
      <c r="B193" s="2" t="s">
        <v>7033</v>
      </c>
      <c r="C193" s="2" t="s">
        <v>7034</v>
      </c>
      <c r="D193" s="3">
        <v>2.94</v>
      </c>
      <c r="E193" s="3">
        <v>18.53</v>
      </c>
      <c r="F193" s="3">
        <v>0</v>
      </c>
      <c r="H193" s="3">
        <v>159</v>
      </c>
      <c r="I193" s="3">
        <v>1.0169999999999999</v>
      </c>
      <c r="J193" s="3">
        <v>0.46200000000000002</v>
      </c>
      <c r="K193" s="3">
        <v>8.7999999999999995E-2</v>
      </c>
    </row>
    <row r="194" spans="2:11" x14ac:dyDescent="0.25">
      <c r="B194" s="2" t="s">
        <v>7035</v>
      </c>
      <c r="C194" s="2" t="s">
        <v>7036</v>
      </c>
      <c r="D194" s="3">
        <v>3.24</v>
      </c>
      <c r="E194" s="3">
        <v>13.47</v>
      </c>
      <c r="F194" s="3">
        <v>0.5</v>
      </c>
      <c r="H194" s="3">
        <v>52</v>
      </c>
      <c r="I194" s="3">
        <v>1.2310000000000001</v>
      </c>
      <c r="J194" s="3">
        <v>0.58099999999999996</v>
      </c>
      <c r="K194" s="3">
        <v>7.2999999999999995E-2</v>
      </c>
    </row>
    <row r="195" spans="2:11" x14ac:dyDescent="0.25">
      <c r="B195" s="2" t="s">
        <v>7037</v>
      </c>
      <c r="C195" s="2" t="s">
        <v>7038</v>
      </c>
      <c r="D195" s="3">
        <v>3.06</v>
      </c>
      <c r="E195" s="3">
        <v>12.34</v>
      </c>
      <c r="F195" s="3">
        <v>0</v>
      </c>
      <c r="H195" s="3">
        <v>46</v>
      </c>
      <c r="I195" s="3">
        <v>1.0609999999999999</v>
      </c>
      <c r="J195" s="3">
        <v>0.48399999999999999</v>
      </c>
      <c r="K195" s="3">
        <v>6.5000000000000002E-2</v>
      </c>
    </row>
    <row r="196" spans="2:11" x14ac:dyDescent="0.25">
      <c r="B196" s="2" t="s">
        <v>7039</v>
      </c>
      <c r="C196" s="2" t="s">
        <v>7040</v>
      </c>
      <c r="D196" s="3">
        <v>3.3</v>
      </c>
      <c r="E196" s="3">
        <v>59.59</v>
      </c>
      <c r="F196" s="3">
        <v>3.5</v>
      </c>
      <c r="G196" s="3">
        <v>55.79</v>
      </c>
      <c r="H196" s="3">
        <v>48</v>
      </c>
      <c r="I196" s="3">
        <v>2.2240000000000002</v>
      </c>
      <c r="J196" s="3">
        <v>14.683</v>
      </c>
      <c r="K196" s="3">
        <v>7.7779999999999996</v>
      </c>
    </row>
    <row r="197" spans="2:11" x14ac:dyDescent="0.25">
      <c r="B197" s="2" t="s">
        <v>7041</v>
      </c>
      <c r="C197" s="2" t="s">
        <v>7042</v>
      </c>
      <c r="D197" s="3">
        <v>0.5</v>
      </c>
      <c r="E197" s="3">
        <v>6.2</v>
      </c>
      <c r="F197" s="3">
        <v>0</v>
      </c>
      <c r="H197" s="3">
        <v>5</v>
      </c>
      <c r="I197" s="3">
        <v>0</v>
      </c>
    </row>
    <row r="198" spans="2:11" x14ac:dyDescent="0.25">
      <c r="B198" s="2" t="s">
        <v>7043</v>
      </c>
      <c r="C198" s="2" t="s">
        <v>7044</v>
      </c>
      <c r="D198" s="3">
        <v>1.95</v>
      </c>
      <c r="E198" s="3">
        <v>21.69</v>
      </c>
      <c r="F198" s="3">
        <v>0</v>
      </c>
      <c r="G198" s="3">
        <v>14.91</v>
      </c>
      <c r="H198" s="3">
        <v>145</v>
      </c>
      <c r="I198" s="3">
        <v>0.96199999999999997</v>
      </c>
      <c r="J198" s="3">
        <v>2.5379999999999998</v>
      </c>
      <c r="K198" s="3">
        <v>7.1999999999999995E-2</v>
      </c>
    </row>
    <row r="199" spans="2:11" x14ac:dyDescent="0.25">
      <c r="B199" s="2" t="s">
        <v>7045</v>
      </c>
      <c r="C199" s="2" t="s">
        <v>7046</v>
      </c>
      <c r="D199" s="3">
        <v>3.1</v>
      </c>
      <c r="E199" s="3">
        <v>17.8</v>
      </c>
      <c r="F199" s="3">
        <v>0.2</v>
      </c>
      <c r="H199" s="3">
        <v>163</v>
      </c>
      <c r="I199" s="3">
        <v>1.8</v>
      </c>
      <c r="J199" s="3">
        <v>0.52</v>
      </c>
      <c r="K199" s="3">
        <v>7.0000000000000007E-2</v>
      </c>
    </row>
    <row r="200" spans="2:11" x14ac:dyDescent="0.25">
      <c r="B200" s="2" t="s">
        <v>7047</v>
      </c>
      <c r="C200" s="2" t="s">
        <v>7048</v>
      </c>
      <c r="D200" s="3">
        <v>2.4</v>
      </c>
      <c r="E200" s="3">
        <v>91.5</v>
      </c>
      <c r="F200" s="3">
        <v>5.0999999999999996</v>
      </c>
      <c r="H200" s="3">
        <v>187</v>
      </c>
      <c r="I200" s="3">
        <v>1.94</v>
      </c>
      <c r="J200" s="3">
        <v>1.08</v>
      </c>
      <c r="K200" s="3">
        <v>0.1</v>
      </c>
    </row>
    <row r="201" spans="2:11" x14ac:dyDescent="0.25">
      <c r="B201" s="2" t="s">
        <v>7049</v>
      </c>
      <c r="C201" s="2" t="s">
        <v>7050</v>
      </c>
      <c r="D201" s="3">
        <v>3.2</v>
      </c>
      <c r="E201" s="3">
        <v>13.34</v>
      </c>
      <c r="F201" s="3">
        <v>0.5</v>
      </c>
      <c r="H201" s="3">
        <v>51</v>
      </c>
      <c r="I201" s="3">
        <v>1.9990000000000001</v>
      </c>
      <c r="J201" s="3">
        <v>0.93200000000000005</v>
      </c>
      <c r="K201" s="3">
        <v>0.121</v>
      </c>
    </row>
    <row r="202" spans="2:11" x14ac:dyDescent="0.25">
      <c r="B202" s="2" t="s">
        <v>7051</v>
      </c>
      <c r="C202" s="2" t="s">
        <v>7052</v>
      </c>
      <c r="D202" s="3">
        <v>0</v>
      </c>
      <c r="E202" s="3">
        <v>99</v>
      </c>
      <c r="F202" s="3">
        <v>0</v>
      </c>
      <c r="H202" s="3">
        <v>6</v>
      </c>
    </row>
    <row r="203" spans="2:11" x14ac:dyDescent="0.25">
      <c r="B203" s="2" t="s">
        <v>7053</v>
      </c>
      <c r="C203" s="2" t="s">
        <v>7054</v>
      </c>
      <c r="D203" s="3">
        <v>3.03</v>
      </c>
      <c r="E203" s="3">
        <v>12.21</v>
      </c>
      <c r="F203" s="3">
        <v>0</v>
      </c>
      <c r="H203" s="3">
        <v>46</v>
      </c>
      <c r="I203" s="3">
        <v>1.8460000000000001</v>
      </c>
      <c r="J203" s="3">
        <v>0.84199999999999997</v>
      </c>
      <c r="K203" s="3">
        <v>0.114</v>
      </c>
    </row>
    <row r="204" spans="2:11" x14ac:dyDescent="0.25">
      <c r="B204" s="2" t="s">
        <v>7055</v>
      </c>
      <c r="C204" s="2" t="s">
        <v>7056</v>
      </c>
      <c r="D204" s="3">
        <v>1</v>
      </c>
      <c r="E204" s="3">
        <v>19.8</v>
      </c>
      <c r="F204" s="3">
        <v>0</v>
      </c>
      <c r="H204" s="3">
        <v>26050</v>
      </c>
      <c r="I204" s="3">
        <v>4.1000000000000002E-2</v>
      </c>
      <c r="J204" s="3">
        <v>3.7999999999999999E-2</v>
      </c>
      <c r="K204" s="3">
        <v>7.0000000000000001E-3</v>
      </c>
    </row>
    <row r="205" spans="2:11" x14ac:dyDescent="0.25">
      <c r="B205" s="2" t="s">
        <v>7057</v>
      </c>
      <c r="C205" s="2" t="s">
        <v>7058</v>
      </c>
      <c r="D205" s="3">
        <v>1.1000000000000001</v>
      </c>
      <c r="E205" s="3">
        <v>63.2</v>
      </c>
      <c r="F205" s="3">
        <v>0.9</v>
      </c>
      <c r="G205" s="3">
        <v>57.7</v>
      </c>
      <c r="H205" s="3">
        <v>183</v>
      </c>
      <c r="I205" s="3">
        <v>5.5259999999999998</v>
      </c>
      <c r="J205" s="3">
        <v>9.02</v>
      </c>
      <c r="K205" s="3">
        <v>2.226</v>
      </c>
    </row>
    <row r="206" spans="2:11" x14ac:dyDescent="0.25">
      <c r="B206" s="2" t="s">
        <v>7059</v>
      </c>
      <c r="C206" s="2" t="s">
        <v>7060</v>
      </c>
      <c r="D206" s="3">
        <v>1.5</v>
      </c>
      <c r="E206" s="3">
        <v>52.7</v>
      </c>
      <c r="F206" s="3">
        <v>2.5</v>
      </c>
      <c r="G206" s="3">
        <v>40</v>
      </c>
      <c r="H206" s="3">
        <v>160</v>
      </c>
      <c r="I206" s="3">
        <v>8.6310000000000002</v>
      </c>
      <c r="J206" s="3">
        <v>10.786</v>
      </c>
      <c r="K206" s="3">
        <v>3.2639999999999998</v>
      </c>
    </row>
    <row r="207" spans="2:11" x14ac:dyDescent="0.25">
      <c r="B207" s="2" t="s">
        <v>7061</v>
      </c>
      <c r="C207" s="2" t="s">
        <v>7062</v>
      </c>
      <c r="D207" s="3">
        <v>0.1</v>
      </c>
      <c r="E207" s="3">
        <v>67.319999999999993</v>
      </c>
      <c r="F207" s="3">
        <v>0</v>
      </c>
      <c r="G207" s="3">
        <v>63.54</v>
      </c>
      <c r="H207" s="3">
        <v>191</v>
      </c>
      <c r="I207" s="3">
        <v>4.5449999999999999</v>
      </c>
      <c r="J207" s="3">
        <v>3.7549999999999999</v>
      </c>
      <c r="K207" s="3">
        <v>6.1529999999999996</v>
      </c>
    </row>
    <row r="208" spans="2:11" x14ac:dyDescent="0.25">
      <c r="B208" s="2" t="s">
        <v>7063</v>
      </c>
      <c r="C208" s="2" t="s">
        <v>7064</v>
      </c>
      <c r="D208" s="3">
        <v>0</v>
      </c>
      <c r="E208" s="3">
        <v>67.89</v>
      </c>
      <c r="F208" s="3">
        <v>0</v>
      </c>
      <c r="G208" s="3">
        <v>63.1</v>
      </c>
      <c r="H208" s="3">
        <v>184</v>
      </c>
      <c r="I208" s="3">
        <v>2.9740000000000002</v>
      </c>
      <c r="J208" s="3">
        <v>4.8600000000000003</v>
      </c>
      <c r="K208" s="3">
        <v>7.9509999999999996</v>
      </c>
    </row>
    <row r="209" spans="2:11" x14ac:dyDescent="0.25">
      <c r="B209" s="2"/>
      <c r="C209" s="2"/>
      <c r="D209" s="3"/>
      <c r="E209" s="3"/>
      <c r="F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H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H220" s="3"/>
    </row>
    <row r="221" spans="2:11" x14ac:dyDescent="0.25">
      <c r="B221" s="2"/>
      <c r="C221" s="2"/>
      <c r="D221" s="3"/>
      <c r="E221" s="3"/>
      <c r="F221" s="3"/>
      <c r="H221" s="3"/>
    </row>
    <row r="222" spans="2:11" x14ac:dyDescent="0.25">
      <c r="B222" s="2"/>
      <c r="C222" s="2"/>
      <c r="D222" s="3"/>
      <c r="E222" s="3"/>
      <c r="F222" s="3"/>
      <c r="H222" s="3"/>
      <c r="I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H237" s="3"/>
      <c r="I237" s="3"/>
    </row>
    <row r="238" spans="2:11" x14ac:dyDescent="0.25">
      <c r="B238" s="2"/>
      <c r="C238" s="2"/>
      <c r="D238" s="3"/>
      <c r="E238" s="3"/>
      <c r="H238" s="3"/>
    </row>
    <row r="239" spans="2:11" x14ac:dyDescent="0.25">
      <c r="B239" s="2"/>
      <c r="C239" s="2"/>
      <c r="D239" s="3"/>
      <c r="E239" s="3"/>
      <c r="F239" s="3"/>
      <c r="H239" s="3"/>
    </row>
    <row r="240" spans="2:11" x14ac:dyDescent="0.25">
      <c r="B240" s="2"/>
      <c r="C240" s="2"/>
      <c r="D240" s="3"/>
      <c r="E240" s="3"/>
      <c r="F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G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F242" s="3"/>
      <c r="G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G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G245" s="3"/>
      <c r="H245" s="3"/>
      <c r="I245" s="3"/>
    </row>
    <row r="246" spans="2:11" x14ac:dyDescent="0.25">
      <c r="B246" s="2"/>
      <c r="C246" s="2"/>
      <c r="D246" s="3"/>
      <c r="E246" s="3"/>
      <c r="F246" s="3"/>
      <c r="G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G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G248" s="3"/>
      <c r="H248" s="3"/>
      <c r="I248" s="3"/>
    </row>
    <row r="249" spans="2:11" x14ac:dyDescent="0.25">
      <c r="B249" s="2"/>
      <c r="C249" s="2"/>
      <c r="D249" s="3"/>
      <c r="E249" s="3"/>
      <c r="F249" s="3"/>
      <c r="G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G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G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G253" s="3"/>
      <c r="H253" s="3"/>
      <c r="I253" s="3"/>
    </row>
    <row r="254" spans="2:11" x14ac:dyDescent="0.25">
      <c r="B254" s="2"/>
      <c r="C254" s="2"/>
      <c r="D254" s="3"/>
      <c r="E254" s="3"/>
      <c r="F254" s="3"/>
      <c r="G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G256" s="3"/>
      <c r="H256" s="3"/>
      <c r="I256" s="3"/>
    </row>
    <row r="257" spans="2:11" x14ac:dyDescent="0.25">
      <c r="B257" s="2"/>
      <c r="C257" s="2"/>
      <c r="D257" s="3"/>
      <c r="E257" s="3"/>
      <c r="F257" s="3"/>
      <c r="G257" s="3"/>
      <c r="H257" s="3"/>
      <c r="I257" s="3"/>
    </row>
    <row r="258" spans="2:11" x14ac:dyDescent="0.25">
      <c r="B258" s="2"/>
      <c r="C258" s="2"/>
      <c r="D258" s="3"/>
      <c r="E258" s="3"/>
      <c r="F258" s="3"/>
      <c r="G258" s="3"/>
      <c r="H258" s="3"/>
      <c r="I258" s="3"/>
    </row>
    <row r="259" spans="2:11" x14ac:dyDescent="0.25">
      <c r="B259" s="2"/>
      <c r="C259" s="2"/>
      <c r="D259" s="3"/>
      <c r="E259" s="3"/>
      <c r="F259" s="3"/>
      <c r="G259" s="3"/>
      <c r="H259" s="3"/>
      <c r="I259" s="3"/>
    </row>
    <row r="260" spans="2:11" x14ac:dyDescent="0.25">
      <c r="B260" s="2"/>
      <c r="C260" s="2"/>
      <c r="D260" s="3"/>
      <c r="E260" s="3"/>
      <c r="F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G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G262" s="3"/>
      <c r="H262" s="3"/>
      <c r="I262" s="3"/>
    </row>
    <row r="263" spans="2:11" x14ac:dyDescent="0.25">
      <c r="B263" s="2"/>
      <c r="C263" s="2"/>
      <c r="D263" s="3"/>
      <c r="E263" s="3"/>
      <c r="F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G264" s="3"/>
      <c r="H264" s="3"/>
      <c r="I264" s="3"/>
    </row>
    <row r="265" spans="2:11" x14ac:dyDescent="0.25">
      <c r="B265" s="2"/>
      <c r="C265" s="2"/>
      <c r="D265" s="3"/>
      <c r="E265" s="3"/>
      <c r="F265" s="3"/>
      <c r="G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G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F267" s="3"/>
      <c r="G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G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F269" s="3"/>
      <c r="G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F271" s="3"/>
      <c r="G271" s="3"/>
      <c r="H271" s="3"/>
      <c r="I271" s="3"/>
      <c r="J271" s="3"/>
      <c r="K271" s="3"/>
    </row>
    <row r="272" spans="2:11" x14ac:dyDescent="0.25">
      <c r="B272" s="2"/>
      <c r="C272" s="2"/>
      <c r="D272" s="3"/>
      <c r="E272" s="3"/>
      <c r="F272" s="3"/>
      <c r="H272" s="3"/>
      <c r="I272" s="3"/>
      <c r="J272" s="3"/>
      <c r="K272" s="3"/>
    </row>
    <row r="273" spans="2:11" x14ac:dyDescent="0.25">
      <c r="B273" s="2"/>
      <c r="C273" s="2"/>
      <c r="D273" s="3"/>
      <c r="E273" s="3"/>
      <c r="F273" s="3"/>
      <c r="G273" s="3"/>
      <c r="H273" s="3"/>
      <c r="I273" s="3"/>
    </row>
    <row r="274" spans="2:11" x14ac:dyDescent="0.25">
      <c r="B274" s="2"/>
      <c r="C274" s="2"/>
      <c r="D274" s="3"/>
      <c r="E274" s="3"/>
      <c r="F274" s="3"/>
      <c r="G274" s="3"/>
      <c r="H274" s="3"/>
      <c r="I274" s="3"/>
    </row>
    <row r="275" spans="2:11" x14ac:dyDescent="0.25">
      <c r="B275" s="2"/>
      <c r="C275" s="2"/>
      <c r="D275" s="3"/>
      <c r="E275" s="3"/>
      <c r="F275" s="3"/>
      <c r="G275" s="3"/>
      <c r="H275" s="3"/>
      <c r="I275" s="3"/>
    </row>
    <row r="276" spans="2:11" x14ac:dyDescent="0.25">
      <c r="B276" s="2"/>
      <c r="C276" s="2"/>
      <c r="D276" s="3"/>
      <c r="E276" s="3"/>
      <c r="F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F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F278" s="3"/>
      <c r="H278" s="3"/>
    </row>
    <row r="279" spans="2:11" x14ac:dyDescent="0.25">
      <c r="B279" s="2"/>
      <c r="C279" s="2"/>
      <c r="D279" s="3"/>
      <c r="E279" s="3"/>
      <c r="F279" s="3"/>
      <c r="G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F280" s="3"/>
      <c r="G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F281" s="3"/>
      <c r="G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F282" s="3"/>
      <c r="G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F283" s="3"/>
      <c r="G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F284" s="3"/>
      <c r="G284" s="3"/>
      <c r="H284" s="3"/>
      <c r="I284" s="3"/>
      <c r="J284" s="3"/>
      <c r="K284" s="3"/>
    </row>
    <row r="285" spans="2:11" x14ac:dyDescent="0.25">
      <c r="B285" s="2"/>
      <c r="C285" s="2"/>
      <c r="D285" s="3"/>
      <c r="E285" s="3"/>
      <c r="F285" s="3"/>
      <c r="G285" s="3"/>
      <c r="H285" s="3"/>
      <c r="I285" s="3"/>
      <c r="J285" s="3"/>
      <c r="K285" s="3"/>
    </row>
    <row r="286" spans="2:11" x14ac:dyDescent="0.25">
      <c r="B286" s="2"/>
      <c r="C286" s="2"/>
      <c r="D286" s="3"/>
      <c r="E286" s="3"/>
      <c r="F286" s="3"/>
      <c r="G286" s="3"/>
      <c r="H286" s="3"/>
      <c r="I286" s="3"/>
      <c r="J286" s="3"/>
      <c r="K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F288" s="3"/>
      <c r="G288" s="3"/>
      <c r="H288" s="3"/>
      <c r="I288" s="3"/>
      <c r="J288" s="3"/>
      <c r="K288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E5A83-D85B-284B-9F0F-C2385ECC3894}">
  <sheetPr codeName="Sheet22"/>
  <dimension ref="A1:K264"/>
  <sheetViews>
    <sheetView workbookViewId="0">
      <selection sqref="A1:XFD10"/>
    </sheetView>
  </sheetViews>
  <sheetFormatPr defaultColWidth="11" defaultRowHeight="15.75" x14ac:dyDescent="0.25"/>
  <cols>
    <col min="3" max="3" width="57.87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20001</v>
      </c>
      <c r="C3" s="10" t="str" cm="1">
        <f t="array" ref="C3">INDEX($B$11:$K$208, $A$3, C1)</f>
        <v>AMARANTH GRAIN,UNCKD</v>
      </c>
      <c r="D3" s="10" cm="1">
        <f t="array" ref="D3">INDEX($B$11:$K$74, $A$3, D1)</f>
        <v>13.56</v>
      </c>
      <c r="E3" s="10" cm="1">
        <f t="array" ref="E3">INDEX($B$11:$K$74, $A$3, E1)</f>
        <v>65.25</v>
      </c>
      <c r="F3" s="10" cm="1">
        <f t="array" ref="F3">INDEX($B$11:$K$74, $A$3, F1)</f>
        <v>6.7</v>
      </c>
      <c r="G3" s="10" cm="1">
        <f t="array" ref="G3">INDEX($B$11:$K$74, $A$3, G1)</f>
        <v>1.69</v>
      </c>
      <c r="H3" s="10" cm="1">
        <f t="array" ref="H3">INDEX($B$11:$K$74, $A$3, H1)</f>
        <v>4</v>
      </c>
      <c r="I3" s="10" cm="1">
        <f t="array" ref="I3">INDEX($B$11:$K$74, $A$3, I1)</f>
        <v>1.4590000000000001</v>
      </c>
      <c r="J3" s="10" cm="1">
        <f t="array" ref="J3">INDEX($B$11:$K$74, $A$3, J1)</f>
        <v>1.6850000000000001</v>
      </c>
      <c r="K3" s="10" cm="1">
        <f t="array" ref="K3">INDEX($B$11:$K$74, $A$3, K1)</f>
        <v>2.778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130.5</v>
      </c>
      <c r="F6" s="10">
        <f>A6*F3</f>
        <v>0</v>
      </c>
      <c r="G6" s="10">
        <f>A7*G3</f>
        <v>3.38</v>
      </c>
      <c r="H6" s="12">
        <f>A6*H3</f>
        <v>0</v>
      </c>
      <c r="I6" s="12">
        <f>A6*I3</f>
        <v>0</v>
      </c>
      <c r="J6" s="12">
        <f>A7*J3</f>
        <v>3.37</v>
      </c>
      <c r="K6" s="10">
        <f>A7*K3</f>
        <v>5.556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7065</v>
      </c>
      <c r="C11" s="2" t="s">
        <v>7066</v>
      </c>
      <c r="D11" s="3">
        <v>13.56</v>
      </c>
      <c r="E11" s="3">
        <v>65.25</v>
      </c>
      <c r="F11" s="3">
        <v>6.7</v>
      </c>
      <c r="G11" s="3">
        <v>1.69</v>
      </c>
      <c r="H11" s="3">
        <v>4</v>
      </c>
      <c r="I11" s="3">
        <v>1.4590000000000001</v>
      </c>
      <c r="J11" s="3">
        <v>1.6850000000000001</v>
      </c>
      <c r="K11" s="3">
        <v>2.778</v>
      </c>
    </row>
    <row r="12" spans="1:11" x14ac:dyDescent="0.25">
      <c r="B12" s="2" t="s">
        <v>7067</v>
      </c>
      <c r="C12" s="2" t="s">
        <v>7068</v>
      </c>
      <c r="D12" s="3">
        <v>3.8</v>
      </c>
      <c r="E12" s="3">
        <v>18.690000000000001</v>
      </c>
      <c r="F12" s="3">
        <v>2.1</v>
      </c>
      <c r="H12" s="3">
        <v>6</v>
      </c>
    </row>
    <row r="13" spans="1:11" x14ac:dyDescent="0.25">
      <c r="B13" s="2" t="s">
        <v>7069</v>
      </c>
      <c r="C13" s="2" t="s">
        <v>7070</v>
      </c>
      <c r="D13" s="3">
        <v>0.3</v>
      </c>
      <c r="E13" s="3">
        <v>88.15</v>
      </c>
      <c r="F13" s="3">
        <v>3.4</v>
      </c>
      <c r="H13" s="3">
        <v>2</v>
      </c>
      <c r="I13" s="3">
        <v>1.9E-2</v>
      </c>
      <c r="J13" s="3">
        <v>2E-3</v>
      </c>
      <c r="K13" s="3">
        <v>4.4999999999999998E-2</v>
      </c>
    </row>
    <row r="14" spans="1:11" x14ac:dyDescent="0.25">
      <c r="B14" s="2" t="s">
        <v>7071</v>
      </c>
      <c r="C14" s="2" t="s">
        <v>7072</v>
      </c>
      <c r="D14" s="3">
        <v>12.48</v>
      </c>
      <c r="E14" s="3">
        <v>73.48</v>
      </c>
      <c r="F14" s="3">
        <v>17.3</v>
      </c>
      <c r="G14" s="3">
        <v>0.8</v>
      </c>
      <c r="H14" s="3">
        <v>12</v>
      </c>
      <c r="I14" s="3">
        <v>0.48199999999999998</v>
      </c>
      <c r="J14" s="3">
        <v>0.29499999999999998</v>
      </c>
      <c r="K14" s="3">
        <v>1.1080000000000001</v>
      </c>
    </row>
    <row r="15" spans="1:11" x14ac:dyDescent="0.25">
      <c r="B15" s="2" t="s">
        <v>7073</v>
      </c>
      <c r="C15" s="2" t="s">
        <v>7074</v>
      </c>
      <c r="D15" s="3">
        <v>9.91</v>
      </c>
      <c r="E15" s="3">
        <v>77.72</v>
      </c>
      <c r="F15" s="3">
        <v>15.6</v>
      </c>
      <c r="G15" s="3">
        <v>0.8</v>
      </c>
      <c r="H15" s="3">
        <v>9</v>
      </c>
      <c r="I15" s="3">
        <v>0.24399999999999999</v>
      </c>
      <c r="J15" s="3">
        <v>0.14899999999999999</v>
      </c>
      <c r="K15" s="3">
        <v>0.56000000000000005</v>
      </c>
    </row>
    <row r="16" spans="1:11" x14ac:dyDescent="0.25">
      <c r="B16" s="2" t="s">
        <v>7075</v>
      </c>
      <c r="C16" s="2" t="s">
        <v>7076</v>
      </c>
      <c r="D16" s="3">
        <v>2.2599999999999998</v>
      </c>
      <c r="E16" s="3">
        <v>28.22</v>
      </c>
      <c r="F16" s="3">
        <v>3.8</v>
      </c>
      <c r="G16" s="3">
        <v>0.28000000000000003</v>
      </c>
      <c r="H16" s="3">
        <v>3</v>
      </c>
      <c r="I16" s="3">
        <v>9.2999999999999999E-2</v>
      </c>
      <c r="J16" s="3">
        <v>5.7000000000000002E-2</v>
      </c>
      <c r="K16" s="3">
        <v>0.214</v>
      </c>
    </row>
    <row r="17" spans="2:11" x14ac:dyDescent="0.25">
      <c r="B17" s="2" t="s">
        <v>7077</v>
      </c>
      <c r="C17" s="2" t="s">
        <v>7078</v>
      </c>
      <c r="D17" s="3">
        <v>13.25</v>
      </c>
      <c r="E17" s="3">
        <v>71.5</v>
      </c>
      <c r="F17" s="3">
        <v>10</v>
      </c>
      <c r="H17" s="3">
        <v>1</v>
      </c>
      <c r="I17" s="3">
        <v>0.74099999999999999</v>
      </c>
      <c r="J17" s="3">
        <v>1.04</v>
      </c>
      <c r="K17" s="3">
        <v>1.0389999999999999</v>
      </c>
    </row>
    <row r="18" spans="2:11" x14ac:dyDescent="0.25">
      <c r="B18" s="2" t="s">
        <v>7079</v>
      </c>
      <c r="C18" s="2" t="s">
        <v>7080</v>
      </c>
      <c r="D18" s="3">
        <v>11.73</v>
      </c>
      <c r="E18" s="3">
        <v>74.95</v>
      </c>
      <c r="F18" s="3">
        <v>10.3</v>
      </c>
      <c r="H18" s="3">
        <v>11</v>
      </c>
      <c r="I18" s="3">
        <v>0.59099999999999997</v>
      </c>
      <c r="J18" s="3">
        <v>0.82799999999999996</v>
      </c>
      <c r="K18" s="3">
        <v>0.82799999999999996</v>
      </c>
    </row>
    <row r="19" spans="2:11" x14ac:dyDescent="0.25">
      <c r="B19" s="2" t="s">
        <v>7081</v>
      </c>
      <c r="C19" s="2" t="s">
        <v>7082</v>
      </c>
      <c r="D19" s="3">
        <v>3.38</v>
      </c>
      <c r="E19" s="3">
        <v>19.940000000000001</v>
      </c>
      <c r="F19" s="3">
        <v>2.7</v>
      </c>
      <c r="G19" s="3">
        <v>0.9</v>
      </c>
      <c r="H19" s="3">
        <v>4</v>
      </c>
      <c r="I19" s="3">
        <v>0.13400000000000001</v>
      </c>
      <c r="J19" s="3">
        <v>0.188</v>
      </c>
      <c r="K19" s="3">
        <v>0.188</v>
      </c>
    </row>
    <row r="20" spans="2:11" x14ac:dyDescent="0.25">
      <c r="B20" s="2" t="s">
        <v>7083</v>
      </c>
      <c r="C20" s="2" t="s">
        <v>7084</v>
      </c>
      <c r="D20" s="3">
        <v>12.62</v>
      </c>
      <c r="E20" s="3">
        <v>70.59</v>
      </c>
      <c r="F20" s="3">
        <v>10</v>
      </c>
      <c r="G20" s="3">
        <v>2.6</v>
      </c>
      <c r="H20" s="3">
        <v>11</v>
      </c>
      <c r="I20" s="3">
        <v>0.67700000000000005</v>
      </c>
      <c r="J20" s="3">
        <v>0.94899999999999995</v>
      </c>
      <c r="K20" s="3">
        <v>0.94899999999999995</v>
      </c>
    </row>
    <row r="21" spans="2:11" x14ac:dyDescent="0.25">
      <c r="B21" s="2" t="s">
        <v>7085</v>
      </c>
      <c r="C21" s="2" t="s">
        <v>7086</v>
      </c>
      <c r="D21" s="3">
        <v>12.29</v>
      </c>
      <c r="E21" s="3">
        <v>75.87</v>
      </c>
      <c r="F21" s="3">
        <v>12.5</v>
      </c>
      <c r="G21" s="3">
        <v>0.41</v>
      </c>
      <c r="H21" s="3">
        <v>17</v>
      </c>
      <c r="I21" s="3">
        <v>0.23200000000000001</v>
      </c>
      <c r="J21" s="3">
        <v>0.17299999999999999</v>
      </c>
      <c r="K21" s="3">
        <v>0.54100000000000004</v>
      </c>
    </row>
    <row r="22" spans="2:11" x14ac:dyDescent="0.25">
      <c r="B22" s="2" t="s">
        <v>7087</v>
      </c>
      <c r="C22" s="2" t="s">
        <v>7088</v>
      </c>
      <c r="D22" s="3">
        <v>3.08</v>
      </c>
      <c r="E22" s="3">
        <v>18.579999999999998</v>
      </c>
      <c r="F22" s="3">
        <v>4.5</v>
      </c>
      <c r="G22" s="3">
        <v>0.1</v>
      </c>
      <c r="H22" s="3">
        <v>5</v>
      </c>
      <c r="I22" s="3">
        <v>4.2000000000000003E-2</v>
      </c>
      <c r="J22" s="3">
        <v>3.1E-2</v>
      </c>
      <c r="K22" s="3">
        <v>9.8000000000000004E-2</v>
      </c>
    </row>
    <row r="23" spans="2:11" x14ac:dyDescent="0.25">
      <c r="B23" s="2" t="s">
        <v>7089</v>
      </c>
      <c r="C23" s="2" t="s">
        <v>7090</v>
      </c>
      <c r="D23" s="3">
        <v>9.42</v>
      </c>
      <c r="E23" s="3">
        <v>74.260000000000005</v>
      </c>
      <c r="F23" s="3">
        <v>7.3</v>
      </c>
      <c r="G23" s="3">
        <v>0.64</v>
      </c>
      <c r="H23" s="3">
        <v>35</v>
      </c>
      <c r="I23" s="3">
        <v>0.66700000000000004</v>
      </c>
      <c r="J23" s="3">
        <v>1.2509999999999999</v>
      </c>
      <c r="K23" s="3">
        <v>2.1629999999999998</v>
      </c>
    </row>
    <row r="24" spans="2:11" x14ac:dyDescent="0.25">
      <c r="B24" s="2" t="s">
        <v>7091</v>
      </c>
      <c r="C24" s="2" t="s">
        <v>7092</v>
      </c>
      <c r="D24" s="3">
        <v>8.36</v>
      </c>
      <c r="E24" s="3">
        <v>85.64</v>
      </c>
      <c r="F24" s="3">
        <v>79</v>
      </c>
      <c r="G24" s="3">
        <v>0</v>
      </c>
      <c r="H24" s="3">
        <v>7</v>
      </c>
      <c r="I24" s="3">
        <v>0.13</v>
      </c>
      <c r="J24" s="3">
        <v>0.24299999999999999</v>
      </c>
      <c r="K24" s="3">
        <v>0.42099999999999999</v>
      </c>
    </row>
    <row r="25" spans="2:11" x14ac:dyDescent="0.25">
      <c r="B25" s="2" t="s">
        <v>7093</v>
      </c>
      <c r="C25" s="2" t="s">
        <v>7094</v>
      </c>
      <c r="D25" s="3">
        <v>6.93</v>
      </c>
      <c r="E25" s="3">
        <v>76.849999999999994</v>
      </c>
      <c r="F25" s="3">
        <v>7.3</v>
      </c>
      <c r="G25" s="3">
        <v>0.64</v>
      </c>
      <c r="H25" s="3">
        <v>5</v>
      </c>
      <c r="I25" s="3">
        <v>0.54300000000000004</v>
      </c>
      <c r="J25" s="3">
        <v>1.018</v>
      </c>
      <c r="K25" s="3">
        <v>1.7589999999999999</v>
      </c>
    </row>
    <row r="26" spans="2:11" x14ac:dyDescent="0.25">
      <c r="B26" s="2" t="s">
        <v>7095</v>
      </c>
      <c r="C26" s="2" t="s">
        <v>7096</v>
      </c>
      <c r="D26" s="3">
        <v>8.4600000000000009</v>
      </c>
      <c r="E26" s="3">
        <v>76.59</v>
      </c>
      <c r="F26" s="3">
        <v>6.4</v>
      </c>
      <c r="G26" s="3">
        <v>1.61</v>
      </c>
      <c r="H26" s="3">
        <v>5</v>
      </c>
      <c r="I26" s="3">
        <v>0.53200000000000003</v>
      </c>
      <c r="J26" s="3">
        <v>0.997</v>
      </c>
      <c r="K26" s="3">
        <v>1.724</v>
      </c>
    </row>
    <row r="27" spans="2:11" x14ac:dyDescent="0.25">
      <c r="B27" s="2" t="s">
        <v>7097</v>
      </c>
      <c r="C27" s="2" t="s">
        <v>7098</v>
      </c>
      <c r="D27" s="3">
        <v>5.59</v>
      </c>
      <c r="E27" s="3">
        <v>82.75</v>
      </c>
      <c r="F27" s="3">
        <v>1.9</v>
      </c>
      <c r="G27" s="3">
        <v>0.64</v>
      </c>
      <c r="H27" s="3">
        <v>1</v>
      </c>
      <c r="I27" s="3">
        <v>0.17100000000000001</v>
      </c>
      <c r="J27" s="3">
        <v>0.27400000000000002</v>
      </c>
      <c r="K27" s="3">
        <v>0.69499999999999995</v>
      </c>
    </row>
    <row r="28" spans="2:11" x14ac:dyDescent="0.25">
      <c r="B28" s="2" t="s">
        <v>7099</v>
      </c>
      <c r="C28" s="2" t="s">
        <v>7100</v>
      </c>
      <c r="D28" s="3">
        <v>8.4600000000000009</v>
      </c>
      <c r="E28" s="3">
        <v>76.59</v>
      </c>
      <c r="F28" s="3">
        <v>6.4</v>
      </c>
      <c r="G28" s="3">
        <v>1.61</v>
      </c>
      <c r="H28" s="3">
        <v>5</v>
      </c>
      <c r="I28" s="3">
        <v>0.53200000000000003</v>
      </c>
      <c r="J28" s="3">
        <v>0.997</v>
      </c>
      <c r="K28" s="3">
        <v>1.724</v>
      </c>
    </row>
    <row r="29" spans="2:11" x14ac:dyDescent="0.25">
      <c r="B29" s="2" t="s">
        <v>7101</v>
      </c>
      <c r="C29" s="2" t="s">
        <v>7102</v>
      </c>
      <c r="D29" s="3">
        <v>8.1199999999999992</v>
      </c>
      <c r="E29" s="3">
        <v>76.89</v>
      </c>
      <c r="F29" s="3">
        <v>7.3</v>
      </c>
      <c r="G29" s="3">
        <v>0.64</v>
      </c>
      <c r="H29" s="3">
        <v>35</v>
      </c>
      <c r="I29" s="3">
        <v>0.505</v>
      </c>
      <c r="J29" s="3">
        <v>0.94799999999999995</v>
      </c>
      <c r="K29" s="3">
        <v>1.6379999999999999</v>
      </c>
    </row>
    <row r="30" spans="2:11" x14ac:dyDescent="0.25">
      <c r="B30" s="2" t="s">
        <v>7103</v>
      </c>
      <c r="C30" s="2" t="s">
        <v>7104</v>
      </c>
      <c r="D30" s="3">
        <v>7.11</v>
      </c>
      <c r="E30" s="3">
        <v>79.45</v>
      </c>
      <c r="F30" s="3">
        <v>3.9</v>
      </c>
      <c r="G30" s="3">
        <v>1.61</v>
      </c>
      <c r="H30" s="3">
        <v>7</v>
      </c>
      <c r="I30" s="3">
        <v>0.22</v>
      </c>
      <c r="J30" s="3">
        <v>0.39</v>
      </c>
      <c r="K30" s="3">
        <v>0.82799999999999996</v>
      </c>
    </row>
    <row r="31" spans="2:11" x14ac:dyDescent="0.25">
      <c r="B31" s="2" t="s">
        <v>7105</v>
      </c>
      <c r="C31" s="2" t="s">
        <v>7106</v>
      </c>
      <c r="D31" s="3">
        <v>8.2799999999999994</v>
      </c>
      <c r="E31" s="3">
        <v>70.28</v>
      </c>
      <c r="F31" s="3">
        <v>6.7</v>
      </c>
      <c r="H31" s="3">
        <v>1247</v>
      </c>
      <c r="I31" s="3">
        <v>0.47799999999999998</v>
      </c>
      <c r="J31" s="3">
        <v>0.89700000000000002</v>
      </c>
      <c r="K31" s="3">
        <v>1.55</v>
      </c>
    </row>
    <row r="32" spans="2:11" x14ac:dyDescent="0.25">
      <c r="B32" s="2" t="s">
        <v>7107</v>
      </c>
      <c r="C32" s="2" t="s">
        <v>7108</v>
      </c>
      <c r="D32" s="3">
        <v>8.41</v>
      </c>
      <c r="E32" s="3">
        <v>73.430000000000007</v>
      </c>
      <c r="F32" s="3">
        <v>6.3</v>
      </c>
      <c r="H32" s="3">
        <v>1319</v>
      </c>
      <c r="I32" s="3">
        <v>0.4</v>
      </c>
      <c r="J32" s="3">
        <v>0.751</v>
      </c>
      <c r="K32" s="3">
        <v>1.2969999999999999</v>
      </c>
    </row>
    <row r="33" spans="2:11" x14ac:dyDescent="0.25">
      <c r="B33" s="2" t="s">
        <v>7109</v>
      </c>
      <c r="C33" s="2" t="s">
        <v>7110</v>
      </c>
      <c r="D33" s="3">
        <v>8.41</v>
      </c>
      <c r="E33" s="3">
        <v>74.790000000000006</v>
      </c>
      <c r="F33" s="3">
        <v>7.1</v>
      </c>
      <c r="H33" s="3">
        <v>1348</v>
      </c>
      <c r="I33" s="3">
        <v>0.23400000000000001</v>
      </c>
      <c r="J33" s="3">
        <v>0.42899999999999999</v>
      </c>
      <c r="K33" s="3">
        <v>0.73899999999999999</v>
      </c>
    </row>
    <row r="34" spans="2:11" x14ac:dyDescent="0.25">
      <c r="B34" s="2" t="s">
        <v>7111</v>
      </c>
      <c r="C34" s="2" t="s">
        <v>7112</v>
      </c>
      <c r="D34" s="3">
        <v>0.26</v>
      </c>
      <c r="E34" s="3">
        <v>91.27</v>
      </c>
      <c r="F34" s="3">
        <v>0.9</v>
      </c>
      <c r="G34" s="3">
        <v>0</v>
      </c>
      <c r="H34" s="3">
        <v>9</v>
      </c>
      <c r="I34" s="3">
        <v>8.9999999999999993E-3</v>
      </c>
      <c r="J34" s="3">
        <v>1.6E-2</v>
      </c>
      <c r="K34" s="3">
        <v>2.5000000000000001E-2</v>
      </c>
    </row>
    <row r="35" spans="2:11" x14ac:dyDescent="0.25">
      <c r="B35" s="2" t="s">
        <v>7113</v>
      </c>
      <c r="C35" s="2" t="s">
        <v>7114</v>
      </c>
      <c r="D35" s="3">
        <v>12.76</v>
      </c>
      <c r="E35" s="3">
        <v>77.430000000000007</v>
      </c>
      <c r="F35" s="3">
        <v>5</v>
      </c>
      <c r="H35" s="3">
        <v>10</v>
      </c>
      <c r="I35" s="3">
        <v>0.11700000000000001</v>
      </c>
      <c r="J35" s="3">
        <v>8.8999999999999996E-2</v>
      </c>
      <c r="K35" s="3">
        <v>0.252</v>
      </c>
    </row>
    <row r="36" spans="2:11" x14ac:dyDescent="0.25">
      <c r="B36" s="2" t="s">
        <v>7115</v>
      </c>
      <c r="C36" s="2" t="s">
        <v>7116</v>
      </c>
      <c r="D36" s="3">
        <v>3.79</v>
      </c>
      <c r="E36" s="3">
        <v>23.22</v>
      </c>
      <c r="F36" s="3">
        <v>1.4</v>
      </c>
      <c r="G36" s="3">
        <v>0.1</v>
      </c>
      <c r="H36" s="3">
        <v>5</v>
      </c>
      <c r="I36" s="3">
        <v>2.9000000000000001E-2</v>
      </c>
      <c r="J36" s="3">
        <v>2.1999999999999999E-2</v>
      </c>
      <c r="K36" s="3">
        <v>6.4000000000000001E-2</v>
      </c>
    </row>
    <row r="37" spans="2:11" x14ac:dyDescent="0.25">
      <c r="B37" s="2" t="s">
        <v>7117</v>
      </c>
      <c r="C37" s="2" t="s">
        <v>7118</v>
      </c>
      <c r="D37" s="3">
        <v>1.48</v>
      </c>
      <c r="E37" s="3">
        <v>14.26</v>
      </c>
      <c r="F37" s="3">
        <v>2.5</v>
      </c>
      <c r="G37" s="3">
        <v>1.82</v>
      </c>
      <c r="H37" s="3">
        <v>345</v>
      </c>
      <c r="I37" s="3">
        <v>0.123</v>
      </c>
      <c r="J37" s="3">
        <v>0.23100000000000001</v>
      </c>
      <c r="K37" s="3">
        <v>0.39900000000000002</v>
      </c>
    </row>
    <row r="38" spans="2:11" x14ac:dyDescent="0.25">
      <c r="B38" s="2" t="s">
        <v>7119</v>
      </c>
      <c r="C38" s="2" t="s">
        <v>7120</v>
      </c>
      <c r="D38" s="3">
        <v>11.02</v>
      </c>
      <c r="E38" s="3">
        <v>72.849999999999994</v>
      </c>
      <c r="F38" s="3">
        <v>8.5</v>
      </c>
      <c r="H38" s="3">
        <v>5</v>
      </c>
      <c r="I38" s="3">
        <v>0.72299999999999998</v>
      </c>
      <c r="J38" s="3">
        <v>0.77300000000000002</v>
      </c>
      <c r="K38" s="3">
        <v>2.1339999999999999</v>
      </c>
    </row>
    <row r="39" spans="2:11" x14ac:dyDescent="0.25">
      <c r="B39" s="2" t="s">
        <v>7121</v>
      </c>
      <c r="C39" s="2" t="s">
        <v>7122</v>
      </c>
      <c r="D39" s="3">
        <v>3.51</v>
      </c>
      <c r="E39" s="3">
        <v>23.67</v>
      </c>
      <c r="F39" s="3">
        <v>1.3</v>
      </c>
      <c r="G39" s="3">
        <v>0.13</v>
      </c>
      <c r="H39" s="3">
        <v>2</v>
      </c>
      <c r="I39" s="3">
        <v>0.17199999999999999</v>
      </c>
      <c r="J39" s="3">
        <v>0.184</v>
      </c>
      <c r="K39" s="3">
        <v>0.50800000000000001</v>
      </c>
    </row>
    <row r="40" spans="2:11" x14ac:dyDescent="0.25">
      <c r="B40" s="2" t="s">
        <v>7123</v>
      </c>
      <c r="C40" s="2" t="s">
        <v>7124</v>
      </c>
      <c r="D40" s="3">
        <v>17.3</v>
      </c>
      <c r="E40" s="3">
        <v>66.22</v>
      </c>
      <c r="F40" s="3">
        <v>15.4</v>
      </c>
      <c r="G40" s="3">
        <v>1.45</v>
      </c>
      <c r="H40" s="3">
        <v>4</v>
      </c>
      <c r="I40" s="3">
        <v>1.3280000000000001</v>
      </c>
      <c r="J40" s="3">
        <v>2.3759999999999999</v>
      </c>
      <c r="K40" s="3">
        <v>2.766</v>
      </c>
    </row>
    <row r="41" spans="2:11" x14ac:dyDescent="0.25">
      <c r="B41" s="2" t="s">
        <v>7125</v>
      </c>
      <c r="C41" s="2" t="s">
        <v>7126</v>
      </c>
      <c r="D41" s="3">
        <v>3.21</v>
      </c>
      <c r="E41" s="3">
        <v>11.44</v>
      </c>
      <c r="F41" s="3">
        <v>2.6</v>
      </c>
      <c r="H41" s="3">
        <v>1</v>
      </c>
      <c r="I41" s="3">
        <v>0.16300000000000001</v>
      </c>
      <c r="J41" s="3">
        <v>0.29099999999999998</v>
      </c>
      <c r="K41" s="3">
        <v>0.33900000000000002</v>
      </c>
    </row>
    <row r="42" spans="2:11" x14ac:dyDescent="0.25">
      <c r="B42" s="2" t="s">
        <v>7127</v>
      </c>
      <c r="C42" s="2" t="s">
        <v>7128</v>
      </c>
      <c r="D42" s="3">
        <v>14.12</v>
      </c>
      <c r="E42" s="3">
        <v>64.16</v>
      </c>
      <c r="F42" s="3">
        <v>7</v>
      </c>
      <c r="H42" s="3">
        <v>5</v>
      </c>
      <c r="I42" s="3">
        <v>0.70599999999999996</v>
      </c>
      <c r="J42" s="3">
        <v>1.613</v>
      </c>
      <c r="K42" s="3">
        <v>3.2919999999999998</v>
      </c>
    </row>
    <row r="43" spans="2:11" x14ac:dyDescent="0.25">
      <c r="B43" s="2" t="s">
        <v>7129</v>
      </c>
      <c r="C43" s="2" t="s">
        <v>7130</v>
      </c>
      <c r="D43" s="3">
        <v>7.54</v>
      </c>
      <c r="E43" s="3">
        <v>76.25</v>
      </c>
      <c r="F43" s="3">
        <v>3.6</v>
      </c>
      <c r="G43" s="3">
        <v>0.66</v>
      </c>
      <c r="H43" s="3">
        <v>5</v>
      </c>
      <c r="I43" s="3">
        <v>0.59099999999999997</v>
      </c>
      <c r="J43" s="3">
        <v>1.054</v>
      </c>
      <c r="K43" s="3">
        <v>1</v>
      </c>
    </row>
    <row r="44" spans="2:11" x14ac:dyDescent="0.25">
      <c r="B44" s="2" t="s">
        <v>7131</v>
      </c>
      <c r="C44" s="2" t="s">
        <v>7132</v>
      </c>
      <c r="D44" s="3">
        <v>2.74</v>
      </c>
      <c r="E44" s="3">
        <v>25.58</v>
      </c>
      <c r="F44" s="3">
        <v>1.6</v>
      </c>
      <c r="G44" s="3">
        <v>0.24</v>
      </c>
      <c r="H44" s="3">
        <v>4</v>
      </c>
      <c r="I44" s="3">
        <v>0.26</v>
      </c>
      <c r="J44" s="3">
        <v>0.36899999999999999</v>
      </c>
      <c r="K44" s="3">
        <v>0.36599999999999999</v>
      </c>
    </row>
    <row r="45" spans="2:11" x14ac:dyDescent="0.25">
      <c r="B45" s="2" t="s">
        <v>7133</v>
      </c>
      <c r="C45" s="2" t="s">
        <v>7134</v>
      </c>
      <c r="D45" s="3">
        <v>16.89</v>
      </c>
      <c r="E45" s="3">
        <v>66.27</v>
      </c>
      <c r="F45" s="3">
        <v>10.6</v>
      </c>
      <c r="H45" s="3">
        <v>2</v>
      </c>
      <c r="I45" s="3">
        <v>1.2170000000000001</v>
      </c>
      <c r="J45" s="3">
        <v>2.1779999999999999</v>
      </c>
      <c r="K45" s="3">
        <v>2.5350000000000001</v>
      </c>
    </row>
    <row r="46" spans="2:11" x14ac:dyDescent="0.25">
      <c r="B46" s="2" t="s">
        <v>7135</v>
      </c>
      <c r="C46" s="2" t="s">
        <v>7136</v>
      </c>
      <c r="D46" s="3">
        <v>7.5</v>
      </c>
      <c r="E46" s="3">
        <v>76.17</v>
      </c>
      <c r="F46" s="3">
        <v>3.4</v>
      </c>
      <c r="H46" s="3">
        <v>4</v>
      </c>
      <c r="I46" s="3">
        <v>0.53600000000000003</v>
      </c>
      <c r="J46" s="3">
        <v>0.97099999999999997</v>
      </c>
      <c r="K46" s="3">
        <v>0.95899999999999996</v>
      </c>
    </row>
    <row r="47" spans="2:11" x14ac:dyDescent="0.25">
      <c r="B47" s="2" t="s">
        <v>7137</v>
      </c>
      <c r="C47" s="2" t="s">
        <v>7138</v>
      </c>
      <c r="D47" s="3">
        <v>2.3199999999999998</v>
      </c>
      <c r="E47" s="3">
        <v>23.51</v>
      </c>
      <c r="F47" s="3">
        <v>1.8</v>
      </c>
      <c r="H47" s="3">
        <v>1</v>
      </c>
      <c r="I47" s="3">
        <v>0.16500000000000001</v>
      </c>
      <c r="J47" s="3">
        <v>0.3</v>
      </c>
      <c r="K47" s="3">
        <v>0.29599999999999999</v>
      </c>
    </row>
    <row r="48" spans="2:11" x14ac:dyDescent="0.25">
      <c r="B48" s="2" t="s">
        <v>7139</v>
      </c>
      <c r="C48" s="2" t="s">
        <v>7140</v>
      </c>
      <c r="D48" s="3">
        <v>7.6</v>
      </c>
      <c r="E48" s="3">
        <v>78.680000000000007</v>
      </c>
      <c r="F48" s="3">
        <v>3.5</v>
      </c>
      <c r="G48" s="3">
        <v>0.5</v>
      </c>
      <c r="H48" s="3">
        <v>6</v>
      </c>
      <c r="I48" s="3">
        <v>0.48099999999999998</v>
      </c>
      <c r="J48" s="3">
        <v>1.024</v>
      </c>
      <c r="K48" s="3">
        <v>0.84099999999999997</v>
      </c>
    </row>
    <row r="49" spans="2:11" x14ac:dyDescent="0.25">
      <c r="B49" s="2" t="s">
        <v>7141</v>
      </c>
      <c r="C49" s="2" t="s">
        <v>7142</v>
      </c>
      <c r="D49" s="3">
        <v>7.13</v>
      </c>
      <c r="E49" s="3">
        <v>79.95</v>
      </c>
      <c r="F49" s="3">
        <v>1.3</v>
      </c>
      <c r="G49" s="3">
        <v>0.12</v>
      </c>
      <c r="H49" s="3">
        <v>5</v>
      </c>
      <c r="I49" s="3">
        <v>0.18</v>
      </c>
      <c r="J49" s="3">
        <v>0.20599999999999999</v>
      </c>
      <c r="K49" s="3">
        <v>0.17699999999999999</v>
      </c>
    </row>
    <row r="50" spans="2:11" x14ac:dyDescent="0.25">
      <c r="B50" s="2" t="s">
        <v>7143</v>
      </c>
      <c r="C50" s="2" t="s">
        <v>7144</v>
      </c>
      <c r="D50" s="3">
        <v>2.69</v>
      </c>
      <c r="E50" s="3">
        <v>28.17</v>
      </c>
      <c r="F50" s="3">
        <v>0.4</v>
      </c>
      <c r="G50" s="3">
        <v>0.05</v>
      </c>
      <c r="H50" s="3">
        <v>1</v>
      </c>
      <c r="I50" s="3">
        <v>7.6999999999999999E-2</v>
      </c>
      <c r="J50" s="3">
        <v>8.7999999999999995E-2</v>
      </c>
      <c r="K50" s="3">
        <v>7.5999999999999998E-2</v>
      </c>
    </row>
    <row r="51" spans="2:11" x14ac:dyDescent="0.25">
      <c r="B51" s="2" t="s">
        <v>7145</v>
      </c>
      <c r="C51" s="2" t="s">
        <v>7146</v>
      </c>
      <c r="D51" s="3">
        <v>7.51</v>
      </c>
      <c r="E51" s="3">
        <v>80.89</v>
      </c>
      <c r="F51" s="3">
        <v>1.8</v>
      </c>
      <c r="G51" s="3">
        <v>0.33</v>
      </c>
      <c r="H51" s="3">
        <v>2</v>
      </c>
      <c r="I51" s="3">
        <v>0.29399999999999998</v>
      </c>
      <c r="J51" s="3">
        <v>0.25800000000000001</v>
      </c>
      <c r="K51" s="3">
        <v>0.32200000000000001</v>
      </c>
    </row>
    <row r="52" spans="2:11" x14ac:dyDescent="0.25">
      <c r="B52" s="2" t="s">
        <v>7147</v>
      </c>
      <c r="C52" s="2" t="s">
        <v>7148</v>
      </c>
      <c r="D52" s="3">
        <v>2.91</v>
      </c>
      <c r="E52" s="3">
        <v>26.05</v>
      </c>
      <c r="F52" s="3">
        <v>0.9</v>
      </c>
      <c r="G52" s="3">
        <v>0.11</v>
      </c>
      <c r="H52" s="3">
        <v>2</v>
      </c>
      <c r="I52" s="3">
        <v>7.3999999999999996E-2</v>
      </c>
      <c r="J52" s="3">
        <v>7.3999999999999996E-2</v>
      </c>
      <c r="K52" s="3">
        <v>9.0999999999999998E-2</v>
      </c>
    </row>
    <row r="53" spans="2:11" x14ac:dyDescent="0.25">
      <c r="B53" s="2" t="s">
        <v>7149</v>
      </c>
      <c r="C53" s="2" t="s">
        <v>7150</v>
      </c>
      <c r="D53" s="3">
        <v>7.82</v>
      </c>
      <c r="E53" s="3">
        <v>82.32</v>
      </c>
      <c r="F53" s="3">
        <v>1.9</v>
      </c>
      <c r="G53" s="3">
        <v>0.05</v>
      </c>
      <c r="H53" s="3">
        <v>10</v>
      </c>
      <c r="I53" s="3">
        <v>0.152</v>
      </c>
      <c r="J53" s="3">
        <v>0.14399999999999999</v>
      </c>
      <c r="K53" s="3">
        <v>0.219</v>
      </c>
    </row>
    <row r="54" spans="2:11" x14ac:dyDescent="0.25">
      <c r="B54" s="2" t="s">
        <v>7151</v>
      </c>
      <c r="C54" s="2" t="s">
        <v>7152</v>
      </c>
      <c r="D54" s="3">
        <v>2.1800000000000002</v>
      </c>
      <c r="E54" s="3">
        <v>26.76</v>
      </c>
      <c r="F54" s="3">
        <v>0.6</v>
      </c>
      <c r="G54" s="3">
        <v>0</v>
      </c>
      <c r="H54" s="3">
        <v>4</v>
      </c>
      <c r="I54" s="3">
        <v>1.7000000000000001E-2</v>
      </c>
      <c r="J54" s="3">
        <v>7.3999999999999996E-2</v>
      </c>
      <c r="K54" s="3">
        <v>1.7000000000000001E-2</v>
      </c>
    </row>
    <row r="55" spans="2:11" x14ac:dyDescent="0.25">
      <c r="B55" s="2" t="s">
        <v>7153</v>
      </c>
      <c r="C55" s="2" t="s">
        <v>7154</v>
      </c>
      <c r="D55" s="3">
        <v>6.61</v>
      </c>
      <c r="E55" s="3">
        <v>79.34</v>
      </c>
      <c r="F55" s="3">
        <v>1.4</v>
      </c>
      <c r="H55" s="3">
        <v>1</v>
      </c>
      <c r="I55" s="3">
        <v>0.158</v>
      </c>
      <c r="J55" s="3">
        <v>0.18099999999999999</v>
      </c>
      <c r="K55" s="3">
        <v>0.155</v>
      </c>
    </row>
    <row r="56" spans="2:11" x14ac:dyDescent="0.25">
      <c r="B56" s="2" t="s">
        <v>7155</v>
      </c>
      <c r="C56" s="2" t="s">
        <v>7156</v>
      </c>
      <c r="D56" s="3">
        <v>2.38</v>
      </c>
      <c r="E56" s="3">
        <v>28.59</v>
      </c>
      <c r="F56" s="3">
        <v>0.3</v>
      </c>
      <c r="H56" s="3">
        <v>0</v>
      </c>
      <c r="I56" s="3">
        <v>5.7000000000000002E-2</v>
      </c>
      <c r="J56" s="3">
        <v>6.5000000000000002E-2</v>
      </c>
      <c r="K56" s="3">
        <v>5.6000000000000001E-2</v>
      </c>
    </row>
    <row r="57" spans="2:11" x14ac:dyDescent="0.25">
      <c r="B57" s="2" t="s">
        <v>7157</v>
      </c>
      <c r="C57" s="2" t="s">
        <v>7158</v>
      </c>
      <c r="D57" s="3">
        <v>6.5</v>
      </c>
      <c r="E57" s="3">
        <v>79.150000000000006</v>
      </c>
      <c r="F57" s="3">
        <v>2.8</v>
      </c>
      <c r="H57" s="3">
        <v>1</v>
      </c>
      <c r="I57" s="3">
        <v>0.14000000000000001</v>
      </c>
      <c r="J57" s="3">
        <v>0.161</v>
      </c>
      <c r="K57" s="3">
        <v>0.13800000000000001</v>
      </c>
    </row>
    <row r="58" spans="2:11" x14ac:dyDescent="0.25">
      <c r="B58" s="2" t="s">
        <v>7159</v>
      </c>
      <c r="C58" s="2" t="s">
        <v>7160</v>
      </c>
      <c r="D58" s="3">
        <v>2.36</v>
      </c>
      <c r="E58" s="3">
        <v>28.73</v>
      </c>
      <c r="H58" s="3">
        <v>0</v>
      </c>
      <c r="I58" s="3">
        <v>5.0999999999999997E-2</v>
      </c>
      <c r="J58" s="3">
        <v>5.8000000000000003E-2</v>
      </c>
      <c r="K58" s="3">
        <v>0.05</v>
      </c>
    </row>
    <row r="59" spans="2:11" x14ac:dyDescent="0.25">
      <c r="B59" s="2" t="s">
        <v>7161</v>
      </c>
      <c r="C59" s="2" t="s">
        <v>7162</v>
      </c>
      <c r="D59" s="3">
        <v>6.81</v>
      </c>
      <c r="E59" s="3">
        <v>81.680000000000007</v>
      </c>
      <c r="F59" s="3">
        <v>2.8</v>
      </c>
      <c r="H59" s="3">
        <v>7</v>
      </c>
      <c r="I59" s="3">
        <v>0.111</v>
      </c>
      <c r="J59" s="3">
        <v>0.2</v>
      </c>
      <c r="K59" s="3">
        <v>0.19800000000000001</v>
      </c>
    </row>
    <row r="60" spans="2:11" x14ac:dyDescent="0.25">
      <c r="B60" s="2" t="s">
        <v>7163</v>
      </c>
      <c r="C60" s="2" t="s">
        <v>7164</v>
      </c>
      <c r="D60" s="3">
        <v>2.02</v>
      </c>
      <c r="E60" s="3">
        <v>21.09</v>
      </c>
      <c r="F60" s="3">
        <v>1</v>
      </c>
      <c r="G60" s="3">
        <v>0.05</v>
      </c>
      <c r="H60" s="3">
        <v>5</v>
      </c>
      <c r="I60" s="3">
        <v>3.9E-2</v>
      </c>
      <c r="J60" s="3">
        <v>7.0000000000000007E-2</v>
      </c>
      <c r="K60" s="3">
        <v>6.9000000000000006E-2</v>
      </c>
    </row>
    <row r="61" spans="2:11" x14ac:dyDescent="0.25">
      <c r="B61" s="2" t="s">
        <v>7165</v>
      </c>
      <c r="C61" s="2" t="s">
        <v>7166</v>
      </c>
      <c r="D61" s="3">
        <v>3.2</v>
      </c>
      <c r="E61" s="3">
        <v>33.880000000000003</v>
      </c>
      <c r="F61" s="3">
        <v>0.9</v>
      </c>
      <c r="H61" s="3">
        <v>5</v>
      </c>
    </row>
    <row r="62" spans="2:11" x14ac:dyDescent="0.25">
      <c r="B62" s="2" t="s">
        <v>7167</v>
      </c>
      <c r="C62" s="2" t="s">
        <v>7168</v>
      </c>
      <c r="D62" s="3">
        <v>13.35</v>
      </c>
      <c r="E62" s="3">
        <v>49.69</v>
      </c>
      <c r="F62" s="3">
        <v>21</v>
      </c>
      <c r="G62" s="3">
        <v>0.9</v>
      </c>
      <c r="H62" s="3">
        <v>5</v>
      </c>
      <c r="I62" s="3">
        <v>4.1710000000000003</v>
      </c>
      <c r="J62" s="3">
        <v>7.5490000000000004</v>
      </c>
      <c r="K62" s="3">
        <v>7.4589999999999996</v>
      </c>
    </row>
    <row r="63" spans="2:11" x14ac:dyDescent="0.25">
      <c r="B63" s="2" t="s">
        <v>7169</v>
      </c>
      <c r="C63" s="2" t="s">
        <v>7170</v>
      </c>
      <c r="D63" s="3">
        <v>5.95</v>
      </c>
      <c r="E63" s="3">
        <v>80.13</v>
      </c>
      <c r="F63" s="3">
        <v>2.4</v>
      </c>
      <c r="G63" s="3">
        <v>0.12</v>
      </c>
      <c r="H63" s="3">
        <v>0</v>
      </c>
      <c r="I63" s="3">
        <v>0.38600000000000001</v>
      </c>
      <c r="J63" s="3">
        <v>0.442</v>
      </c>
      <c r="K63" s="3">
        <v>0.379</v>
      </c>
    </row>
    <row r="64" spans="2:11" x14ac:dyDescent="0.25">
      <c r="B64" s="2" t="s">
        <v>7171</v>
      </c>
      <c r="C64" s="2" t="s">
        <v>7172</v>
      </c>
      <c r="D64" s="3">
        <v>10.34</v>
      </c>
      <c r="E64" s="3">
        <v>75.86</v>
      </c>
      <c r="F64" s="3">
        <v>15.1</v>
      </c>
      <c r="G64" s="3">
        <v>0.98</v>
      </c>
      <c r="H64" s="3">
        <v>2</v>
      </c>
      <c r="I64" s="3">
        <v>0.19700000000000001</v>
      </c>
      <c r="J64" s="3">
        <v>0.20799999999999999</v>
      </c>
      <c r="K64" s="3">
        <v>0.76700000000000002</v>
      </c>
    </row>
    <row r="65" spans="2:11" x14ac:dyDescent="0.25">
      <c r="B65" s="2" t="s">
        <v>7173</v>
      </c>
      <c r="C65" s="2" t="s">
        <v>7174</v>
      </c>
      <c r="D65" s="3">
        <v>15.91</v>
      </c>
      <c r="E65" s="3">
        <v>68.63</v>
      </c>
      <c r="F65" s="3">
        <v>23.8</v>
      </c>
      <c r="G65" s="3">
        <v>2.31</v>
      </c>
      <c r="H65" s="3">
        <v>2</v>
      </c>
      <c r="I65" s="3">
        <v>0.26900000000000002</v>
      </c>
      <c r="J65" s="3">
        <v>0.28399999999999997</v>
      </c>
      <c r="K65" s="3">
        <v>1.046</v>
      </c>
    </row>
    <row r="66" spans="2:11" x14ac:dyDescent="0.25">
      <c r="B66" s="2" t="s">
        <v>7175</v>
      </c>
      <c r="C66" s="2" t="s">
        <v>7176</v>
      </c>
      <c r="D66" s="3">
        <v>10.88</v>
      </c>
      <c r="E66" s="3">
        <v>75.430000000000007</v>
      </c>
      <c r="F66" s="3">
        <v>11.8</v>
      </c>
      <c r="G66" s="3">
        <v>1.1000000000000001</v>
      </c>
      <c r="H66" s="3">
        <v>2</v>
      </c>
      <c r="I66" s="3">
        <v>0.18</v>
      </c>
      <c r="J66" s="3">
        <v>0.189</v>
      </c>
      <c r="K66" s="3">
        <v>0.69499999999999995</v>
      </c>
    </row>
    <row r="67" spans="2:11" x14ac:dyDescent="0.25">
      <c r="B67" s="2" t="s">
        <v>7177</v>
      </c>
      <c r="C67" s="2" t="s">
        <v>7178</v>
      </c>
      <c r="D67" s="3">
        <v>9.82</v>
      </c>
      <c r="E67" s="3">
        <v>76.680000000000007</v>
      </c>
      <c r="F67" s="3">
        <v>8</v>
      </c>
      <c r="G67" s="3">
        <v>0.93</v>
      </c>
      <c r="H67" s="3">
        <v>2</v>
      </c>
      <c r="I67" s="3">
        <v>0.15</v>
      </c>
      <c r="J67" s="3">
        <v>0.158</v>
      </c>
      <c r="K67" s="3">
        <v>0.58399999999999996</v>
      </c>
    </row>
    <row r="68" spans="2:11" x14ac:dyDescent="0.25">
      <c r="B68" s="2" t="s">
        <v>7179</v>
      </c>
      <c r="C68" s="2" t="s">
        <v>7180</v>
      </c>
      <c r="D68" s="3">
        <v>12.68</v>
      </c>
      <c r="E68" s="3">
        <v>72.83</v>
      </c>
      <c r="F68" s="3">
        <v>3.9</v>
      </c>
      <c r="H68" s="3">
        <v>1</v>
      </c>
      <c r="I68" s="3">
        <v>0.15</v>
      </c>
      <c r="J68" s="3">
        <v>0.124</v>
      </c>
      <c r="K68" s="3">
        <v>0.43</v>
      </c>
    </row>
    <row r="69" spans="2:11" x14ac:dyDescent="0.25">
      <c r="B69" s="2" t="s">
        <v>7181</v>
      </c>
      <c r="C69" s="2" t="s">
        <v>7182</v>
      </c>
      <c r="D69" s="3">
        <v>10.62</v>
      </c>
      <c r="E69" s="3">
        <v>72.09</v>
      </c>
      <c r="F69" s="3">
        <v>6.7</v>
      </c>
      <c r="G69" s="3">
        <v>2.5299999999999998</v>
      </c>
      <c r="H69" s="3">
        <v>2</v>
      </c>
      <c r="I69" s="3">
        <v>0.61</v>
      </c>
      <c r="J69" s="3">
        <v>1.131</v>
      </c>
      <c r="K69" s="3">
        <v>1.5580000000000001</v>
      </c>
    </row>
    <row r="70" spans="2:11" x14ac:dyDescent="0.25">
      <c r="B70" s="2" t="s">
        <v>7183</v>
      </c>
      <c r="C70" s="2" t="s">
        <v>7184</v>
      </c>
      <c r="D70" s="3">
        <v>0.19</v>
      </c>
      <c r="E70" s="3">
        <v>88.69</v>
      </c>
      <c r="F70" s="3">
        <v>0.9</v>
      </c>
      <c r="G70" s="3">
        <v>3.35</v>
      </c>
      <c r="H70" s="3">
        <v>1</v>
      </c>
      <c r="I70" s="3">
        <v>5.0000000000000001E-3</v>
      </c>
      <c r="J70" s="3">
        <v>5.0000000000000001E-3</v>
      </c>
      <c r="K70" s="3">
        <v>3.0000000000000001E-3</v>
      </c>
    </row>
    <row r="71" spans="2:11" x14ac:dyDescent="0.25">
      <c r="B71" s="2" t="s">
        <v>7185</v>
      </c>
      <c r="C71" s="2" t="s">
        <v>7186</v>
      </c>
      <c r="D71" s="3">
        <v>13.05</v>
      </c>
      <c r="E71" s="3">
        <v>72.13</v>
      </c>
      <c r="H71" s="3">
        <v>5</v>
      </c>
      <c r="I71" s="3">
        <v>0.36599999999999999</v>
      </c>
      <c r="J71" s="3">
        <v>0.21099999999999999</v>
      </c>
      <c r="K71" s="3">
        <v>0.91300000000000003</v>
      </c>
    </row>
    <row r="72" spans="2:11" x14ac:dyDescent="0.25">
      <c r="B72" s="2" t="s">
        <v>7187</v>
      </c>
      <c r="C72" s="2" t="s">
        <v>7188</v>
      </c>
      <c r="D72" s="3">
        <v>13.18</v>
      </c>
      <c r="E72" s="3">
        <v>73.14</v>
      </c>
      <c r="F72" s="3">
        <v>14.6</v>
      </c>
      <c r="H72" s="3">
        <v>2</v>
      </c>
      <c r="I72" s="3">
        <v>0.318</v>
      </c>
      <c r="J72" s="3">
        <v>0.183</v>
      </c>
      <c r="K72" s="3">
        <v>0.79400000000000004</v>
      </c>
    </row>
    <row r="73" spans="2:11" x14ac:dyDescent="0.25">
      <c r="B73" s="2" t="s">
        <v>7189</v>
      </c>
      <c r="C73" s="2" t="s">
        <v>7190</v>
      </c>
      <c r="D73" s="3">
        <v>15.4</v>
      </c>
      <c r="E73" s="3">
        <v>68.03</v>
      </c>
      <c r="F73" s="3">
        <v>12.2</v>
      </c>
      <c r="G73" s="3">
        <v>0.41</v>
      </c>
      <c r="H73" s="3">
        <v>2</v>
      </c>
      <c r="I73" s="3">
        <v>0.314</v>
      </c>
      <c r="J73" s="3">
        <v>0.30299999999999999</v>
      </c>
      <c r="K73" s="3">
        <v>0.76500000000000001</v>
      </c>
    </row>
    <row r="74" spans="2:11" x14ac:dyDescent="0.25">
      <c r="B74" s="2" t="s">
        <v>7191</v>
      </c>
      <c r="C74" s="2" t="s">
        <v>7192</v>
      </c>
      <c r="D74" s="3">
        <v>12.61</v>
      </c>
      <c r="E74" s="3">
        <v>71.180000000000007</v>
      </c>
      <c r="F74" s="3">
        <v>12.2</v>
      </c>
      <c r="G74" s="3">
        <v>0.41</v>
      </c>
      <c r="H74" s="3">
        <v>2</v>
      </c>
      <c r="I74" s="3">
        <v>0.26900000000000002</v>
      </c>
      <c r="J74" s="3">
        <v>0.2</v>
      </c>
      <c r="K74" s="3">
        <v>0.627</v>
      </c>
    </row>
    <row r="75" spans="2:11" x14ac:dyDescent="0.25">
      <c r="B75" s="2" t="s">
        <v>7193</v>
      </c>
      <c r="C75" s="2" t="s">
        <v>7194</v>
      </c>
      <c r="D75" s="3">
        <v>10.35</v>
      </c>
      <c r="E75" s="3">
        <v>74.239999999999995</v>
      </c>
      <c r="F75" s="3">
        <v>12.5</v>
      </c>
      <c r="G75" s="3">
        <v>0.41</v>
      </c>
      <c r="H75" s="3">
        <v>2</v>
      </c>
      <c r="I75" s="3">
        <v>0.28899999999999998</v>
      </c>
      <c r="J75" s="3">
        <v>0.17799999999999999</v>
      </c>
      <c r="K75" s="3">
        <v>0.65600000000000003</v>
      </c>
    </row>
    <row r="76" spans="2:11" x14ac:dyDescent="0.25">
      <c r="B76" s="2" t="s">
        <v>7195</v>
      </c>
      <c r="C76" s="2" t="s">
        <v>7196</v>
      </c>
      <c r="D76" s="3">
        <v>11.31</v>
      </c>
      <c r="E76" s="3">
        <v>75.900000000000006</v>
      </c>
      <c r="F76" s="3">
        <v>12.2</v>
      </c>
      <c r="G76" s="3">
        <v>0.41</v>
      </c>
      <c r="H76" s="3">
        <v>2</v>
      </c>
      <c r="I76" s="3">
        <v>0.27700000000000002</v>
      </c>
      <c r="J76" s="3">
        <v>0.20300000000000001</v>
      </c>
      <c r="K76" s="3">
        <v>0.75</v>
      </c>
    </row>
    <row r="77" spans="2:11" x14ac:dyDescent="0.25">
      <c r="B77" s="2" t="s">
        <v>7197</v>
      </c>
      <c r="C77" s="2" t="s">
        <v>7198</v>
      </c>
      <c r="D77" s="3">
        <v>10.69</v>
      </c>
      <c r="E77" s="3">
        <v>75.36</v>
      </c>
      <c r="F77" s="3">
        <v>12.7</v>
      </c>
      <c r="G77" s="3">
        <v>0.41</v>
      </c>
      <c r="H77" s="3">
        <v>2</v>
      </c>
      <c r="I77" s="3">
        <v>0.36799999999999999</v>
      </c>
      <c r="J77" s="3">
        <v>0.22700000000000001</v>
      </c>
      <c r="K77" s="3">
        <v>0.83699999999999997</v>
      </c>
    </row>
    <row r="78" spans="2:11" x14ac:dyDescent="0.25">
      <c r="B78" s="2" t="s">
        <v>7199</v>
      </c>
      <c r="C78" s="2" t="s">
        <v>7200</v>
      </c>
      <c r="D78" s="3">
        <v>13.68</v>
      </c>
      <c r="E78" s="3">
        <v>71.13</v>
      </c>
      <c r="H78" s="3">
        <v>2</v>
      </c>
      <c r="I78" s="3">
        <v>0.45400000000000001</v>
      </c>
      <c r="J78" s="3">
        <v>0.34399999999999997</v>
      </c>
      <c r="K78" s="3">
        <v>0.97799999999999998</v>
      </c>
    </row>
    <row r="79" spans="2:11" x14ac:dyDescent="0.25">
      <c r="B79" s="2" t="s">
        <v>7201</v>
      </c>
      <c r="C79" s="2" t="s">
        <v>7202</v>
      </c>
      <c r="D79" s="3">
        <v>15.55</v>
      </c>
      <c r="E79" s="3">
        <v>64.510000000000005</v>
      </c>
      <c r="F79" s="3">
        <v>42.8</v>
      </c>
      <c r="G79" s="3">
        <v>0.41</v>
      </c>
      <c r="H79" s="3">
        <v>2</v>
      </c>
      <c r="I79" s="3">
        <v>0.63</v>
      </c>
      <c r="J79" s="3">
        <v>0.63700000000000001</v>
      </c>
      <c r="K79" s="3">
        <v>2.2120000000000002</v>
      </c>
    </row>
    <row r="80" spans="2:11" x14ac:dyDescent="0.25">
      <c r="B80" s="2" t="s">
        <v>7203</v>
      </c>
      <c r="C80" s="2" t="s">
        <v>7204</v>
      </c>
      <c r="D80" s="3">
        <v>23.15</v>
      </c>
      <c r="E80" s="3">
        <v>51.8</v>
      </c>
      <c r="F80" s="3">
        <v>13.2</v>
      </c>
      <c r="H80" s="3">
        <v>12</v>
      </c>
      <c r="I80" s="3">
        <v>1.665</v>
      </c>
      <c r="J80" s="3">
        <v>1.365</v>
      </c>
      <c r="K80" s="3">
        <v>6.01</v>
      </c>
    </row>
    <row r="81" spans="2:11" x14ac:dyDescent="0.25">
      <c r="B81" s="2" t="s">
        <v>7205</v>
      </c>
      <c r="C81" s="2" t="s">
        <v>7206</v>
      </c>
      <c r="D81" s="3">
        <v>13.21</v>
      </c>
      <c r="E81" s="3">
        <v>71.97</v>
      </c>
      <c r="F81" s="3">
        <v>10.7</v>
      </c>
      <c r="G81" s="3">
        <v>0.41</v>
      </c>
      <c r="H81" s="3">
        <v>2</v>
      </c>
      <c r="I81" s="3">
        <v>0.43</v>
      </c>
      <c r="J81" s="3">
        <v>0.28299999999999997</v>
      </c>
      <c r="K81" s="3">
        <v>1.167</v>
      </c>
    </row>
    <row r="82" spans="2:11" x14ac:dyDescent="0.25">
      <c r="B82" s="2" t="s">
        <v>7207</v>
      </c>
      <c r="C82" s="2" t="s">
        <v>7208</v>
      </c>
      <c r="D82" s="3">
        <v>10.33</v>
      </c>
      <c r="E82" s="3">
        <v>76.31</v>
      </c>
      <c r="F82" s="3">
        <v>2.7</v>
      </c>
      <c r="G82" s="3">
        <v>0.27</v>
      </c>
      <c r="H82" s="3">
        <v>2</v>
      </c>
      <c r="I82" s="3">
        <v>0.155</v>
      </c>
      <c r="J82" s="3">
        <v>8.6999999999999994E-2</v>
      </c>
      <c r="K82" s="3">
        <v>0.41299999999999998</v>
      </c>
    </row>
    <row r="83" spans="2:11" x14ac:dyDescent="0.25">
      <c r="B83" s="2" t="s">
        <v>7209</v>
      </c>
      <c r="C83" s="2" t="s">
        <v>7210</v>
      </c>
      <c r="D83" s="3">
        <v>9.89</v>
      </c>
      <c r="E83" s="3">
        <v>74.22</v>
      </c>
      <c r="F83" s="3">
        <v>2.7</v>
      </c>
      <c r="G83" s="3">
        <v>0.22</v>
      </c>
      <c r="H83" s="3">
        <v>1193</v>
      </c>
      <c r="I83" s="3">
        <v>0.154</v>
      </c>
      <c r="J83" s="3">
        <v>8.5999999999999993E-2</v>
      </c>
      <c r="K83" s="3">
        <v>0.41</v>
      </c>
    </row>
    <row r="84" spans="2:11" x14ac:dyDescent="0.25">
      <c r="B84" s="2" t="s">
        <v>7211</v>
      </c>
      <c r="C84" s="2" t="s">
        <v>7212</v>
      </c>
      <c r="D84" s="3">
        <v>11.98</v>
      </c>
      <c r="E84" s="3">
        <v>72.53</v>
      </c>
      <c r="F84" s="3">
        <v>2.4</v>
      </c>
      <c r="G84" s="3">
        <v>0.31</v>
      </c>
      <c r="H84" s="3">
        <v>2</v>
      </c>
      <c r="I84" s="3">
        <v>0.24399999999999999</v>
      </c>
      <c r="J84" s="3">
        <v>0.14000000000000001</v>
      </c>
      <c r="K84" s="3">
        <v>0.72699999999999998</v>
      </c>
    </row>
    <row r="85" spans="2:11" x14ac:dyDescent="0.25">
      <c r="B85" s="2" t="s">
        <v>7213</v>
      </c>
      <c r="C85" s="2" t="s">
        <v>7214</v>
      </c>
      <c r="D85" s="3">
        <v>8.1999999999999993</v>
      </c>
      <c r="E85" s="3">
        <v>78.03</v>
      </c>
      <c r="F85" s="3">
        <v>1.7</v>
      </c>
      <c r="G85" s="3">
        <v>0.31</v>
      </c>
      <c r="H85" s="3">
        <v>2</v>
      </c>
      <c r="I85" s="3">
        <v>0.127</v>
      </c>
      <c r="J85" s="3">
        <v>7.2999999999999995E-2</v>
      </c>
      <c r="K85" s="3">
        <v>0.379</v>
      </c>
    </row>
    <row r="86" spans="2:11" x14ac:dyDescent="0.25">
      <c r="B86" s="2" t="s">
        <v>7215</v>
      </c>
      <c r="C86" s="2" t="s">
        <v>7216</v>
      </c>
      <c r="D86" s="3">
        <v>9.66</v>
      </c>
      <c r="E86" s="3">
        <v>67.14</v>
      </c>
      <c r="H86" s="3">
        <v>677</v>
      </c>
      <c r="I86" s="3">
        <v>4.0999999999999996</v>
      </c>
      <c r="J86" s="3">
        <v>4.5410000000000004</v>
      </c>
      <c r="K86" s="3">
        <v>1.522</v>
      </c>
    </row>
    <row r="87" spans="2:11" x14ac:dyDescent="0.25">
      <c r="B87" s="2" t="s">
        <v>7217</v>
      </c>
      <c r="C87" s="2" t="s">
        <v>7218</v>
      </c>
      <c r="D87" s="3">
        <v>7.49</v>
      </c>
      <c r="E87" s="3">
        <v>42.53</v>
      </c>
      <c r="F87" s="3">
        <v>1.1000000000000001</v>
      </c>
      <c r="H87" s="3">
        <v>16</v>
      </c>
      <c r="I87" s="3">
        <v>0.20599999999999999</v>
      </c>
      <c r="J87" s="3">
        <v>0.151</v>
      </c>
      <c r="K87" s="3">
        <v>0.55700000000000005</v>
      </c>
    </row>
    <row r="88" spans="2:11" x14ac:dyDescent="0.25">
      <c r="B88" s="2" t="s">
        <v>7219</v>
      </c>
      <c r="C88" s="2" t="s">
        <v>7220</v>
      </c>
      <c r="D88" s="3">
        <v>14.73</v>
      </c>
      <c r="E88" s="3">
        <v>74.900000000000006</v>
      </c>
      <c r="F88" s="3">
        <v>6.2</v>
      </c>
      <c r="G88" s="3">
        <v>2.5</v>
      </c>
      <c r="H88" s="3">
        <v>7</v>
      </c>
      <c r="I88" s="3">
        <v>0.156</v>
      </c>
      <c r="J88" s="3">
        <v>0.159</v>
      </c>
      <c r="K88" s="3">
        <v>0.67600000000000005</v>
      </c>
    </row>
    <row r="89" spans="2:11" x14ac:dyDescent="0.25">
      <c r="B89" s="2" t="s">
        <v>7221</v>
      </c>
      <c r="C89" s="2" t="s">
        <v>7222</v>
      </c>
      <c r="D89" s="3">
        <v>3.99</v>
      </c>
      <c r="E89" s="3">
        <v>21.34</v>
      </c>
      <c r="F89" s="3">
        <v>1.8</v>
      </c>
      <c r="G89" s="3">
        <v>0.73</v>
      </c>
      <c r="H89" s="3">
        <v>3</v>
      </c>
      <c r="I89" s="3">
        <v>4.9000000000000002E-2</v>
      </c>
      <c r="J89" s="3">
        <v>0.05</v>
      </c>
      <c r="K89" s="3">
        <v>0.21299999999999999</v>
      </c>
    </row>
    <row r="90" spans="2:11" x14ac:dyDescent="0.25">
      <c r="B90" s="2" t="s">
        <v>7223</v>
      </c>
      <c r="C90" s="2" t="s">
        <v>7224</v>
      </c>
      <c r="D90" s="3">
        <v>7.23</v>
      </c>
      <c r="E90" s="3">
        <v>76.48</v>
      </c>
      <c r="F90" s="3">
        <v>4.5999999999999996</v>
      </c>
      <c r="G90" s="3">
        <v>0.66</v>
      </c>
      <c r="H90" s="3">
        <v>8</v>
      </c>
      <c r="I90" s="3">
        <v>0.55700000000000005</v>
      </c>
      <c r="J90" s="3">
        <v>1.008</v>
      </c>
      <c r="K90" s="3">
        <v>0.996</v>
      </c>
    </row>
    <row r="91" spans="2:11" x14ac:dyDescent="0.25">
      <c r="B91" s="2" t="s">
        <v>7225</v>
      </c>
      <c r="C91" s="2" t="s">
        <v>7226</v>
      </c>
      <c r="D91" s="3">
        <v>7.46</v>
      </c>
      <c r="E91" s="3">
        <v>79.260000000000005</v>
      </c>
      <c r="F91" s="3">
        <v>11</v>
      </c>
      <c r="H91" s="3">
        <v>3</v>
      </c>
      <c r="I91" s="3">
        <v>0.28999999999999998</v>
      </c>
      <c r="J91" s="3">
        <v>0.54300000000000004</v>
      </c>
      <c r="K91" s="3">
        <v>0.92400000000000004</v>
      </c>
    </row>
    <row r="92" spans="2:11" x14ac:dyDescent="0.25">
      <c r="B92" s="2" t="s">
        <v>7227</v>
      </c>
      <c r="C92" s="2" t="s">
        <v>7228</v>
      </c>
      <c r="D92" s="3">
        <v>2.63</v>
      </c>
      <c r="E92" s="3">
        <v>27.91</v>
      </c>
      <c r="F92" s="3">
        <v>4.8</v>
      </c>
      <c r="H92" s="3">
        <v>0</v>
      </c>
      <c r="I92" s="3">
        <v>0.10199999999999999</v>
      </c>
      <c r="J92" s="3">
        <v>0.191</v>
      </c>
      <c r="K92" s="3">
        <v>0.32500000000000001</v>
      </c>
    </row>
    <row r="93" spans="2:11" x14ac:dyDescent="0.25">
      <c r="B93" s="2" t="s">
        <v>7229</v>
      </c>
      <c r="C93" s="2" t="s">
        <v>7230</v>
      </c>
      <c r="D93" s="3">
        <v>11.31</v>
      </c>
      <c r="E93" s="3">
        <v>54.73</v>
      </c>
      <c r="H93" s="3">
        <v>26</v>
      </c>
      <c r="I93" s="3">
        <v>0.32800000000000001</v>
      </c>
      <c r="J93" s="3">
        <v>0.27100000000000002</v>
      </c>
      <c r="K93" s="3">
        <v>0.94199999999999995</v>
      </c>
    </row>
    <row r="94" spans="2:11" x14ac:dyDescent="0.25">
      <c r="B94" s="2" t="s">
        <v>7231</v>
      </c>
      <c r="C94" s="2" t="s">
        <v>7232</v>
      </c>
      <c r="D94" s="3">
        <v>5.15</v>
      </c>
      <c r="E94" s="3">
        <v>24.93</v>
      </c>
      <c r="H94" s="3">
        <v>6</v>
      </c>
      <c r="I94" s="3">
        <v>0.15</v>
      </c>
      <c r="J94" s="3">
        <v>0.124</v>
      </c>
      <c r="K94" s="3">
        <v>0.42899999999999999</v>
      </c>
    </row>
    <row r="95" spans="2:11" x14ac:dyDescent="0.25">
      <c r="B95" s="2" t="s">
        <v>7233</v>
      </c>
      <c r="C95" s="2" t="s">
        <v>7234</v>
      </c>
      <c r="D95" s="3">
        <v>11.26</v>
      </c>
      <c r="E95" s="3">
        <v>55.72</v>
      </c>
      <c r="H95" s="3">
        <v>27</v>
      </c>
      <c r="I95" s="3">
        <v>0.48299999999999998</v>
      </c>
      <c r="J95" s="3">
        <v>0.65900000000000003</v>
      </c>
      <c r="K95" s="3">
        <v>0.46700000000000003</v>
      </c>
    </row>
    <row r="96" spans="2:11" x14ac:dyDescent="0.25">
      <c r="B96" s="2" t="s">
        <v>7235</v>
      </c>
      <c r="C96" s="2" t="s">
        <v>7236</v>
      </c>
      <c r="D96" s="3">
        <v>5.0599999999999996</v>
      </c>
      <c r="E96" s="3">
        <v>25.04</v>
      </c>
      <c r="H96" s="3">
        <v>6</v>
      </c>
      <c r="I96" s="3">
        <v>0.217</v>
      </c>
      <c r="J96" s="3">
        <v>0.29599999999999999</v>
      </c>
      <c r="K96" s="3">
        <v>0.21</v>
      </c>
    </row>
    <row r="97" spans="2:11" x14ac:dyDescent="0.25">
      <c r="B97" s="2" t="s">
        <v>7237</v>
      </c>
      <c r="C97" s="2" t="s">
        <v>7238</v>
      </c>
      <c r="D97" s="3">
        <v>5.28</v>
      </c>
      <c r="E97" s="3">
        <v>23.54</v>
      </c>
      <c r="H97" s="3">
        <v>83</v>
      </c>
      <c r="I97" s="3">
        <v>0.40799999999999997</v>
      </c>
      <c r="J97" s="3">
        <v>0.50800000000000001</v>
      </c>
      <c r="K97" s="3">
        <v>0.52100000000000002</v>
      </c>
    </row>
    <row r="98" spans="2:11" x14ac:dyDescent="0.25">
      <c r="B98" s="2" t="s">
        <v>7239</v>
      </c>
      <c r="C98" s="2" t="s">
        <v>7240</v>
      </c>
      <c r="D98" s="3">
        <v>4.37</v>
      </c>
      <c r="E98" s="3">
        <v>25.12</v>
      </c>
      <c r="H98" s="3">
        <v>74</v>
      </c>
      <c r="I98" s="3">
        <v>0.14000000000000001</v>
      </c>
      <c r="J98" s="3">
        <v>0.187</v>
      </c>
      <c r="K98" s="3">
        <v>0.50800000000000001</v>
      </c>
    </row>
    <row r="99" spans="2:11" x14ac:dyDescent="0.25">
      <c r="B99" s="2" t="s">
        <v>7241</v>
      </c>
      <c r="C99" s="2" t="s">
        <v>7242</v>
      </c>
      <c r="D99" s="3">
        <v>13.14</v>
      </c>
      <c r="E99" s="3">
        <v>74.88</v>
      </c>
      <c r="F99" s="3">
        <v>4.3</v>
      </c>
      <c r="H99" s="3">
        <v>43</v>
      </c>
      <c r="I99" s="3">
        <v>0.15</v>
      </c>
      <c r="J99" s="3">
        <v>0.12</v>
      </c>
      <c r="K99" s="3">
        <v>0.42599999999999999</v>
      </c>
    </row>
    <row r="100" spans="2:11" x14ac:dyDescent="0.25">
      <c r="B100" s="2" t="s">
        <v>7243</v>
      </c>
      <c r="C100" s="2" t="s">
        <v>7244</v>
      </c>
      <c r="D100" s="3">
        <v>4.53</v>
      </c>
      <c r="E100" s="3">
        <v>26.61</v>
      </c>
      <c r="F100" s="3">
        <v>4.3</v>
      </c>
      <c r="G100" s="3">
        <v>1.1499999999999999</v>
      </c>
      <c r="H100" s="3">
        <v>6</v>
      </c>
      <c r="I100" s="3">
        <v>1.6E-2</v>
      </c>
      <c r="J100" s="3">
        <v>1.2E-2</v>
      </c>
      <c r="K100" s="3">
        <v>4.3999999999999997E-2</v>
      </c>
    </row>
    <row r="101" spans="2:11" x14ac:dyDescent="0.25">
      <c r="B101" s="2" t="s">
        <v>7245</v>
      </c>
      <c r="C101" s="2" t="s">
        <v>7246</v>
      </c>
      <c r="D101" s="3">
        <v>14.16</v>
      </c>
      <c r="E101" s="3">
        <v>71.27</v>
      </c>
      <c r="F101" s="3">
        <v>3.3</v>
      </c>
      <c r="G101" s="3">
        <v>1.88</v>
      </c>
      <c r="H101" s="3">
        <v>21</v>
      </c>
      <c r="I101" s="3">
        <v>1.18</v>
      </c>
      <c r="J101" s="3">
        <v>1.252</v>
      </c>
      <c r="K101" s="3">
        <v>1.331</v>
      </c>
    </row>
    <row r="102" spans="2:11" x14ac:dyDescent="0.25">
      <c r="B102" s="2" t="s">
        <v>7247</v>
      </c>
      <c r="C102" s="2" t="s">
        <v>7248</v>
      </c>
      <c r="D102" s="3">
        <v>4.54</v>
      </c>
      <c r="E102" s="3">
        <v>25.16</v>
      </c>
      <c r="F102" s="3">
        <v>1.2</v>
      </c>
      <c r="G102" s="3">
        <v>0.4</v>
      </c>
      <c r="H102" s="3">
        <v>5</v>
      </c>
      <c r="I102" s="3">
        <v>0.41899999999999998</v>
      </c>
      <c r="J102" s="3">
        <v>0.58099999999999996</v>
      </c>
      <c r="K102" s="3">
        <v>0.55200000000000005</v>
      </c>
    </row>
    <row r="103" spans="2:11" x14ac:dyDescent="0.25">
      <c r="B103" s="2" t="s">
        <v>7249</v>
      </c>
      <c r="C103" s="2" t="s">
        <v>7250</v>
      </c>
      <c r="D103" s="3">
        <v>14.61</v>
      </c>
      <c r="E103" s="3">
        <v>70.319999999999993</v>
      </c>
      <c r="F103" s="3">
        <v>6.8</v>
      </c>
      <c r="H103" s="3">
        <v>72</v>
      </c>
      <c r="I103" s="3">
        <v>1.0469999999999999</v>
      </c>
      <c r="J103" s="3">
        <v>1.43</v>
      </c>
      <c r="K103" s="3">
        <v>1.012</v>
      </c>
    </row>
    <row r="104" spans="2:11" x14ac:dyDescent="0.25">
      <c r="B104" s="2" t="s">
        <v>7251</v>
      </c>
      <c r="C104" s="2" t="s">
        <v>7252</v>
      </c>
      <c r="D104" s="3">
        <v>5.04</v>
      </c>
      <c r="E104" s="3">
        <v>24.25</v>
      </c>
      <c r="F104" s="3">
        <v>2.2999999999999998</v>
      </c>
      <c r="G104" s="3">
        <v>0.71</v>
      </c>
      <c r="H104" s="3">
        <v>12</v>
      </c>
      <c r="I104" s="3">
        <v>0.36099999999999999</v>
      </c>
      <c r="J104" s="3">
        <v>0.49299999999999999</v>
      </c>
      <c r="K104" s="3">
        <v>0.34899999999999998</v>
      </c>
    </row>
    <row r="105" spans="2:11" x14ac:dyDescent="0.25">
      <c r="B105" s="2" t="s">
        <v>7253</v>
      </c>
      <c r="C105" s="2" t="s">
        <v>7254</v>
      </c>
      <c r="D105" s="3">
        <v>8.11</v>
      </c>
      <c r="E105" s="3">
        <v>72.8</v>
      </c>
      <c r="F105" s="3">
        <v>3.7</v>
      </c>
      <c r="G105" s="3">
        <v>5.71</v>
      </c>
      <c r="H105" s="3">
        <v>1174</v>
      </c>
      <c r="I105" s="3">
        <v>2.2290000000000001</v>
      </c>
      <c r="J105" s="3">
        <v>8.9290000000000003</v>
      </c>
      <c r="K105" s="3">
        <v>3.5710000000000002</v>
      </c>
    </row>
    <row r="106" spans="2:11" x14ac:dyDescent="0.25">
      <c r="B106" s="2" t="s">
        <v>7255</v>
      </c>
      <c r="C106" s="2" t="s">
        <v>7256</v>
      </c>
      <c r="D106" s="3">
        <v>14.38</v>
      </c>
      <c r="E106" s="3">
        <v>74.62</v>
      </c>
      <c r="H106" s="3">
        <v>792</v>
      </c>
      <c r="I106" s="3">
        <v>0.13600000000000001</v>
      </c>
      <c r="J106" s="3">
        <v>0.185</v>
      </c>
      <c r="K106" s="3">
        <v>0.22</v>
      </c>
    </row>
    <row r="107" spans="2:11" x14ac:dyDescent="0.25">
      <c r="B107" s="2" t="s">
        <v>7257</v>
      </c>
      <c r="C107" s="2" t="s">
        <v>7258</v>
      </c>
      <c r="D107" s="3">
        <v>5.0599999999999996</v>
      </c>
      <c r="E107" s="3">
        <v>21.44</v>
      </c>
      <c r="H107" s="3">
        <v>60</v>
      </c>
      <c r="I107" s="3">
        <v>1.9E-2</v>
      </c>
      <c r="J107" s="3">
        <v>2.5999999999999999E-2</v>
      </c>
      <c r="K107" s="3">
        <v>3.1E-2</v>
      </c>
    </row>
    <row r="108" spans="2:11" x14ac:dyDescent="0.25">
      <c r="B108" s="2" t="s">
        <v>7259</v>
      </c>
      <c r="C108" s="2" t="s">
        <v>7260</v>
      </c>
      <c r="D108" s="3">
        <v>11.35</v>
      </c>
      <c r="E108" s="3">
        <v>74.099999999999994</v>
      </c>
      <c r="F108" s="3">
        <v>4.3</v>
      </c>
      <c r="H108" s="3">
        <v>1840</v>
      </c>
      <c r="I108" s="3">
        <v>0.115</v>
      </c>
      <c r="J108" s="3">
        <v>9.5000000000000001E-2</v>
      </c>
      <c r="K108" s="3">
        <v>0.33</v>
      </c>
    </row>
    <row r="109" spans="2:11" x14ac:dyDescent="0.25">
      <c r="B109" s="2" t="s">
        <v>7261</v>
      </c>
      <c r="C109" s="2" t="s">
        <v>7262</v>
      </c>
      <c r="D109" s="3">
        <v>4</v>
      </c>
      <c r="E109" s="3">
        <v>27.54</v>
      </c>
      <c r="H109" s="3">
        <v>161</v>
      </c>
      <c r="I109" s="3">
        <v>2.5000000000000001E-2</v>
      </c>
      <c r="J109" s="3">
        <v>2.1000000000000001E-2</v>
      </c>
      <c r="K109" s="3">
        <v>7.2999999999999995E-2</v>
      </c>
    </row>
    <row r="110" spans="2:11" x14ac:dyDescent="0.25">
      <c r="B110" s="2" t="s">
        <v>7263</v>
      </c>
      <c r="C110" s="2" t="s">
        <v>7264</v>
      </c>
      <c r="D110" s="3">
        <v>10.33</v>
      </c>
      <c r="E110" s="3">
        <v>51.9</v>
      </c>
      <c r="F110" s="3">
        <v>1.9</v>
      </c>
      <c r="G110" s="3">
        <v>0.25</v>
      </c>
      <c r="H110" s="3">
        <v>378</v>
      </c>
      <c r="I110" s="3">
        <v>4.931</v>
      </c>
      <c r="J110" s="3">
        <v>7.617</v>
      </c>
      <c r="K110" s="3">
        <v>16.949000000000002</v>
      </c>
    </row>
    <row r="111" spans="2:11" x14ac:dyDescent="0.25">
      <c r="B111" s="2" t="s">
        <v>7265</v>
      </c>
      <c r="C111" s="2" t="s">
        <v>7266</v>
      </c>
      <c r="D111" s="3">
        <v>13.04</v>
      </c>
      <c r="E111" s="3">
        <v>74.67</v>
      </c>
      <c r="F111" s="3">
        <v>3.2</v>
      </c>
      <c r="G111" s="3">
        <v>2.67</v>
      </c>
      <c r="H111" s="3">
        <v>6</v>
      </c>
      <c r="I111" s="3">
        <v>0.27700000000000002</v>
      </c>
      <c r="J111" s="3">
        <v>0.17100000000000001</v>
      </c>
      <c r="K111" s="3">
        <v>0.56399999999999995</v>
      </c>
    </row>
    <row r="112" spans="2:11" x14ac:dyDescent="0.25">
      <c r="B112" s="2" t="s">
        <v>7267</v>
      </c>
      <c r="C112" s="2" t="s">
        <v>7268</v>
      </c>
      <c r="D112" s="3">
        <v>5.8</v>
      </c>
      <c r="E112" s="3">
        <v>30.86</v>
      </c>
      <c r="F112" s="3">
        <v>1.8</v>
      </c>
      <c r="G112" s="3">
        <v>0.56000000000000005</v>
      </c>
      <c r="H112" s="3">
        <v>1</v>
      </c>
      <c r="I112" s="3">
        <v>0.17599999999999999</v>
      </c>
      <c r="J112" s="3">
        <v>0.13100000000000001</v>
      </c>
      <c r="K112" s="3">
        <v>0.32600000000000001</v>
      </c>
    </row>
    <row r="113" spans="2:11" x14ac:dyDescent="0.25">
      <c r="B113" s="2" t="s">
        <v>7269</v>
      </c>
      <c r="C113" s="2" t="s">
        <v>7270</v>
      </c>
      <c r="D113" s="3">
        <v>13.87</v>
      </c>
      <c r="E113" s="3">
        <v>73.37</v>
      </c>
      <c r="F113" s="3">
        <v>9.1999999999999993</v>
      </c>
      <c r="G113" s="3">
        <v>2.74</v>
      </c>
      <c r="H113" s="3">
        <v>6</v>
      </c>
      <c r="I113" s="3">
        <v>0.42799999999999999</v>
      </c>
      <c r="J113" s="3">
        <v>0.36099999999999999</v>
      </c>
      <c r="K113" s="3">
        <v>1.1359999999999999</v>
      </c>
    </row>
    <row r="114" spans="2:11" x14ac:dyDescent="0.25">
      <c r="B114" s="2" t="s">
        <v>7271</v>
      </c>
      <c r="C114" s="2" t="s">
        <v>7272</v>
      </c>
      <c r="D114" s="3">
        <v>5.99</v>
      </c>
      <c r="E114" s="3">
        <v>30.07</v>
      </c>
      <c r="F114" s="3">
        <v>3.9</v>
      </c>
      <c r="G114" s="3">
        <v>0.75</v>
      </c>
      <c r="H114" s="3">
        <v>4</v>
      </c>
      <c r="I114" s="3">
        <v>0.24299999999999999</v>
      </c>
      <c r="J114" s="3">
        <v>0.17599999999999999</v>
      </c>
      <c r="K114" s="3">
        <v>0.57399999999999995</v>
      </c>
    </row>
    <row r="115" spans="2:11" x14ac:dyDescent="0.25">
      <c r="B115" s="2" t="s">
        <v>7273</v>
      </c>
      <c r="C115" s="2" t="s">
        <v>7274</v>
      </c>
      <c r="D115" s="3">
        <v>13.35</v>
      </c>
      <c r="E115" s="3">
        <v>74.81</v>
      </c>
      <c r="F115" s="3">
        <v>10.6</v>
      </c>
      <c r="G115" s="3">
        <v>2.72</v>
      </c>
      <c r="H115" s="3">
        <v>36</v>
      </c>
      <c r="I115" s="3">
        <v>0.22600000000000001</v>
      </c>
      <c r="J115" s="3">
        <v>0.18099999999999999</v>
      </c>
      <c r="K115" s="3">
        <v>0.64100000000000001</v>
      </c>
    </row>
    <row r="116" spans="2:11" x14ac:dyDescent="0.25">
      <c r="B116" s="2" t="s">
        <v>7275</v>
      </c>
      <c r="C116" s="2" t="s">
        <v>7276</v>
      </c>
      <c r="D116" s="3">
        <v>4.58</v>
      </c>
      <c r="E116" s="3">
        <v>26.15</v>
      </c>
      <c r="H116" s="3">
        <v>14</v>
      </c>
      <c r="I116" s="3">
        <v>9.0999999999999998E-2</v>
      </c>
      <c r="J116" s="3">
        <v>7.1999999999999995E-2</v>
      </c>
      <c r="K116" s="3">
        <v>0.25700000000000001</v>
      </c>
    </row>
    <row r="117" spans="2:11" x14ac:dyDescent="0.25">
      <c r="B117" s="2" t="s">
        <v>7277</v>
      </c>
      <c r="C117" s="2" t="s">
        <v>7278</v>
      </c>
      <c r="D117" s="3">
        <v>11.98</v>
      </c>
      <c r="E117" s="3">
        <v>72.53</v>
      </c>
      <c r="F117" s="3">
        <v>2.4</v>
      </c>
      <c r="G117" s="3">
        <v>0.31</v>
      </c>
      <c r="H117" s="3">
        <v>2</v>
      </c>
      <c r="I117" s="3">
        <v>0.24399999999999999</v>
      </c>
      <c r="J117" s="3">
        <v>0.14000000000000001</v>
      </c>
      <c r="K117" s="3">
        <v>0.72699999999999998</v>
      </c>
    </row>
    <row r="118" spans="2:11" x14ac:dyDescent="0.25">
      <c r="B118" s="2" t="s">
        <v>7279</v>
      </c>
      <c r="C118" s="2" t="s">
        <v>7280</v>
      </c>
      <c r="D118" s="3">
        <v>10.5</v>
      </c>
      <c r="E118" s="3">
        <v>74.52</v>
      </c>
      <c r="F118" s="3">
        <v>10.1</v>
      </c>
      <c r="G118" s="3">
        <v>0.8</v>
      </c>
      <c r="H118" s="3">
        <v>4</v>
      </c>
      <c r="I118" s="3">
        <v>0.33500000000000002</v>
      </c>
      <c r="J118" s="3">
        <v>0.20499999999999999</v>
      </c>
      <c r="K118" s="3">
        <v>0.77100000000000002</v>
      </c>
    </row>
    <row r="119" spans="2:11" x14ac:dyDescent="0.25">
      <c r="B119" s="2" t="s">
        <v>7281</v>
      </c>
      <c r="C119" s="2" t="s">
        <v>7282</v>
      </c>
      <c r="D119" s="3">
        <v>10.28</v>
      </c>
      <c r="E119" s="3">
        <v>78.3</v>
      </c>
      <c r="F119" s="3">
        <v>7.1</v>
      </c>
      <c r="G119" s="3">
        <v>0.8</v>
      </c>
      <c r="H119" s="3">
        <v>11</v>
      </c>
      <c r="I119" s="3">
        <v>0.38600000000000001</v>
      </c>
      <c r="J119" s="3">
        <v>0.254</v>
      </c>
      <c r="K119" s="3">
        <v>0.95299999999999996</v>
      </c>
    </row>
    <row r="120" spans="2:11" x14ac:dyDescent="0.25">
      <c r="B120" s="2" t="s">
        <v>7283</v>
      </c>
      <c r="C120" s="2" t="s">
        <v>7284</v>
      </c>
      <c r="D120" s="3">
        <v>14.66</v>
      </c>
      <c r="E120" s="3">
        <v>65.7</v>
      </c>
      <c r="F120" s="3">
        <v>6.5</v>
      </c>
      <c r="G120" s="3">
        <v>0.8</v>
      </c>
      <c r="H120" s="3">
        <v>19</v>
      </c>
      <c r="I120" s="3">
        <v>1.607</v>
      </c>
      <c r="J120" s="3">
        <v>2.8660000000000001</v>
      </c>
      <c r="K120" s="3">
        <v>3.3290000000000002</v>
      </c>
    </row>
    <row r="121" spans="2:11" x14ac:dyDescent="0.25">
      <c r="B121" s="2" t="s">
        <v>7285</v>
      </c>
      <c r="C121" s="2" t="s">
        <v>7286</v>
      </c>
      <c r="D121" s="3">
        <v>5.95</v>
      </c>
      <c r="E121" s="3">
        <v>80.180000000000007</v>
      </c>
      <c r="F121" s="3">
        <v>1.6</v>
      </c>
      <c r="G121" s="3">
        <v>0.12</v>
      </c>
      <c r="H121" s="3">
        <v>182</v>
      </c>
      <c r="I121" s="3">
        <v>0.153</v>
      </c>
      <c r="J121" s="3">
        <v>0.17499999999999999</v>
      </c>
      <c r="K121" s="3">
        <v>0.15</v>
      </c>
    </row>
    <row r="122" spans="2:11" x14ac:dyDescent="0.25">
      <c r="B122" s="2" t="s">
        <v>7287</v>
      </c>
      <c r="C122" s="2" t="s">
        <v>7288</v>
      </c>
      <c r="D122" s="3">
        <v>1.79</v>
      </c>
      <c r="E122" s="3">
        <v>24.01</v>
      </c>
      <c r="F122" s="3">
        <v>1</v>
      </c>
      <c r="G122" s="3">
        <v>0.03</v>
      </c>
      <c r="H122" s="3">
        <v>19</v>
      </c>
      <c r="I122" s="3">
        <v>2.3E-2</v>
      </c>
      <c r="J122" s="3">
        <v>2.5999999999999999E-2</v>
      </c>
      <c r="K122" s="3">
        <v>2.3E-2</v>
      </c>
    </row>
    <row r="123" spans="2:11" x14ac:dyDescent="0.25">
      <c r="B123" s="2" t="s">
        <v>7289</v>
      </c>
      <c r="C123" s="2" t="s">
        <v>7290</v>
      </c>
      <c r="D123" s="3">
        <v>13.51</v>
      </c>
      <c r="E123" s="3">
        <v>73.099999999999994</v>
      </c>
      <c r="F123" s="3">
        <v>10.1</v>
      </c>
      <c r="G123" s="3">
        <v>2.6</v>
      </c>
      <c r="H123" s="3">
        <v>11</v>
      </c>
      <c r="I123" s="3">
        <v>0.35099999999999998</v>
      </c>
      <c r="J123" s="3">
        <v>0.28100000000000003</v>
      </c>
      <c r="K123" s="3">
        <v>0.92800000000000005</v>
      </c>
    </row>
    <row r="124" spans="2:11" x14ac:dyDescent="0.25">
      <c r="B124" s="2" t="s">
        <v>7291</v>
      </c>
      <c r="C124" s="2" t="s">
        <v>7292</v>
      </c>
      <c r="D124" s="3">
        <v>5.82</v>
      </c>
      <c r="E124" s="3">
        <v>31.51</v>
      </c>
      <c r="F124" s="3">
        <v>4.5999999999999996</v>
      </c>
      <c r="G124" s="3">
        <v>0.85</v>
      </c>
      <c r="H124" s="3">
        <v>6</v>
      </c>
      <c r="I124" s="3">
        <v>0.23899999999999999</v>
      </c>
      <c r="J124" s="3">
        <v>0.17100000000000001</v>
      </c>
      <c r="K124" s="3">
        <v>0.58399999999999996</v>
      </c>
    </row>
    <row r="125" spans="2:11" x14ac:dyDescent="0.25">
      <c r="B125" s="2" t="s">
        <v>7293</v>
      </c>
      <c r="C125" s="2" t="s">
        <v>7294</v>
      </c>
      <c r="D125" s="3">
        <v>4.4000000000000004</v>
      </c>
      <c r="E125" s="3">
        <v>21.3</v>
      </c>
      <c r="F125" s="3">
        <v>2.8</v>
      </c>
      <c r="G125" s="3">
        <v>0.87</v>
      </c>
      <c r="H125" s="3">
        <v>7</v>
      </c>
      <c r="I125" s="3">
        <v>0.23100000000000001</v>
      </c>
      <c r="J125" s="3">
        <v>0.52800000000000002</v>
      </c>
      <c r="K125" s="3">
        <v>1.0780000000000001</v>
      </c>
    </row>
    <row r="126" spans="2:11" x14ac:dyDescent="0.25">
      <c r="B126" s="2" t="s">
        <v>7295</v>
      </c>
      <c r="C126" s="2" t="s">
        <v>7296</v>
      </c>
      <c r="D126" s="3">
        <v>14.54</v>
      </c>
      <c r="E126" s="3">
        <v>70.58</v>
      </c>
      <c r="F126" s="3">
        <v>11.1</v>
      </c>
      <c r="G126" s="3">
        <v>7.84</v>
      </c>
      <c r="H126" s="3">
        <v>5</v>
      </c>
      <c r="I126" s="3">
        <v>0.19600000000000001</v>
      </c>
      <c r="J126" s="3">
        <v>0.21299999999999999</v>
      </c>
      <c r="K126" s="3">
        <v>0.621</v>
      </c>
    </row>
    <row r="127" spans="2:11" x14ac:dyDescent="0.25">
      <c r="B127" s="2" t="s">
        <v>7297</v>
      </c>
      <c r="C127" s="2" t="s">
        <v>7298</v>
      </c>
      <c r="D127" s="3">
        <v>5.71</v>
      </c>
      <c r="E127" s="3">
        <v>27.6</v>
      </c>
      <c r="F127" s="3">
        <v>4.3</v>
      </c>
      <c r="G127" s="3">
        <v>3.07</v>
      </c>
      <c r="H127" s="3">
        <v>8</v>
      </c>
      <c r="I127" s="3">
        <v>7.6999999999999999E-2</v>
      </c>
      <c r="J127" s="3">
        <v>8.4000000000000005E-2</v>
      </c>
      <c r="K127" s="3">
        <v>0.24299999999999999</v>
      </c>
    </row>
    <row r="128" spans="2:11" x14ac:dyDescent="0.25">
      <c r="B128" s="2" t="s">
        <v>7299</v>
      </c>
      <c r="C128" s="2" t="s">
        <v>7300</v>
      </c>
      <c r="D128" s="3">
        <v>14.57</v>
      </c>
      <c r="E128" s="3">
        <v>70.19</v>
      </c>
      <c r="F128" s="3">
        <v>10.7</v>
      </c>
      <c r="G128" s="3">
        <v>6.82</v>
      </c>
      <c r="H128" s="3">
        <v>8</v>
      </c>
      <c r="I128" s="3">
        <v>0.40600000000000003</v>
      </c>
      <c r="J128" s="3">
        <v>0.44500000000000001</v>
      </c>
      <c r="K128" s="3">
        <v>1.258</v>
      </c>
    </row>
    <row r="129" spans="2:11" x14ac:dyDescent="0.25">
      <c r="B129" s="2" t="s">
        <v>7301</v>
      </c>
      <c r="C129" s="2" t="s">
        <v>7302</v>
      </c>
      <c r="D129" s="3">
        <v>5.5</v>
      </c>
      <c r="E129" s="3">
        <v>26.44</v>
      </c>
      <c r="F129" s="3">
        <v>3.9</v>
      </c>
      <c r="H129" s="3">
        <v>5</v>
      </c>
    </row>
    <row r="130" spans="2:11" x14ac:dyDescent="0.25">
      <c r="B130" s="2" t="s">
        <v>7303</v>
      </c>
      <c r="C130" s="2" t="s">
        <v>7304</v>
      </c>
      <c r="D130" s="3">
        <v>13.3</v>
      </c>
      <c r="E130" s="3">
        <v>73.13</v>
      </c>
      <c r="F130" s="3">
        <v>8</v>
      </c>
      <c r="G130" s="3">
        <v>1.84</v>
      </c>
      <c r="H130" s="3">
        <v>12</v>
      </c>
      <c r="I130" s="3">
        <v>0.44900000000000001</v>
      </c>
      <c r="J130" s="3">
        <v>0.58899999999999997</v>
      </c>
      <c r="K130" s="3">
        <v>1.071</v>
      </c>
    </row>
    <row r="131" spans="2:11" x14ac:dyDescent="0.25">
      <c r="B131" s="2" t="s">
        <v>7305</v>
      </c>
      <c r="C131" s="2" t="s">
        <v>7306</v>
      </c>
      <c r="D131" s="3">
        <v>3.87</v>
      </c>
      <c r="E131" s="3">
        <v>19.86</v>
      </c>
      <c r="F131" s="3">
        <v>2.8</v>
      </c>
      <c r="H131" s="3">
        <v>8</v>
      </c>
    </row>
    <row r="132" spans="2:11" x14ac:dyDescent="0.25">
      <c r="B132" s="2" t="s">
        <v>7307</v>
      </c>
      <c r="C132" s="2" t="s">
        <v>7308</v>
      </c>
      <c r="D132" s="3">
        <v>4.54</v>
      </c>
      <c r="E132" s="3">
        <v>25.16</v>
      </c>
      <c r="F132" s="3">
        <v>1.2</v>
      </c>
      <c r="G132" s="3">
        <v>0.4</v>
      </c>
      <c r="H132" s="3">
        <v>165</v>
      </c>
      <c r="I132" s="3">
        <v>0.41899999999999998</v>
      </c>
      <c r="J132" s="3">
        <v>0.58099999999999996</v>
      </c>
      <c r="K132" s="3">
        <v>0.55200000000000005</v>
      </c>
    </row>
    <row r="133" spans="2:11" x14ac:dyDescent="0.25">
      <c r="B133" s="2" t="s">
        <v>7309</v>
      </c>
      <c r="C133" s="2" t="s">
        <v>7310</v>
      </c>
      <c r="D133" s="3">
        <v>9.42</v>
      </c>
      <c r="E133" s="3">
        <v>74.260000000000005</v>
      </c>
      <c r="H133" s="3">
        <v>35</v>
      </c>
      <c r="I133" s="3">
        <v>0.66700000000000004</v>
      </c>
      <c r="J133" s="3">
        <v>1.2509999999999999</v>
      </c>
      <c r="K133" s="3">
        <v>2.1629999999999998</v>
      </c>
    </row>
    <row r="134" spans="2:11" x14ac:dyDescent="0.25">
      <c r="B134" s="2" t="s">
        <v>7311</v>
      </c>
      <c r="C134" s="2" t="s">
        <v>7312</v>
      </c>
      <c r="D134" s="3">
        <v>8.75</v>
      </c>
      <c r="E134" s="3">
        <v>73.89</v>
      </c>
      <c r="F134" s="3">
        <v>8.4</v>
      </c>
      <c r="H134" s="3">
        <v>5</v>
      </c>
    </row>
    <row r="135" spans="2:11" x14ac:dyDescent="0.25">
      <c r="B135" s="2" t="s">
        <v>7313</v>
      </c>
      <c r="C135" s="2" t="s">
        <v>7314</v>
      </c>
      <c r="D135" s="3">
        <v>6.93</v>
      </c>
      <c r="E135" s="3">
        <v>76.849999999999994</v>
      </c>
      <c r="F135" s="3">
        <v>7.3</v>
      </c>
      <c r="G135" s="3">
        <v>0.64</v>
      </c>
      <c r="H135" s="3">
        <v>5</v>
      </c>
      <c r="I135" s="3">
        <v>0.54300000000000004</v>
      </c>
      <c r="J135" s="3">
        <v>1.018</v>
      </c>
      <c r="K135" s="3">
        <v>1.7589999999999999</v>
      </c>
    </row>
    <row r="136" spans="2:11" x14ac:dyDescent="0.25">
      <c r="B136" s="2" t="s">
        <v>7315</v>
      </c>
      <c r="C136" s="2" t="s">
        <v>7316</v>
      </c>
      <c r="D136" s="3">
        <v>8.4600000000000009</v>
      </c>
      <c r="E136" s="3">
        <v>76.59</v>
      </c>
      <c r="F136" s="3">
        <v>6.4</v>
      </c>
      <c r="H136" s="3">
        <v>5</v>
      </c>
      <c r="I136" s="3">
        <v>0.53200000000000003</v>
      </c>
      <c r="J136" s="3">
        <v>0.997</v>
      </c>
      <c r="K136" s="3">
        <v>1.724</v>
      </c>
    </row>
    <row r="137" spans="2:11" x14ac:dyDescent="0.25">
      <c r="B137" s="2" t="s">
        <v>7317</v>
      </c>
      <c r="C137" s="2" t="s">
        <v>7318</v>
      </c>
      <c r="D137" s="3">
        <v>8.1199999999999992</v>
      </c>
      <c r="E137" s="3">
        <v>76.89</v>
      </c>
      <c r="F137" s="3">
        <v>7.3</v>
      </c>
      <c r="G137" s="3">
        <v>0.64</v>
      </c>
      <c r="H137" s="3">
        <v>35</v>
      </c>
      <c r="I137" s="3">
        <v>0.505</v>
      </c>
      <c r="J137" s="3">
        <v>0.94799999999999995</v>
      </c>
      <c r="K137" s="3">
        <v>1.6379999999999999</v>
      </c>
    </row>
    <row r="138" spans="2:11" x14ac:dyDescent="0.25">
      <c r="B138" s="2" t="s">
        <v>7319</v>
      </c>
      <c r="C138" s="2" t="s">
        <v>7320</v>
      </c>
      <c r="D138" s="3">
        <v>5.8</v>
      </c>
      <c r="E138" s="3">
        <v>30.59</v>
      </c>
      <c r="F138" s="3">
        <v>1.8</v>
      </c>
      <c r="G138" s="3">
        <v>0.56000000000000005</v>
      </c>
      <c r="H138" s="3">
        <v>131</v>
      </c>
      <c r="I138" s="3">
        <v>0.17599999999999999</v>
      </c>
      <c r="J138" s="3">
        <v>0.13100000000000001</v>
      </c>
      <c r="K138" s="3">
        <v>0.32600000000000001</v>
      </c>
    </row>
    <row r="139" spans="2:11" x14ac:dyDescent="0.25">
      <c r="B139" s="2" t="s">
        <v>7321</v>
      </c>
      <c r="C139" s="2" t="s">
        <v>7322</v>
      </c>
      <c r="D139" s="3">
        <v>7.11</v>
      </c>
      <c r="E139" s="3">
        <v>79.45</v>
      </c>
      <c r="F139" s="3">
        <v>3.9</v>
      </c>
      <c r="G139" s="3">
        <v>1.61</v>
      </c>
      <c r="H139" s="3">
        <v>7</v>
      </c>
      <c r="I139" s="3">
        <v>0.22</v>
      </c>
      <c r="J139" s="3">
        <v>0.39</v>
      </c>
      <c r="K139" s="3">
        <v>0.82799999999999996</v>
      </c>
    </row>
    <row r="140" spans="2:11" x14ac:dyDescent="0.25">
      <c r="B140" s="2" t="s">
        <v>7323</v>
      </c>
      <c r="C140" s="2" t="s">
        <v>7324</v>
      </c>
      <c r="D140" s="3">
        <v>8.2799999999999994</v>
      </c>
      <c r="E140" s="3">
        <v>70.28</v>
      </c>
      <c r="F140" s="3">
        <v>6.7</v>
      </c>
      <c r="H140" s="3">
        <v>1247</v>
      </c>
      <c r="I140" s="3">
        <v>0.47799999999999998</v>
      </c>
      <c r="J140" s="3">
        <v>0.89700000000000002</v>
      </c>
      <c r="K140" s="3">
        <v>1.55</v>
      </c>
    </row>
    <row r="141" spans="2:11" x14ac:dyDescent="0.25">
      <c r="B141" s="2" t="s">
        <v>7325</v>
      </c>
      <c r="C141" s="2" t="s">
        <v>7326</v>
      </c>
      <c r="D141" s="3">
        <v>8.41</v>
      </c>
      <c r="E141" s="3">
        <v>73.430000000000007</v>
      </c>
      <c r="F141" s="3">
        <v>6.3</v>
      </c>
      <c r="H141" s="3">
        <v>1319</v>
      </c>
      <c r="I141" s="3">
        <v>0.4</v>
      </c>
      <c r="J141" s="3">
        <v>0.751</v>
      </c>
      <c r="K141" s="3">
        <v>1.2969999999999999</v>
      </c>
    </row>
    <row r="142" spans="2:11" x14ac:dyDescent="0.25">
      <c r="B142" s="2" t="s">
        <v>7327</v>
      </c>
      <c r="C142" s="2" t="s">
        <v>7328</v>
      </c>
      <c r="D142" s="3">
        <v>8.41</v>
      </c>
      <c r="E142" s="3">
        <v>74.790000000000006</v>
      </c>
      <c r="F142" s="3">
        <v>7.1</v>
      </c>
      <c r="H142" s="3">
        <v>1348</v>
      </c>
      <c r="I142" s="3">
        <v>0.23400000000000001</v>
      </c>
      <c r="J142" s="3">
        <v>0.42899999999999999</v>
      </c>
      <c r="K142" s="3">
        <v>0.73899999999999999</v>
      </c>
    </row>
    <row r="143" spans="2:11" x14ac:dyDescent="0.25">
      <c r="B143" s="2" t="s">
        <v>7329</v>
      </c>
      <c r="C143" s="2" t="s">
        <v>7330</v>
      </c>
      <c r="D143" s="3">
        <v>1.48</v>
      </c>
      <c r="E143" s="3">
        <v>14.26</v>
      </c>
      <c r="F143" s="3">
        <v>2.5</v>
      </c>
      <c r="H143" s="3">
        <v>345</v>
      </c>
      <c r="I143" s="3">
        <v>0.123</v>
      </c>
      <c r="J143" s="3">
        <v>0.23100000000000001</v>
      </c>
      <c r="K143" s="3">
        <v>0.39900000000000002</v>
      </c>
    </row>
    <row r="144" spans="2:11" x14ac:dyDescent="0.25">
      <c r="B144" s="2" t="s">
        <v>7331</v>
      </c>
      <c r="C144" s="2" t="s">
        <v>7332</v>
      </c>
      <c r="D144" s="3">
        <v>2.69</v>
      </c>
      <c r="E144" s="3">
        <v>28.17</v>
      </c>
      <c r="F144" s="3">
        <v>0.4</v>
      </c>
      <c r="G144" s="3">
        <v>0.05</v>
      </c>
      <c r="H144" s="3">
        <v>382</v>
      </c>
      <c r="I144" s="3">
        <v>7.6999999999999999E-2</v>
      </c>
      <c r="J144" s="3">
        <v>8.7999999999999995E-2</v>
      </c>
      <c r="K144" s="3">
        <v>7.5999999999999998E-2</v>
      </c>
    </row>
    <row r="145" spans="2:11" x14ac:dyDescent="0.25">
      <c r="B145" s="2" t="s">
        <v>7333</v>
      </c>
      <c r="C145" s="2" t="s">
        <v>7334</v>
      </c>
      <c r="D145" s="3">
        <v>10.33</v>
      </c>
      <c r="E145" s="3">
        <v>76.31</v>
      </c>
      <c r="F145" s="3">
        <v>2.7</v>
      </c>
      <c r="H145" s="3">
        <v>2</v>
      </c>
      <c r="I145" s="3">
        <v>0.155</v>
      </c>
      <c r="J145" s="3">
        <v>8.6999999999999994E-2</v>
      </c>
      <c r="K145" s="3">
        <v>0.41299999999999998</v>
      </c>
    </row>
    <row r="146" spans="2:11" x14ac:dyDescent="0.25">
      <c r="B146" s="2" t="s">
        <v>7335</v>
      </c>
      <c r="C146" s="2" t="s">
        <v>7336</v>
      </c>
      <c r="D146" s="3">
        <v>14.16</v>
      </c>
      <c r="E146" s="3">
        <v>71.27</v>
      </c>
      <c r="F146" s="3">
        <v>3.3</v>
      </c>
      <c r="G146" s="3">
        <v>1.88</v>
      </c>
      <c r="H146" s="3">
        <v>21</v>
      </c>
      <c r="I146" s="3">
        <v>1.18</v>
      </c>
      <c r="J146" s="3">
        <v>1.252</v>
      </c>
      <c r="K146" s="3">
        <v>1.331</v>
      </c>
    </row>
    <row r="147" spans="2:11" x14ac:dyDescent="0.25">
      <c r="B147" s="2" t="s">
        <v>7337</v>
      </c>
      <c r="C147" s="2" t="s">
        <v>7338</v>
      </c>
      <c r="D147" s="3">
        <v>4.54</v>
      </c>
      <c r="E147" s="3">
        <v>25.16</v>
      </c>
      <c r="F147" s="3">
        <v>1.2</v>
      </c>
      <c r="G147" s="3">
        <v>0.4</v>
      </c>
      <c r="H147" s="3">
        <v>5</v>
      </c>
      <c r="I147" s="3">
        <v>0.41899999999999998</v>
      </c>
      <c r="J147" s="3">
        <v>0.58099999999999996</v>
      </c>
      <c r="K147" s="3">
        <v>0.55200000000000005</v>
      </c>
    </row>
    <row r="148" spans="2:11" x14ac:dyDescent="0.25">
      <c r="B148" s="2" t="s">
        <v>7339</v>
      </c>
      <c r="C148" s="2" t="s">
        <v>7340</v>
      </c>
      <c r="D148" s="3">
        <v>13.04</v>
      </c>
      <c r="E148" s="3">
        <v>74.67</v>
      </c>
      <c r="F148" s="3">
        <v>3.2</v>
      </c>
      <c r="G148" s="3">
        <v>2.67</v>
      </c>
      <c r="H148" s="3">
        <v>6</v>
      </c>
      <c r="I148" s="3">
        <v>0.27700000000000002</v>
      </c>
      <c r="J148" s="3">
        <v>0.17100000000000001</v>
      </c>
      <c r="K148" s="3">
        <v>0.56399999999999995</v>
      </c>
    </row>
    <row r="149" spans="2:11" x14ac:dyDescent="0.25">
      <c r="B149" s="2" t="s">
        <v>7341</v>
      </c>
      <c r="C149" s="2" t="s">
        <v>7342</v>
      </c>
      <c r="D149" s="3">
        <v>5.8</v>
      </c>
      <c r="E149" s="3">
        <v>30.86</v>
      </c>
      <c r="F149" s="3">
        <v>1.8</v>
      </c>
      <c r="G149" s="3">
        <v>0.56000000000000005</v>
      </c>
      <c r="H149" s="3">
        <v>1</v>
      </c>
      <c r="I149" s="3">
        <v>0.17599999999999999</v>
      </c>
      <c r="J149" s="3">
        <v>0.13100000000000001</v>
      </c>
      <c r="K149" s="3">
        <v>0.32600000000000001</v>
      </c>
    </row>
    <row r="150" spans="2:11" x14ac:dyDescent="0.25">
      <c r="B150" s="2" t="s">
        <v>7343</v>
      </c>
      <c r="C150" s="2" t="s">
        <v>7344</v>
      </c>
      <c r="D150" s="3">
        <v>7.11</v>
      </c>
      <c r="E150" s="3">
        <v>79.45</v>
      </c>
      <c r="F150" s="3">
        <v>3.9</v>
      </c>
      <c r="G150" s="3">
        <v>1.61</v>
      </c>
      <c r="H150" s="3">
        <v>7</v>
      </c>
      <c r="I150" s="3">
        <v>0.22</v>
      </c>
      <c r="J150" s="3">
        <v>0.39</v>
      </c>
      <c r="K150" s="3">
        <v>0.82799999999999996</v>
      </c>
    </row>
    <row r="151" spans="2:11" x14ac:dyDescent="0.25">
      <c r="B151" s="2" t="s">
        <v>7345</v>
      </c>
      <c r="C151" s="2" t="s">
        <v>7346</v>
      </c>
      <c r="D151" s="3">
        <v>7.13</v>
      </c>
      <c r="E151" s="3">
        <v>79.95</v>
      </c>
      <c r="F151" s="3">
        <v>1.3</v>
      </c>
      <c r="G151" s="3">
        <v>0.12</v>
      </c>
      <c r="H151" s="3">
        <v>5</v>
      </c>
      <c r="I151" s="3">
        <v>0.18</v>
      </c>
      <c r="J151" s="3">
        <v>0.20599999999999999</v>
      </c>
      <c r="K151" s="3">
        <v>0.17699999999999999</v>
      </c>
    </row>
    <row r="152" spans="2:11" x14ac:dyDescent="0.25">
      <c r="B152" s="2" t="s">
        <v>7347</v>
      </c>
      <c r="C152" s="2" t="s">
        <v>7348</v>
      </c>
      <c r="D152" s="3">
        <v>2.69</v>
      </c>
      <c r="E152" s="3">
        <v>28.17</v>
      </c>
      <c r="F152" s="3">
        <v>0.4</v>
      </c>
      <c r="G152" s="3">
        <v>0.05</v>
      </c>
      <c r="H152" s="3">
        <v>1</v>
      </c>
      <c r="I152" s="3">
        <v>7.6999999999999999E-2</v>
      </c>
      <c r="J152" s="3">
        <v>8.7999999999999995E-2</v>
      </c>
      <c r="K152" s="3">
        <v>7.5999999999999998E-2</v>
      </c>
    </row>
    <row r="153" spans="2:11" x14ac:dyDescent="0.25">
      <c r="B153" s="2" t="s">
        <v>7349</v>
      </c>
      <c r="C153" s="2" t="s">
        <v>7350</v>
      </c>
      <c r="D153" s="3">
        <v>7.51</v>
      </c>
      <c r="E153" s="3">
        <v>80.89</v>
      </c>
      <c r="F153" s="3">
        <v>1.8</v>
      </c>
      <c r="G153" s="3">
        <v>0.33</v>
      </c>
      <c r="H153" s="3">
        <v>2</v>
      </c>
      <c r="I153" s="3">
        <v>0.29399999999999998</v>
      </c>
      <c r="J153" s="3">
        <v>0.25800000000000001</v>
      </c>
      <c r="K153" s="3">
        <v>0.32200000000000001</v>
      </c>
    </row>
    <row r="154" spans="2:11" x14ac:dyDescent="0.25">
      <c r="B154" s="2" t="s">
        <v>7351</v>
      </c>
      <c r="C154" s="2" t="s">
        <v>7352</v>
      </c>
      <c r="D154" s="3">
        <v>2.91</v>
      </c>
      <c r="E154" s="3">
        <v>26.05</v>
      </c>
      <c r="F154" s="3">
        <v>0.9</v>
      </c>
      <c r="G154" s="3">
        <v>0.11</v>
      </c>
      <c r="H154" s="3">
        <v>2</v>
      </c>
      <c r="I154" s="3">
        <v>7.3999999999999996E-2</v>
      </c>
      <c r="J154" s="3">
        <v>7.3999999999999996E-2</v>
      </c>
      <c r="K154" s="3">
        <v>9.0999999999999998E-2</v>
      </c>
    </row>
    <row r="155" spans="2:11" x14ac:dyDescent="0.25">
      <c r="B155" s="2" t="s">
        <v>7353</v>
      </c>
      <c r="C155" s="2" t="s">
        <v>7354</v>
      </c>
      <c r="D155" s="3">
        <v>6.61</v>
      </c>
      <c r="E155" s="3">
        <v>79.34</v>
      </c>
      <c r="H155" s="3">
        <v>1</v>
      </c>
      <c r="I155" s="3">
        <v>0.158</v>
      </c>
      <c r="J155" s="3">
        <v>0.18099999999999999</v>
      </c>
      <c r="K155" s="3">
        <v>0.155</v>
      </c>
    </row>
    <row r="156" spans="2:11" x14ac:dyDescent="0.25">
      <c r="B156" s="2" t="s">
        <v>7355</v>
      </c>
      <c r="C156" s="2" t="s">
        <v>7356</v>
      </c>
      <c r="D156" s="3">
        <v>2.38</v>
      </c>
      <c r="E156" s="3">
        <v>28.59</v>
      </c>
      <c r="H156" s="3">
        <v>0</v>
      </c>
      <c r="I156" s="3">
        <v>5.7000000000000002E-2</v>
      </c>
      <c r="J156" s="3">
        <v>6.5000000000000002E-2</v>
      </c>
      <c r="K156" s="3">
        <v>5.6000000000000001E-2</v>
      </c>
    </row>
    <row r="157" spans="2:11" x14ac:dyDescent="0.25">
      <c r="B157" s="2" t="s">
        <v>7357</v>
      </c>
      <c r="C157" s="2" t="s">
        <v>7358</v>
      </c>
      <c r="D157" s="3">
        <v>6.5</v>
      </c>
      <c r="E157" s="3">
        <v>79.150000000000006</v>
      </c>
      <c r="H157" s="3">
        <v>1</v>
      </c>
      <c r="I157" s="3">
        <v>0.14000000000000001</v>
      </c>
      <c r="J157" s="3">
        <v>0.161</v>
      </c>
      <c r="K157" s="3">
        <v>0.13800000000000001</v>
      </c>
    </row>
    <row r="158" spans="2:11" x14ac:dyDescent="0.25">
      <c r="B158" s="2" t="s">
        <v>7359</v>
      </c>
      <c r="C158" s="2" t="s">
        <v>7360</v>
      </c>
      <c r="D158" s="3">
        <v>2.36</v>
      </c>
      <c r="E158" s="3">
        <v>28.73</v>
      </c>
      <c r="H158" s="3">
        <v>0</v>
      </c>
      <c r="I158" s="3">
        <v>5.0999999999999997E-2</v>
      </c>
      <c r="J158" s="3">
        <v>5.8000000000000003E-2</v>
      </c>
      <c r="K158" s="3">
        <v>0.05</v>
      </c>
    </row>
    <row r="159" spans="2:11" x14ac:dyDescent="0.25">
      <c r="B159" s="2" t="s">
        <v>7361</v>
      </c>
      <c r="C159" s="2" t="s">
        <v>7362</v>
      </c>
      <c r="D159" s="3">
        <v>12.68</v>
      </c>
      <c r="E159" s="3">
        <v>72.83</v>
      </c>
      <c r="F159" s="3">
        <v>3.9</v>
      </c>
      <c r="H159" s="3">
        <v>1</v>
      </c>
      <c r="I159" s="3">
        <v>0.15</v>
      </c>
      <c r="J159" s="3">
        <v>0.124</v>
      </c>
      <c r="K159" s="3">
        <v>0.43</v>
      </c>
    </row>
    <row r="160" spans="2:11" x14ac:dyDescent="0.25">
      <c r="B160" s="2" t="s">
        <v>7363</v>
      </c>
      <c r="C160" s="2" t="s">
        <v>7364</v>
      </c>
      <c r="D160" s="3">
        <v>10.33</v>
      </c>
      <c r="E160" s="3">
        <v>76.31</v>
      </c>
      <c r="F160" s="3">
        <v>2.7</v>
      </c>
      <c r="G160" s="3">
        <v>0.27</v>
      </c>
      <c r="H160" s="3">
        <v>2</v>
      </c>
      <c r="I160" s="3">
        <v>0.155</v>
      </c>
      <c r="J160" s="3">
        <v>8.6999999999999994E-2</v>
      </c>
      <c r="K160" s="3">
        <v>0.41299999999999998</v>
      </c>
    </row>
    <row r="161" spans="2:11" x14ac:dyDescent="0.25">
      <c r="B161" s="2" t="s">
        <v>7365</v>
      </c>
      <c r="C161" s="2" t="s">
        <v>7366</v>
      </c>
      <c r="D161" s="3">
        <v>4.54</v>
      </c>
      <c r="E161" s="3">
        <v>25.16</v>
      </c>
      <c r="F161" s="3">
        <v>1.2</v>
      </c>
      <c r="G161" s="3">
        <v>0.4</v>
      </c>
      <c r="H161" s="3">
        <v>165</v>
      </c>
      <c r="I161" s="3">
        <v>0.41899999999999998</v>
      </c>
      <c r="J161" s="3">
        <v>0.58099999999999996</v>
      </c>
      <c r="K161" s="3">
        <v>0.55200000000000005</v>
      </c>
    </row>
    <row r="162" spans="2:11" x14ac:dyDescent="0.25">
      <c r="B162" s="2" t="s">
        <v>7367</v>
      </c>
      <c r="C162" s="2" t="s">
        <v>7368</v>
      </c>
      <c r="D162" s="3">
        <v>5.8</v>
      </c>
      <c r="E162" s="3">
        <v>30.59</v>
      </c>
      <c r="F162" s="3">
        <v>1.8</v>
      </c>
      <c r="G162" s="3">
        <v>0.56000000000000005</v>
      </c>
      <c r="H162" s="3">
        <v>131</v>
      </c>
      <c r="I162" s="3">
        <v>0.17599999999999999</v>
      </c>
      <c r="J162" s="3">
        <v>0.35099999999999998</v>
      </c>
      <c r="K162" s="3">
        <v>0.31900000000000001</v>
      </c>
    </row>
    <row r="163" spans="2:11" x14ac:dyDescent="0.25">
      <c r="B163" s="2" t="s">
        <v>7369</v>
      </c>
      <c r="C163" s="2" t="s">
        <v>7370</v>
      </c>
      <c r="D163" s="3">
        <v>7.11</v>
      </c>
      <c r="E163" s="3">
        <v>79.45</v>
      </c>
      <c r="F163" s="3">
        <v>3.9</v>
      </c>
      <c r="G163" s="3">
        <v>1.61</v>
      </c>
      <c r="H163" s="3">
        <v>7</v>
      </c>
      <c r="I163" s="3">
        <v>0.22</v>
      </c>
      <c r="J163" s="3">
        <v>0.39</v>
      </c>
      <c r="K163" s="3">
        <v>0.82799999999999996</v>
      </c>
    </row>
    <row r="164" spans="2:11" x14ac:dyDescent="0.25">
      <c r="B164" s="2" t="s">
        <v>7371</v>
      </c>
      <c r="C164" s="2" t="s">
        <v>7372</v>
      </c>
      <c r="D164" s="3">
        <v>8.86</v>
      </c>
      <c r="E164" s="3">
        <v>30.88</v>
      </c>
      <c r="F164" s="3">
        <v>2</v>
      </c>
      <c r="H164" s="3">
        <v>5</v>
      </c>
      <c r="I164" s="3">
        <v>3.2000000000000001E-2</v>
      </c>
      <c r="J164" s="3">
        <v>2.5999999999999999E-2</v>
      </c>
      <c r="K164" s="3">
        <v>9.5000000000000001E-2</v>
      </c>
    </row>
    <row r="165" spans="2:11" x14ac:dyDescent="0.25">
      <c r="B165" s="2" t="s">
        <v>7373</v>
      </c>
      <c r="C165" s="2" t="s">
        <v>7374</v>
      </c>
      <c r="D165" s="3">
        <v>2.69</v>
      </c>
      <c r="E165" s="3">
        <v>28.17</v>
      </c>
      <c r="F165" s="3">
        <v>0.4</v>
      </c>
      <c r="G165" s="3">
        <v>0.05</v>
      </c>
      <c r="H165" s="3">
        <v>382</v>
      </c>
      <c r="I165" s="3">
        <v>7.6999999999999999E-2</v>
      </c>
      <c r="J165" s="3">
        <v>8.7999999999999995E-2</v>
      </c>
      <c r="K165" s="3">
        <v>7.5999999999999998E-2</v>
      </c>
    </row>
    <row r="166" spans="2:11" x14ac:dyDescent="0.25">
      <c r="B166" s="2" t="s">
        <v>7375</v>
      </c>
      <c r="C166" s="2" t="s">
        <v>7376</v>
      </c>
      <c r="D166" s="3">
        <v>10.33</v>
      </c>
      <c r="E166" s="3">
        <v>76.31</v>
      </c>
      <c r="F166" s="3">
        <v>2.7</v>
      </c>
      <c r="G166" s="3">
        <v>0.27</v>
      </c>
      <c r="H166" s="3">
        <v>2</v>
      </c>
      <c r="I166" s="3">
        <v>0.155</v>
      </c>
      <c r="J166" s="3">
        <v>8.6999999999999994E-2</v>
      </c>
      <c r="K166" s="3">
        <v>0.41299999999999998</v>
      </c>
    </row>
    <row r="167" spans="2:11" x14ac:dyDescent="0.25">
      <c r="B167" s="2" t="s">
        <v>7377</v>
      </c>
      <c r="C167" s="2" t="s">
        <v>7378</v>
      </c>
      <c r="D167" s="3">
        <v>21.78</v>
      </c>
      <c r="E167" s="3">
        <v>65.650000000000006</v>
      </c>
      <c r="F167" s="3">
        <v>2.4</v>
      </c>
      <c r="H167" s="3">
        <v>8</v>
      </c>
      <c r="I167" s="3">
        <v>0.32800000000000001</v>
      </c>
      <c r="J167" s="3">
        <v>0.27100000000000002</v>
      </c>
      <c r="K167" s="3">
        <v>0.98599999999999999</v>
      </c>
    </row>
    <row r="168" spans="2:11" x14ac:dyDescent="0.25">
      <c r="B168" s="2" t="s">
        <v>7379</v>
      </c>
      <c r="C168" s="2" t="s">
        <v>7380</v>
      </c>
      <c r="D168" s="3">
        <v>8.89</v>
      </c>
      <c r="E168" s="3">
        <v>77.319999999999993</v>
      </c>
      <c r="G168" s="3">
        <v>0.54</v>
      </c>
      <c r="H168" s="3">
        <v>2</v>
      </c>
      <c r="I168" s="3">
        <v>0.34</v>
      </c>
      <c r="J168" s="3">
        <v>0.12</v>
      </c>
      <c r="K168" s="3">
        <v>0.60199999999999998</v>
      </c>
    </row>
    <row r="169" spans="2:11" x14ac:dyDescent="0.25">
      <c r="B169" s="2" t="s">
        <v>7381</v>
      </c>
      <c r="C169" s="2" t="s">
        <v>7382</v>
      </c>
      <c r="D169" s="3">
        <v>8.89</v>
      </c>
      <c r="E169" s="3">
        <v>77.319999999999993</v>
      </c>
      <c r="F169" s="3">
        <v>2.4</v>
      </c>
      <c r="G169" s="3">
        <v>0.54</v>
      </c>
      <c r="H169" s="3">
        <v>2</v>
      </c>
      <c r="I169" s="3">
        <v>0.34</v>
      </c>
      <c r="J169" s="3">
        <v>0.12</v>
      </c>
      <c r="K169" s="3">
        <v>0.60199999999999998</v>
      </c>
    </row>
    <row r="170" spans="2:11" x14ac:dyDescent="0.25">
      <c r="B170" s="2" t="s">
        <v>7383</v>
      </c>
      <c r="C170" s="2" t="s">
        <v>7384</v>
      </c>
      <c r="D170" s="3">
        <v>9.7100000000000009</v>
      </c>
      <c r="E170" s="3">
        <v>76.22</v>
      </c>
      <c r="F170" s="3">
        <v>2.4</v>
      </c>
      <c r="G170" s="3">
        <v>0.49</v>
      </c>
      <c r="H170" s="3">
        <v>2</v>
      </c>
      <c r="I170" s="3">
        <v>0.30199999999999999</v>
      </c>
      <c r="J170" s="3">
        <v>0.193</v>
      </c>
      <c r="K170" s="3">
        <v>0.84499999999999997</v>
      </c>
    </row>
    <row r="171" spans="2:11" x14ac:dyDescent="0.25">
      <c r="B171" s="2" t="s">
        <v>7385</v>
      </c>
      <c r="C171" s="2" t="s">
        <v>7386</v>
      </c>
      <c r="D171" s="3">
        <v>9.7100000000000009</v>
      </c>
      <c r="E171" s="3">
        <v>76.22</v>
      </c>
      <c r="F171" s="3">
        <v>2.4</v>
      </c>
      <c r="G171" s="3">
        <v>0.49</v>
      </c>
      <c r="H171" s="3">
        <v>2</v>
      </c>
      <c r="I171" s="3">
        <v>0.30199999999999999</v>
      </c>
      <c r="J171" s="3">
        <v>0.193</v>
      </c>
      <c r="K171" s="3">
        <v>0.84499999999999997</v>
      </c>
    </row>
    <row r="172" spans="2:11" x14ac:dyDescent="0.25">
      <c r="B172" s="2" t="s">
        <v>7387</v>
      </c>
      <c r="C172" s="2" t="s">
        <v>7388</v>
      </c>
      <c r="D172" s="3">
        <v>9.7100000000000009</v>
      </c>
      <c r="E172" s="3">
        <v>76.22</v>
      </c>
      <c r="F172" s="3">
        <v>2.4</v>
      </c>
      <c r="G172" s="3">
        <v>0.49</v>
      </c>
      <c r="H172" s="3">
        <v>2</v>
      </c>
      <c r="I172" s="3">
        <v>0.30199999999999999</v>
      </c>
      <c r="J172" s="3">
        <v>0.193</v>
      </c>
      <c r="K172" s="3">
        <v>0.84499999999999997</v>
      </c>
    </row>
    <row r="173" spans="2:11" x14ac:dyDescent="0.25">
      <c r="B173" s="2" t="s">
        <v>7389</v>
      </c>
      <c r="C173" s="2" t="s">
        <v>7390</v>
      </c>
      <c r="D173" s="3">
        <v>11.5</v>
      </c>
      <c r="E173" s="3">
        <v>73.81</v>
      </c>
      <c r="F173" s="3">
        <v>2.4</v>
      </c>
      <c r="G173" s="3">
        <v>1.1200000000000001</v>
      </c>
      <c r="H173" s="3">
        <v>2</v>
      </c>
      <c r="I173" s="3">
        <v>0.26800000000000002</v>
      </c>
      <c r="J173" s="3">
        <v>0.16600000000000001</v>
      </c>
      <c r="K173" s="3">
        <v>0.749</v>
      </c>
    </row>
    <row r="174" spans="2:11" x14ac:dyDescent="0.25">
      <c r="B174" s="2" t="s">
        <v>7391</v>
      </c>
      <c r="C174" s="2" t="s">
        <v>7392</v>
      </c>
      <c r="D174" s="3">
        <v>11.5</v>
      </c>
      <c r="E174" s="3">
        <v>73.81</v>
      </c>
      <c r="F174" s="3">
        <v>2.4</v>
      </c>
      <c r="G174" s="3">
        <v>1.1200000000000001</v>
      </c>
      <c r="H174" s="3">
        <v>2</v>
      </c>
      <c r="I174" s="3">
        <v>0.26800000000000002</v>
      </c>
      <c r="J174" s="3">
        <v>0.16600000000000001</v>
      </c>
      <c r="K174" s="3">
        <v>0.749</v>
      </c>
    </row>
    <row r="175" spans="2:11" x14ac:dyDescent="0.25">
      <c r="B175" s="2" t="s">
        <v>7393</v>
      </c>
      <c r="C175" s="2" t="s">
        <v>7394</v>
      </c>
      <c r="D175" s="3">
        <v>11.5</v>
      </c>
      <c r="E175" s="3">
        <v>73.81</v>
      </c>
      <c r="F175" s="3">
        <v>2.4</v>
      </c>
      <c r="G175" s="3">
        <v>1.1200000000000001</v>
      </c>
      <c r="H175" s="3">
        <v>2</v>
      </c>
      <c r="I175" s="3">
        <v>0.26800000000000002</v>
      </c>
      <c r="J175" s="3">
        <v>0.16600000000000001</v>
      </c>
      <c r="K175" s="3">
        <v>0.749</v>
      </c>
    </row>
    <row r="176" spans="2:11" x14ac:dyDescent="0.25">
      <c r="B176" s="2" t="s">
        <v>7395</v>
      </c>
      <c r="C176" s="2" t="s">
        <v>7396</v>
      </c>
      <c r="D176" s="3">
        <v>13.07</v>
      </c>
      <c r="E176" s="3">
        <v>72.2</v>
      </c>
      <c r="F176" s="3">
        <v>2.4</v>
      </c>
      <c r="G176" s="3">
        <v>1.1000000000000001</v>
      </c>
      <c r="H176" s="3">
        <v>2</v>
      </c>
      <c r="I176" s="3">
        <v>0.189</v>
      </c>
      <c r="J176" s="3">
        <v>0.152</v>
      </c>
      <c r="K176" s="3">
        <v>0.68300000000000005</v>
      </c>
    </row>
    <row r="177" spans="2:11" x14ac:dyDescent="0.25">
      <c r="B177" s="2" t="s">
        <v>7397</v>
      </c>
      <c r="C177" s="2" t="s">
        <v>7398</v>
      </c>
      <c r="D177" s="3">
        <v>13.07</v>
      </c>
      <c r="E177" s="3">
        <v>72.2</v>
      </c>
      <c r="F177" s="3">
        <v>2.4</v>
      </c>
      <c r="G177" s="3">
        <v>1.1000000000000001</v>
      </c>
      <c r="H177" s="3">
        <v>2</v>
      </c>
      <c r="I177" s="3">
        <v>0.189</v>
      </c>
      <c r="J177" s="3">
        <v>0.152</v>
      </c>
      <c r="K177" s="3">
        <v>0.68300000000000005</v>
      </c>
    </row>
    <row r="178" spans="2:11" x14ac:dyDescent="0.25">
      <c r="B178" s="2" t="s">
        <v>7399</v>
      </c>
      <c r="C178" s="2" t="s">
        <v>7400</v>
      </c>
      <c r="D178" s="3">
        <v>15.33</v>
      </c>
      <c r="E178" s="3">
        <v>69.88</v>
      </c>
      <c r="F178" s="3">
        <v>2.4</v>
      </c>
      <c r="G178" s="3">
        <v>0.92</v>
      </c>
      <c r="H178" s="3">
        <v>2</v>
      </c>
      <c r="I178" s="3">
        <v>0.27200000000000002</v>
      </c>
      <c r="J178" s="3">
        <v>0.153</v>
      </c>
      <c r="K178" s="3">
        <v>0.71199999999999997</v>
      </c>
    </row>
    <row r="179" spans="2:11" x14ac:dyDescent="0.25">
      <c r="B179" s="2" t="s">
        <v>7401</v>
      </c>
      <c r="C179" s="2" t="s">
        <v>7402</v>
      </c>
      <c r="D179" s="3">
        <v>15.33</v>
      </c>
      <c r="E179" s="3">
        <v>69.88</v>
      </c>
      <c r="F179" s="3">
        <v>2.4</v>
      </c>
      <c r="G179" s="3">
        <v>0.92</v>
      </c>
      <c r="H179" s="3">
        <v>2</v>
      </c>
      <c r="I179" s="3">
        <v>0.27200000000000002</v>
      </c>
      <c r="J179" s="3">
        <v>0.153</v>
      </c>
      <c r="K179" s="3">
        <v>0.71199999999999997</v>
      </c>
    </row>
    <row r="180" spans="2:11" x14ac:dyDescent="0.25">
      <c r="B180" s="2" t="s">
        <v>7403</v>
      </c>
      <c r="C180" s="2" t="s">
        <v>7404</v>
      </c>
      <c r="D180" s="3">
        <v>10.75</v>
      </c>
      <c r="E180" s="3">
        <v>75.12</v>
      </c>
      <c r="F180" s="3">
        <v>3.5</v>
      </c>
      <c r="G180" s="3">
        <v>1.66</v>
      </c>
      <c r="H180" s="3">
        <v>4</v>
      </c>
      <c r="I180" s="3">
        <v>0.53600000000000003</v>
      </c>
      <c r="J180" s="3">
        <v>0.92400000000000004</v>
      </c>
      <c r="K180" s="3">
        <v>2.6179999999999999</v>
      </c>
    </row>
    <row r="181" spans="2:11" x14ac:dyDescent="0.25">
      <c r="B181" s="2" t="s">
        <v>7405</v>
      </c>
      <c r="C181" s="2" t="s">
        <v>7406</v>
      </c>
      <c r="D181" s="3">
        <v>8.43</v>
      </c>
      <c r="E181" s="3">
        <v>76.64</v>
      </c>
      <c r="F181" s="3">
        <v>6.6</v>
      </c>
      <c r="G181" s="3">
        <v>1.94</v>
      </c>
      <c r="H181" s="3">
        <v>3</v>
      </c>
      <c r="I181" s="3">
        <v>0.52800000000000002</v>
      </c>
      <c r="J181" s="3">
        <v>0.94299999999999995</v>
      </c>
      <c r="K181" s="3">
        <v>1.403</v>
      </c>
    </row>
    <row r="182" spans="2:11" x14ac:dyDescent="0.25">
      <c r="B182" s="2" t="s">
        <v>7407</v>
      </c>
      <c r="C182" s="2" t="s">
        <v>7408</v>
      </c>
      <c r="D182" s="3">
        <v>9.61</v>
      </c>
      <c r="E182" s="3">
        <v>74.48</v>
      </c>
      <c r="F182" s="3">
        <v>13.1</v>
      </c>
      <c r="G182" s="3">
        <v>1.02</v>
      </c>
      <c r="H182" s="3">
        <v>3</v>
      </c>
      <c r="I182" s="3">
        <v>0.43</v>
      </c>
      <c r="J182" s="3">
        <v>0.28299999999999997</v>
      </c>
      <c r="K182" s="3">
        <v>1.167</v>
      </c>
    </row>
    <row r="183" spans="2:11" x14ac:dyDescent="0.25">
      <c r="B183" s="2" t="s">
        <v>7409</v>
      </c>
      <c r="C183" s="2" t="s">
        <v>7410</v>
      </c>
      <c r="D183" s="3">
        <v>9.5299999999999994</v>
      </c>
      <c r="E183" s="3">
        <v>76.849999999999994</v>
      </c>
      <c r="F183" s="3">
        <v>1.9</v>
      </c>
      <c r="H183" s="3">
        <v>1</v>
      </c>
      <c r="I183" s="3">
        <v>0.30299999999999999</v>
      </c>
      <c r="J183" s="3">
        <v>0.38500000000000001</v>
      </c>
      <c r="K183" s="3">
        <v>0.47499999999999998</v>
      </c>
    </row>
    <row r="184" spans="2:11" x14ac:dyDescent="0.25">
      <c r="B184" s="2" t="s">
        <v>7411</v>
      </c>
      <c r="C184" s="2" t="s">
        <v>7412</v>
      </c>
      <c r="D184" s="3">
        <v>3.09</v>
      </c>
      <c r="E184" s="3">
        <v>31.33</v>
      </c>
      <c r="F184" s="3">
        <v>1.7</v>
      </c>
      <c r="G184" s="3">
        <v>0.15</v>
      </c>
      <c r="H184" s="3">
        <v>4</v>
      </c>
      <c r="I184" s="3">
        <v>0.21299999999999999</v>
      </c>
      <c r="J184" s="3">
        <v>0.3</v>
      </c>
      <c r="K184" s="3">
        <v>0.26900000000000002</v>
      </c>
    </row>
    <row r="185" spans="2:11" x14ac:dyDescent="0.25">
      <c r="B185" s="2" t="s">
        <v>7413</v>
      </c>
      <c r="C185" s="2" t="s">
        <v>7414</v>
      </c>
      <c r="D185" s="3">
        <v>5.67</v>
      </c>
      <c r="E185" s="3">
        <v>30.87</v>
      </c>
      <c r="F185" s="3">
        <v>4.5</v>
      </c>
      <c r="G185" s="3">
        <v>0.65</v>
      </c>
      <c r="H185" s="3">
        <v>4</v>
      </c>
    </row>
    <row r="186" spans="2:11" x14ac:dyDescent="0.25">
      <c r="B186" s="2" t="s">
        <v>7415</v>
      </c>
      <c r="C186" s="2" t="s">
        <v>7416</v>
      </c>
      <c r="D186" s="3">
        <v>13.2</v>
      </c>
      <c r="E186" s="3">
        <v>73.3</v>
      </c>
      <c r="F186" s="3">
        <v>11.3</v>
      </c>
      <c r="G186" s="3">
        <v>2.2000000000000002</v>
      </c>
      <c r="H186" s="3">
        <v>12</v>
      </c>
      <c r="I186" s="3">
        <v>0.32400000000000001</v>
      </c>
      <c r="J186" s="3">
        <v>0.24099999999999999</v>
      </c>
      <c r="K186" s="3">
        <v>0.84599999999999997</v>
      </c>
    </row>
    <row r="187" spans="2:11" x14ac:dyDescent="0.25">
      <c r="B187" s="2" t="s">
        <v>7417</v>
      </c>
      <c r="C187" s="2" t="s">
        <v>7418</v>
      </c>
      <c r="D187" s="3">
        <v>3.46</v>
      </c>
      <c r="E187" s="3">
        <v>32.200000000000003</v>
      </c>
      <c r="F187" s="3">
        <v>1.7</v>
      </c>
      <c r="G187" s="3">
        <v>0</v>
      </c>
      <c r="H187" s="3">
        <v>4</v>
      </c>
      <c r="I187" s="3">
        <v>0.20300000000000001</v>
      </c>
      <c r="J187" s="3">
        <v>0.59599999999999997</v>
      </c>
      <c r="K187" s="3">
        <v>0.44600000000000001</v>
      </c>
    </row>
    <row r="188" spans="2:11" x14ac:dyDescent="0.25">
      <c r="B188" s="2" t="s">
        <v>7419</v>
      </c>
      <c r="C188" s="2" t="s">
        <v>7420</v>
      </c>
      <c r="D188" s="3">
        <v>3.23</v>
      </c>
      <c r="E188" s="3">
        <v>31.11</v>
      </c>
      <c r="F188" s="3">
        <v>3.3</v>
      </c>
      <c r="G188" s="3">
        <v>0.3</v>
      </c>
      <c r="H188" s="3">
        <v>4</v>
      </c>
      <c r="I188" s="3">
        <v>0.152</v>
      </c>
      <c r="J188" s="3">
        <v>0.66300000000000003</v>
      </c>
      <c r="K188" s="3">
        <v>0.94699999999999995</v>
      </c>
    </row>
    <row r="189" spans="2:11" x14ac:dyDescent="0.25">
      <c r="B189" s="2" t="s">
        <v>7421</v>
      </c>
      <c r="C189" s="2" t="s">
        <v>7422</v>
      </c>
      <c r="D189" s="3">
        <v>4.21</v>
      </c>
      <c r="E189" s="3">
        <v>40.75</v>
      </c>
      <c r="F189" s="3">
        <v>1.9</v>
      </c>
      <c r="G189" s="3">
        <v>0</v>
      </c>
      <c r="H189" s="3">
        <v>4</v>
      </c>
    </row>
    <row r="190" spans="2:11" x14ac:dyDescent="0.25">
      <c r="B190" s="2" t="s">
        <v>7423</v>
      </c>
      <c r="C190" s="2" t="s">
        <v>7424</v>
      </c>
      <c r="D190" s="3">
        <v>3.2</v>
      </c>
      <c r="E190" s="3">
        <v>38.049999999999997</v>
      </c>
      <c r="F190" s="3">
        <v>1.4</v>
      </c>
      <c r="G190" s="3">
        <v>0</v>
      </c>
      <c r="H190" s="3">
        <v>4</v>
      </c>
      <c r="I190" s="3">
        <v>0.15</v>
      </c>
      <c r="J190" s="3">
        <v>0.25900000000000001</v>
      </c>
      <c r="K190" s="3">
        <v>0.32900000000000001</v>
      </c>
    </row>
    <row r="191" spans="2:11" x14ac:dyDescent="0.25">
      <c r="B191" s="2" t="s">
        <v>7425</v>
      </c>
      <c r="C191" s="2" t="s">
        <v>7426</v>
      </c>
      <c r="D191" s="3">
        <v>8.5299999999999994</v>
      </c>
      <c r="E191" s="3">
        <v>23.46</v>
      </c>
      <c r="F191" s="3">
        <v>0.6</v>
      </c>
      <c r="H191" s="3">
        <v>655</v>
      </c>
      <c r="I191" s="3">
        <v>3.4769999999999999</v>
      </c>
      <c r="J191" s="3">
        <v>6.6710000000000003</v>
      </c>
      <c r="K191" s="3">
        <v>4.7060000000000004</v>
      </c>
    </row>
    <row r="192" spans="2:11" x14ac:dyDescent="0.25">
      <c r="B192" s="2" t="s">
        <v>7427</v>
      </c>
      <c r="C192" s="2" t="s">
        <v>7428</v>
      </c>
      <c r="D192" s="3">
        <v>11.33</v>
      </c>
      <c r="E192" s="3">
        <v>19.059999999999999</v>
      </c>
      <c r="F192" s="3">
        <v>0.5</v>
      </c>
      <c r="G192" s="3">
        <v>2.19</v>
      </c>
      <c r="H192" s="3">
        <v>844</v>
      </c>
      <c r="I192" s="3">
        <v>5.3</v>
      </c>
      <c r="J192" s="3">
        <v>8.9600000000000009</v>
      </c>
      <c r="K192" s="3">
        <v>4.9800000000000004</v>
      </c>
    </row>
    <row r="193" spans="2:11" x14ac:dyDescent="0.25">
      <c r="B193" s="2" t="s">
        <v>7429</v>
      </c>
      <c r="C193" s="2" t="s">
        <v>7430</v>
      </c>
      <c r="D193" s="3">
        <v>10.64</v>
      </c>
      <c r="E193" s="3">
        <v>16.37</v>
      </c>
      <c r="F193" s="3">
        <v>0.4</v>
      </c>
      <c r="G193" s="3">
        <v>2.2000000000000002</v>
      </c>
      <c r="H193" s="3">
        <v>1093</v>
      </c>
      <c r="I193" s="3">
        <v>3.08</v>
      </c>
      <c r="J193" s="3">
        <v>5.71</v>
      </c>
      <c r="K193" s="3">
        <v>4.01</v>
      </c>
    </row>
    <row r="194" spans="2:11" x14ac:dyDescent="0.25">
      <c r="B194" s="2" t="s">
        <v>7431</v>
      </c>
      <c r="C194" s="2" t="s">
        <v>7432</v>
      </c>
      <c r="D194" s="3">
        <v>11.13</v>
      </c>
      <c r="E194" s="3">
        <v>21.05</v>
      </c>
      <c r="F194" s="3">
        <v>0.2</v>
      </c>
      <c r="G194" s="3">
        <v>0.95</v>
      </c>
      <c r="H194" s="3">
        <v>672</v>
      </c>
      <c r="I194" s="3">
        <v>6.4489999999999998</v>
      </c>
      <c r="J194" s="3">
        <v>9.9849999999999994</v>
      </c>
      <c r="K194" s="3">
        <v>2.9670000000000001</v>
      </c>
    </row>
    <row r="195" spans="2:11" x14ac:dyDescent="0.25">
      <c r="B195" s="2" t="s">
        <v>7433</v>
      </c>
      <c r="C195" s="2" t="s">
        <v>7434</v>
      </c>
      <c r="D195" s="3">
        <v>12.12</v>
      </c>
      <c r="E195" s="3">
        <v>14.37</v>
      </c>
      <c r="H195" s="3">
        <v>600</v>
      </c>
      <c r="I195" s="3">
        <v>5.81</v>
      </c>
      <c r="J195" s="3">
        <v>7.91</v>
      </c>
      <c r="K195" s="3">
        <v>3.95</v>
      </c>
    </row>
    <row r="196" spans="2:11" x14ac:dyDescent="0.25">
      <c r="B196" s="2" t="s">
        <v>7435</v>
      </c>
      <c r="C196" s="2" t="s">
        <v>7436</v>
      </c>
      <c r="D196" s="3">
        <v>12.01</v>
      </c>
      <c r="E196" s="3">
        <v>24.44</v>
      </c>
      <c r="F196" s="3">
        <v>0.2</v>
      </c>
      <c r="G196" s="3">
        <v>1.74</v>
      </c>
      <c r="H196" s="3">
        <v>816</v>
      </c>
      <c r="I196" s="3">
        <v>5.8929999999999998</v>
      </c>
      <c r="J196" s="3">
        <v>8.0350000000000001</v>
      </c>
      <c r="K196" s="3">
        <v>1.9219999999999999</v>
      </c>
    </row>
    <row r="197" spans="2:11" x14ac:dyDescent="0.25">
      <c r="B197" s="2" t="s">
        <v>7437</v>
      </c>
      <c r="C197" s="2" t="s">
        <v>7438</v>
      </c>
      <c r="D197" s="3">
        <v>11.85</v>
      </c>
      <c r="E197" s="3">
        <v>38.75</v>
      </c>
      <c r="F197" s="3">
        <v>0.7</v>
      </c>
      <c r="G197" s="3">
        <v>1.97</v>
      </c>
      <c r="H197" s="3">
        <v>974</v>
      </c>
      <c r="I197" s="3">
        <v>10.096</v>
      </c>
      <c r="J197" s="3">
        <v>4.2770000000000001</v>
      </c>
      <c r="K197" s="3">
        <v>0.91800000000000004</v>
      </c>
    </row>
    <row r="198" spans="2:11" x14ac:dyDescent="0.25">
      <c r="B198" s="2" t="s">
        <v>7439</v>
      </c>
      <c r="C198" s="2" t="s">
        <v>7440</v>
      </c>
      <c r="D198" s="3">
        <v>9.67</v>
      </c>
      <c r="E198" s="3">
        <v>29.99</v>
      </c>
      <c r="F198" s="3">
        <v>0.4</v>
      </c>
      <c r="G198" s="3">
        <v>1.59</v>
      </c>
      <c r="H198" s="3">
        <v>814</v>
      </c>
      <c r="I198" s="3">
        <v>7.4269999999999996</v>
      </c>
      <c r="J198" s="3">
        <v>12.157</v>
      </c>
      <c r="K198" s="3">
        <v>3.1070000000000002</v>
      </c>
    </row>
    <row r="199" spans="2:11" x14ac:dyDescent="0.25">
      <c r="B199" s="2" t="s">
        <v>7441</v>
      </c>
      <c r="C199" s="2" t="s">
        <v>7442</v>
      </c>
      <c r="D199" s="3">
        <v>11.93</v>
      </c>
      <c r="E199" s="3">
        <v>30.56</v>
      </c>
      <c r="F199" s="3">
        <v>1.4</v>
      </c>
      <c r="G199" s="3">
        <v>2.62</v>
      </c>
      <c r="H199" s="3">
        <v>868</v>
      </c>
      <c r="I199" s="3">
        <v>5.7119999999999997</v>
      </c>
      <c r="J199" s="3">
        <v>5.4550000000000001</v>
      </c>
      <c r="K199" s="3">
        <v>3.3079999999999998</v>
      </c>
    </row>
    <row r="200" spans="2:11" x14ac:dyDescent="0.25">
      <c r="B200" s="2" t="s">
        <v>7443</v>
      </c>
      <c r="C200" s="2" t="s">
        <v>7444</v>
      </c>
      <c r="D200" s="3">
        <v>10.07</v>
      </c>
      <c r="E200" s="3">
        <v>22.45</v>
      </c>
      <c r="H200" s="3">
        <v>434</v>
      </c>
      <c r="I200" s="3">
        <v>11.074999999999999</v>
      </c>
      <c r="J200" s="3">
        <v>5.9379999999999997</v>
      </c>
      <c r="K200" s="3">
        <v>1.0760000000000001</v>
      </c>
    </row>
    <row r="201" spans="2:11" x14ac:dyDescent="0.25">
      <c r="B201" s="2" t="s">
        <v>7445</v>
      </c>
      <c r="C201" s="2" t="s">
        <v>7446</v>
      </c>
      <c r="D201" s="3">
        <v>12.58</v>
      </c>
      <c r="E201" s="3">
        <v>20.79</v>
      </c>
      <c r="F201" s="3">
        <v>1</v>
      </c>
      <c r="G201" s="3">
        <v>4.8</v>
      </c>
      <c r="H201" s="3">
        <v>602</v>
      </c>
      <c r="I201" s="3">
        <v>7.0309999999999997</v>
      </c>
      <c r="J201" s="3">
        <v>5.7530000000000001</v>
      </c>
      <c r="K201" s="3">
        <v>1.9890000000000001</v>
      </c>
    </row>
    <row r="202" spans="2:11" x14ac:dyDescent="0.25">
      <c r="B202" s="2" t="s">
        <v>7447</v>
      </c>
      <c r="C202" s="2" t="s">
        <v>7448</v>
      </c>
      <c r="D202" s="3">
        <v>12.45</v>
      </c>
      <c r="E202" s="3">
        <v>18.98</v>
      </c>
      <c r="F202" s="3">
        <v>0.9</v>
      </c>
      <c r="G202" s="3">
        <v>5.42</v>
      </c>
      <c r="H202" s="3">
        <v>711</v>
      </c>
      <c r="I202" s="3">
        <v>5.1609999999999996</v>
      </c>
      <c r="J202" s="3">
        <v>4.7380000000000004</v>
      </c>
      <c r="K202" s="3">
        <v>1.4850000000000001</v>
      </c>
    </row>
    <row r="203" spans="2:11" x14ac:dyDescent="0.25">
      <c r="B203" s="2" t="s">
        <v>7449</v>
      </c>
      <c r="C203" s="2" t="s">
        <v>7450</v>
      </c>
      <c r="D203" s="3">
        <v>12.09</v>
      </c>
      <c r="E203" s="3">
        <v>15.9</v>
      </c>
      <c r="F203" s="3">
        <v>1.8</v>
      </c>
      <c r="G203" s="3">
        <v>3.12</v>
      </c>
      <c r="H203" s="3">
        <v>577</v>
      </c>
      <c r="I203" s="3">
        <v>8.3420000000000005</v>
      </c>
      <c r="J203" s="3">
        <v>7.8380000000000001</v>
      </c>
      <c r="K203" s="3">
        <v>4.2119999999999997</v>
      </c>
    </row>
    <row r="204" spans="2:11" x14ac:dyDescent="0.25">
      <c r="B204" s="2" t="s">
        <v>7451</v>
      </c>
      <c r="C204" s="2" t="s">
        <v>7452</v>
      </c>
      <c r="D204" s="3">
        <v>13.84</v>
      </c>
      <c r="E204" s="3">
        <v>2.08</v>
      </c>
      <c r="F204" s="3">
        <v>0</v>
      </c>
      <c r="G204" s="3">
        <v>1.64</v>
      </c>
      <c r="H204" s="3">
        <v>187</v>
      </c>
      <c r="I204" s="3">
        <v>6.1529999999999996</v>
      </c>
      <c r="J204" s="3">
        <v>5.8890000000000002</v>
      </c>
      <c r="K204" s="3">
        <v>1.9690000000000001</v>
      </c>
    </row>
    <row r="205" spans="2:11" x14ac:dyDescent="0.25">
      <c r="B205" s="2" t="s">
        <v>7453</v>
      </c>
      <c r="C205" s="2" t="s">
        <v>7454</v>
      </c>
      <c r="D205" s="3">
        <v>13.28</v>
      </c>
      <c r="E205" s="3">
        <v>25.28</v>
      </c>
      <c r="F205" s="3">
        <v>0.5</v>
      </c>
      <c r="G205" s="3">
        <v>1.98</v>
      </c>
      <c r="H205" s="3">
        <v>668</v>
      </c>
      <c r="I205" s="3">
        <v>8.1519999999999992</v>
      </c>
      <c r="J205" s="3">
        <v>7.9050000000000002</v>
      </c>
      <c r="K205" s="3">
        <v>3.1150000000000002</v>
      </c>
    </row>
    <row r="206" spans="2:11" x14ac:dyDescent="0.25">
      <c r="B206" s="2" t="s">
        <v>7455</v>
      </c>
      <c r="C206" s="2" t="s">
        <v>7456</v>
      </c>
      <c r="D206" s="3">
        <v>13.64</v>
      </c>
      <c r="E206" s="3">
        <v>21.67</v>
      </c>
      <c r="F206" s="3">
        <v>0.4</v>
      </c>
      <c r="G206" s="3">
        <v>2.13</v>
      </c>
      <c r="H206" s="3">
        <v>617</v>
      </c>
      <c r="I206" s="3">
        <v>3.5920000000000001</v>
      </c>
      <c r="J206" s="3">
        <v>2.7210000000000001</v>
      </c>
      <c r="K206" s="3">
        <v>1.7350000000000001</v>
      </c>
    </row>
    <row r="207" spans="2:11" x14ac:dyDescent="0.25">
      <c r="B207" s="2" t="s">
        <v>7457</v>
      </c>
      <c r="C207" s="2" t="s">
        <v>7458</v>
      </c>
      <c r="D207" s="3">
        <v>13.38</v>
      </c>
      <c r="E207" s="3">
        <v>17.440000000000001</v>
      </c>
      <c r="F207" s="3">
        <v>0.2</v>
      </c>
      <c r="G207" s="3">
        <v>1.49</v>
      </c>
      <c r="H207" s="3">
        <v>548</v>
      </c>
      <c r="I207" s="3">
        <v>6.9279999999999999</v>
      </c>
      <c r="J207" s="3">
        <v>6.7649999999999997</v>
      </c>
      <c r="K207" s="3">
        <v>2.7719999999999998</v>
      </c>
    </row>
    <row r="208" spans="2:11" x14ac:dyDescent="0.25">
      <c r="B208" s="2" t="s">
        <v>7459</v>
      </c>
      <c r="C208" s="2" t="s">
        <v>7460</v>
      </c>
      <c r="D208" s="3">
        <v>7.66</v>
      </c>
      <c r="E208" s="3">
        <v>26.7</v>
      </c>
      <c r="H208" s="3">
        <v>380</v>
      </c>
      <c r="I208" s="3">
        <v>5.74</v>
      </c>
      <c r="J208" s="3">
        <v>5.24</v>
      </c>
      <c r="K208" s="3">
        <v>1.81</v>
      </c>
    </row>
    <row r="209" spans="2:11" x14ac:dyDescent="0.25">
      <c r="B209" s="2"/>
      <c r="C209" s="2"/>
      <c r="D209" s="3"/>
      <c r="E209" s="3"/>
      <c r="F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F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G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  <c r="J231" s="3"/>
      <c r="K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G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G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G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G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G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F254" s="3"/>
      <c r="G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G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G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G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G259" s="3"/>
      <c r="H259" s="3"/>
      <c r="I259" s="3"/>
      <c r="J259" s="3"/>
      <c r="K259" s="3"/>
    </row>
    <row r="260" spans="2:11" x14ac:dyDescent="0.25">
      <c r="B260" s="2"/>
      <c r="C260" s="2"/>
      <c r="D260" s="3"/>
      <c r="E260" s="3"/>
      <c r="F260" s="3"/>
      <c r="G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G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F263" s="3"/>
      <c r="G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G264" s="3"/>
      <c r="H264" s="3"/>
      <c r="I264" s="3"/>
      <c r="J264" s="3"/>
      <c r="K264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DC23-2E95-5F44-BF6B-C8BD9B6F006C}">
  <sheetPr codeName="Sheet23"/>
  <dimension ref="A1:K318"/>
  <sheetViews>
    <sheetView workbookViewId="0">
      <selection activeCell="C259" sqref="C259"/>
    </sheetView>
  </sheetViews>
  <sheetFormatPr defaultColWidth="11" defaultRowHeight="15.75" x14ac:dyDescent="0.25"/>
  <cols>
    <col min="3" max="3" width="58.6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21002</v>
      </c>
      <c r="C3" s="10" t="str" cm="1">
        <f t="array" ref="C3">INDEX($B$11:$K$208, $A$3, C1)</f>
        <v>FAST FOODS  BISCUIT  W/ EGG</v>
      </c>
      <c r="D3" s="10" cm="1">
        <f t="array" ref="D3">INDEX($B$11:$K$74, $A$3, D1)</f>
        <v>8.5299999999999994</v>
      </c>
      <c r="E3" s="10" cm="1">
        <f t="array" ref="E3">INDEX($B$11:$K$74, $A$3, E1)</f>
        <v>23.46</v>
      </c>
      <c r="F3" s="10" cm="1">
        <f t="array" ref="F3">INDEX($B$11:$K$74, $A$3, F1)</f>
        <v>0.6</v>
      </c>
      <c r="G3" s="10" cm="1">
        <f t="array" ref="G3">INDEX($B$11:$K$74, $A$3, G1)</f>
        <v>0</v>
      </c>
      <c r="H3" s="10" cm="1">
        <f t="array" ref="H3">INDEX($B$11:$K$74, $A$3, H1)</f>
        <v>655</v>
      </c>
      <c r="I3" s="10" cm="1">
        <f t="array" ref="I3">INDEX($B$11:$K$74, $A$3, I1)</f>
        <v>3.4769999999999999</v>
      </c>
      <c r="J3" s="10" cm="1">
        <f t="array" ref="J3">INDEX($B$11:$K$74, $A$3, J1)</f>
        <v>6.6710000000000003</v>
      </c>
      <c r="K3" s="10" cm="1">
        <f t="array" ref="K3">INDEX($B$11:$K$74, $A$3, K1)</f>
        <v>4.7060000000000004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46.92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13.342000000000001</v>
      </c>
      <c r="K6" s="10">
        <f>A7*K3</f>
        <v>9.4120000000000008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7425</v>
      </c>
      <c r="C11" s="2" t="s">
        <v>7426</v>
      </c>
      <c r="D11" s="3">
        <v>8.5299999999999994</v>
      </c>
      <c r="E11" s="3">
        <v>23.46</v>
      </c>
      <c r="F11" s="3">
        <v>0.6</v>
      </c>
      <c r="H11" s="3">
        <v>655</v>
      </c>
      <c r="I11" s="3">
        <v>3.4769999999999999</v>
      </c>
      <c r="J11" s="3">
        <v>6.6710000000000003</v>
      </c>
      <c r="K11" s="3">
        <v>4.7060000000000004</v>
      </c>
    </row>
    <row r="12" spans="1:11" x14ac:dyDescent="0.25">
      <c r="B12" s="2" t="s">
        <v>7427</v>
      </c>
      <c r="C12" s="2" t="s">
        <v>7428</v>
      </c>
      <c r="D12" s="3">
        <v>11.33</v>
      </c>
      <c r="E12" s="3">
        <v>19.059999999999999</v>
      </c>
      <c r="F12" s="3">
        <v>0.5</v>
      </c>
      <c r="G12" s="3">
        <v>2.19</v>
      </c>
      <c r="H12" s="3">
        <v>844</v>
      </c>
      <c r="I12" s="3">
        <v>5.3</v>
      </c>
      <c r="J12" s="3">
        <v>8.9600000000000009</v>
      </c>
      <c r="K12" s="3">
        <v>4.9800000000000004</v>
      </c>
    </row>
    <row r="13" spans="1:11" x14ac:dyDescent="0.25">
      <c r="B13" s="2" t="s">
        <v>7429</v>
      </c>
      <c r="C13" s="2" t="s">
        <v>7430</v>
      </c>
      <c r="D13" s="3">
        <v>10.64</v>
      </c>
      <c r="E13" s="3">
        <v>16.37</v>
      </c>
      <c r="F13" s="3">
        <v>0.4</v>
      </c>
      <c r="G13" s="3">
        <v>2.2000000000000002</v>
      </c>
      <c r="H13" s="3">
        <v>1093</v>
      </c>
      <c r="I13" s="3">
        <v>3.08</v>
      </c>
      <c r="J13" s="3">
        <v>5.71</v>
      </c>
      <c r="K13" s="3">
        <v>4.01</v>
      </c>
    </row>
    <row r="14" spans="1:11" x14ac:dyDescent="0.25">
      <c r="B14" s="2" t="s">
        <v>7431</v>
      </c>
      <c r="C14" s="2" t="s">
        <v>7432</v>
      </c>
      <c r="D14" s="3">
        <v>11.13</v>
      </c>
      <c r="E14" s="3">
        <v>21.05</v>
      </c>
      <c r="F14" s="3">
        <v>0.2</v>
      </c>
      <c r="G14" s="3">
        <v>0.95</v>
      </c>
      <c r="H14" s="3">
        <v>672</v>
      </c>
      <c r="I14" s="3">
        <v>6.4489999999999998</v>
      </c>
      <c r="J14" s="3">
        <v>9.9849999999999994</v>
      </c>
      <c r="K14" s="3">
        <v>2.9670000000000001</v>
      </c>
    </row>
    <row r="15" spans="1:11" x14ac:dyDescent="0.25">
      <c r="B15" s="2" t="s">
        <v>7433</v>
      </c>
      <c r="C15" s="2" t="s">
        <v>7434</v>
      </c>
      <c r="D15" s="3">
        <v>12.12</v>
      </c>
      <c r="E15" s="3">
        <v>14.37</v>
      </c>
      <c r="H15" s="3">
        <v>600</v>
      </c>
      <c r="I15" s="3">
        <v>5.81</v>
      </c>
      <c r="J15" s="3">
        <v>7.91</v>
      </c>
      <c r="K15" s="3">
        <v>3.95</v>
      </c>
    </row>
    <row r="16" spans="1:11" x14ac:dyDescent="0.25">
      <c r="B16" s="2" t="s">
        <v>7435</v>
      </c>
      <c r="C16" s="2" t="s">
        <v>7436</v>
      </c>
      <c r="D16" s="3">
        <v>12.01</v>
      </c>
      <c r="E16" s="3">
        <v>24.44</v>
      </c>
      <c r="F16" s="3">
        <v>0.2</v>
      </c>
      <c r="G16" s="3">
        <v>1.74</v>
      </c>
      <c r="H16" s="3">
        <v>816</v>
      </c>
      <c r="I16" s="3">
        <v>5.8929999999999998</v>
      </c>
      <c r="J16" s="3">
        <v>8.0350000000000001</v>
      </c>
      <c r="K16" s="3">
        <v>1.9219999999999999</v>
      </c>
    </row>
    <row r="17" spans="2:11" x14ac:dyDescent="0.25">
      <c r="B17" s="2" t="s">
        <v>7437</v>
      </c>
      <c r="C17" s="2" t="s">
        <v>7438</v>
      </c>
      <c r="D17" s="3">
        <v>11.85</v>
      </c>
      <c r="E17" s="3">
        <v>38.75</v>
      </c>
      <c r="F17" s="3">
        <v>0.7</v>
      </c>
      <c r="G17" s="3">
        <v>1.97</v>
      </c>
      <c r="H17" s="3">
        <v>974</v>
      </c>
      <c r="I17" s="3">
        <v>10.096</v>
      </c>
      <c r="J17" s="3">
        <v>4.2770000000000001</v>
      </c>
      <c r="K17" s="3">
        <v>0.91800000000000004</v>
      </c>
    </row>
    <row r="18" spans="2:11" x14ac:dyDescent="0.25">
      <c r="B18" s="2" t="s">
        <v>7439</v>
      </c>
      <c r="C18" s="2" t="s">
        <v>7440</v>
      </c>
      <c r="D18" s="3">
        <v>9.67</v>
      </c>
      <c r="E18" s="3">
        <v>29.99</v>
      </c>
      <c r="F18" s="3">
        <v>0.4</v>
      </c>
      <c r="G18" s="3">
        <v>1.59</v>
      </c>
      <c r="H18" s="3">
        <v>814</v>
      </c>
      <c r="I18" s="3">
        <v>7.4269999999999996</v>
      </c>
      <c r="J18" s="3">
        <v>12.157</v>
      </c>
      <c r="K18" s="3">
        <v>3.1070000000000002</v>
      </c>
    </row>
    <row r="19" spans="2:11" x14ac:dyDescent="0.25">
      <c r="B19" s="2" t="s">
        <v>7441</v>
      </c>
      <c r="C19" s="2" t="s">
        <v>7442</v>
      </c>
      <c r="D19" s="3">
        <v>11.93</v>
      </c>
      <c r="E19" s="3">
        <v>30.56</v>
      </c>
      <c r="F19" s="3">
        <v>1.4</v>
      </c>
      <c r="G19" s="3">
        <v>2.62</v>
      </c>
      <c r="H19" s="3">
        <v>868</v>
      </c>
      <c r="I19" s="3">
        <v>5.7119999999999997</v>
      </c>
      <c r="J19" s="3">
        <v>5.4550000000000001</v>
      </c>
      <c r="K19" s="3">
        <v>3.3079999999999998</v>
      </c>
    </row>
    <row r="20" spans="2:11" x14ac:dyDescent="0.25">
      <c r="B20" s="2" t="s">
        <v>7443</v>
      </c>
      <c r="C20" s="2" t="s">
        <v>7444</v>
      </c>
      <c r="D20" s="3">
        <v>10.07</v>
      </c>
      <c r="E20" s="3">
        <v>22.45</v>
      </c>
      <c r="H20" s="3">
        <v>434</v>
      </c>
      <c r="I20" s="3">
        <v>11.074999999999999</v>
      </c>
      <c r="J20" s="3">
        <v>5.9379999999999997</v>
      </c>
      <c r="K20" s="3">
        <v>1.0760000000000001</v>
      </c>
    </row>
    <row r="21" spans="2:11" x14ac:dyDescent="0.25">
      <c r="B21" s="2" t="s">
        <v>7445</v>
      </c>
      <c r="C21" s="2" t="s">
        <v>7446</v>
      </c>
      <c r="D21" s="3">
        <v>12.58</v>
      </c>
      <c r="E21" s="3">
        <v>20.79</v>
      </c>
      <c r="F21" s="3">
        <v>1</v>
      </c>
      <c r="G21" s="3">
        <v>4.8</v>
      </c>
      <c r="H21" s="3">
        <v>602</v>
      </c>
      <c r="I21" s="3">
        <v>7.0309999999999997</v>
      </c>
      <c r="J21" s="3">
        <v>5.7530000000000001</v>
      </c>
      <c r="K21" s="3">
        <v>1.9890000000000001</v>
      </c>
    </row>
    <row r="22" spans="2:11" x14ac:dyDescent="0.25">
      <c r="B22" s="2" t="s">
        <v>7447</v>
      </c>
      <c r="C22" s="2" t="s">
        <v>7448</v>
      </c>
      <c r="D22" s="3">
        <v>12.45</v>
      </c>
      <c r="E22" s="3">
        <v>18.98</v>
      </c>
      <c r="F22" s="3">
        <v>0.9</v>
      </c>
      <c r="G22" s="3">
        <v>5.42</v>
      </c>
      <c r="H22" s="3">
        <v>711</v>
      </c>
      <c r="I22" s="3">
        <v>5.1609999999999996</v>
      </c>
      <c r="J22" s="3">
        <v>4.7380000000000004</v>
      </c>
      <c r="K22" s="3">
        <v>1.4850000000000001</v>
      </c>
    </row>
    <row r="23" spans="2:11" x14ac:dyDescent="0.25">
      <c r="B23" s="2" t="s">
        <v>7449</v>
      </c>
      <c r="C23" s="2" t="s">
        <v>7450</v>
      </c>
      <c r="D23" s="3">
        <v>12.09</v>
      </c>
      <c r="E23" s="3">
        <v>15.9</v>
      </c>
      <c r="F23" s="3">
        <v>1.8</v>
      </c>
      <c r="G23" s="3">
        <v>3.12</v>
      </c>
      <c r="H23" s="3">
        <v>577</v>
      </c>
      <c r="I23" s="3">
        <v>8.3420000000000005</v>
      </c>
      <c r="J23" s="3">
        <v>7.8380000000000001</v>
      </c>
      <c r="K23" s="3">
        <v>4.2119999999999997</v>
      </c>
    </row>
    <row r="24" spans="2:11" x14ac:dyDescent="0.25">
      <c r="B24" s="2" t="s">
        <v>7451</v>
      </c>
      <c r="C24" s="2" t="s">
        <v>7452</v>
      </c>
      <c r="D24" s="3">
        <v>13.84</v>
      </c>
      <c r="E24" s="3">
        <v>2.08</v>
      </c>
      <c r="F24" s="3">
        <v>0</v>
      </c>
      <c r="G24" s="3">
        <v>1.64</v>
      </c>
      <c r="H24" s="3">
        <v>187</v>
      </c>
      <c r="I24" s="3">
        <v>6.1529999999999996</v>
      </c>
      <c r="J24" s="3">
        <v>5.8890000000000002</v>
      </c>
      <c r="K24" s="3">
        <v>1.9690000000000001</v>
      </c>
    </row>
    <row r="25" spans="2:11" x14ac:dyDescent="0.25">
      <c r="B25" s="2" t="s">
        <v>7453</v>
      </c>
      <c r="C25" s="2" t="s">
        <v>7454</v>
      </c>
      <c r="D25" s="3">
        <v>13.28</v>
      </c>
      <c r="E25" s="3">
        <v>25.28</v>
      </c>
      <c r="F25" s="3">
        <v>0.5</v>
      </c>
      <c r="G25" s="3">
        <v>1.98</v>
      </c>
      <c r="H25" s="3">
        <v>668</v>
      </c>
      <c r="I25" s="3">
        <v>8.1519999999999992</v>
      </c>
      <c r="J25" s="3">
        <v>7.9050000000000002</v>
      </c>
      <c r="K25" s="3">
        <v>3.1150000000000002</v>
      </c>
    </row>
    <row r="26" spans="2:11" x14ac:dyDescent="0.25">
      <c r="B26" s="2" t="s">
        <v>7455</v>
      </c>
      <c r="C26" s="2" t="s">
        <v>7456</v>
      </c>
      <c r="D26" s="3">
        <v>13.64</v>
      </c>
      <c r="E26" s="3">
        <v>21.67</v>
      </c>
      <c r="F26" s="3">
        <v>0.4</v>
      </c>
      <c r="G26" s="3">
        <v>2.13</v>
      </c>
      <c r="H26" s="3">
        <v>617</v>
      </c>
      <c r="I26" s="3">
        <v>3.5920000000000001</v>
      </c>
      <c r="J26" s="3">
        <v>2.7210000000000001</v>
      </c>
      <c r="K26" s="3">
        <v>1.7350000000000001</v>
      </c>
    </row>
    <row r="27" spans="2:11" x14ac:dyDescent="0.25">
      <c r="B27" s="2" t="s">
        <v>7457</v>
      </c>
      <c r="C27" s="2" t="s">
        <v>7458</v>
      </c>
      <c r="D27" s="3">
        <v>13.38</v>
      </c>
      <c r="E27" s="3">
        <v>17.440000000000001</v>
      </c>
      <c r="F27" s="3">
        <v>0.2</v>
      </c>
      <c r="G27" s="3">
        <v>1.49</v>
      </c>
      <c r="H27" s="3">
        <v>548</v>
      </c>
      <c r="I27" s="3">
        <v>6.9279999999999999</v>
      </c>
      <c r="J27" s="3">
        <v>6.7649999999999997</v>
      </c>
      <c r="K27" s="3">
        <v>2.7719999999999998</v>
      </c>
    </row>
    <row r="28" spans="2:11" x14ac:dyDescent="0.25">
      <c r="B28" s="2" t="s">
        <v>7459</v>
      </c>
      <c r="C28" s="2" t="s">
        <v>7460</v>
      </c>
      <c r="D28" s="3">
        <v>7.66</v>
      </c>
      <c r="E28" s="3">
        <v>26.7</v>
      </c>
      <c r="H28" s="3">
        <v>380</v>
      </c>
      <c r="I28" s="3">
        <v>5.74</v>
      </c>
      <c r="J28" s="3">
        <v>5.24</v>
      </c>
      <c r="K28" s="3">
        <v>1.81</v>
      </c>
    </row>
    <row r="29" spans="2:11" x14ac:dyDescent="0.25">
      <c r="B29" s="2" t="s">
        <v>7461</v>
      </c>
      <c r="C29" s="2" t="s">
        <v>7462</v>
      </c>
      <c r="D29" s="3">
        <v>6</v>
      </c>
      <c r="E29" s="3">
        <v>41.21</v>
      </c>
      <c r="F29" s="3">
        <v>1.4</v>
      </c>
      <c r="G29" s="3">
        <v>9.89</v>
      </c>
      <c r="H29" s="3">
        <v>400</v>
      </c>
      <c r="I29" s="3">
        <v>3.9889999999999999</v>
      </c>
      <c r="J29" s="3">
        <v>9.5020000000000007</v>
      </c>
      <c r="K29" s="3">
        <v>2.5659999999999998</v>
      </c>
    </row>
    <row r="30" spans="2:11" x14ac:dyDescent="0.25">
      <c r="B30" s="2" t="s">
        <v>7463</v>
      </c>
      <c r="C30" s="2" t="s">
        <v>7464</v>
      </c>
      <c r="D30" s="3">
        <v>2.58</v>
      </c>
      <c r="E30" s="3">
        <v>28.88</v>
      </c>
      <c r="F30" s="3">
        <v>2.7</v>
      </c>
      <c r="G30" s="3">
        <v>0.56000000000000005</v>
      </c>
      <c r="H30" s="3">
        <v>566</v>
      </c>
      <c r="I30" s="3">
        <v>2.54</v>
      </c>
      <c r="J30" s="3">
        <v>7.827</v>
      </c>
      <c r="K30" s="3">
        <v>5.665</v>
      </c>
    </row>
    <row r="31" spans="2:11" x14ac:dyDescent="0.25">
      <c r="B31" s="2" t="s">
        <v>7465</v>
      </c>
      <c r="C31" s="2" t="s">
        <v>7466</v>
      </c>
      <c r="D31" s="3">
        <v>4.24</v>
      </c>
      <c r="E31" s="3">
        <v>26.36</v>
      </c>
      <c r="F31" s="3">
        <v>0.1</v>
      </c>
      <c r="G31" s="3">
        <v>19.489999999999998</v>
      </c>
      <c r="H31" s="3">
        <v>81</v>
      </c>
      <c r="I31" s="3">
        <v>2.5419999999999998</v>
      </c>
      <c r="J31" s="3">
        <v>1.206</v>
      </c>
      <c r="K31" s="3">
        <v>0.29699999999999999</v>
      </c>
    </row>
    <row r="32" spans="2:11" x14ac:dyDescent="0.25">
      <c r="B32" s="2" t="s">
        <v>7467</v>
      </c>
      <c r="C32" s="2" t="s">
        <v>7468</v>
      </c>
      <c r="D32" s="3">
        <v>4.71</v>
      </c>
      <c r="E32" s="3">
        <v>31.81</v>
      </c>
      <c r="F32" s="3">
        <v>0</v>
      </c>
      <c r="H32" s="3">
        <v>126</v>
      </c>
      <c r="I32" s="3">
        <v>2.91</v>
      </c>
      <c r="J32" s="3">
        <v>1.9570000000000001</v>
      </c>
      <c r="K32" s="3">
        <v>0.65300000000000002</v>
      </c>
    </row>
    <row r="33" spans="2:11" x14ac:dyDescent="0.25">
      <c r="B33" s="2" t="s">
        <v>7469</v>
      </c>
      <c r="C33" s="2" t="s">
        <v>7470</v>
      </c>
      <c r="D33" s="3">
        <v>3.57</v>
      </c>
      <c r="E33" s="3">
        <v>30.17</v>
      </c>
      <c r="F33" s="3">
        <v>0</v>
      </c>
      <c r="H33" s="3">
        <v>115</v>
      </c>
      <c r="I33" s="3">
        <v>3.1789999999999998</v>
      </c>
      <c r="J33" s="3">
        <v>1.4750000000000001</v>
      </c>
      <c r="K33" s="3">
        <v>0.51100000000000001</v>
      </c>
    </row>
    <row r="34" spans="2:11" x14ac:dyDescent="0.25">
      <c r="B34" s="2" t="s">
        <v>7471</v>
      </c>
      <c r="C34" s="2" t="s">
        <v>7472</v>
      </c>
      <c r="D34" s="3">
        <v>4.09</v>
      </c>
      <c r="E34" s="3">
        <v>29.18</v>
      </c>
      <c r="F34" s="3">
        <v>0</v>
      </c>
      <c r="H34" s="3">
        <v>60</v>
      </c>
      <c r="I34" s="3">
        <v>2.444</v>
      </c>
      <c r="J34" s="3">
        <v>1.7390000000000001</v>
      </c>
      <c r="K34" s="3">
        <v>0.66700000000000004</v>
      </c>
    </row>
    <row r="35" spans="2:11" x14ac:dyDescent="0.25">
      <c r="B35" s="2" t="s">
        <v>7473</v>
      </c>
      <c r="C35" s="2" t="s">
        <v>7474</v>
      </c>
      <c r="D35" s="3">
        <v>7.84</v>
      </c>
      <c r="E35" s="3">
        <v>27.99</v>
      </c>
      <c r="F35" s="3">
        <v>0.7</v>
      </c>
      <c r="G35" s="3">
        <v>0.1</v>
      </c>
      <c r="H35" s="3">
        <v>897</v>
      </c>
      <c r="I35" s="3">
        <v>3.843</v>
      </c>
      <c r="J35" s="3">
        <v>11.904999999999999</v>
      </c>
      <c r="K35" s="3">
        <v>1.593</v>
      </c>
    </row>
    <row r="36" spans="2:11" x14ac:dyDescent="0.25">
      <c r="B36" s="2" t="s">
        <v>7475</v>
      </c>
      <c r="C36" s="2" t="s">
        <v>7476</v>
      </c>
      <c r="D36" s="3">
        <v>6.48</v>
      </c>
      <c r="E36" s="3">
        <v>32.92</v>
      </c>
      <c r="H36" s="3">
        <v>454</v>
      </c>
      <c r="I36" s="3">
        <v>3.1739999999999999</v>
      </c>
      <c r="J36" s="3">
        <v>2.1840000000000002</v>
      </c>
      <c r="K36" s="3">
        <v>0.55100000000000005</v>
      </c>
    </row>
    <row r="37" spans="2:11" x14ac:dyDescent="0.25">
      <c r="B37" s="2" t="s">
        <v>7477</v>
      </c>
      <c r="C37" s="2" t="s">
        <v>7478</v>
      </c>
      <c r="D37" s="3">
        <v>7.35</v>
      </c>
      <c r="E37" s="3">
        <v>31.23</v>
      </c>
      <c r="F37" s="3">
        <v>4.2</v>
      </c>
      <c r="G37" s="3">
        <v>1.73</v>
      </c>
      <c r="H37" s="3">
        <v>563</v>
      </c>
      <c r="I37" s="3">
        <v>2.3090000000000002</v>
      </c>
      <c r="J37" s="3">
        <v>1.258</v>
      </c>
      <c r="K37" s="3">
        <v>2.2290000000000001</v>
      </c>
    </row>
    <row r="38" spans="2:11" x14ac:dyDescent="0.25">
      <c r="B38" s="2" t="s">
        <v>7479</v>
      </c>
      <c r="C38" s="2" t="s">
        <v>7480</v>
      </c>
      <c r="D38" s="3">
        <v>11.52</v>
      </c>
      <c r="E38" s="3">
        <v>19.52</v>
      </c>
      <c r="F38" s="3">
        <v>3</v>
      </c>
      <c r="G38" s="3">
        <v>2.19</v>
      </c>
      <c r="H38" s="3">
        <v>570</v>
      </c>
      <c r="I38" s="3">
        <v>2.9049999999999998</v>
      </c>
      <c r="J38" s="3">
        <v>3.2570000000000001</v>
      </c>
      <c r="K38" s="3">
        <v>0.57699999999999996</v>
      </c>
    </row>
    <row r="39" spans="2:11" x14ac:dyDescent="0.25">
      <c r="B39" s="2" t="s">
        <v>7481</v>
      </c>
      <c r="C39" s="2" t="s">
        <v>7482</v>
      </c>
      <c r="D39" s="3">
        <v>7.03</v>
      </c>
      <c r="E39" s="3">
        <v>23.37</v>
      </c>
      <c r="F39" s="3">
        <v>3.7</v>
      </c>
      <c r="G39" s="3">
        <v>2.1</v>
      </c>
      <c r="H39" s="3">
        <v>451</v>
      </c>
      <c r="I39" s="3">
        <v>2.7330000000000001</v>
      </c>
      <c r="J39" s="3">
        <v>1.8029999999999999</v>
      </c>
      <c r="K39" s="3">
        <v>1.575</v>
      </c>
    </row>
    <row r="40" spans="2:11" x14ac:dyDescent="0.25">
      <c r="B40" s="2" t="s">
        <v>7483</v>
      </c>
      <c r="C40" s="2" t="s">
        <v>7484</v>
      </c>
      <c r="D40" s="3">
        <v>4.32</v>
      </c>
      <c r="E40" s="3">
        <v>34.909999999999997</v>
      </c>
      <c r="F40" s="3">
        <v>3.2</v>
      </c>
      <c r="G40" s="3">
        <v>2.17</v>
      </c>
      <c r="H40" s="3">
        <v>313</v>
      </c>
      <c r="I40" s="3">
        <v>2.173</v>
      </c>
      <c r="J40" s="3">
        <v>14.02</v>
      </c>
      <c r="K40" s="3">
        <v>5.04</v>
      </c>
    </row>
    <row r="41" spans="2:11" x14ac:dyDescent="0.25">
      <c r="B41" s="2" t="s">
        <v>7485</v>
      </c>
      <c r="C41" s="2" t="s">
        <v>7486</v>
      </c>
      <c r="D41" s="3">
        <v>6.21</v>
      </c>
      <c r="E41" s="3">
        <v>21.39</v>
      </c>
      <c r="F41" s="3">
        <v>3.7</v>
      </c>
      <c r="G41" s="3">
        <v>1.63</v>
      </c>
      <c r="H41" s="3">
        <v>348</v>
      </c>
      <c r="I41" s="3">
        <v>2.5489999999999999</v>
      </c>
      <c r="J41" s="3">
        <v>6.6609999999999996</v>
      </c>
      <c r="K41" s="3">
        <v>2.496</v>
      </c>
    </row>
    <row r="42" spans="2:11" x14ac:dyDescent="0.25">
      <c r="B42" s="2" t="s">
        <v>7487</v>
      </c>
      <c r="C42" s="2" t="s">
        <v>7488</v>
      </c>
      <c r="D42" s="3">
        <v>8.86</v>
      </c>
      <c r="E42" s="3">
        <v>19.850000000000001</v>
      </c>
      <c r="F42" s="3">
        <v>3.9</v>
      </c>
      <c r="G42" s="3">
        <v>0.9</v>
      </c>
      <c r="H42" s="3">
        <v>397</v>
      </c>
      <c r="I42" s="3">
        <v>4.3840000000000003</v>
      </c>
      <c r="J42" s="3">
        <v>4.4109999999999996</v>
      </c>
      <c r="K42" s="3">
        <v>3.0419999999999998</v>
      </c>
    </row>
    <row r="43" spans="2:11" x14ac:dyDescent="0.25">
      <c r="B43" s="2" t="s">
        <v>7489</v>
      </c>
      <c r="C43" s="2" t="s">
        <v>7490</v>
      </c>
      <c r="D43" s="3">
        <v>6.68</v>
      </c>
      <c r="E43" s="3">
        <v>11.91</v>
      </c>
      <c r="H43" s="3">
        <v>385</v>
      </c>
      <c r="I43" s="3">
        <v>3.4460000000000002</v>
      </c>
      <c r="J43" s="3">
        <v>2.6059999999999999</v>
      </c>
      <c r="K43" s="3">
        <v>0.88300000000000001</v>
      </c>
    </row>
    <row r="44" spans="2:11" x14ac:dyDescent="0.25">
      <c r="B44" s="2" t="s">
        <v>7491</v>
      </c>
      <c r="C44" s="2" t="s">
        <v>7492</v>
      </c>
      <c r="D44" s="3">
        <v>16.510000000000002</v>
      </c>
      <c r="E44" s="3">
        <v>28.03</v>
      </c>
      <c r="F44" s="3">
        <v>2</v>
      </c>
      <c r="G44" s="3">
        <v>4.88</v>
      </c>
      <c r="H44" s="3">
        <v>515</v>
      </c>
      <c r="I44" s="3">
        <v>6.4729999999999999</v>
      </c>
      <c r="J44" s="3">
        <v>5.4130000000000003</v>
      </c>
      <c r="K44" s="3">
        <v>1.6579999999999999</v>
      </c>
    </row>
    <row r="45" spans="2:11" x14ac:dyDescent="0.25">
      <c r="B45" s="2" t="s">
        <v>7493</v>
      </c>
      <c r="C45" s="2" t="s">
        <v>7494</v>
      </c>
      <c r="D45" s="3">
        <v>13.49</v>
      </c>
      <c r="E45" s="3">
        <v>25.46</v>
      </c>
      <c r="F45" s="3">
        <v>1.9</v>
      </c>
      <c r="G45" s="3">
        <v>5.24</v>
      </c>
      <c r="H45" s="3">
        <v>628</v>
      </c>
      <c r="I45" s="3">
        <v>5.7969999999999997</v>
      </c>
      <c r="J45" s="3">
        <v>5.0350000000000001</v>
      </c>
      <c r="K45" s="3">
        <v>1.363</v>
      </c>
    </row>
    <row r="46" spans="2:11" x14ac:dyDescent="0.25">
      <c r="B46" s="2" t="s">
        <v>7495</v>
      </c>
      <c r="C46" s="2" t="s">
        <v>7496</v>
      </c>
      <c r="D46" s="3">
        <v>13.06</v>
      </c>
      <c r="E46" s="3">
        <v>24.97</v>
      </c>
      <c r="F46" s="3">
        <v>1.4</v>
      </c>
      <c r="G46" s="3">
        <v>5.1100000000000003</v>
      </c>
      <c r="H46" s="3">
        <v>546</v>
      </c>
      <c r="I46" s="3">
        <v>5.181</v>
      </c>
      <c r="J46" s="3">
        <v>4.3979999999999997</v>
      </c>
      <c r="K46" s="3">
        <v>1.181</v>
      </c>
    </row>
    <row r="47" spans="2:11" x14ac:dyDescent="0.25">
      <c r="B47" s="2" t="s">
        <v>7497</v>
      </c>
      <c r="C47" s="2" t="s">
        <v>7498</v>
      </c>
      <c r="D47" s="3">
        <v>17.16</v>
      </c>
      <c r="E47" s="3">
        <v>20.8</v>
      </c>
      <c r="F47" s="3">
        <v>0.7</v>
      </c>
      <c r="G47" s="3">
        <v>4.0199999999999996</v>
      </c>
      <c r="H47" s="3">
        <v>621</v>
      </c>
      <c r="I47" s="3">
        <v>7.08</v>
      </c>
      <c r="J47" s="3">
        <v>5.7939999999999996</v>
      </c>
      <c r="K47" s="3">
        <v>0.56200000000000006</v>
      </c>
    </row>
    <row r="48" spans="2:11" x14ac:dyDescent="0.25">
      <c r="B48" s="2" t="s">
        <v>7499</v>
      </c>
      <c r="C48" s="2" t="s">
        <v>7500</v>
      </c>
      <c r="D48" s="3">
        <v>12.8</v>
      </c>
      <c r="E48" s="3">
        <v>21.2</v>
      </c>
      <c r="H48" s="3">
        <v>633</v>
      </c>
      <c r="I48" s="3">
        <v>5.2510000000000003</v>
      </c>
      <c r="J48" s="3">
        <v>4.7039999999999997</v>
      </c>
      <c r="K48" s="3">
        <v>1.601</v>
      </c>
    </row>
    <row r="49" spans="2:11" x14ac:dyDescent="0.25">
      <c r="B49" s="2" t="s">
        <v>7501</v>
      </c>
      <c r="C49" s="2" t="s">
        <v>7502</v>
      </c>
      <c r="D49" s="3">
        <v>16.239999999999998</v>
      </c>
      <c r="E49" s="3">
        <v>17.97</v>
      </c>
      <c r="F49" s="3">
        <v>1</v>
      </c>
      <c r="G49" s="3">
        <v>4.16</v>
      </c>
      <c r="H49" s="3">
        <v>617</v>
      </c>
      <c r="I49" s="3">
        <v>6.96</v>
      </c>
      <c r="J49" s="3">
        <v>6.0010000000000003</v>
      </c>
      <c r="K49" s="3">
        <v>1.3140000000000001</v>
      </c>
    </row>
    <row r="50" spans="2:11" x14ac:dyDescent="0.25">
      <c r="B50" s="2" t="s">
        <v>7503</v>
      </c>
      <c r="C50" s="2" t="s">
        <v>7504</v>
      </c>
      <c r="D50" s="3">
        <v>13.04</v>
      </c>
      <c r="E50" s="3">
        <v>23.3</v>
      </c>
      <c r="H50" s="3">
        <v>404</v>
      </c>
      <c r="I50" s="3">
        <v>5.6</v>
      </c>
      <c r="J50" s="3">
        <v>5.5430000000000001</v>
      </c>
      <c r="K50" s="3">
        <v>2.7919999999999998</v>
      </c>
    </row>
    <row r="51" spans="2:11" x14ac:dyDescent="0.25">
      <c r="B51" s="2" t="s">
        <v>7505</v>
      </c>
      <c r="C51" s="2" t="s">
        <v>7506</v>
      </c>
      <c r="D51" s="3">
        <v>17.29</v>
      </c>
      <c r="E51" s="3">
        <v>24.07</v>
      </c>
      <c r="F51" s="3">
        <v>1.7</v>
      </c>
      <c r="G51" s="3">
        <v>4.67</v>
      </c>
      <c r="H51" s="3">
        <v>481</v>
      </c>
      <c r="I51" s="3">
        <v>6.8730000000000002</v>
      </c>
      <c r="J51" s="3">
        <v>5.7690000000000001</v>
      </c>
      <c r="K51" s="3">
        <v>1.502</v>
      </c>
    </row>
    <row r="52" spans="2:11" x14ac:dyDescent="0.25">
      <c r="B52" s="2" t="s">
        <v>7507</v>
      </c>
      <c r="C52" s="2" t="s">
        <v>7508</v>
      </c>
      <c r="D52" s="3">
        <v>15.78</v>
      </c>
      <c r="E52" s="3">
        <v>18.89</v>
      </c>
      <c r="F52" s="3">
        <v>1.3</v>
      </c>
      <c r="G52" s="3">
        <v>4.63</v>
      </c>
      <c r="H52" s="3">
        <v>674</v>
      </c>
      <c r="I52" s="3">
        <v>6.1260000000000003</v>
      </c>
      <c r="J52" s="3">
        <v>5.4269999999999996</v>
      </c>
      <c r="K52" s="3">
        <v>0.67200000000000004</v>
      </c>
    </row>
    <row r="53" spans="2:11" x14ac:dyDescent="0.25">
      <c r="B53" s="2" t="s">
        <v>7509</v>
      </c>
      <c r="C53" s="2" t="s">
        <v>7510</v>
      </c>
      <c r="D53" s="3">
        <v>11.59</v>
      </c>
      <c r="E53" s="3">
        <v>16.809999999999999</v>
      </c>
      <c r="F53" s="3">
        <v>1.4</v>
      </c>
      <c r="G53" s="3">
        <v>4</v>
      </c>
      <c r="H53" s="3">
        <v>385</v>
      </c>
      <c r="I53" s="3">
        <v>3.8929999999999998</v>
      </c>
      <c r="J53" s="3">
        <v>3.5179999999999998</v>
      </c>
      <c r="K53" s="3">
        <v>0.29799999999999999</v>
      </c>
    </row>
    <row r="54" spans="2:11" x14ac:dyDescent="0.25">
      <c r="B54" s="2" t="s">
        <v>7511</v>
      </c>
      <c r="C54" s="2" t="s">
        <v>7512</v>
      </c>
      <c r="D54" s="3">
        <v>15.55</v>
      </c>
      <c r="E54" s="3">
        <v>13.01</v>
      </c>
      <c r="H54" s="3">
        <v>674</v>
      </c>
      <c r="I54" s="3">
        <v>8.3170000000000002</v>
      </c>
      <c r="J54" s="3">
        <v>7.4290000000000003</v>
      </c>
      <c r="K54" s="3">
        <v>1.516</v>
      </c>
    </row>
    <row r="55" spans="2:11" x14ac:dyDescent="0.25">
      <c r="B55" s="2" t="s">
        <v>7513</v>
      </c>
      <c r="C55" s="2" t="s">
        <v>7514</v>
      </c>
      <c r="D55" s="3">
        <v>14.72</v>
      </c>
      <c r="E55" s="3">
        <v>15.37</v>
      </c>
      <c r="H55" s="3">
        <v>445</v>
      </c>
      <c r="I55" s="3">
        <v>6.85</v>
      </c>
      <c r="J55" s="3">
        <v>6.726</v>
      </c>
      <c r="K55" s="3">
        <v>1.821</v>
      </c>
    </row>
    <row r="56" spans="2:11" x14ac:dyDescent="0.25">
      <c r="B56" s="2" t="s">
        <v>7515</v>
      </c>
      <c r="C56" s="2" t="s">
        <v>7516</v>
      </c>
      <c r="D56" s="3">
        <v>18.2</v>
      </c>
      <c r="E56" s="3">
        <v>16.16</v>
      </c>
      <c r="F56" s="3">
        <v>0.5</v>
      </c>
      <c r="G56" s="3">
        <v>3.29</v>
      </c>
      <c r="H56" s="3">
        <v>637</v>
      </c>
      <c r="I56" s="3">
        <v>8.0150000000000006</v>
      </c>
      <c r="J56" s="3">
        <v>6.5590000000000002</v>
      </c>
      <c r="K56" s="3">
        <v>0.63700000000000001</v>
      </c>
    </row>
    <row r="57" spans="2:11" x14ac:dyDescent="0.25">
      <c r="B57" s="2" t="s">
        <v>7517</v>
      </c>
      <c r="C57" s="2" t="s">
        <v>7518</v>
      </c>
      <c r="D57" s="3">
        <v>16.28</v>
      </c>
      <c r="E57" s="3">
        <v>20.89</v>
      </c>
      <c r="F57" s="3">
        <v>1.4</v>
      </c>
      <c r="G57" s="3">
        <v>3.64</v>
      </c>
      <c r="H57" s="3">
        <v>753</v>
      </c>
      <c r="I57" s="3">
        <v>2.1230000000000002</v>
      </c>
      <c r="J57" s="3">
        <v>4.4809999999999999</v>
      </c>
      <c r="K57" s="3">
        <v>3.177</v>
      </c>
    </row>
    <row r="58" spans="2:11" x14ac:dyDescent="0.25">
      <c r="B58" s="2" t="s">
        <v>7519</v>
      </c>
      <c r="C58" s="2" t="s">
        <v>7520</v>
      </c>
      <c r="D58" s="3">
        <v>10.29</v>
      </c>
      <c r="E58" s="3">
        <v>26.69</v>
      </c>
      <c r="F58" s="3">
        <v>1</v>
      </c>
      <c r="G58" s="3">
        <v>3.53</v>
      </c>
      <c r="H58" s="3">
        <v>602</v>
      </c>
      <c r="I58" s="3">
        <v>1.9490000000000001</v>
      </c>
      <c r="J58" s="3">
        <v>2.5950000000000002</v>
      </c>
      <c r="K58" s="3">
        <v>6.2569999999999997</v>
      </c>
    </row>
    <row r="59" spans="2:11" x14ac:dyDescent="0.25">
      <c r="B59" s="2" t="s">
        <v>7521</v>
      </c>
      <c r="C59" s="2" t="s">
        <v>7522</v>
      </c>
      <c r="D59" s="3">
        <v>11.26</v>
      </c>
      <c r="E59" s="3">
        <v>26.39</v>
      </c>
      <c r="F59" s="3">
        <v>0.8</v>
      </c>
      <c r="G59" s="3">
        <v>3.67</v>
      </c>
      <c r="H59" s="3">
        <v>434</v>
      </c>
      <c r="I59" s="3">
        <v>2.8330000000000002</v>
      </c>
      <c r="J59" s="3">
        <v>4.0049999999999999</v>
      </c>
      <c r="K59" s="3">
        <v>5.952</v>
      </c>
    </row>
    <row r="60" spans="2:11" x14ac:dyDescent="0.25">
      <c r="B60" s="2" t="s">
        <v>7523</v>
      </c>
      <c r="C60" s="2" t="s">
        <v>7524</v>
      </c>
      <c r="D60" s="3">
        <v>16.52</v>
      </c>
      <c r="E60" s="3">
        <v>31.5</v>
      </c>
      <c r="F60" s="3">
        <v>1.7</v>
      </c>
      <c r="G60" s="3">
        <v>4.88</v>
      </c>
      <c r="H60" s="3">
        <v>331</v>
      </c>
      <c r="I60" s="3">
        <v>4.4930000000000003</v>
      </c>
      <c r="J60" s="3">
        <v>4.835</v>
      </c>
      <c r="K60" s="3">
        <v>1.68</v>
      </c>
    </row>
    <row r="61" spans="2:11" x14ac:dyDescent="0.25">
      <c r="B61" s="2" t="s">
        <v>7525</v>
      </c>
      <c r="C61" s="2" t="s">
        <v>7526</v>
      </c>
      <c r="D61" s="3">
        <v>13.3</v>
      </c>
      <c r="E61" s="3">
        <v>29.57</v>
      </c>
      <c r="F61" s="3">
        <v>1.8</v>
      </c>
      <c r="G61" s="3">
        <v>5.95</v>
      </c>
      <c r="H61" s="3">
        <v>487</v>
      </c>
      <c r="I61" s="3">
        <v>3.5670000000000002</v>
      </c>
      <c r="J61" s="3">
        <v>3.8639999999999999</v>
      </c>
      <c r="K61" s="3">
        <v>1.385</v>
      </c>
    </row>
    <row r="62" spans="2:11" x14ac:dyDescent="0.25">
      <c r="B62" s="2" t="s">
        <v>7527</v>
      </c>
      <c r="C62" s="2" t="s">
        <v>7528</v>
      </c>
      <c r="D62" s="3">
        <v>11.74</v>
      </c>
      <c r="E62" s="3">
        <v>24.81</v>
      </c>
      <c r="H62" s="3">
        <v>458</v>
      </c>
      <c r="I62" s="3">
        <v>3.7549999999999999</v>
      </c>
      <c r="J62" s="3">
        <v>4.8090000000000002</v>
      </c>
      <c r="K62" s="3">
        <v>2.343</v>
      </c>
    </row>
    <row r="63" spans="2:11" x14ac:dyDescent="0.25">
      <c r="B63" s="2" t="s">
        <v>7529</v>
      </c>
      <c r="C63" s="2" t="s">
        <v>7530</v>
      </c>
      <c r="D63" s="3">
        <v>17.079999999999998</v>
      </c>
      <c r="E63" s="3">
        <v>24.1</v>
      </c>
      <c r="F63" s="3">
        <v>0.9</v>
      </c>
      <c r="G63" s="3">
        <v>4.1500000000000004</v>
      </c>
      <c r="H63" s="3">
        <v>414</v>
      </c>
      <c r="I63" s="3">
        <v>5.0960000000000001</v>
      </c>
      <c r="J63" s="3">
        <v>5.4950000000000001</v>
      </c>
      <c r="K63" s="3">
        <v>0.38</v>
      </c>
    </row>
    <row r="64" spans="2:11" x14ac:dyDescent="0.25">
      <c r="B64" s="2" t="s">
        <v>7531</v>
      </c>
      <c r="C64" s="2" t="s">
        <v>7532</v>
      </c>
      <c r="D64" s="3">
        <v>14.8</v>
      </c>
      <c r="E64" s="3">
        <v>18.02</v>
      </c>
      <c r="H64" s="3">
        <v>345</v>
      </c>
      <c r="I64" s="3">
        <v>5.5819999999999999</v>
      </c>
      <c r="J64" s="3">
        <v>6.5709999999999997</v>
      </c>
      <c r="K64" s="3">
        <v>1.286</v>
      </c>
    </row>
    <row r="65" spans="2:11" x14ac:dyDescent="0.25">
      <c r="B65" s="2" t="s">
        <v>7533</v>
      </c>
      <c r="C65" s="2" t="s">
        <v>7534</v>
      </c>
      <c r="D65" s="3">
        <v>16.510000000000002</v>
      </c>
      <c r="E65" s="3">
        <v>23.16</v>
      </c>
      <c r="H65" s="3">
        <v>346</v>
      </c>
      <c r="I65" s="3">
        <v>6.12</v>
      </c>
      <c r="J65" s="3">
        <v>7.21</v>
      </c>
      <c r="K65" s="3">
        <v>1.56</v>
      </c>
    </row>
    <row r="66" spans="2:11" x14ac:dyDescent="0.25">
      <c r="B66" s="2" t="s">
        <v>7535</v>
      </c>
      <c r="C66" s="2" t="s">
        <v>7536</v>
      </c>
      <c r="D66" s="3">
        <v>11.85</v>
      </c>
      <c r="E66" s="3">
        <v>18.350000000000001</v>
      </c>
      <c r="H66" s="3">
        <v>378</v>
      </c>
      <c r="I66" s="3">
        <v>4.78</v>
      </c>
      <c r="J66" s="3">
        <v>5.24</v>
      </c>
      <c r="K66" s="3">
        <v>1.01</v>
      </c>
    </row>
    <row r="67" spans="2:11" x14ac:dyDescent="0.25">
      <c r="B67" s="2" t="s">
        <v>7537</v>
      </c>
      <c r="C67" s="2" t="s">
        <v>7538</v>
      </c>
      <c r="D67" s="3">
        <v>15.17</v>
      </c>
      <c r="E67" s="3">
        <v>17.82</v>
      </c>
      <c r="H67" s="3">
        <v>350</v>
      </c>
      <c r="I67" s="3">
        <v>4.6539999999999999</v>
      </c>
      <c r="J67" s="3">
        <v>4.57</v>
      </c>
      <c r="K67" s="3">
        <v>1.2370000000000001</v>
      </c>
    </row>
    <row r="68" spans="2:11" x14ac:dyDescent="0.25">
      <c r="B68" s="2" t="s">
        <v>7539</v>
      </c>
      <c r="C68" s="2" t="s">
        <v>7540</v>
      </c>
      <c r="D68" s="3">
        <v>19.3</v>
      </c>
      <c r="E68" s="3">
        <v>11.04</v>
      </c>
      <c r="H68" s="3">
        <v>275</v>
      </c>
      <c r="I68" s="3">
        <v>6.1470000000000002</v>
      </c>
      <c r="J68" s="3">
        <v>7.04</v>
      </c>
      <c r="K68" s="3">
        <v>1.0589999999999999</v>
      </c>
    </row>
    <row r="69" spans="2:11" x14ac:dyDescent="0.25">
      <c r="B69" s="2" t="s">
        <v>7541</v>
      </c>
      <c r="C69" s="2" t="s">
        <v>7542</v>
      </c>
      <c r="D69" s="3">
        <v>10.6</v>
      </c>
      <c r="E69" s="3">
        <v>18.399999999999999</v>
      </c>
      <c r="H69" s="3">
        <v>684</v>
      </c>
      <c r="I69" s="3">
        <v>5.2130000000000001</v>
      </c>
      <c r="J69" s="3">
        <v>6.9930000000000003</v>
      </c>
      <c r="K69" s="3">
        <v>1.7410000000000001</v>
      </c>
    </row>
    <row r="70" spans="2:11" x14ac:dyDescent="0.25">
      <c r="B70" s="2" t="s">
        <v>7543</v>
      </c>
      <c r="C70" s="2" t="s">
        <v>7544</v>
      </c>
      <c r="D70" s="3">
        <v>11.85</v>
      </c>
      <c r="E70" s="3">
        <v>27.45</v>
      </c>
      <c r="H70" s="3">
        <v>421</v>
      </c>
      <c r="I70" s="3">
        <v>4.258</v>
      </c>
      <c r="J70" s="3">
        <v>5.7850000000000001</v>
      </c>
      <c r="K70" s="3">
        <v>1.042</v>
      </c>
    </row>
    <row r="71" spans="2:11" x14ac:dyDescent="0.25">
      <c r="B71" s="2" t="s">
        <v>7545</v>
      </c>
      <c r="C71" s="2" t="s">
        <v>7546</v>
      </c>
      <c r="D71" s="3">
        <v>9.6</v>
      </c>
      <c r="E71" s="3">
        <v>31.88</v>
      </c>
      <c r="H71" s="3">
        <v>556</v>
      </c>
      <c r="I71" s="3">
        <v>2.9489999999999998</v>
      </c>
      <c r="J71" s="3">
        <v>5.2050000000000001</v>
      </c>
      <c r="K71" s="3">
        <v>1.998</v>
      </c>
    </row>
    <row r="72" spans="2:11" x14ac:dyDescent="0.25">
      <c r="B72" s="2" t="s">
        <v>7547</v>
      </c>
      <c r="C72" s="2" t="s">
        <v>7548</v>
      </c>
      <c r="D72" s="3">
        <v>15.17</v>
      </c>
      <c r="E72" s="3">
        <v>22.21</v>
      </c>
      <c r="F72" s="3">
        <v>1.3</v>
      </c>
      <c r="G72" s="3">
        <v>3.84</v>
      </c>
      <c r="H72" s="3">
        <v>653</v>
      </c>
      <c r="I72" s="3">
        <v>3.399</v>
      </c>
      <c r="J72" s="3">
        <v>3.9870000000000001</v>
      </c>
      <c r="K72" s="3">
        <v>1.762</v>
      </c>
    </row>
    <row r="73" spans="2:11" x14ac:dyDescent="0.25">
      <c r="B73" s="2" t="s">
        <v>7549</v>
      </c>
      <c r="C73" s="2" t="s">
        <v>7550</v>
      </c>
      <c r="D73" s="3">
        <v>10.52</v>
      </c>
      <c r="E73" s="3">
        <v>20.43</v>
      </c>
      <c r="F73" s="3">
        <v>1.2</v>
      </c>
      <c r="G73" s="3">
        <v>3.18</v>
      </c>
      <c r="H73" s="3">
        <v>575</v>
      </c>
      <c r="I73" s="3">
        <v>3.5539999999999998</v>
      </c>
      <c r="J73" s="3">
        <v>3.7160000000000002</v>
      </c>
      <c r="K73" s="3">
        <v>1.927</v>
      </c>
    </row>
    <row r="74" spans="2:11" x14ac:dyDescent="0.25">
      <c r="B74" s="2" t="s">
        <v>7551</v>
      </c>
      <c r="C74" s="2" t="s">
        <v>7552</v>
      </c>
      <c r="D74" s="3">
        <v>12.17</v>
      </c>
      <c r="E74" s="3">
        <v>20.34</v>
      </c>
      <c r="F74" s="3">
        <v>0.7</v>
      </c>
      <c r="G74" s="3">
        <v>3</v>
      </c>
      <c r="H74" s="3">
        <v>329</v>
      </c>
      <c r="I74" s="3">
        <v>0.97199999999999998</v>
      </c>
      <c r="J74" s="3">
        <v>0.78900000000000003</v>
      </c>
      <c r="K74" s="3">
        <v>0.71799999999999997</v>
      </c>
    </row>
    <row r="75" spans="2:11" x14ac:dyDescent="0.25">
      <c r="B75" s="2" t="s">
        <v>7553</v>
      </c>
      <c r="C75" s="2" t="s">
        <v>7554</v>
      </c>
      <c r="D75" s="3">
        <v>12.33</v>
      </c>
      <c r="E75" s="3">
        <v>15.95</v>
      </c>
      <c r="F75" s="3">
        <v>0.7</v>
      </c>
      <c r="G75" s="3">
        <v>1.93</v>
      </c>
      <c r="H75" s="3">
        <v>329</v>
      </c>
      <c r="I75" s="3">
        <v>2.0590000000000002</v>
      </c>
      <c r="J75" s="3">
        <v>2.6629999999999998</v>
      </c>
      <c r="K75" s="3">
        <v>6.4790000000000001</v>
      </c>
    </row>
    <row r="76" spans="2:11" x14ac:dyDescent="0.25">
      <c r="B76" s="2" t="s">
        <v>7555</v>
      </c>
      <c r="C76" s="2" t="s">
        <v>7556</v>
      </c>
      <c r="D76" s="3">
        <v>0.95</v>
      </c>
      <c r="E76" s="3">
        <v>14.89</v>
      </c>
      <c r="F76" s="3">
        <v>1.9</v>
      </c>
      <c r="G76" s="3">
        <v>12.19</v>
      </c>
      <c r="H76" s="3">
        <v>203</v>
      </c>
      <c r="I76" s="3">
        <v>1.599</v>
      </c>
      <c r="J76" s="3">
        <v>2.6709999999999998</v>
      </c>
      <c r="K76" s="3">
        <v>5.3479999999999999</v>
      </c>
    </row>
    <row r="77" spans="2:11" x14ac:dyDescent="0.25">
      <c r="B77" s="2" t="s">
        <v>7557</v>
      </c>
      <c r="C77" s="2" t="s">
        <v>7558</v>
      </c>
      <c r="D77" s="3">
        <v>6.16</v>
      </c>
      <c r="E77" s="3">
        <v>40.21</v>
      </c>
      <c r="F77" s="3">
        <v>2.9</v>
      </c>
      <c r="G77" s="3">
        <v>3.8</v>
      </c>
      <c r="H77" s="3">
        <v>813</v>
      </c>
      <c r="I77" s="3">
        <v>2.621</v>
      </c>
      <c r="J77" s="3">
        <v>7.806</v>
      </c>
      <c r="K77" s="3">
        <v>1.762</v>
      </c>
    </row>
    <row r="78" spans="2:11" x14ac:dyDescent="0.25">
      <c r="B78" s="2" t="s">
        <v>7559</v>
      </c>
      <c r="C78" s="2" t="s">
        <v>7560</v>
      </c>
      <c r="D78" s="3">
        <v>3.86</v>
      </c>
      <c r="E78" s="3">
        <v>43.58</v>
      </c>
      <c r="F78" s="3">
        <v>2.7</v>
      </c>
      <c r="G78" s="3">
        <v>5.43</v>
      </c>
      <c r="H78" s="3">
        <v>776</v>
      </c>
      <c r="I78" s="3">
        <v>4.194</v>
      </c>
      <c r="J78" s="3">
        <v>6.8849999999999998</v>
      </c>
      <c r="K78" s="3">
        <v>12.148999999999999</v>
      </c>
    </row>
    <row r="79" spans="2:11" x14ac:dyDescent="0.25">
      <c r="B79" s="2" t="s">
        <v>7561</v>
      </c>
      <c r="C79" s="2" t="s">
        <v>7562</v>
      </c>
      <c r="D79" s="3">
        <v>3.43</v>
      </c>
      <c r="E79" s="3">
        <v>41.44</v>
      </c>
      <c r="F79" s="3">
        <v>3.8</v>
      </c>
      <c r="G79" s="3">
        <v>0.3</v>
      </c>
      <c r="H79" s="3">
        <v>210</v>
      </c>
      <c r="I79" s="3">
        <v>2.3359999999999999</v>
      </c>
      <c r="J79" s="3">
        <v>5.9690000000000003</v>
      </c>
      <c r="K79" s="3">
        <v>5.3979999999999997</v>
      </c>
    </row>
    <row r="80" spans="2:11" x14ac:dyDescent="0.25">
      <c r="B80" s="2" t="s">
        <v>7563</v>
      </c>
      <c r="C80" s="2" t="s">
        <v>7564</v>
      </c>
      <c r="D80" s="3">
        <v>1.65</v>
      </c>
      <c r="E80" s="3">
        <v>14.65</v>
      </c>
      <c r="F80" s="3">
        <v>1.3</v>
      </c>
      <c r="G80" s="3">
        <v>0.5</v>
      </c>
      <c r="H80" s="3">
        <v>306</v>
      </c>
      <c r="I80" s="3">
        <v>0.57699999999999996</v>
      </c>
      <c r="J80" s="3">
        <v>0.72</v>
      </c>
      <c r="K80" s="3">
        <v>1.3420000000000001</v>
      </c>
    </row>
    <row r="81" spans="2:11" x14ac:dyDescent="0.25">
      <c r="B81" s="2" t="s">
        <v>7565</v>
      </c>
      <c r="C81" s="2" t="s">
        <v>7566</v>
      </c>
      <c r="D81" s="3">
        <v>1.53</v>
      </c>
      <c r="E81" s="3">
        <v>13.53</v>
      </c>
      <c r="H81" s="3">
        <v>328</v>
      </c>
      <c r="I81" s="3">
        <v>1.03</v>
      </c>
      <c r="J81" s="3">
        <v>1.69</v>
      </c>
      <c r="K81" s="3">
        <v>3.02</v>
      </c>
    </row>
    <row r="82" spans="2:11" x14ac:dyDescent="0.25">
      <c r="B82" s="2" t="s">
        <v>7567</v>
      </c>
      <c r="C82" s="2" t="s">
        <v>7568</v>
      </c>
      <c r="D82" s="3">
        <v>3.19</v>
      </c>
      <c r="E82" s="3">
        <v>19.03</v>
      </c>
      <c r="F82" s="3">
        <v>0</v>
      </c>
      <c r="G82" s="3">
        <v>11.67</v>
      </c>
      <c r="H82" s="3">
        <v>100</v>
      </c>
      <c r="I82" s="3">
        <v>5.335</v>
      </c>
      <c r="J82" s="3">
        <v>2.4700000000000002</v>
      </c>
      <c r="K82" s="3">
        <v>0.434</v>
      </c>
    </row>
    <row r="83" spans="2:11" x14ac:dyDescent="0.25">
      <c r="B83" s="2" t="s">
        <v>7569</v>
      </c>
      <c r="C83" s="2" t="s">
        <v>7570</v>
      </c>
      <c r="D83" s="3">
        <v>7.08</v>
      </c>
      <c r="E83" s="3">
        <v>42.82</v>
      </c>
      <c r="F83" s="3">
        <v>2.5</v>
      </c>
      <c r="G83" s="3">
        <v>3.88</v>
      </c>
      <c r="H83" s="3">
        <v>979</v>
      </c>
      <c r="I83" s="3">
        <v>11.803000000000001</v>
      </c>
      <c r="J83" s="3">
        <v>2.4870000000000001</v>
      </c>
      <c r="K83" s="3">
        <v>2.1989999999999998</v>
      </c>
    </row>
    <row r="84" spans="2:11" x14ac:dyDescent="0.25">
      <c r="B84" s="2" t="s">
        <v>7571</v>
      </c>
      <c r="C84" s="2" t="s">
        <v>7572</v>
      </c>
      <c r="D84" s="3">
        <v>21.4</v>
      </c>
      <c r="E84" s="3">
        <v>10.39</v>
      </c>
      <c r="F84" s="3">
        <v>0.9</v>
      </c>
      <c r="G84" s="3">
        <v>1.24</v>
      </c>
      <c r="H84" s="3">
        <v>577</v>
      </c>
      <c r="I84" s="3">
        <v>2.0569999999999999</v>
      </c>
      <c r="J84" s="3">
        <v>6.165</v>
      </c>
      <c r="K84" s="3">
        <v>2.4089999999999998</v>
      </c>
    </row>
    <row r="85" spans="2:11" x14ac:dyDescent="0.25">
      <c r="B85" s="2" t="s">
        <v>7573</v>
      </c>
      <c r="C85" s="2" t="s">
        <v>7574</v>
      </c>
      <c r="D85" s="3">
        <v>3</v>
      </c>
      <c r="E85" s="3">
        <v>30.51</v>
      </c>
      <c r="F85" s="3">
        <v>3.2</v>
      </c>
      <c r="G85" s="3">
        <v>0.54</v>
      </c>
      <c r="H85" s="3">
        <v>454</v>
      </c>
      <c r="I85" s="3">
        <v>2.778</v>
      </c>
      <c r="J85" s="3">
        <v>10.7</v>
      </c>
      <c r="K85" s="3">
        <v>3.887</v>
      </c>
    </row>
    <row r="86" spans="2:11" x14ac:dyDescent="0.25">
      <c r="B86" s="2" t="s">
        <v>7575</v>
      </c>
      <c r="C86" s="2" t="s">
        <v>7576</v>
      </c>
      <c r="D86" s="3">
        <v>13.89</v>
      </c>
      <c r="E86" s="3">
        <v>27.1</v>
      </c>
      <c r="F86" s="3">
        <v>2.7</v>
      </c>
      <c r="G86" s="3">
        <v>4.7699999999999996</v>
      </c>
      <c r="H86" s="3">
        <v>400</v>
      </c>
      <c r="I86" s="3">
        <v>4.1399999999999997</v>
      </c>
      <c r="J86" s="3">
        <v>2.29</v>
      </c>
      <c r="K86" s="3">
        <v>1.04</v>
      </c>
    </row>
    <row r="87" spans="2:11" x14ac:dyDescent="0.25">
      <c r="B87" s="2" t="s">
        <v>7577</v>
      </c>
      <c r="C87" s="2" t="s">
        <v>7578</v>
      </c>
      <c r="D87" s="3">
        <v>13.63</v>
      </c>
      <c r="E87" s="3">
        <v>27.35</v>
      </c>
      <c r="F87" s="3">
        <v>4.0999999999999996</v>
      </c>
      <c r="G87" s="3">
        <v>3.83</v>
      </c>
      <c r="H87" s="3">
        <v>450</v>
      </c>
      <c r="I87" s="3">
        <v>3.99</v>
      </c>
      <c r="J87" s="3">
        <v>2.75</v>
      </c>
      <c r="K87" s="3">
        <v>1.1499999999999999</v>
      </c>
    </row>
    <row r="88" spans="2:11" x14ac:dyDescent="0.25">
      <c r="B88" s="2" t="s">
        <v>7579</v>
      </c>
      <c r="C88" s="2" t="s">
        <v>7580</v>
      </c>
      <c r="D88" s="3">
        <v>12.08</v>
      </c>
      <c r="E88" s="3">
        <v>29.27</v>
      </c>
      <c r="F88" s="3">
        <v>3.8</v>
      </c>
      <c r="G88" s="3">
        <v>6.76</v>
      </c>
      <c r="H88" s="3">
        <v>400</v>
      </c>
      <c r="I88" s="3">
        <v>2.79</v>
      </c>
      <c r="J88" s="3">
        <v>1.7</v>
      </c>
      <c r="K88" s="3">
        <v>2.2999999999999998</v>
      </c>
    </row>
    <row r="89" spans="2:11" x14ac:dyDescent="0.25">
      <c r="B89" s="2" t="s">
        <v>7581</v>
      </c>
      <c r="C89" s="2" t="s">
        <v>7582</v>
      </c>
      <c r="D89" s="3">
        <v>12.14</v>
      </c>
      <c r="E89" s="3">
        <v>28.84</v>
      </c>
      <c r="F89" s="3">
        <v>4.0999999999999996</v>
      </c>
      <c r="G89" s="3">
        <v>7.24</v>
      </c>
      <c r="H89" s="3">
        <v>470</v>
      </c>
      <c r="I89" s="3">
        <v>2.81</v>
      </c>
      <c r="J89" s="3">
        <v>2.12</v>
      </c>
      <c r="K89" s="3">
        <v>2.23</v>
      </c>
    </row>
    <row r="90" spans="2:11" x14ac:dyDescent="0.25">
      <c r="B90" s="2" t="s">
        <v>7583</v>
      </c>
      <c r="C90" s="2" t="s">
        <v>7584</v>
      </c>
      <c r="D90" s="3">
        <v>10.39</v>
      </c>
      <c r="E90" s="3">
        <v>26.99</v>
      </c>
      <c r="F90" s="3">
        <v>2</v>
      </c>
      <c r="G90" s="3">
        <v>5.87</v>
      </c>
      <c r="H90" s="3">
        <v>600</v>
      </c>
      <c r="I90" s="3">
        <v>3.47</v>
      </c>
      <c r="J90" s="3">
        <v>2.4700000000000002</v>
      </c>
      <c r="K90" s="3">
        <v>2.98</v>
      </c>
    </row>
    <row r="91" spans="2:11" x14ac:dyDescent="0.25">
      <c r="B91" s="2" t="s">
        <v>7585</v>
      </c>
      <c r="C91" s="2" t="s">
        <v>7586</v>
      </c>
      <c r="D91" s="3">
        <v>10.91</v>
      </c>
      <c r="E91" s="3">
        <v>22.54</v>
      </c>
      <c r="F91" s="3">
        <v>1.2</v>
      </c>
      <c r="G91" s="3">
        <v>6.06</v>
      </c>
      <c r="H91" s="3">
        <v>305</v>
      </c>
      <c r="I91" s="3">
        <v>0.505</v>
      </c>
      <c r="J91" s="3">
        <v>0.64200000000000002</v>
      </c>
      <c r="K91" s="3">
        <v>0.83099999999999996</v>
      </c>
    </row>
    <row r="92" spans="2:11" x14ac:dyDescent="0.25">
      <c r="B92" s="2" t="s">
        <v>7587</v>
      </c>
      <c r="C92" s="2" t="s">
        <v>7588</v>
      </c>
      <c r="D92" s="3">
        <v>10.91</v>
      </c>
      <c r="E92" s="3">
        <v>22.54</v>
      </c>
      <c r="F92" s="3">
        <v>1.2</v>
      </c>
      <c r="G92" s="3">
        <v>6.06</v>
      </c>
      <c r="H92" s="3">
        <v>305</v>
      </c>
      <c r="I92" s="3">
        <v>0.505</v>
      </c>
      <c r="J92" s="3">
        <v>0.64200000000000002</v>
      </c>
      <c r="K92" s="3">
        <v>0.83099999999999996</v>
      </c>
    </row>
    <row r="93" spans="2:11" x14ac:dyDescent="0.25">
      <c r="B93" s="2" t="s">
        <v>7589</v>
      </c>
      <c r="C93" s="2" t="s">
        <v>7590</v>
      </c>
      <c r="D93" s="3">
        <v>10.66</v>
      </c>
      <c r="E93" s="3">
        <v>20.36</v>
      </c>
      <c r="F93" s="3">
        <v>1.4</v>
      </c>
      <c r="G93" s="3">
        <v>3.19</v>
      </c>
      <c r="H93" s="3">
        <v>348</v>
      </c>
      <c r="I93" s="3">
        <v>0.56999999999999995</v>
      </c>
      <c r="J93" s="3">
        <v>0.61499999999999999</v>
      </c>
      <c r="K93" s="3">
        <v>0.84399999999999997</v>
      </c>
    </row>
    <row r="94" spans="2:11" x14ac:dyDescent="0.25">
      <c r="B94" s="2" t="s">
        <v>7591</v>
      </c>
      <c r="C94" s="2" t="s">
        <v>7592</v>
      </c>
      <c r="D94" s="3">
        <v>10.66</v>
      </c>
      <c r="E94" s="3">
        <v>20.36</v>
      </c>
      <c r="F94" s="3">
        <v>1.4</v>
      </c>
      <c r="G94" s="3">
        <v>3.19</v>
      </c>
      <c r="H94" s="3">
        <v>348</v>
      </c>
      <c r="I94" s="3">
        <v>0.56999999999999995</v>
      </c>
      <c r="J94" s="3">
        <v>0.61499999999999999</v>
      </c>
      <c r="K94" s="3">
        <v>0.84399999999999997</v>
      </c>
    </row>
    <row r="95" spans="2:11" x14ac:dyDescent="0.25">
      <c r="B95" s="2" t="s">
        <v>7593</v>
      </c>
      <c r="C95" s="2" t="s">
        <v>7594</v>
      </c>
      <c r="D95" s="3">
        <v>10.84</v>
      </c>
      <c r="E95" s="3">
        <v>21.35</v>
      </c>
      <c r="F95" s="3">
        <v>1.2</v>
      </c>
      <c r="G95" s="3">
        <v>2.99</v>
      </c>
      <c r="H95" s="3">
        <v>268</v>
      </c>
      <c r="I95" s="3">
        <v>0.72399999999999998</v>
      </c>
      <c r="J95" s="3">
        <v>0.93200000000000005</v>
      </c>
      <c r="K95" s="3">
        <v>0.95199999999999996</v>
      </c>
    </row>
    <row r="96" spans="2:11" x14ac:dyDescent="0.25">
      <c r="B96" s="2" t="s">
        <v>7595</v>
      </c>
      <c r="C96" s="2" t="s">
        <v>7596</v>
      </c>
      <c r="D96" s="3">
        <v>9.1199999999999992</v>
      </c>
      <c r="E96" s="3">
        <v>22.42</v>
      </c>
      <c r="F96" s="3">
        <v>1.3</v>
      </c>
      <c r="G96" s="3">
        <v>3.09</v>
      </c>
      <c r="H96" s="3">
        <v>317</v>
      </c>
      <c r="I96" s="3">
        <v>0.47599999999999998</v>
      </c>
      <c r="J96" s="3">
        <v>0.52100000000000002</v>
      </c>
      <c r="K96" s="3">
        <v>1.0369999999999999</v>
      </c>
    </row>
    <row r="97" spans="2:11" x14ac:dyDescent="0.25">
      <c r="B97" s="2" t="s">
        <v>7597</v>
      </c>
      <c r="C97" s="2" t="s">
        <v>7598</v>
      </c>
      <c r="D97" s="3">
        <v>9.1199999999999992</v>
      </c>
      <c r="E97" s="3">
        <v>22.91</v>
      </c>
      <c r="F97" s="3">
        <v>1.3</v>
      </c>
      <c r="G97" s="3">
        <v>3.54</v>
      </c>
      <c r="H97" s="3">
        <v>396</v>
      </c>
      <c r="I97" s="3">
        <v>0.626</v>
      </c>
      <c r="J97" s="3">
        <v>0.76300000000000001</v>
      </c>
      <c r="K97" s="3">
        <v>0.83099999999999996</v>
      </c>
    </row>
    <row r="98" spans="2:11" x14ac:dyDescent="0.25">
      <c r="B98" s="2" t="s">
        <v>7599</v>
      </c>
      <c r="C98" s="2" t="s">
        <v>7600</v>
      </c>
      <c r="D98" s="3">
        <v>9.77</v>
      </c>
      <c r="E98" s="3">
        <v>26.01</v>
      </c>
      <c r="F98" s="3">
        <v>2.1</v>
      </c>
      <c r="G98" s="3">
        <v>4.9800000000000004</v>
      </c>
      <c r="H98" s="3">
        <v>437</v>
      </c>
      <c r="I98" s="3">
        <v>3.1240000000000001</v>
      </c>
      <c r="J98" s="3">
        <v>3.573</v>
      </c>
      <c r="K98" s="3">
        <v>1.125</v>
      </c>
    </row>
    <row r="99" spans="2:11" x14ac:dyDescent="0.25">
      <c r="B99" s="2" t="s">
        <v>7601</v>
      </c>
      <c r="C99" s="2" t="s">
        <v>7602</v>
      </c>
      <c r="D99" s="3">
        <v>9.77</v>
      </c>
      <c r="E99" s="3">
        <v>26.01</v>
      </c>
      <c r="F99" s="3">
        <v>2.1</v>
      </c>
      <c r="G99" s="3">
        <v>4.9800000000000004</v>
      </c>
      <c r="H99" s="3">
        <v>437</v>
      </c>
      <c r="I99" s="3">
        <v>3.1240000000000001</v>
      </c>
      <c r="J99" s="3">
        <v>3.573</v>
      </c>
      <c r="K99" s="3">
        <v>1.125</v>
      </c>
    </row>
    <row r="100" spans="2:11" x14ac:dyDescent="0.25">
      <c r="B100" s="2" t="s">
        <v>7603</v>
      </c>
      <c r="C100" s="2" t="s">
        <v>7604</v>
      </c>
      <c r="D100" s="3">
        <v>12.29</v>
      </c>
      <c r="E100" s="3">
        <v>21.49</v>
      </c>
      <c r="F100" s="3">
        <v>1.2</v>
      </c>
      <c r="G100" s="3">
        <v>3.41</v>
      </c>
      <c r="H100" s="3">
        <v>444</v>
      </c>
      <c r="I100" s="3">
        <v>2.032</v>
      </c>
      <c r="J100" s="3">
        <v>1.736</v>
      </c>
      <c r="K100" s="3">
        <v>0.84399999999999997</v>
      </c>
    </row>
    <row r="101" spans="2:11" x14ac:dyDescent="0.25">
      <c r="B101" s="2" t="s">
        <v>7605</v>
      </c>
      <c r="C101" s="2" t="s">
        <v>7606</v>
      </c>
      <c r="D101" s="3">
        <v>12.29</v>
      </c>
      <c r="E101" s="3">
        <v>21.49</v>
      </c>
      <c r="F101" s="3">
        <v>1.2</v>
      </c>
      <c r="G101" s="3">
        <v>3.41</v>
      </c>
      <c r="H101" s="3">
        <v>444</v>
      </c>
      <c r="I101" s="3">
        <v>2.032</v>
      </c>
      <c r="J101" s="3">
        <v>1.736</v>
      </c>
      <c r="K101" s="3">
        <v>0.84399999999999997</v>
      </c>
    </row>
    <row r="102" spans="2:11" x14ac:dyDescent="0.25">
      <c r="B102" s="2" t="s">
        <v>7607</v>
      </c>
      <c r="C102" s="2" t="s">
        <v>7608</v>
      </c>
      <c r="D102" s="3">
        <v>10.06</v>
      </c>
      <c r="E102" s="3">
        <v>26.66</v>
      </c>
      <c r="F102" s="3">
        <v>1.6</v>
      </c>
      <c r="G102" s="3">
        <v>3.61</v>
      </c>
      <c r="H102" s="3">
        <v>354</v>
      </c>
      <c r="I102" s="3">
        <v>1.917</v>
      </c>
      <c r="J102" s="3">
        <v>2.3559999999999999</v>
      </c>
      <c r="K102" s="3">
        <v>1.617</v>
      </c>
    </row>
    <row r="103" spans="2:11" x14ac:dyDescent="0.25">
      <c r="B103" s="2" t="s">
        <v>7609</v>
      </c>
      <c r="C103" s="2" t="s">
        <v>7610</v>
      </c>
      <c r="D103" s="3">
        <v>10.06</v>
      </c>
      <c r="E103" s="3">
        <v>26.66</v>
      </c>
      <c r="F103" s="3">
        <v>1.6</v>
      </c>
      <c r="G103" s="3">
        <v>3.61</v>
      </c>
      <c r="H103" s="3">
        <v>354</v>
      </c>
      <c r="I103" s="3">
        <v>1.917</v>
      </c>
      <c r="J103" s="3">
        <v>2.3559999999999999</v>
      </c>
      <c r="K103" s="3">
        <v>1.617</v>
      </c>
    </row>
    <row r="104" spans="2:11" x14ac:dyDescent="0.25">
      <c r="B104" s="2" t="s">
        <v>7611</v>
      </c>
      <c r="C104" s="2" t="s">
        <v>7612</v>
      </c>
      <c r="D104" s="3">
        <v>15.68</v>
      </c>
      <c r="E104" s="3">
        <v>22.14</v>
      </c>
      <c r="F104" s="3">
        <v>1.1000000000000001</v>
      </c>
      <c r="G104" s="3">
        <v>3.67</v>
      </c>
      <c r="H104" s="3">
        <v>374</v>
      </c>
      <c r="I104" s="3">
        <v>4.7850000000000001</v>
      </c>
      <c r="J104" s="3">
        <v>5.4039999999999999</v>
      </c>
      <c r="K104" s="3">
        <v>1.179</v>
      </c>
    </row>
    <row r="105" spans="2:11" x14ac:dyDescent="0.25">
      <c r="B105" s="2" t="s">
        <v>7613</v>
      </c>
      <c r="C105" s="2" t="s">
        <v>7614</v>
      </c>
      <c r="D105" s="3">
        <v>9.1199999999999992</v>
      </c>
      <c r="E105" s="3">
        <v>22.42</v>
      </c>
      <c r="F105" s="3">
        <v>1.3</v>
      </c>
      <c r="G105" s="3">
        <v>3.09</v>
      </c>
      <c r="H105" s="3">
        <v>317</v>
      </c>
      <c r="I105" s="3">
        <v>0.47599999999999998</v>
      </c>
      <c r="J105" s="3">
        <v>0.52100000000000002</v>
      </c>
      <c r="K105" s="3">
        <v>1.0369999999999999</v>
      </c>
    </row>
    <row r="106" spans="2:11" x14ac:dyDescent="0.25">
      <c r="B106" s="2" t="s">
        <v>7615</v>
      </c>
      <c r="C106" s="2" t="s">
        <v>7616</v>
      </c>
      <c r="D106" s="3">
        <v>9.1199999999999992</v>
      </c>
      <c r="E106" s="3">
        <v>22.91</v>
      </c>
      <c r="F106" s="3">
        <v>1.3</v>
      </c>
      <c r="G106" s="3">
        <v>3.54</v>
      </c>
      <c r="H106" s="3">
        <v>396</v>
      </c>
      <c r="I106" s="3">
        <v>0.626</v>
      </c>
      <c r="J106" s="3">
        <v>0.76300000000000001</v>
      </c>
      <c r="K106" s="3">
        <v>0.83099999999999996</v>
      </c>
    </row>
    <row r="107" spans="2:11" x14ac:dyDescent="0.25">
      <c r="B107" s="2" t="s">
        <v>7617</v>
      </c>
      <c r="C107" s="2" t="s">
        <v>7618</v>
      </c>
      <c r="D107" s="3">
        <v>12.17</v>
      </c>
      <c r="E107" s="3">
        <v>20.34</v>
      </c>
      <c r="F107" s="3">
        <v>0.7</v>
      </c>
      <c r="G107" s="3">
        <v>3</v>
      </c>
      <c r="H107" s="3">
        <v>329</v>
      </c>
      <c r="I107" s="3">
        <v>0.97199999999999998</v>
      </c>
      <c r="J107" s="3">
        <v>0.78900000000000003</v>
      </c>
      <c r="K107" s="3">
        <v>0.71799999999999997</v>
      </c>
    </row>
    <row r="108" spans="2:11" x14ac:dyDescent="0.25">
      <c r="B108" s="2" t="s">
        <v>7619</v>
      </c>
      <c r="C108" s="2" t="s">
        <v>7620</v>
      </c>
      <c r="D108" s="3">
        <v>10.84</v>
      </c>
      <c r="E108" s="3">
        <v>21.35</v>
      </c>
      <c r="F108" s="3">
        <v>1.2</v>
      </c>
      <c r="G108" s="3">
        <v>2.99</v>
      </c>
      <c r="H108" s="3">
        <v>268</v>
      </c>
      <c r="I108" s="3">
        <v>0.72399999999999998</v>
      </c>
      <c r="J108" s="3">
        <v>0.93200000000000005</v>
      </c>
      <c r="K108" s="3">
        <v>0.95199999999999996</v>
      </c>
    </row>
    <row r="109" spans="2:11" x14ac:dyDescent="0.25">
      <c r="B109" s="2" t="s">
        <v>7621</v>
      </c>
      <c r="C109" s="2" t="s">
        <v>7622</v>
      </c>
      <c r="D109" s="3">
        <v>10.52</v>
      </c>
      <c r="E109" s="3">
        <v>20.43</v>
      </c>
      <c r="F109" s="3">
        <v>1.2</v>
      </c>
      <c r="G109" s="3">
        <v>3.18</v>
      </c>
      <c r="H109" s="3">
        <v>575</v>
      </c>
      <c r="I109" s="3">
        <v>3.5539999999999998</v>
      </c>
      <c r="J109" s="3">
        <v>3.7160000000000002</v>
      </c>
      <c r="K109" s="3">
        <v>1.927</v>
      </c>
    </row>
    <row r="110" spans="2:11" x14ac:dyDescent="0.25">
      <c r="B110" s="2" t="s">
        <v>7623</v>
      </c>
      <c r="C110" s="2" t="s">
        <v>7624</v>
      </c>
      <c r="D110" s="3">
        <v>12.33</v>
      </c>
      <c r="E110" s="3">
        <v>15.95</v>
      </c>
      <c r="F110" s="3">
        <v>0.7</v>
      </c>
      <c r="G110" s="3">
        <v>1.93</v>
      </c>
      <c r="H110" s="3">
        <v>329</v>
      </c>
      <c r="I110" s="3">
        <v>2.1920000000000002</v>
      </c>
      <c r="J110" s="3">
        <v>2.835</v>
      </c>
      <c r="K110" s="3">
        <v>6.8970000000000002</v>
      </c>
    </row>
    <row r="111" spans="2:11" x14ac:dyDescent="0.25">
      <c r="B111" s="2" t="s">
        <v>7625</v>
      </c>
      <c r="C111" s="2" t="s">
        <v>7626</v>
      </c>
      <c r="D111" s="3">
        <v>10.36</v>
      </c>
      <c r="E111" s="3">
        <v>29.02</v>
      </c>
      <c r="F111" s="3">
        <v>2.2000000000000002</v>
      </c>
      <c r="G111" s="3">
        <v>3.57</v>
      </c>
      <c r="H111" s="3">
        <v>447</v>
      </c>
      <c r="I111" s="3">
        <v>4.2720000000000002</v>
      </c>
      <c r="J111" s="3">
        <v>4.2460000000000004</v>
      </c>
      <c r="K111" s="3">
        <v>1.903</v>
      </c>
    </row>
    <row r="112" spans="2:11" x14ac:dyDescent="0.25">
      <c r="B112" s="2" t="s">
        <v>7627</v>
      </c>
      <c r="C112" s="2" t="s">
        <v>7628</v>
      </c>
      <c r="D112" s="3">
        <v>12.37</v>
      </c>
      <c r="E112" s="3">
        <v>32.909999999999997</v>
      </c>
      <c r="F112" s="3">
        <v>2.5</v>
      </c>
      <c r="G112" s="3">
        <v>5.09</v>
      </c>
      <c r="H112" s="3">
        <v>556</v>
      </c>
      <c r="I112" s="3">
        <v>3.8250000000000002</v>
      </c>
      <c r="J112" s="3">
        <v>2.198</v>
      </c>
      <c r="K112" s="3">
        <v>1.381</v>
      </c>
    </row>
    <row r="113" spans="2:11" x14ac:dyDescent="0.25">
      <c r="B113" s="2" t="s">
        <v>7629</v>
      </c>
      <c r="C113" s="2" t="s">
        <v>7630</v>
      </c>
      <c r="D113" s="3">
        <v>11.28</v>
      </c>
      <c r="E113" s="3">
        <v>25.14</v>
      </c>
      <c r="F113" s="3">
        <v>2.2000000000000002</v>
      </c>
      <c r="G113" s="3">
        <v>4.8499999999999996</v>
      </c>
      <c r="H113" s="3">
        <v>555</v>
      </c>
      <c r="I113" s="3">
        <v>5.0830000000000002</v>
      </c>
      <c r="J113" s="3">
        <v>5.89</v>
      </c>
      <c r="K113" s="3">
        <v>2.5779999999999998</v>
      </c>
    </row>
    <row r="114" spans="2:11" x14ac:dyDescent="0.25">
      <c r="B114" s="2" t="s">
        <v>7631</v>
      </c>
      <c r="C114" s="2" t="s">
        <v>7632</v>
      </c>
      <c r="D114" s="3">
        <v>12.63</v>
      </c>
      <c r="E114" s="3">
        <v>28.78</v>
      </c>
      <c r="F114" s="3">
        <v>2.2999999999999998</v>
      </c>
      <c r="G114" s="3">
        <v>7.26</v>
      </c>
      <c r="H114" s="3">
        <v>640</v>
      </c>
      <c r="I114" s="3">
        <v>4.5860000000000003</v>
      </c>
      <c r="J114" s="3">
        <v>4.343</v>
      </c>
      <c r="K114" s="3">
        <v>1.89</v>
      </c>
    </row>
    <row r="115" spans="2:11" x14ac:dyDescent="0.25">
      <c r="B115" s="2" t="s">
        <v>7633</v>
      </c>
      <c r="C115" s="2" t="s">
        <v>7634</v>
      </c>
      <c r="D115" s="3">
        <v>12.92</v>
      </c>
      <c r="E115" s="3">
        <v>30.28</v>
      </c>
      <c r="F115" s="3">
        <v>1.3</v>
      </c>
      <c r="G115" s="3">
        <v>6.03</v>
      </c>
      <c r="H115" s="3">
        <v>494</v>
      </c>
      <c r="I115" s="3">
        <v>3.504</v>
      </c>
      <c r="J115" s="3">
        <v>3.7679999999999998</v>
      </c>
      <c r="K115" s="3">
        <v>1.42</v>
      </c>
    </row>
    <row r="116" spans="2:11" x14ac:dyDescent="0.25">
      <c r="B116" s="2" t="s">
        <v>7635</v>
      </c>
      <c r="C116" s="2" t="s">
        <v>7636</v>
      </c>
      <c r="D116" s="3">
        <v>15.92</v>
      </c>
      <c r="E116" s="3">
        <v>14.93</v>
      </c>
      <c r="F116" s="3">
        <v>0.9</v>
      </c>
      <c r="G116" s="3">
        <v>0.08</v>
      </c>
      <c r="H116" s="3">
        <v>594</v>
      </c>
      <c r="I116" s="3">
        <v>3.5659999999999998</v>
      </c>
      <c r="J116" s="3">
        <v>7.7350000000000003</v>
      </c>
      <c r="K116" s="3">
        <v>6.5110000000000001</v>
      </c>
    </row>
    <row r="117" spans="2:11" x14ac:dyDescent="0.25">
      <c r="B117" s="2" t="s">
        <v>7637</v>
      </c>
      <c r="C117" s="2" t="s">
        <v>7638</v>
      </c>
      <c r="D117" s="3">
        <v>10.94</v>
      </c>
      <c r="E117" s="3">
        <v>27.4</v>
      </c>
      <c r="F117" s="3">
        <v>1.4</v>
      </c>
      <c r="G117" s="3">
        <v>3.4</v>
      </c>
      <c r="H117" s="3">
        <v>617</v>
      </c>
      <c r="I117" s="3">
        <v>2.4609999999999999</v>
      </c>
      <c r="J117" s="3">
        <v>4.077</v>
      </c>
      <c r="K117" s="3">
        <v>5.6310000000000002</v>
      </c>
    </row>
    <row r="118" spans="2:11" x14ac:dyDescent="0.25">
      <c r="B118" s="2" t="s">
        <v>7639</v>
      </c>
      <c r="C118" s="2" t="s">
        <v>7640</v>
      </c>
      <c r="D118" s="3">
        <v>11.26</v>
      </c>
      <c r="E118" s="3">
        <v>26.39</v>
      </c>
      <c r="F118" s="3">
        <v>1.4</v>
      </c>
      <c r="G118" s="3">
        <v>3.67</v>
      </c>
      <c r="H118" s="3">
        <v>434</v>
      </c>
      <c r="I118" s="3">
        <v>2.8330000000000002</v>
      </c>
      <c r="J118" s="3">
        <v>4.0049999999999999</v>
      </c>
      <c r="K118" s="3">
        <v>5.952</v>
      </c>
    </row>
    <row r="119" spans="2:11" x14ac:dyDescent="0.25">
      <c r="B119" s="2" t="s">
        <v>7641</v>
      </c>
      <c r="C119" s="2" t="s">
        <v>7642</v>
      </c>
      <c r="D119" s="3">
        <v>12.97</v>
      </c>
      <c r="E119" s="3">
        <v>27.81</v>
      </c>
      <c r="F119" s="3">
        <v>1.1000000000000001</v>
      </c>
      <c r="G119" s="3">
        <v>6.22</v>
      </c>
      <c r="H119" s="3">
        <v>626</v>
      </c>
      <c r="I119" s="3">
        <v>4.4349999999999996</v>
      </c>
      <c r="J119" s="3">
        <v>3.6309999999999998</v>
      </c>
      <c r="K119" s="3">
        <v>0.35499999999999998</v>
      </c>
    </row>
    <row r="120" spans="2:11" x14ac:dyDescent="0.25">
      <c r="B120" s="2" t="s">
        <v>7643</v>
      </c>
      <c r="C120" s="2" t="s">
        <v>7644</v>
      </c>
      <c r="D120" s="3">
        <v>14.1</v>
      </c>
      <c r="E120" s="3">
        <v>22.17</v>
      </c>
      <c r="F120" s="3">
        <v>1.6</v>
      </c>
      <c r="G120" s="3">
        <v>5.13</v>
      </c>
      <c r="H120" s="3">
        <v>427</v>
      </c>
      <c r="I120" s="3">
        <v>4.008</v>
      </c>
      <c r="J120" s="3">
        <v>4.202</v>
      </c>
      <c r="K120" s="3">
        <v>0.28299999999999997</v>
      </c>
    </row>
    <row r="121" spans="2:11" x14ac:dyDescent="0.25">
      <c r="B121" s="2" t="s">
        <v>7645</v>
      </c>
      <c r="C121" s="2" t="s">
        <v>7646</v>
      </c>
      <c r="D121" s="3">
        <v>14.59</v>
      </c>
      <c r="E121" s="3">
        <v>19.95</v>
      </c>
      <c r="F121" s="3">
        <v>1.4</v>
      </c>
      <c r="G121" s="3">
        <v>4.91</v>
      </c>
      <c r="H121" s="3">
        <v>579</v>
      </c>
      <c r="I121" s="3">
        <v>5.6429999999999998</v>
      </c>
      <c r="J121" s="3">
        <v>4.6079999999999997</v>
      </c>
      <c r="K121" s="3">
        <v>0.433</v>
      </c>
    </row>
    <row r="122" spans="2:11" x14ac:dyDescent="0.25">
      <c r="B122" s="2" t="s">
        <v>7647</v>
      </c>
      <c r="C122" s="2" t="s">
        <v>7648</v>
      </c>
      <c r="D122" s="3">
        <v>11.82</v>
      </c>
      <c r="E122" s="3">
        <v>20.079999999999998</v>
      </c>
      <c r="F122" s="3">
        <v>1.6</v>
      </c>
      <c r="G122" s="3">
        <v>3.97</v>
      </c>
      <c r="H122" s="3">
        <v>460</v>
      </c>
      <c r="I122" s="3">
        <v>3.8029999999999999</v>
      </c>
      <c r="J122" s="3">
        <v>3.4740000000000002</v>
      </c>
      <c r="K122" s="3">
        <v>0.30599999999999999</v>
      </c>
    </row>
    <row r="123" spans="2:11" x14ac:dyDescent="0.25">
      <c r="B123" s="2" t="s">
        <v>7649</v>
      </c>
      <c r="C123" s="2" t="s">
        <v>7650</v>
      </c>
      <c r="D123" s="3">
        <v>3.41</v>
      </c>
      <c r="E123" s="3">
        <v>42.58</v>
      </c>
      <c r="F123" s="3">
        <v>3.9</v>
      </c>
      <c r="G123" s="3">
        <v>0.21</v>
      </c>
      <c r="H123" s="3">
        <v>189</v>
      </c>
      <c r="I123" s="3">
        <v>2.2709999999999999</v>
      </c>
      <c r="J123" s="3">
        <v>7.3789999999999996</v>
      </c>
      <c r="K123" s="3">
        <v>4.7270000000000003</v>
      </c>
    </row>
    <row r="124" spans="2:11" x14ac:dyDescent="0.25">
      <c r="B124" s="2" t="s">
        <v>7651</v>
      </c>
      <c r="C124" s="2" t="s">
        <v>7652</v>
      </c>
      <c r="D124" s="3">
        <v>12.63</v>
      </c>
      <c r="E124" s="3">
        <v>16.82</v>
      </c>
      <c r="F124" s="3">
        <v>1.3</v>
      </c>
      <c r="H124" s="3">
        <v>395</v>
      </c>
      <c r="I124" s="3">
        <v>3.6890000000000001</v>
      </c>
      <c r="J124" s="3">
        <v>4.077</v>
      </c>
      <c r="K124" s="3">
        <v>1.55</v>
      </c>
    </row>
    <row r="125" spans="2:11" x14ac:dyDescent="0.25">
      <c r="B125" s="2" t="s">
        <v>7653</v>
      </c>
      <c r="C125" s="2" t="s">
        <v>7654</v>
      </c>
      <c r="D125" s="3">
        <v>14.87</v>
      </c>
      <c r="E125" s="3">
        <v>14.2</v>
      </c>
      <c r="F125" s="3">
        <v>1.4</v>
      </c>
      <c r="H125" s="3">
        <v>476</v>
      </c>
      <c r="I125" s="3">
        <v>5.1909999999999998</v>
      </c>
      <c r="J125" s="3">
        <v>4.407</v>
      </c>
      <c r="K125" s="3">
        <v>1.405</v>
      </c>
    </row>
    <row r="126" spans="2:11" x14ac:dyDescent="0.25">
      <c r="B126" s="2" t="s">
        <v>7655</v>
      </c>
      <c r="C126" s="2" t="s">
        <v>7656</v>
      </c>
      <c r="D126" s="3">
        <v>12.62</v>
      </c>
      <c r="E126" s="3">
        <v>28.45</v>
      </c>
      <c r="F126" s="3">
        <v>1.7</v>
      </c>
      <c r="H126" s="3">
        <v>539</v>
      </c>
      <c r="I126" s="3">
        <v>3.4660000000000002</v>
      </c>
      <c r="J126" s="3">
        <v>3.5310000000000001</v>
      </c>
      <c r="K126" s="3">
        <v>1.1160000000000001</v>
      </c>
    </row>
    <row r="127" spans="2:11" x14ac:dyDescent="0.25">
      <c r="B127" s="2" t="s">
        <v>7657</v>
      </c>
      <c r="C127" s="2" t="s">
        <v>7658</v>
      </c>
      <c r="D127" s="3">
        <v>13.06</v>
      </c>
      <c r="E127" s="3">
        <v>24.97</v>
      </c>
      <c r="F127" s="3">
        <v>1.4</v>
      </c>
      <c r="H127" s="3">
        <v>660</v>
      </c>
      <c r="I127" s="3">
        <v>5.181</v>
      </c>
      <c r="J127" s="3">
        <v>4.3979999999999997</v>
      </c>
      <c r="K127" s="3">
        <v>1.181</v>
      </c>
    </row>
    <row r="128" spans="2:11" x14ac:dyDescent="0.25">
      <c r="B128" s="2" t="s">
        <v>7659</v>
      </c>
      <c r="C128" s="2" t="s">
        <v>7660</v>
      </c>
      <c r="D128" s="3">
        <v>16.52</v>
      </c>
      <c r="E128" s="3">
        <v>11.71</v>
      </c>
      <c r="F128" s="3">
        <v>1.1000000000000001</v>
      </c>
      <c r="H128" s="3">
        <v>422</v>
      </c>
      <c r="I128" s="3">
        <v>5.89</v>
      </c>
      <c r="J128" s="3">
        <v>5.74</v>
      </c>
      <c r="K128" s="3">
        <v>1.3</v>
      </c>
    </row>
    <row r="129" spans="2:11" x14ac:dyDescent="0.25">
      <c r="B129" s="2" t="s">
        <v>7661</v>
      </c>
      <c r="C129" s="2" t="s">
        <v>7662</v>
      </c>
      <c r="D129" s="3">
        <v>13.78</v>
      </c>
      <c r="E129" s="3">
        <v>21.55</v>
      </c>
      <c r="F129" s="3">
        <v>1.3</v>
      </c>
      <c r="H129" s="3">
        <v>401</v>
      </c>
      <c r="I129" s="3">
        <v>1.6180000000000001</v>
      </c>
      <c r="J129" s="3">
        <v>2.9209999999999998</v>
      </c>
      <c r="K129" s="3">
        <v>3.0859999999999999</v>
      </c>
    </row>
    <row r="130" spans="2:11" x14ac:dyDescent="0.25">
      <c r="B130" s="2" t="s">
        <v>7663</v>
      </c>
      <c r="C130" s="2" t="s">
        <v>7664</v>
      </c>
      <c r="D130" s="3">
        <v>14.73</v>
      </c>
      <c r="E130" s="3">
        <v>18.88</v>
      </c>
      <c r="F130" s="3">
        <v>1.1000000000000001</v>
      </c>
      <c r="H130" s="3">
        <v>427</v>
      </c>
      <c r="I130" s="3">
        <v>1.03</v>
      </c>
      <c r="J130" s="3">
        <v>1.46</v>
      </c>
      <c r="K130" s="3">
        <v>1.81</v>
      </c>
    </row>
    <row r="131" spans="2:11" x14ac:dyDescent="0.25">
      <c r="B131" s="2" t="s">
        <v>7665</v>
      </c>
      <c r="C131" s="2" t="s">
        <v>7666</v>
      </c>
      <c r="D131" s="3">
        <v>16.46</v>
      </c>
      <c r="E131" s="3">
        <v>14.31</v>
      </c>
      <c r="G131" s="3">
        <v>0.08</v>
      </c>
      <c r="H131" s="3">
        <v>708</v>
      </c>
      <c r="I131" s="3">
        <v>4.7869999999999999</v>
      </c>
      <c r="J131" s="3">
        <v>6.1379999999999999</v>
      </c>
      <c r="K131" s="3">
        <v>10.117000000000001</v>
      </c>
    </row>
    <row r="132" spans="2:11" x14ac:dyDescent="0.25">
      <c r="B132" s="2" t="s">
        <v>7667</v>
      </c>
      <c r="C132" s="2" t="s">
        <v>7668</v>
      </c>
      <c r="D132" s="3">
        <v>3.73</v>
      </c>
      <c r="E132" s="3">
        <v>39.729999999999997</v>
      </c>
      <c r="F132" s="3">
        <v>4</v>
      </c>
      <c r="G132" s="3">
        <v>0.4</v>
      </c>
      <c r="H132" s="3">
        <v>219</v>
      </c>
      <c r="I132" s="3">
        <v>2.79</v>
      </c>
      <c r="J132" s="3">
        <v>3.1949999999999998</v>
      </c>
      <c r="K132" s="3">
        <v>7.4560000000000004</v>
      </c>
    </row>
    <row r="133" spans="2:11" x14ac:dyDescent="0.25">
      <c r="B133" s="2" t="s">
        <v>7669</v>
      </c>
      <c r="C133" s="2" t="s">
        <v>7670</v>
      </c>
      <c r="D133" s="3">
        <v>3.49</v>
      </c>
      <c r="E133" s="3">
        <v>23.62</v>
      </c>
      <c r="F133" s="3">
        <v>3.3</v>
      </c>
      <c r="H133" s="3">
        <v>98</v>
      </c>
      <c r="I133" s="3">
        <v>1.635</v>
      </c>
      <c r="J133" s="3">
        <v>0.69199999999999995</v>
      </c>
      <c r="K133" s="3">
        <v>0.11700000000000001</v>
      </c>
    </row>
    <row r="134" spans="2:11" x14ac:dyDescent="0.25">
      <c r="B134" s="2" t="s">
        <v>7671</v>
      </c>
      <c r="C134" s="2" t="s">
        <v>7672</v>
      </c>
      <c r="D134" s="3">
        <v>3.23</v>
      </c>
      <c r="E134" s="3">
        <v>38.700000000000003</v>
      </c>
      <c r="F134" s="3">
        <v>2.9</v>
      </c>
      <c r="G134" s="3">
        <v>0.51</v>
      </c>
      <c r="H134" s="3">
        <v>279</v>
      </c>
      <c r="I134" s="3">
        <v>2.137</v>
      </c>
      <c r="J134" s="3">
        <v>3.27</v>
      </c>
      <c r="K134" s="3">
        <v>5.9459999999999997</v>
      </c>
    </row>
    <row r="135" spans="2:11" x14ac:dyDescent="0.25">
      <c r="B135" s="2" t="s">
        <v>7673</v>
      </c>
      <c r="C135" s="2" t="s">
        <v>7674</v>
      </c>
      <c r="D135" s="3">
        <v>14.85</v>
      </c>
      <c r="E135" s="3">
        <v>26.76</v>
      </c>
      <c r="F135" s="3">
        <v>1</v>
      </c>
      <c r="G135" s="3">
        <v>5.6</v>
      </c>
      <c r="H135" s="3">
        <v>461</v>
      </c>
      <c r="I135" s="3">
        <v>3.8210000000000002</v>
      </c>
      <c r="J135" s="3">
        <v>4.2489999999999997</v>
      </c>
      <c r="K135" s="3">
        <v>1.244</v>
      </c>
    </row>
    <row r="136" spans="2:11" x14ac:dyDescent="0.25">
      <c r="B136" s="2" t="s">
        <v>7675</v>
      </c>
      <c r="C136" s="2" t="s">
        <v>7676</v>
      </c>
      <c r="D136" s="3">
        <v>14.57</v>
      </c>
      <c r="E136" s="3">
        <v>23.71</v>
      </c>
      <c r="F136" s="3">
        <v>1</v>
      </c>
      <c r="G136" s="3">
        <v>4.49</v>
      </c>
      <c r="H136" s="3">
        <v>602</v>
      </c>
      <c r="I136" s="3">
        <v>6.8419999999999996</v>
      </c>
      <c r="J136" s="3">
        <v>5.7039999999999997</v>
      </c>
      <c r="K136" s="3">
        <v>1.5209999999999999</v>
      </c>
    </row>
    <row r="137" spans="2:11" x14ac:dyDescent="0.25">
      <c r="B137" s="2" t="s">
        <v>7677</v>
      </c>
      <c r="C137" s="2" t="s">
        <v>7678</v>
      </c>
      <c r="D137" s="3">
        <v>10.74</v>
      </c>
      <c r="E137" s="3">
        <v>18.55</v>
      </c>
      <c r="F137" s="3">
        <v>1.8</v>
      </c>
      <c r="G137" s="3">
        <v>4.22</v>
      </c>
      <c r="H137" s="3">
        <v>313</v>
      </c>
      <c r="I137" s="3">
        <v>4.25</v>
      </c>
      <c r="J137" s="3">
        <v>4.6849999999999996</v>
      </c>
      <c r="K137" s="3">
        <v>3.3889999999999998</v>
      </c>
    </row>
    <row r="138" spans="2:11" x14ac:dyDescent="0.25">
      <c r="B138" s="2" t="s">
        <v>7679</v>
      </c>
      <c r="C138" s="2" t="s">
        <v>7680</v>
      </c>
      <c r="D138" s="3">
        <v>11.19</v>
      </c>
      <c r="E138" s="3">
        <v>16.7</v>
      </c>
      <c r="F138" s="3">
        <v>1</v>
      </c>
      <c r="G138" s="3">
        <v>4.1100000000000003</v>
      </c>
      <c r="H138" s="3">
        <v>453</v>
      </c>
      <c r="I138" s="3">
        <v>5.782</v>
      </c>
      <c r="J138" s="3">
        <v>5.0579999999999998</v>
      </c>
      <c r="K138" s="3">
        <v>3.7839999999999998</v>
      </c>
    </row>
    <row r="139" spans="2:11" x14ac:dyDescent="0.25">
      <c r="B139" s="2" t="s">
        <v>7681</v>
      </c>
      <c r="C139" s="2" t="s">
        <v>7682</v>
      </c>
      <c r="D139" s="3">
        <v>13.94</v>
      </c>
      <c r="E139" s="3">
        <v>13.74</v>
      </c>
      <c r="F139" s="3">
        <v>1.4</v>
      </c>
      <c r="G139" s="3">
        <v>3.52</v>
      </c>
      <c r="H139" s="3">
        <v>289</v>
      </c>
      <c r="I139" s="3">
        <v>5.7729999999999997</v>
      </c>
      <c r="J139" s="3">
        <v>6.117</v>
      </c>
      <c r="K139" s="3">
        <v>3.016</v>
      </c>
    </row>
    <row r="140" spans="2:11" x14ac:dyDescent="0.25">
      <c r="B140" s="2" t="s">
        <v>7683</v>
      </c>
      <c r="C140" s="2" t="s">
        <v>7684</v>
      </c>
      <c r="D140" s="3">
        <v>14.47</v>
      </c>
      <c r="E140" s="3">
        <v>13.52</v>
      </c>
      <c r="F140" s="3">
        <v>1.6</v>
      </c>
      <c r="G140" s="3">
        <v>3.61</v>
      </c>
      <c r="H140" s="3">
        <v>387</v>
      </c>
      <c r="I140" s="3">
        <v>6.9980000000000002</v>
      </c>
      <c r="J140" s="3">
        <v>6.298</v>
      </c>
      <c r="K140" s="3">
        <v>2.9870000000000001</v>
      </c>
    </row>
    <row r="141" spans="2:11" x14ac:dyDescent="0.25">
      <c r="B141" s="2" t="s">
        <v>7685</v>
      </c>
      <c r="C141" s="2" t="s">
        <v>7686</v>
      </c>
      <c r="D141" s="3">
        <v>18.2</v>
      </c>
      <c r="E141" s="3">
        <v>20.49</v>
      </c>
      <c r="F141" s="3">
        <v>1.3</v>
      </c>
      <c r="G141" s="3">
        <v>0</v>
      </c>
      <c r="H141" s="3">
        <v>859</v>
      </c>
      <c r="I141" s="3">
        <v>2.6989999999999998</v>
      </c>
      <c r="J141" s="3">
        <v>4.202</v>
      </c>
      <c r="K141" s="3">
        <v>7.3710000000000004</v>
      </c>
    </row>
    <row r="142" spans="2:11" x14ac:dyDescent="0.25">
      <c r="B142" s="2" t="s">
        <v>7687</v>
      </c>
      <c r="C142" s="2" t="s">
        <v>7688</v>
      </c>
      <c r="D142" s="3">
        <v>10.29</v>
      </c>
      <c r="E142" s="3">
        <v>26.69</v>
      </c>
      <c r="F142" s="3">
        <v>0.9</v>
      </c>
      <c r="G142" s="3">
        <v>3.53</v>
      </c>
      <c r="H142" s="3">
        <v>602</v>
      </c>
      <c r="I142" s="3">
        <v>1.9490000000000001</v>
      </c>
      <c r="J142" s="3">
        <v>2.5950000000000002</v>
      </c>
      <c r="K142" s="3">
        <v>6.2569999999999997</v>
      </c>
    </row>
    <row r="143" spans="2:11" x14ac:dyDescent="0.25">
      <c r="B143" s="2" t="s">
        <v>7689</v>
      </c>
      <c r="C143" s="2" t="s">
        <v>7690</v>
      </c>
      <c r="D143" s="3">
        <v>12.14</v>
      </c>
      <c r="E143" s="3">
        <v>26.22</v>
      </c>
      <c r="F143" s="3">
        <v>2.4</v>
      </c>
      <c r="G143" s="3">
        <v>3.02</v>
      </c>
      <c r="H143" s="3">
        <v>638</v>
      </c>
      <c r="I143" s="3">
        <v>2.7229999999999999</v>
      </c>
      <c r="J143" s="3">
        <v>3.7040000000000002</v>
      </c>
      <c r="K143" s="3">
        <v>7.22</v>
      </c>
    </row>
    <row r="144" spans="2:11" x14ac:dyDescent="0.25">
      <c r="B144" s="2" t="s">
        <v>7691</v>
      </c>
      <c r="C144" s="2" t="s">
        <v>7692</v>
      </c>
      <c r="D144" s="3">
        <v>8.86</v>
      </c>
      <c r="E144" s="3">
        <v>19.850000000000001</v>
      </c>
      <c r="F144" s="3">
        <v>3.9</v>
      </c>
      <c r="G144" s="3">
        <v>0.9</v>
      </c>
      <c r="H144" s="3">
        <v>397</v>
      </c>
      <c r="I144" s="3">
        <v>4.3840000000000003</v>
      </c>
      <c r="J144" s="3">
        <v>4.4109999999999996</v>
      </c>
      <c r="K144" s="3">
        <v>3.0419999999999998</v>
      </c>
    </row>
    <row r="145" spans="2:11" x14ac:dyDescent="0.25">
      <c r="B145" s="2" t="s">
        <v>7693</v>
      </c>
      <c r="C145" s="2" t="s">
        <v>7694</v>
      </c>
      <c r="D145" s="3">
        <v>9.25</v>
      </c>
      <c r="E145" s="3">
        <v>20.23</v>
      </c>
      <c r="F145" s="3">
        <v>2.9</v>
      </c>
      <c r="G145" s="3">
        <v>1.57</v>
      </c>
      <c r="H145" s="3">
        <v>560</v>
      </c>
      <c r="I145" s="3">
        <v>4.1550000000000002</v>
      </c>
      <c r="J145" s="3">
        <v>3.2429999999999999</v>
      </c>
      <c r="K145" s="3">
        <v>1.5780000000000001</v>
      </c>
    </row>
    <row r="146" spans="2:11" x14ac:dyDescent="0.25">
      <c r="B146" s="2" t="s">
        <v>7695</v>
      </c>
      <c r="C146" s="2" t="s">
        <v>7696</v>
      </c>
      <c r="D146" s="3">
        <v>13.3</v>
      </c>
      <c r="E146" s="3">
        <v>19.690000000000001</v>
      </c>
      <c r="F146" s="3">
        <v>1.2</v>
      </c>
      <c r="G146" s="3">
        <v>1.3</v>
      </c>
      <c r="H146" s="3">
        <v>613</v>
      </c>
      <c r="I146" s="3">
        <v>2.5590000000000002</v>
      </c>
      <c r="J146" s="3">
        <v>1.621</v>
      </c>
      <c r="K146" s="3">
        <v>1.607</v>
      </c>
    </row>
    <row r="147" spans="2:11" x14ac:dyDescent="0.25">
      <c r="B147" s="2" t="s">
        <v>7697</v>
      </c>
      <c r="C147" s="2" t="s">
        <v>7698</v>
      </c>
      <c r="D147" s="3">
        <v>11.81</v>
      </c>
      <c r="E147" s="3">
        <v>17.22</v>
      </c>
      <c r="F147" s="3">
        <v>1.6</v>
      </c>
      <c r="H147" s="3">
        <v>551</v>
      </c>
      <c r="I147" s="3">
        <v>3.3690000000000002</v>
      </c>
      <c r="J147" s="3">
        <v>3.9369999999999998</v>
      </c>
      <c r="K147" s="3">
        <v>3.4849999999999999</v>
      </c>
    </row>
    <row r="148" spans="2:11" x14ac:dyDescent="0.25">
      <c r="B148" s="2" t="s">
        <v>7699</v>
      </c>
      <c r="C148" s="2" t="s">
        <v>7700</v>
      </c>
      <c r="D148" s="3">
        <v>7.35</v>
      </c>
      <c r="E148" s="3">
        <v>31.23</v>
      </c>
      <c r="F148" s="3">
        <v>4.2</v>
      </c>
      <c r="G148" s="3">
        <v>1.73</v>
      </c>
      <c r="H148" s="3">
        <v>563</v>
      </c>
      <c r="I148" s="3">
        <v>2.3090000000000002</v>
      </c>
      <c r="J148" s="3">
        <v>1.258</v>
      </c>
      <c r="K148" s="3">
        <v>2.2290000000000001</v>
      </c>
    </row>
    <row r="149" spans="2:11" x14ac:dyDescent="0.25">
      <c r="B149" s="2" t="s">
        <v>7701</v>
      </c>
      <c r="C149" s="2" t="s">
        <v>7702</v>
      </c>
      <c r="D149" s="3">
        <v>7.03</v>
      </c>
      <c r="E149" s="3">
        <v>23.37</v>
      </c>
      <c r="F149" s="3">
        <v>3.7</v>
      </c>
      <c r="G149" s="3">
        <v>2.1</v>
      </c>
      <c r="H149" s="3">
        <v>451</v>
      </c>
      <c r="I149" s="3">
        <v>2.7330000000000001</v>
      </c>
      <c r="J149" s="3">
        <v>1.8029999999999999</v>
      </c>
      <c r="K149" s="3">
        <v>1.575</v>
      </c>
    </row>
    <row r="150" spans="2:11" x14ac:dyDescent="0.25">
      <c r="B150" s="2" t="s">
        <v>7703</v>
      </c>
      <c r="C150" s="2" t="s">
        <v>7704</v>
      </c>
      <c r="D150" s="3">
        <v>9.84</v>
      </c>
      <c r="E150" s="3">
        <v>20.51</v>
      </c>
      <c r="F150" s="3">
        <v>2.4</v>
      </c>
      <c r="H150" s="3">
        <v>564</v>
      </c>
      <c r="I150" s="3">
        <v>2.3519999999999999</v>
      </c>
      <c r="J150" s="3">
        <v>2.56</v>
      </c>
      <c r="K150" s="3">
        <v>0.79500000000000004</v>
      </c>
    </row>
    <row r="151" spans="2:11" x14ac:dyDescent="0.25">
      <c r="B151" s="2" t="s">
        <v>7705</v>
      </c>
      <c r="C151" s="2" t="s">
        <v>7706</v>
      </c>
      <c r="D151" s="3">
        <v>9.1300000000000008</v>
      </c>
      <c r="E151" s="3">
        <v>20.32</v>
      </c>
      <c r="F151" s="3">
        <v>2.4</v>
      </c>
      <c r="H151" s="3">
        <v>534</v>
      </c>
      <c r="I151" s="3">
        <v>2.6739999999999999</v>
      </c>
      <c r="J151" s="3">
        <v>2.8220000000000001</v>
      </c>
      <c r="K151" s="3">
        <v>0.77</v>
      </c>
    </row>
    <row r="152" spans="2:11" x14ac:dyDescent="0.25">
      <c r="B152" s="2" t="s">
        <v>7707</v>
      </c>
      <c r="C152" s="2" t="s">
        <v>7708</v>
      </c>
      <c r="D152" s="3">
        <v>4.32</v>
      </c>
      <c r="E152" s="3">
        <v>34.909999999999997</v>
      </c>
      <c r="F152" s="3">
        <v>3.2</v>
      </c>
      <c r="G152" s="3">
        <v>2.17</v>
      </c>
      <c r="H152" s="3">
        <v>313</v>
      </c>
      <c r="I152" s="3">
        <v>2.173</v>
      </c>
      <c r="J152" s="3">
        <v>14.02</v>
      </c>
      <c r="K152" s="3">
        <v>5.04</v>
      </c>
    </row>
    <row r="153" spans="2:11" x14ac:dyDescent="0.25">
      <c r="B153" s="2" t="s">
        <v>7709</v>
      </c>
      <c r="C153" s="2" t="s">
        <v>7710</v>
      </c>
      <c r="D153" s="3">
        <v>6.21</v>
      </c>
      <c r="E153" s="3">
        <v>21.39</v>
      </c>
      <c r="F153" s="3">
        <v>3.7</v>
      </c>
      <c r="G153" s="3">
        <v>1.63</v>
      </c>
      <c r="H153" s="3">
        <v>348</v>
      </c>
      <c r="I153" s="3">
        <v>2.5489999999999999</v>
      </c>
      <c r="J153" s="3">
        <v>6.6609999999999996</v>
      </c>
      <c r="K153" s="3">
        <v>2.496</v>
      </c>
    </row>
    <row r="154" spans="2:11" x14ac:dyDescent="0.25">
      <c r="B154" s="2" t="s">
        <v>7711</v>
      </c>
      <c r="C154" s="2" t="s">
        <v>7712</v>
      </c>
      <c r="D154" s="3">
        <v>6.69</v>
      </c>
      <c r="E154" s="3">
        <v>15.1</v>
      </c>
      <c r="F154" s="3">
        <v>3</v>
      </c>
      <c r="H154" s="3">
        <v>363</v>
      </c>
      <c r="I154" s="3">
        <v>2.9790000000000001</v>
      </c>
      <c r="J154" s="3">
        <v>3.972</v>
      </c>
      <c r="K154" s="3">
        <v>0.752</v>
      </c>
    </row>
    <row r="155" spans="2:11" x14ac:dyDescent="0.25">
      <c r="B155" s="2" t="s">
        <v>7713</v>
      </c>
      <c r="C155" s="2" t="s">
        <v>7714</v>
      </c>
      <c r="D155" s="3">
        <v>11.93</v>
      </c>
      <c r="E155" s="3">
        <v>31.22</v>
      </c>
      <c r="F155" s="3">
        <v>1.8</v>
      </c>
      <c r="G155" s="3">
        <v>3.37</v>
      </c>
      <c r="H155" s="3">
        <v>685</v>
      </c>
      <c r="I155" s="3">
        <v>5.04</v>
      </c>
      <c r="J155" s="3">
        <v>2.919</v>
      </c>
      <c r="K155" s="3">
        <v>1.839</v>
      </c>
    </row>
    <row r="156" spans="2:11" x14ac:dyDescent="0.25">
      <c r="B156" s="2" t="s">
        <v>7715</v>
      </c>
      <c r="C156" s="2" t="s">
        <v>7716</v>
      </c>
      <c r="D156" s="3">
        <v>11.73</v>
      </c>
      <c r="E156" s="3">
        <v>29.93</v>
      </c>
      <c r="F156" s="3">
        <v>1.7</v>
      </c>
      <c r="G156" s="3">
        <v>3.21</v>
      </c>
      <c r="H156" s="3">
        <v>624</v>
      </c>
      <c r="I156" s="3">
        <v>5.1840000000000002</v>
      </c>
      <c r="J156" s="3">
        <v>3.2130000000000001</v>
      </c>
      <c r="K156" s="3">
        <v>2.7519999999999998</v>
      </c>
    </row>
    <row r="157" spans="2:11" x14ac:dyDescent="0.25">
      <c r="B157" s="2" t="s">
        <v>7717</v>
      </c>
      <c r="C157" s="2" t="s">
        <v>7718</v>
      </c>
      <c r="D157" s="3">
        <v>15.29</v>
      </c>
      <c r="E157" s="3">
        <v>28.64</v>
      </c>
      <c r="F157" s="3">
        <v>1.6</v>
      </c>
      <c r="G157" s="3">
        <v>2.67</v>
      </c>
      <c r="H157" s="3">
        <v>784</v>
      </c>
      <c r="I157" s="3">
        <v>6.8959999999999999</v>
      </c>
      <c r="J157" s="3">
        <v>3.8069999999999999</v>
      </c>
      <c r="K157" s="3">
        <v>1.698</v>
      </c>
    </row>
    <row r="158" spans="2:11" x14ac:dyDescent="0.25">
      <c r="B158" s="2" t="s">
        <v>7719</v>
      </c>
      <c r="C158" s="2" t="s">
        <v>7720</v>
      </c>
      <c r="D158" s="3">
        <v>12.86</v>
      </c>
      <c r="E158" s="3">
        <v>31.55</v>
      </c>
      <c r="F158" s="3">
        <v>1.7</v>
      </c>
      <c r="G158" s="3">
        <v>3.67</v>
      </c>
      <c r="H158" s="3">
        <v>801</v>
      </c>
      <c r="I158" s="3">
        <v>5.1609999999999996</v>
      </c>
      <c r="J158" s="3">
        <v>4.0179999999999998</v>
      </c>
      <c r="K158" s="3">
        <v>2.0339999999999998</v>
      </c>
    </row>
    <row r="159" spans="2:11" x14ac:dyDescent="0.25">
      <c r="B159" s="2" t="s">
        <v>7721</v>
      </c>
      <c r="C159" s="2" t="s">
        <v>7722</v>
      </c>
      <c r="D159" s="3">
        <v>11.97</v>
      </c>
      <c r="E159" s="3">
        <v>30.49</v>
      </c>
      <c r="F159" s="3">
        <v>1.8</v>
      </c>
      <c r="G159" s="3">
        <v>3.2</v>
      </c>
      <c r="H159" s="3">
        <v>692</v>
      </c>
      <c r="I159" s="3">
        <v>5.2709999999999999</v>
      </c>
      <c r="J159" s="3">
        <v>4.415</v>
      </c>
      <c r="K159" s="3">
        <v>3.4649999999999999</v>
      </c>
    </row>
    <row r="160" spans="2:11" x14ac:dyDescent="0.25">
      <c r="B160" s="2" t="s">
        <v>7723</v>
      </c>
      <c r="C160" s="2" t="s">
        <v>7724</v>
      </c>
      <c r="D160" s="3">
        <v>10.9</v>
      </c>
      <c r="E160" s="3">
        <v>25.62</v>
      </c>
      <c r="F160" s="3">
        <v>2</v>
      </c>
      <c r="G160" s="3">
        <v>3.71</v>
      </c>
      <c r="H160" s="3">
        <v>689</v>
      </c>
      <c r="I160" s="3">
        <v>4.5540000000000003</v>
      </c>
      <c r="J160" s="3">
        <v>3.9529999999999998</v>
      </c>
      <c r="K160" s="3">
        <v>1.7290000000000001</v>
      </c>
    </row>
    <row r="161" spans="2:11" x14ac:dyDescent="0.25">
      <c r="B161" s="2" t="s">
        <v>7725</v>
      </c>
      <c r="C161" s="2" t="s">
        <v>7726</v>
      </c>
      <c r="D161" s="3">
        <v>10.8</v>
      </c>
      <c r="E161" s="3">
        <v>33.24</v>
      </c>
      <c r="F161" s="3">
        <v>2.2000000000000002</v>
      </c>
      <c r="G161" s="3">
        <v>4.0199999999999996</v>
      </c>
      <c r="H161" s="3">
        <v>523</v>
      </c>
      <c r="I161" s="3">
        <v>4.1100000000000003</v>
      </c>
      <c r="J161" s="3">
        <v>2.165</v>
      </c>
      <c r="K161" s="3">
        <v>1.833</v>
      </c>
    </row>
    <row r="162" spans="2:11" x14ac:dyDescent="0.25">
      <c r="B162" s="2" t="s">
        <v>7727</v>
      </c>
      <c r="C162" s="2" t="s">
        <v>7728</v>
      </c>
      <c r="D162" s="3">
        <v>10.76</v>
      </c>
      <c r="E162" s="3">
        <v>33.479999999999997</v>
      </c>
      <c r="F162" s="3">
        <v>2.4</v>
      </c>
      <c r="G162" s="3">
        <v>4.22</v>
      </c>
      <c r="H162" s="3">
        <v>615</v>
      </c>
      <c r="I162" s="3">
        <v>4.0620000000000003</v>
      </c>
      <c r="J162" s="3">
        <v>2.4340000000000002</v>
      </c>
      <c r="K162" s="3">
        <v>2.387</v>
      </c>
    </row>
    <row r="163" spans="2:11" x14ac:dyDescent="0.25">
      <c r="B163" s="2" t="s">
        <v>7729</v>
      </c>
      <c r="C163" s="2" t="s">
        <v>7730</v>
      </c>
      <c r="D163" s="3">
        <v>12.33</v>
      </c>
      <c r="E163" s="3">
        <v>28.18</v>
      </c>
      <c r="F163" s="3">
        <v>2.5</v>
      </c>
      <c r="G163" s="3">
        <v>4.09</v>
      </c>
      <c r="H163" s="3">
        <v>628</v>
      </c>
      <c r="I163" s="3">
        <v>6.3449999999999998</v>
      </c>
      <c r="J163" s="3">
        <v>3.7480000000000002</v>
      </c>
      <c r="K163" s="3">
        <v>3.762</v>
      </c>
    </row>
    <row r="164" spans="2:11" x14ac:dyDescent="0.25">
      <c r="B164" s="2" t="s">
        <v>7731</v>
      </c>
      <c r="C164" s="2" t="s">
        <v>7732</v>
      </c>
      <c r="D164" s="3">
        <v>11.25</v>
      </c>
      <c r="E164" s="3">
        <v>31.86</v>
      </c>
      <c r="F164" s="3">
        <v>2.1</v>
      </c>
      <c r="G164" s="3">
        <v>3.69</v>
      </c>
      <c r="H164" s="3">
        <v>611</v>
      </c>
      <c r="I164" s="3">
        <v>4.7789999999999999</v>
      </c>
      <c r="J164" s="3">
        <v>3.3679999999999999</v>
      </c>
      <c r="K164" s="3">
        <v>2.1059999999999999</v>
      </c>
    </row>
    <row r="165" spans="2:11" x14ac:dyDescent="0.25">
      <c r="B165" s="2" t="s">
        <v>7733</v>
      </c>
      <c r="C165" s="2" t="s">
        <v>7734</v>
      </c>
      <c r="D165" s="3">
        <v>11.52</v>
      </c>
      <c r="E165" s="3">
        <v>31.89</v>
      </c>
      <c r="F165" s="3">
        <v>2.4</v>
      </c>
      <c r="G165" s="3">
        <v>3.91</v>
      </c>
      <c r="H165" s="3">
        <v>693</v>
      </c>
      <c r="I165" s="3">
        <v>4.8559999999999999</v>
      </c>
      <c r="J165" s="3">
        <v>3.6179999999999999</v>
      </c>
      <c r="K165" s="3">
        <v>2.5499999999999998</v>
      </c>
    </row>
    <row r="166" spans="2:11" x14ac:dyDescent="0.25">
      <c r="B166" s="2" t="s">
        <v>7735</v>
      </c>
      <c r="C166" s="2" t="s">
        <v>7736</v>
      </c>
      <c r="D166" s="3">
        <v>10.33</v>
      </c>
      <c r="E166" s="3">
        <v>25.72</v>
      </c>
      <c r="F166" s="3">
        <v>2</v>
      </c>
      <c r="G166" s="3">
        <v>3.3</v>
      </c>
      <c r="H166" s="3">
        <v>456</v>
      </c>
      <c r="I166" s="3">
        <v>4.3860000000000001</v>
      </c>
      <c r="J166" s="3">
        <v>3.6269999999999998</v>
      </c>
      <c r="K166" s="3">
        <v>1.425</v>
      </c>
    </row>
    <row r="167" spans="2:11" x14ac:dyDescent="0.25">
      <c r="B167" s="2" t="s">
        <v>7737</v>
      </c>
      <c r="C167" s="2" t="s">
        <v>7738</v>
      </c>
      <c r="D167" s="3">
        <v>11.53</v>
      </c>
      <c r="E167" s="3">
        <v>32.74</v>
      </c>
      <c r="F167" s="3">
        <v>1.9</v>
      </c>
      <c r="G167" s="3">
        <v>5.32</v>
      </c>
      <c r="H167" s="3">
        <v>578</v>
      </c>
      <c r="I167" s="3">
        <v>3.871</v>
      </c>
      <c r="J167" s="3">
        <v>2.476</v>
      </c>
      <c r="K167" s="3">
        <v>1.97</v>
      </c>
    </row>
    <row r="168" spans="2:11" x14ac:dyDescent="0.25">
      <c r="B168" s="2" t="s">
        <v>7739</v>
      </c>
      <c r="C168" s="2" t="s">
        <v>7740</v>
      </c>
      <c r="D168" s="3">
        <v>11.97</v>
      </c>
      <c r="E168" s="3">
        <v>30.04</v>
      </c>
      <c r="F168" s="3">
        <v>1.2</v>
      </c>
      <c r="G168" s="3">
        <v>4.84</v>
      </c>
      <c r="H168" s="3">
        <v>671</v>
      </c>
      <c r="I168" s="3">
        <v>4.9080000000000004</v>
      </c>
      <c r="J168" s="3">
        <v>3.9119999999999999</v>
      </c>
      <c r="K168" s="3">
        <v>2.206</v>
      </c>
    </row>
    <row r="169" spans="2:11" x14ac:dyDescent="0.25">
      <c r="B169" s="2" t="s">
        <v>7741</v>
      </c>
      <c r="C169" s="2" t="s">
        <v>7742</v>
      </c>
      <c r="D169" s="3">
        <v>10.27</v>
      </c>
      <c r="E169" s="3">
        <v>26.69</v>
      </c>
      <c r="F169" s="3">
        <v>2.5</v>
      </c>
      <c r="G169" s="3">
        <v>4.84</v>
      </c>
      <c r="H169" s="3">
        <v>570</v>
      </c>
      <c r="I169" s="3">
        <v>3.7650000000000001</v>
      </c>
      <c r="J169" s="3">
        <v>3.6520000000000001</v>
      </c>
      <c r="K169" s="3">
        <v>1.877</v>
      </c>
    </row>
    <row r="170" spans="2:11" x14ac:dyDescent="0.25">
      <c r="B170" s="2" t="s">
        <v>7743</v>
      </c>
      <c r="C170" s="2" t="s">
        <v>7744</v>
      </c>
      <c r="D170" s="3">
        <v>12.29</v>
      </c>
      <c r="E170" s="3">
        <v>26.26</v>
      </c>
      <c r="F170" s="3">
        <v>2.2999999999999998</v>
      </c>
      <c r="G170" s="3">
        <v>3.85</v>
      </c>
      <c r="H170" s="3">
        <v>528</v>
      </c>
      <c r="I170" s="3">
        <v>6.202</v>
      </c>
      <c r="J170" s="3">
        <v>6.0019999999999998</v>
      </c>
      <c r="K170" s="3">
        <v>1.663</v>
      </c>
    </row>
    <row r="171" spans="2:11" x14ac:dyDescent="0.25">
      <c r="B171" s="2" t="s">
        <v>7745</v>
      </c>
      <c r="C171" s="2" t="s">
        <v>7746</v>
      </c>
      <c r="D171" s="3">
        <v>13.39</v>
      </c>
      <c r="E171" s="3">
        <v>31.5</v>
      </c>
      <c r="F171" s="3">
        <v>1.7</v>
      </c>
      <c r="G171" s="3">
        <v>4.0199999999999996</v>
      </c>
      <c r="H171" s="3">
        <v>454</v>
      </c>
      <c r="I171" s="3">
        <v>4.2060000000000004</v>
      </c>
      <c r="J171" s="3">
        <v>2.38</v>
      </c>
      <c r="K171" s="3">
        <v>1.4610000000000001</v>
      </c>
    </row>
    <row r="172" spans="2:11" x14ac:dyDescent="0.25">
      <c r="B172" s="2" t="s">
        <v>7747</v>
      </c>
      <c r="C172" s="2" t="s">
        <v>7748</v>
      </c>
      <c r="D172" s="3">
        <v>13.59</v>
      </c>
      <c r="E172" s="3">
        <v>31.01</v>
      </c>
      <c r="F172" s="3">
        <v>1.7</v>
      </c>
      <c r="G172" s="3">
        <v>3.76</v>
      </c>
      <c r="H172" s="3">
        <v>518</v>
      </c>
      <c r="I172" s="3">
        <v>4.5410000000000004</v>
      </c>
      <c r="J172" s="3">
        <v>3.1080000000000001</v>
      </c>
      <c r="K172" s="3">
        <v>1.603</v>
      </c>
    </row>
    <row r="173" spans="2:11" x14ac:dyDescent="0.25">
      <c r="B173" s="2" t="s">
        <v>7749</v>
      </c>
      <c r="C173" s="2" t="s">
        <v>7750</v>
      </c>
      <c r="D173" s="3">
        <v>12.12</v>
      </c>
      <c r="E173" s="3">
        <v>23.1</v>
      </c>
      <c r="F173" s="3">
        <v>2.1</v>
      </c>
      <c r="G173" s="3">
        <v>3.74</v>
      </c>
      <c r="H173" s="3">
        <v>578</v>
      </c>
      <c r="I173" s="3">
        <v>4.5609999999999999</v>
      </c>
      <c r="J173" s="3">
        <v>4.0629999999999997</v>
      </c>
      <c r="K173" s="3">
        <v>1.72</v>
      </c>
    </row>
    <row r="174" spans="2:11" x14ac:dyDescent="0.25">
      <c r="B174" s="2" t="s">
        <v>7751</v>
      </c>
      <c r="C174" s="2" t="s">
        <v>7752</v>
      </c>
      <c r="D174" s="3">
        <v>12.63</v>
      </c>
      <c r="E174" s="3">
        <v>30.1</v>
      </c>
      <c r="F174" s="3">
        <v>1.3</v>
      </c>
      <c r="G174" s="3">
        <v>3.66</v>
      </c>
      <c r="H174" s="3">
        <v>432</v>
      </c>
      <c r="I174" s="3">
        <v>4.2370000000000001</v>
      </c>
      <c r="J174" s="3">
        <v>2.7570000000000001</v>
      </c>
      <c r="K174" s="3">
        <v>1.728</v>
      </c>
    </row>
    <row r="175" spans="2:11" x14ac:dyDescent="0.25">
      <c r="B175" s="2" t="s">
        <v>7753</v>
      </c>
      <c r="C175" s="2" t="s">
        <v>7754</v>
      </c>
      <c r="D175" s="3">
        <v>12.93</v>
      </c>
      <c r="E175" s="3">
        <v>29.03</v>
      </c>
      <c r="F175" s="3">
        <v>1.5</v>
      </c>
      <c r="G175" s="3">
        <v>3.39</v>
      </c>
      <c r="H175" s="3">
        <v>492</v>
      </c>
      <c r="I175" s="3">
        <v>4.3140000000000001</v>
      </c>
      <c r="J175" s="3">
        <v>3.1509999999999998</v>
      </c>
      <c r="K175" s="3">
        <v>1.756</v>
      </c>
    </row>
    <row r="176" spans="2:11" x14ac:dyDescent="0.25">
      <c r="B176" s="2" t="s">
        <v>7755</v>
      </c>
      <c r="C176" s="2" t="s">
        <v>7756</v>
      </c>
      <c r="D176" s="3">
        <v>16.23</v>
      </c>
      <c r="E176" s="3">
        <v>22.85</v>
      </c>
      <c r="F176" s="3">
        <v>1.6</v>
      </c>
      <c r="G176" s="3">
        <v>2.76</v>
      </c>
      <c r="H176" s="3">
        <v>455</v>
      </c>
      <c r="I176" s="3">
        <v>7.327</v>
      </c>
      <c r="J176" s="3">
        <v>4.42</v>
      </c>
      <c r="K176" s="3">
        <v>3.161</v>
      </c>
    </row>
    <row r="177" spans="2:11" x14ac:dyDescent="0.25">
      <c r="B177" s="2" t="s">
        <v>7757</v>
      </c>
      <c r="C177" s="2" t="s">
        <v>7758</v>
      </c>
      <c r="D177" s="3">
        <v>11.98</v>
      </c>
      <c r="E177" s="3">
        <v>33.42</v>
      </c>
      <c r="F177" s="3">
        <v>2.4</v>
      </c>
      <c r="G177" s="3">
        <v>3.13</v>
      </c>
      <c r="H177" s="3">
        <v>674</v>
      </c>
      <c r="I177" s="3">
        <v>4.819</v>
      </c>
      <c r="J177" s="3">
        <v>3.05</v>
      </c>
      <c r="K177" s="3">
        <v>1.53</v>
      </c>
    </row>
    <row r="178" spans="2:11" x14ac:dyDescent="0.25">
      <c r="B178" s="2" t="s">
        <v>7759</v>
      </c>
      <c r="C178" s="2" t="s">
        <v>7760</v>
      </c>
      <c r="D178" s="3">
        <v>10.85</v>
      </c>
      <c r="E178" s="3">
        <v>32.85</v>
      </c>
      <c r="F178" s="3">
        <v>2.1</v>
      </c>
      <c r="G178" s="3">
        <v>2.4700000000000002</v>
      </c>
      <c r="H178" s="3">
        <v>580</v>
      </c>
      <c r="I178" s="3">
        <v>4.3899999999999997</v>
      </c>
      <c r="J178" s="3">
        <v>2.7549999999999999</v>
      </c>
      <c r="K178" s="3">
        <v>3.1179999999999999</v>
      </c>
    </row>
    <row r="179" spans="2:11" x14ac:dyDescent="0.25">
      <c r="B179" s="2" t="s">
        <v>7761</v>
      </c>
      <c r="C179" s="2" t="s">
        <v>7762</v>
      </c>
      <c r="D179" s="3">
        <v>13.37</v>
      </c>
      <c r="E179" s="3">
        <v>34.22</v>
      </c>
      <c r="F179" s="3">
        <v>2.4</v>
      </c>
      <c r="G179" s="3">
        <v>3.13</v>
      </c>
      <c r="H179" s="3">
        <v>857</v>
      </c>
      <c r="I179" s="3">
        <v>6.1029999999999998</v>
      </c>
      <c r="J179" s="3">
        <v>3.2650000000000001</v>
      </c>
      <c r="K179" s="3">
        <v>2.327</v>
      </c>
    </row>
    <row r="180" spans="2:11" x14ac:dyDescent="0.25">
      <c r="B180" s="2" t="s">
        <v>7763</v>
      </c>
      <c r="C180" s="2" t="s">
        <v>7764</v>
      </c>
      <c r="D180" s="3">
        <v>12.23</v>
      </c>
      <c r="E180" s="3">
        <v>32.11</v>
      </c>
      <c r="F180" s="3">
        <v>2.6</v>
      </c>
      <c r="G180" s="3">
        <v>2.82</v>
      </c>
      <c r="H180" s="3">
        <v>759</v>
      </c>
      <c r="I180" s="3">
        <v>5.4039999999999999</v>
      </c>
      <c r="J180" s="3">
        <v>4.3380000000000001</v>
      </c>
      <c r="K180" s="3">
        <v>2.0219999999999998</v>
      </c>
    </row>
    <row r="181" spans="2:11" x14ac:dyDescent="0.25">
      <c r="B181" s="2" t="s">
        <v>7765</v>
      </c>
      <c r="C181" s="2" t="s">
        <v>7766</v>
      </c>
      <c r="D181" s="3">
        <v>11.47</v>
      </c>
      <c r="E181" s="3">
        <v>31.79</v>
      </c>
      <c r="F181" s="3">
        <v>2</v>
      </c>
      <c r="G181" s="3">
        <v>1.95</v>
      </c>
      <c r="H181" s="3">
        <v>676</v>
      </c>
      <c r="I181" s="3">
        <v>4.8230000000000004</v>
      </c>
      <c r="J181" s="3">
        <v>3.8439999999999999</v>
      </c>
      <c r="K181" s="3">
        <v>3.4089999999999998</v>
      </c>
    </row>
    <row r="182" spans="2:11" x14ac:dyDescent="0.25">
      <c r="B182" s="2" t="s">
        <v>7767</v>
      </c>
      <c r="C182" s="2" t="s">
        <v>7768</v>
      </c>
      <c r="D182" s="3">
        <v>11.34</v>
      </c>
      <c r="E182" s="3">
        <v>26.01</v>
      </c>
      <c r="F182" s="3">
        <v>2.2999999999999998</v>
      </c>
      <c r="G182" s="3">
        <v>3.04</v>
      </c>
      <c r="H182" s="3">
        <v>658</v>
      </c>
      <c r="I182" s="3">
        <v>4.2169999999999996</v>
      </c>
      <c r="J182" s="3">
        <v>3.8050000000000002</v>
      </c>
      <c r="K182" s="3">
        <v>1.875</v>
      </c>
    </row>
    <row r="183" spans="2:11" x14ac:dyDescent="0.25">
      <c r="B183" s="2" t="s">
        <v>7769</v>
      </c>
      <c r="C183" s="2" t="s">
        <v>7770</v>
      </c>
      <c r="D183" s="3">
        <v>11.39</v>
      </c>
      <c r="E183" s="3">
        <v>33.33</v>
      </c>
      <c r="F183" s="3">
        <v>2.2999999999999998</v>
      </c>
      <c r="G183" s="3">
        <v>3.58</v>
      </c>
      <c r="H183" s="3">
        <v>598</v>
      </c>
      <c r="I183" s="3">
        <v>4.4649999999999999</v>
      </c>
      <c r="J183" s="3">
        <v>2.6080000000000001</v>
      </c>
      <c r="K183" s="3">
        <v>1.681</v>
      </c>
    </row>
    <row r="184" spans="2:11" x14ac:dyDescent="0.25">
      <c r="B184" s="2" t="s">
        <v>7771</v>
      </c>
      <c r="C184" s="2" t="s">
        <v>7772</v>
      </c>
      <c r="D184" s="3">
        <v>10.81</v>
      </c>
      <c r="E184" s="3">
        <v>33.17</v>
      </c>
      <c r="F184" s="3">
        <v>2.2000000000000002</v>
      </c>
      <c r="G184" s="3">
        <v>3.34</v>
      </c>
      <c r="H184" s="3">
        <v>597</v>
      </c>
      <c r="I184" s="3">
        <v>4.226</v>
      </c>
      <c r="J184" s="3">
        <v>2.5950000000000002</v>
      </c>
      <c r="K184" s="3">
        <v>2.7519999999999998</v>
      </c>
    </row>
    <row r="185" spans="2:11" x14ac:dyDescent="0.25">
      <c r="B185" s="2" t="s">
        <v>7773</v>
      </c>
      <c r="C185" s="2" t="s">
        <v>7774</v>
      </c>
      <c r="D185" s="3">
        <v>12.85</v>
      </c>
      <c r="E185" s="3">
        <v>31.2</v>
      </c>
      <c r="F185" s="3">
        <v>2.5</v>
      </c>
      <c r="G185" s="3">
        <v>3.61</v>
      </c>
      <c r="H185" s="3">
        <v>742</v>
      </c>
      <c r="I185" s="3">
        <v>6.2240000000000002</v>
      </c>
      <c r="J185" s="3">
        <v>3.5070000000000001</v>
      </c>
      <c r="K185" s="3">
        <v>3.044</v>
      </c>
    </row>
    <row r="186" spans="2:11" x14ac:dyDescent="0.25">
      <c r="B186" s="2" t="s">
        <v>7775</v>
      </c>
      <c r="C186" s="2" t="s">
        <v>7776</v>
      </c>
      <c r="D186" s="3">
        <v>11.74</v>
      </c>
      <c r="E186" s="3">
        <v>31.98</v>
      </c>
      <c r="F186" s="3">
        <v>2.2999999999999998</v>
      </c>
      <c r="G186" s="3">
        <v>3.26</v>
      </c>
      <c r="H186" s="3">
        <v>685</v>
      </c>
      <c r="I186" s="3">
        <v>5.0919999999999996</v>
      </c>
      <c r="J186" s="3">
        <v>3.8530000000000002</v>
      </c>
      <c r="K186" s="3">
        <v>2.0640000000000001</v>
      </c>
    </row>
    <row r="187" spans="2:11" x14ac:dyDescent="0.25">
      <c r="B187" s="2" t="s">
        <v>7777</v>
      </c>
      <c r="C187" s="2" t="s">
        <v>7778</v>
      </c>
      <c r="D187" s="3">
        <v>11.49</v>
      </c>
      <c r="E187" s="3">
        <v>31.84</v>
      </c>
      <c r="F187" s="3">
        <v>2.2000000000000002</v>
      </c>
      <c r="G187" s="3">
        <v>2.93</v>
      </c>
      <c r="H187" s="3">
        <v>684</v>
      </c>
      <c r="I187" s="3">
        <v>4.8390000000000004</v>
      </c>
      <c r="J187" s="3">
        <v>3.7309999999999999</v>
      </c>
      <c r="K187" s="3">
        <v>2.98</v>
      </c>
    </row>
    <row r="188" spans="2:11" x14ac:dyDescent="0.25">
      <c r="B188" s="2" t="s">
        <v>7779</v>
      </c>
      <c r="C188" s="2" t="s">
        <v>7780</v>
      </c>
      <c r="D188" s="3">
        <v>11.02</v>
      </c>
      <c r="E188" s="3">
        <v>25.38</v>
      </c>
      <c r="F188" s="3">
        <v>2.2000000000000002</v>
      </c>
      <c r="G188" s="3">
        <v>3.73</v>
      </c>
      <c r="H188" s="3">
        <v>589</v>
      </c>
      <c r="I188" s="3">
        <v>4.407</v>
      </c>
      <c r="J188" s="3">
        <v>3.7869999999999999</v>
      </c>
      <c r="K188" s="3">
        <v>1.89</v>
      </c>
    </row>
    <row r="189" spans="2:11" x14ac:dyDescent="0.25">
      <c r="B189" s="2" t="s">
        <v>7781</v>
      </c>
      <c r="C189" s="2" t="s">
        <v>7782</v>
      </c>
      <c r="D189" s="3">
        <v>10.77</v>
      </c>
      <c r="E189" s="3">
        <v>22.04</v>
      </c>
      <c r="F189" s="3">
        <v>0.6</v>
      </c>
      <c r="G189" s="3">
        <v>7.9</v>
      </c>
      <c r="H189" s="3">
        <v>652</v>
      </c>
      <c r="I189" s="3">
        <v>5.649</v>
      </c>
      <c r="J189" s="3">
        <v>6.718</v>
      </c>
      <c r="K189" s="3">
        <v>2.2599999999999998</v>
      </c>
    </row>
    <row r="190" spans="2:11" x14ac:dyDescent="0.25">
      <c r="B190" s="2" t="s">
        <v>7783</v>
      </c>
      <c r="C190" s="2" t="s">
        <v>7784</v>
      </c>
      <c r="D190" s="3">
        <v>8.41</v>
      </c>
      <c r="E190" s="3">
        <v>31.25</v>
      </c>
      <c r="F190" s="3">
        <v>1</v>
      </c>
      <c r="G190" s="3">
        <v>11.23</v>
      </c>
      <c r="H190" s="3">
        <v>737</v>
      </c>
      <c r="I190" s="3">
        <v>5.3630000000000004</v>
      </c>
      <c r="J190" s="3">
        <v>7.5309999999999997</v>
      </c>
      <c r="K190" s="3">
        <v>2.4140000000000001</v>
      </c>
    </row>
    <row r="191" spans="2:11" x14ac:dyDescent="0.25">
      <c r="B191" s="2" t="s">
        <v>7785</v>
      </c>
      <c r="C191" s="2" t="s">
        <v>7786</v>
      </c>
      <c r="D191" s="3">
        <v>12.03</v>
      </c>
      <c r="E191" s="3">
        <v>26.19</v>
      </c>
      <c r="F191" s="3">
        <v>0.8</v>
      </c>
      <c r="G191" s="3">
        <v>9.56</v>
      </c>
      <c r="H191" s="3">
        <v>718</v>
      </c>
      <c r="I191" s="3">
        <v>4.1210000000000004</v>
      </c>
      <c r="J191" s="3">
        <v>4.6349999999999998</v>
      </c>
      <c r="K191" s="3">
        <v>1.331</v>
      </c>
    </row>
    <row r="192" spans="2:11" x14ac:dyDescent="0.25">
      <c r="B192" s="2" t="s">
        <v>7787</v>
      </c>
      <c r="C192" s="2" t="s">
        <v>7788</v>
      </c>
      <c r="D192" s="3">
        <v>15.79</v>
      </c>
      <c r="E192" s="3">
        <v>15.09</v>
      </c>
      <c r="G192" s="3">
        <v>0.08</v>
      </c>
      <c r="H192" s="3">
        <v>566</v>
      </c>
      <c r="I192" s="3">
        <v>3.2610000000000001</v>
      </c>
      <c r="J192" s="3">
        <v>8.1340000000000003</v>
      </c>
      <c r="K192" s="3">
        <v>5.61</v>
      </c>
    </row>
    <row r="193" spans="2:11" x14ac:dyDescent="0.25">
      <c r="B193" s="2" t="s">
        <v>7789</v>
      </c>
      <c r="C193" s="2" t="s">
        <v>7790</v>
      </c>
      <c r="D193" s="3">
        <v>1.55</v>
      </c>
      <c r="E193" s="3">
        <v>36.93</v>
      </c>
      <c r="F193" s="3">
        <v>1.3</v>
      </c>
      <c r="G193" s="3">
        <v>34.31</v>
      </c>
      <c r="H193" s="3">
        <v>910</v>
      </c>
      <c r="I193" s="3">
        <v>0.14000000000000001</v>
      </c>
      <c r="J193" s="3">
        <v>0.27100000000000002</v>
      </c>
      <c r="K193" s="3">
        <v>0.504</v>
      </c>
    </row>
    <row r="194" spans="2:11" x14ac:dyDescent="0.25">
      <c r="B194" s="2" t="s">
        <v>7791</v>
      </c>
      <c r="C194" s="2" t="s">
        <v>7792</v>
      </c>
      <c r="D194" s="3">
        <v>1.1100000000000001</v>
      </c>
      <c r="E194" s="3">
        <v>3.49</v>
      </c>
      <c r="F194" s="3">
        <v>0</v>
      </c>
      <c r="G194" s="3">
        <v>3.45</v>
      </c>
      <c r="H194" s="3">
        <v>708</v>
      </c>
      <c r="I194" s="3">
        <v>7.8940000000000001</v>
      </c>
      <c r="J194" s="3">
        <v>11.093999999999999</v>
      </c>
      <c r="K194" s="3">
        <v>28.178000000000001</v>
      </c>
    </row>
    <row r="195" spans="2:11" x14ac:dyDescent="0.25">
      <c r="B195" s="2" t="s">
        <v>7793</v>
      </c>
      <c r="C195" s="2" t="s">
        <v>7794</v>
      </c>
      <c r="D195" s="3">
        <v>2.6</v>
      </c>
      <c r="E195" s="3">
        <v>29.08</v>
      </c>
      <c r="F195" s="3">
        <v>5</v>
      </c>
      <c r="G195" s="3">
        <v>21.76</v>
      </c>
      <c r="H195" s="3">
        <v>902</v>
      </c>
      <c r="I195" s="3">
        <v>0.98699999999999999</v>
      </c>
      <c r="J195" s="3">
        <v>1.724</v>
      </c>
      <c r="K195" s="3">
        <v>3.4060000000000001</v>
      </c>
    </row>
    <row r="196" spans="2:11" x14ac:dyDescent="0.25">
      <c r="B196" s="2" t="s">
        <v>7795</v>
      </c>
      <c r="C196" s="2" t="s">
        <v>7796</v>
      </c>
      <c r="D196" s="3">
        <v>0.54</v>
      </c>
      <c r="E196" s="3">
        <v>1.81</v>
      </c>
      <c r="F196" s="3">
        <v>1.5</v>
      </c>
      <c r="G196" s="3">
        <v>0</v>
      </c>
      <c r="H196" s="3">
        <v>2140</v>
      </c>
      <c r="I196" s="3">
        <v>2.2770000000000001</v>
      </c>
      <c r="J196" s="3">
        <v>3.222</v>
      </c>
      <c r="K196" s="3">
        <v>8.4329999999999998</v>
      </c>
    </row>
    <row r="197" spans="2:11" x14ac:dyDescent="0.25">
      <c r="B197" s="2" t="s">
        <v>7797</v>
      </c>
      <c r="C197" s="2" t="s">
        <v>7798</v>
      </c>
      <c r="D197" s="3">
        <v>0.66</v>
      </c>
      <c r="E197" s="3">
        <v>39.380000000000003</v>
      </c>
      <c r="F197" s="3">
        <v>0</v>
      </c>
      <c r="G197" s="3">
        <v>35.79</v>
      </c>
      <c r="H197" s="3">
        <v>557</v>
      </c>
      <c r="I197" s="3">
        <v>0.14799999999999999</v>
      </c>
      <c r="J197" s="3">
        <v>0.24099999999999999</v>
      </c>
      <c r="K197" s="3">
        <v>0.51400000000000001</v>
      </c>
    </row>
    <row r="198" spans="2:11" x14ac:dyDescent="0.25">
      <c r="B198" s="2" t="s">
        <v>7799</v>
      </c>
      <c r="C198" s="2" t="s">
        <v>7800</v>
      </c>
      <c r="D198" s="3">
        <v>1.32</v>
      </c>
      <c r="E198" s="3">
        <v>28.81</v>
      </c>
      <c r="F198" s="3">
        <v>2.7</v>
      </c>
      <c r="G198" s="3">
        <v>21.88</v>
      </c>
      <c r="H198" s="3">
        <v>383</v>
      </c>
      <c r="I198" s="3">
        <v>0.89500000000000002</v>
      </c>
      <c r="J198" s="3">
        <v>1.3340000000000001</v>
      </c>
      <c r="K198" s="3">
        <v>2.6789999999999998</v>
      </c>
    </row>
    <row r="199" spans="2:11" x14ac:dyDescent="0.25">
      <c r="B199" s="2" t="s">
        <v>7801</v>
      </c>
      <c r="C199" s="2" t="s">
        <v>7802</v>
      </c>
      <c r="D199" s="3">
        <v>2.48</v>
      </c>
      <c r="E199" s="3">
        <v>28.56</v>
      </c>
      <c r="F199" s="3">
        <v>2.8</v>
      </c>
      <c r="G199" s="3">
        <v>0.54</v>
      </c>
      <c r="H199" s="3">
        <v>580</v>
      </c>
      <c r="I199" s="3">
        <v>2.327</v>
      </c>
      <c r="J199" s="3">
        <v>8.0549999999999997</v>
      </c>
      <c r="K199" s="3">
        <v>5.0650000000000004</v>
      </c>
    </row>
    <row r="200" spans="2:11" x14ac:dyDescent="0.25">
      <c r="B200" s="2" t="s">
        <v>7803</v>
      </c>
      <c r="C200" s="2" t="s">
        <v>7804</v>
      </c>
      <c r="D200" s="3">
        <v>6</v>
      </c>
      <c r="E200" s="3">
        <v>38.270000000000003</v>
      </c>
      <c r="F200" s="3">
        <v>1.4</v>
      </c>
      <c r="G200" s="3">
        <v>8.84</v>
      </c>
      <c r="H200" s="3">
        <v>358</v>
      </c>
      <c r="I200" s="3">
        <v>1.1579999999999999</v>
      </c>
      <c r="J200" s="3">
        <v>1.236</v>
      </c>
      <c r="K200" s="3">
        <v>2.9780000000000002</v>
      </c>
    </row>
    <row r="201" spans="2:11" x14ac:dyDescent="0.25">
      <c r="B201" s="2" t="s">
        <v>7805</v>
      </c>
      <c r="C201" s="2" t="s">
        <v>7806</v>
      </c>
      <c r="D201" s="3">
        <v>3.07</v>
      </c>
      <c r="E201" s="3">
        <v>43.62</v>
      </c>
      <c r="F201" s="3">
        <v>2</v>
      </c>
      <c r="G201" s="3">
        <v>17.25</v>
      </c>
      <c r="H201" s="3">
        <v>199</v>
      </c>
      <c r="I201" s="3">
        <v>3.9950000000000001</v>
      </c>
      <c r="J201" s="3">
        <v>9.1829999999999998</v>
      </c>
      <c r="K201" s="3">
        <v>1.038</v>
      </c>
    </row>
    <row r="202" spans="2:11" x14ac:dyDescent="0.25">
      <c r="B202" s="2" t="s">
        <v>7807</v>
      </c>
      <c r="C202" s="2" t="s">
        <v>7808</v>
      </c>
      <c r="D202" s="3">
        <v>12.03</v>
      </c>
      <c r="E202" s="3">
        <v>26.19</v>
      </c>
      <c r="F202" s="3">
        <v>0.8</v>
      </c>
      <c r="G202" s="3">
        <v>9.56</v>
      </c>
      <c r="H202" s="3">
        <v>673</v>
      </c>
      <c r="I202" s="3">
        <v>4.2009999999999996</v>
      </c>
      <c r="J202" s="3">
        <v>4.6859999999999999</v>
      </c>
      <c r="K202" s="3">
        <v>1.7749999999999999</v>
      </c>
    </row>
    <row r="203" spans="2:11" x14ac:dyDescent="0.25">
      <c r="B203" s="2" t="s">
        <v>7809</v>
      </c>
      <c r="C203" s="2" t="s">
        <v>7810</v>
      </c>
      <c r="D203" s="3">
        <v>8.41</v>
      </c>
      <c r="E203" s="3">
        <v>31.25</v>
      </c>
      <c r="F203" s="3">
        <v>1</v>
      </c>
      <c r="G203" s="3">
        <v>11.23</v>
      </c>
      <c r="H203" s="3">
        <v>737</v>
      </c>
      <c r="I203" s="3">
        <v>5.4349999999999996</v>
      </c>
      <c r="J203" s="3">
        <v>7.532</v>
      </c>
      <c r="K203" s="3">
        <v>2.5910000000000002</v>
      </c>
    </row>
    <row r="204" spans="2:11" x14ac:dyDescent="0.25">
      <c r="B204" s="2" t="s">
        <v>7811</v>
      </c>
      <c r="C204" s="2" t="s">
        <v>7812</v>
      </c>
      <c r="D204" s="3">
        <v>10.77</v>
      </c>
      <c r="E204" s="3">
        <v>22.04</v>
      </c>
      <c r="F204" s="3">
        <v>0.6</v>
      </c>
      <c r="G204" s="3">
        <v>7.9</v>
      </c>
      <c r="H204" s="3">
        <v>652</v>
      </c>
      <c r="I204" s="3">
        <v>5.649</v>
      </c>
      <c r="J204" s="3">
        <v>6.718</v>
      </c>
      <c r="K204" s="3">
        <v>2.2599999999999998</v>
      </c>
    </row>
    <row r="205" spans="2:11" x14ac:dyDescent="0.25">
      <c r="B205" s="2" t="s">
        <v>7813</v>
      </c>
      <c r="C205" s="2" t="s">
        <v>7814</v>
      </c>
      <c r="D205" s="3">
        <v>4.24</v>
      </c>
      <c r="E205" s="3">
        <v>26.36</v>
      </c>
      <c r="F205" s="3">
        <v>0.1</v>
      </c>
      <c r="G205" s="3">
        <v>19.489999999999998</v>
      </c>
      <c r="H205" s="3">
        <v>67</v>
      </c>
      <c r="I205" s="3">
        <v>2.41</v>
      </c>
      <c r="J205" s="3">
        <v>1.206</v>
      </c>
      <c r="K205" s="3">
        <v>0.29699999999999999</v>
      </c>
    </row>
    <row r="206" spans="2:11" x14ac:dyDescent="0.25">
      <c r="B206" s="2" t="s">
        <v>7815</v>
      </c>
      <c r="C206" s="2" t="s">
        <v>7816</v>
      </c>
      <c r="D206" s="3">
        <v>3.19</v>
      </c>
      <c r="E206" s="3">
        <v>28.09</v>
      </c>
      <c r="F206" s="3">
        <v>0</v>
      </c>
      <c r="G206" s="3">
        <v>25.32</v>
      </c>
      <c r="H206" s="3">
        <v>47</v>
      </c>
      <c r="I206" s="3">
        <v>2.008</v>
      </c>
      <c r="J206" s="3">
        <v>0.97599999999999998</v>
      </c>
      <c r="K206" s="3">
        <v>0.19</v>
      </c>
    </row>
    <row r="207" spans="2:11" x14ac:dyDescent="0.25">
      <c r="B207" s="2" t="s">
        <v>7817</v>
      </c>
      <c r="C207" s="2" t="s">
        <v>7818</v>
      </c>
      <c r="D207" s="3">
        <v>3.58</v>
      </c>
      <c r="E207" s="3">
        <v>33.36</v>
      </c>
      <c r="F207" s="3">
        <v>0</v>
      </c>
      <c r="G207" s="3">
        <v>23.54</v>
      </c>
      <c r="H207" s="3">
        <v>80</v>
      </c>
      <c r="I207" s="3">
        <v>2.468</v>
      </c>
      <c r="J207" s="3">
        <v>1.21</v>
      </c>
      <c r="K207" s="3">
        <v>0.23200000000000001</v>
      </c>
    </row>
    <row r="208" spans="2:11" x14ac:dyDescent="0.25">
      <c r="B208" s="2" t="s">
        <v>7819</v>
      </c>
      <c r="C208" s="2" t="s">
        <v>7820</v>
      </c>
      <c r="D208" s="3">
        <v>4.1399999999999997</v>
      </c>
      <c r="E208" s="3">
        <v>30.05</v>
      </c>
      <c r="F208" s="3">
        <v>0.4</v>
      </c>
      <c r="G208" s="3">
        <v>26.89</v>
      </c>
      <c r="H208" s="3">
        <v>94</v>
      </c>
      <c r="I208" s="3">
        <v>3.5920000000000001</v>
      </c>
      <c r="J208" s="3">
        <v>1.0449999999999999</v>
      </c>
      <c r="K208" s="3">
        <v>0.22</v>
      </c>
    </row>
    <row r="209" spans="2:11" x14ac:dyDescent="0.25">
      <c r="B209" s="2"/>
      <c r="C209" s="2"/>
      <c r="D209" s="3"/>
      <c r="E209" s="3"/>
      <c r="G209" s="3"/>
      <c r="H209" s="3"/>
      <c r="I209" s="3"/>
      <c r="J209" s="3"/>
      <c r="K209" s="3"/>
    </row>
    <row r="210" spans="2:11" x14ac:dyDescent="0.25">
      <c r="B210" s="2"/>
      <c r="C210" s="2"/>
      <c r="D210" s="3"/>
      <c r="E210" s="3"/>
      <c r="F210" s="3"/>
      <c r="G210" s="3"/>
      <c r="H210" s="3"/>
      <c r="I210" s="3"/>
      <c r="J210" s="3"/>
      <c r="K210" s="3"/>
    </row>
    <row r="211" spans="2:11" x14ac:dyDescent="0.25">
      <c r="B211" s="2"/>
      <c r="C211" s="2"/>
      <c r="D211" s="3"/>
      <c r="E211" s="3"/>
      <c r="F211" s="3"/>
      <c r="G211" s="3"/>
      <c r="H211" s="3"/>
      <c r="I211" s="3"/>
      <c r="J211" s="3"/>
      <c r="K211" s="3"/>
    </row>
    <row r="212" spans="2:11" x14ac:dyDescent="0.25">
      <c r="B212" s="2"/>
      <c r="C212" s="2"/>
      <c r="D212" s="3"/>
      <c r="E212" s="3"/>
      <c r="F212" s="3"/>
      <c r="G212" s="3"/>
      <c r="H212" s="3"/>
      <c r="I212" s="3"/>
      <c r="J212" s="3"/>
      <c r="K212" s="3"/>
    </row>
    <row r="213" spans="2:11" x14ac:dyDescent="0.25">
      <c r="B213" s="2"/>
      <c r="C213" s="2"/>
      <c r="D213" s="3"/>
      <c r="E213" s="3"/>
      <c r="F213" s="3"/>
      <c r="G213" s="3"/>
      <c r="H213" s="3"/>
      <c r="I213" s="3"/>
      <c r="J213" s="3"/>
      <c r="K213" s="3"/>
    </row>
    <row r="214" spans="2:11" x14ac:dyDescent="0.25">
      <c r="B214" s="2"/>
      <c r="C214" s="2"/>
      <c r="D214" s="3"/>
      <c r="E214" s="3"/>
      <c r="G214" s="3"/>
      <c r="H214" s="3"/>
      <c r="I214" s="3"/>
      <c r="J214" s="3"/>
      <c r="K214" s="3"/>
    </row>
    <row r="215" spans="2:11" x14ac:dyDescent="0.25">
      <c r="B215" s="2"/>
      <c r="C215" s="2"/>
      <c r="D215" s="3"/>
      <c r="E215" s="3"/>
      <c r="F215" s="3"/>
      <c r="G215" s="3"/>
      <c r="H215" s="3"/>
      <c r="I215" s="3"/>
      <c r="J215" s="3"/>
      <c r="K215" s="3"/>
    </row>
    <row r="216" spans="2:11" x14ac:dyDescent="0.25">
      <c r="B216" s="2"/>
      <c r="C216" s="2"/>
      <c r="D216" s="3"/>
      <c r="E216" s="3"/>
      <c r="F216" s="3"/>
      <c r="G216" s="3"/>
      <c r="H216" s="3"/>
      <c r="I216" s="3"/>
      <c r="J216" s="3"/>
      <c r="K216" s="3"/>
    </row>
    <row r="217" spans="2:11" x14ac:dyDescent="0.25">
      <c r="B217" s="2"/>
      <c r="C217" s="2"/>
      <c r="D217" s="3"/>
      <c r="E217" s="3"/>
      <c r="F217" s="3"/>
      <c r="G217" s="3"/>
      <c r="H217" s="3"/>
      <c r="I217" s="3"/>
      <c r="J217" s="3"/>
      <c r="K217" s="3"/>
    </row>
    <row r="218" spans="2:11" x14ac:dyDescent="0.25">
      <c r="B218" s="2"/>
      <c r="C218" s="2"/>
      <c r="D218" s="3"/>
      <c r="E218" s="3"/>
      <c r="F218" s="3"/>
      <c r="G218" s="3"/>
      <c r="H218" s="3"/>
      <c r="I218" s="3"/>
      <c r="J218" s="3"/>
      <c r="K218" s="3"/>
    </row>
    <row r="219" spans="2:11" x14ac:dyDescent="0.25">
      <c r="B219" s="2"/>
      <c r="C219" s="2"/>
      <c r="D219" s="3"/>
      <c r="E219" s="3"/>
      <c r="F219" s="3"/>
      <c r="G219" s="3"/>
      <c r="H219" s="3"/>
      <c r="I219" s="3"/>
      <c r="J219" s="3"/>
      <c r="K219" s="3"/>
    </row>
    <row r="220" spans="2:11" x14ac:dyDescent="0.25">
      <c r="B220" s="2"/>
      <c r="C220" s="2"/>
      <c r="D220" s="3"/>
      <c r="E220" s="3"/>
      <c r="F220" s="3"/>
      <c r="G220" s="3"/>
      <c r="H220" s="3"/>
      <c r="I220" s="3"/>
      <c r="J220" s="3"/>
      <c r="K220" s="3"/>
    </row>
    <row r="221" spans="2:11" x14ac:dyDescent="0.25">
      <c r="B221" s="2"/>
      <c r="C221" s="2"/>
      <c r="D221" s="3"/>
      <c r="E221" s="3"/>
      <c r="F221" s="3"/>
      <c r="G221" s="3"/>
      <c r="H221" s="3"/>
      <c r="I221" s="3"/>
      <c r="J221" s="3"/>
      <c r="K221" s="3"/>
    </row>
    <row r="222" spans="2:11" x14ac:dyDescent="0.25">
      <c r="B222" s="2"/>
      <c r="C222" s="2"/>
      <c r="D222" s="3"/>
      <c r="E222" s="3"/>
      <c r="F222" s="3"/>
      <c r="G222" s="3"/>
      <c r="H222" s="3"/>
      <c r="I222" s="3"/>
      <c r="J222" s="3"/>
      <c r="K222" s="3"/>
    </row>
    <row r="223" spans="2:11" x14ac:dyDescent="0.25">
      <c r="B223" s="2"/>
      <c r="C223" s="2"/>
      <c r="D223" s="3"/>
      <c r="E223" s="3"/>
      <c r="F223" s="3"/>
      <c r="G223" s="3"/>
      <c r="H223" s="3"/>
      <c r="I223" s="3"/>
      <c r="J223" s="3"/>
      <c r="K223" s="3"/>
    </row>
    <row r="224" spans="2:11" x14ac:dyDescent="0.25">
      <c r="B224" s="2"/>
      <c r="C224" s="2"/>
      <c r="D224" s="3"/>
      <c r="E224" s="3"/>
      <c r="F224" s="3"/>
      <c r="G224" s="3"/>
      <c r="H224" s="3"/>
      <c r="I224" s="3"/>
      <c r="J224" s="3"/>
      <c r="K224" s="3"/>
    </row>
    <row r="225" spans="2:11" x14ac:dyDescent="0.25">
      <c r="B225" s="2"/>
      <c r="C225" s="2"/>
      <c r="D225" s="3"/>
      <c r="E225" s="3"/>
      <c r="F225" s="3"/>
      <c r="G225" s="3"/>
      <c r="H225" s="3"/>
      <c r="I225" s="3"/>
      <c r="J225" s="3"/>
      <c r="K225" s="3"/>
    </row>
    <row r="226" spans="2:11" x14ac:dyDescent="0.25">
      <c r="B226" s="2"/>
      <c r="C226" s="2"/>
      <c r="D226" s="3"/>
      <c r="E226" s="3"/>
      <c r="F226" s="3"/>
      <c r="G226" s="3"/>
      <c r="H226" s="3"/>
      <c r="I226" s="3"/>
      <c r="J226" s="3"/>
      <c r="K226" s="3"/>
    </row>
    <row r="227" spans="2:11" x14ac:dyDescent="0.25">
      <c r="B227" s="2"/>
      <c r="C227" s="2"/>
      <c r="D227" s="3"/>
      <c r="E227" s="3"/>
      <c r="F227" s="3"/>
      <c r="G227" s="3"/>
      <c r="H227" s="3"/>
      <c r="I227" s="3"/>
      <c r="J227" s="3"/>
      <c r="K227" s="3"/>
    </row>
    <row r="228" spans="2:11" x14ac:dyDescent="0.25">
      <c r="B228" s="2"/>
      <c r="C228" s="2"/>
      <c r="D228" s="3"/>
      <c r="E228" s="3"/>
      <c r="F228" s="3"/>
      <c r="G228" s="3"/>
      <c r="H228" s="3"/>
      <c r="I228" s="3"/>
      <c r="J228" s="3"/>
      <c r="K228" s="3"/>
    </row>
    <row r="229" spans="2:11" x14ac:dyDescent="0.25">
      <c r="B229" s="2"/>
      <c r="C229" s="2"/>
      <c r="D229" s="3"/>
      <c r="E229" s="3"/>
      <c r="F229" s="3"/>
      <c r="G229" s="3"/>
      <c r="H229" s="3"/>
      <c r="I229" s="3"/>
      <c r="J229" s="3"/>
      <c r="K229" s="3"/>
    </row>
    <row r="230" spans="2:11" x14ac:dyDescent="0.25">
      <c r="B230" s="2"/>
      <c r="C230" s="2"/>
      <c r="D230" s="3"/>
      <c r="E230" s="3"/>
      <c r="F230" s="3"/>
      <c r="G230" s="3"/>
      <c r="H230" s="3"/>
      <c r="I230" s="3"/>
      <c r="J230" s="3"/>
      <c r="K230" s="3"/>
    </row>
    <row r="231" spans="2:11" x14ac:dyDescent="0.25">
      <c r="B231" s="2"/>
      <c r="C231" s="2"/>
      <c r="D231" s="3"/>
      <c r="E231" s="3"/>
      <c r="F231" s="3"/>
      <c r="G231" s="3"/>
      <c r="H231" s="3"/>
      <c r="I231" s="3"/>
    </row>
    <row r="232" spans="2:11" x14ac:dyDescent="0.25">
      <c r="B232" s="2"/>
      <c r="C232" s="2"/>
      <c r="D232" s="3"/>
      <c r="E232" s="3"/>
      <c r="F232" s="3"/>
      <c r="G232" s="3"/>
      <c r="H232" s="3"/>
      <c r="I232" s="3"/>
      <c r="J232" s="3"/>
      <c r="K232" s="3"/>
    </row>
    <row r="233" spans="2:11" x14ac:dyDescent="0.25">
      <c r="B233" s="2"/>
      <c r="C233" s="2"/>
      <c r="D233" s="3"/>
      <c r="E233" s="3"/>
      <c r="F233" s="3"/>
      <c r="G233" s="3"/>
      <c r="H233" s="3"/>
      <c r="I233" s="3"/>
      <c r="J233" s="3"/>
      <c r="K233" s="3"/>
    </row>
    <row r="234" spans="2:11" x14ac:dyDescent="0.25">
      <c r="B234" s="2"/>
      <c r="C234" s="2"/>
      <c r="D234" s="3"/>
      <c r="E234" s="3"/>
      <c r="F234" s="3"/>
      <c r="G234" s="3"/>
      <c r="H234" s="3"/>
      <c r="I234" s="3"/>
      <c r="J234" s="3"/>
      <c r="K234" s="3"/>
    </row>
    <row r="235" spans="2:11" x14ac:dyDescent="0.25">
      <c r="B235" s="2"/>
      <c r="C235" s="2"/>
      <c r="D235" s="3"/>
      <c r="E235" s="3"/>
      <c r="F235" s="3"/>
      <c r="G235" s="3"/>
      <c r="H235" s="3"/>
      <c r="I235" s="3"/>
      <c r="J235" s="3"/>
      <c r="K235" s="3"/>
    </row>
    <row r="236" spans="2:11" x14ac:dyDescent="0.25">
      <c r="B236" s="2"/>
      <c r="C236" s="2"/>
      <c r="D236" s="3"/>
      <c r="E236" s="3"/>
      <c r="F236" s="3"/>
      <c r="G236" s="3"/>
      <c r="H236" s="3"/>
      <c r="I236" s="3"/>
      <c r="J236" s="3"/>
      <c r="K236" s="3"/>
    </row>
    <row r="237" spans="2:11" x14ac:dyDescent="0.25">
      <c r="B237" s="2"/>
      <c r="C237" s="2"/>
      <c r="D237" s="3"/>
      <c r="E237" s="3"/>
      <c r="F237" s="3"/>
      <c r="G237" s="3"/>
      <c r="H237" s="3"/>
      <c r="I237" s="3"/>
      <c r="J237" s="3"/>
      <c r="K237" s="3"/>
    </row>
    <row r="238" spans="2:11" x14ac:dyDescent="0.25">
      <c r="B238" s="2"/>
      <c r="C238" s="2"/>
      <c r="D238" s="3"/>
      <c r="E238" s="3"/>
      <c r="F238" s="3"/>
      <c r="G238" s="3"/>
      <c r="H238" s="3"/>
      <c r="I238" s="3"/>
      <c r="J238" s="3"/>
      <c r="K238" s="3"/>
    </row>
    <row r="239" spans="2:11" x14ac:dyDescent="0.25">
      <c r="B239" s="2"/>
      <c r="C239" s="2"/>
      <c r="D239" s="3"/>
      <c r="E239" s="3"/>
      <c r="F239" s="3"/>
      <c r="G239" s="3"/>
      <c r="H239" s="3"/>
      <c r="I239" s="3"/>
      <c r="J239" s="3"/>
      <c r="K239" s="3"/>
    </row>
    <row r="240" spans="2:11" x14ac:dyDescent="0.25">
      <c r="B240" s="2"/>
      <c r="C240" s="2"/>
      <c r="D240" s="3"/>
      <c r="E240" s="3"/>
      <c r="F240" s="3"/>
      <c r="G240" s="3"/>
      <c r="H240" s="3"/>
      <c r="I240" s="3"/>
      <c r="J240" s="3"/>
      <c r="K240" s="3"/>
    </row>
    <row r="241" spans="2:11" x14ac:dyDescent="0.25">
      <c r="B241" s="2"/>
      <c r="C241" s="2"/>
      <c r="D241" s="3"/>
      <c r="E241" s="3"/>
      <c r="F241" s="3"/>
      <c r="G241" s="3"/>
      <c r="H241" s="3"/>
      <c r="I241" s="3"/>
      <c r="J241" s="3"/>
      <c r="K241" s="3"/>
    </row>
    <row r="242" spans="2:11" x14ac:dyDescent="0.25">
      <c r="B242" s="2"/>
      <c r="C242" s="2"/>
      <c r="D242" s="3"/>
      <c r="E242" s="3"/>
      <c r="F242" s="3"/>
      <c r="G242" s="3"/>
      <c r="H242" s="3"/>
      <c r="I242" s="3"/>
      <c r="J242" s="3"/>
      <c r="K242" s="3"/>
    </row>
    <row r="243" spans="2:11" x14ac:dyDescent="0.25">
      <c r="B243" s="2"/>
      <c r="C243" s="2"/>
      <c r="D243" s="3"/>
      <c r="E243" s="3"/>
      <c r="F243" s="3"/>
      <c r="G243" s="3"/>
      <c r="H243" s="3"/>
      <c r="I243" s="3"/>
      <c r="J243" s="3"/>
      <c r="K243" s="3"/>
    </row>
    <row r="244" spans="2:11" x14ac:dyDescent="0.25">
      <c r="B244" s="2"/>
      <c r="C244" s="2"/>
      <c r="D244" s="3"/>
      <c r="E244" s="3"/>
      <c r="F244" s="3"/>
      <c r="G244" s="3"/>
      <c r="H244" s="3"/>
      <c r="I244" s="3"/>
      <c r="J244" s="3"/>
      <c r="K244" s="3"/>
    </row>
    <row r="245" spans="2:11" x14ac:dyDescent="0.25">
      <c r="B245" s="2"/>
      <c r="C245" s="2"/>
      <c r="D245" s="3"/>
      <c r="E245" s="3"/>
      <c r="F245" s="3"/>
      <c r="G245" s="3"/>
      <c r="H245" s="3"/>
      <c r="I245" s="3"/>
      <c r="J245" s="3"/>
      <c r="K245" s="3"/>
    </row>
    <row r="246" spans="2:11" x14ac:dyDescent="0.25">
      <c r="B246" s="2"/>
      <c r="C246" s="2"/>
      <c r="D246" s="3"/>
      <c r="E246" s="3"/>
      <c r="F246" s="3"/>
      <c r="G246" s="3"/>
      <c r="H246" s="3"/>
      <c r="I246" s="3"/>
      <c r="J246" s="3"/>
      <c r="K246" s="3"/>
    </row>
    <row r="247" spans="2:11" x14ac:dyDescent="0.25">
      <c r="B247" s="2"/>
      <c r="C247" s="2"/>
      <c r="D247" s="3"/>
      <c r="E247" s="3"/>
      <c r="F247" s="3"/>
      <c r="G247" s="3"/>
      <c r="H247" s="3"/>
      <c r="I247" s="3"/>
      <c r="J247" s="3"/>
      <c r="K247" s="3"/>
    </row>
    <row r="248" spans="2:11" x14ac:dyDescent="0.25">
      <c r="B248" s="2"/>
      <c r="C248" s="2"/>
      <c r="D248" s="3"/>
      <c r="E248" s="3"/>
      <c r="F248" s="3"/>
      <c r="H248" s="3"/>
      <c r="I248" s="3"/>
      <c r="J248" s="3"/>
      <c r="K248" s="3"/>
    </row>
    <row r="249" spans="2:11" x14ac:dyDescent="0.25">
      <c r="B249" s="2"/>
      <c r="C249" s="2"/>
      <c r="D249" s="3"/>
      <c r="E249" s="3"/>
      <c r="F249" s="3"/>
      <c r="G249" s="3"/>
      <c r="H249" s="3"/>
      <c r="I249" s="3"/>
      <c r="J249" s="3"/>
      <c r="K249" s="3"/>
    </row>
    <row r="250" spans="2:11" x14ac:dyDescent="0.25">
      <c r="B250" s="2"/>
      <c r="C250" s="2"/>
      <c r="D250" s="3"/>
      <c r="E250" s="3"/>
      <c r="F250" s="3"/>
      <c r="G250" s="3"/>
      <c r="H250" s="3"/>
      <c r="I250" s="3"/>
      <c r="J250" s="3"/>
      <c r="K250" s="3"/>
    </row>
    <row r="251" spans="2:11" x14ac:dyDescent="0.25">
      <c r="B251" s="2"/>
      <c r="C251" s="2"/>
      <c r="D251" s="3"/>
      <c r="E251" s="3"/>
      <c r="F251" s="3"/>
      <c r="G251" s="3"/>
      <c r="H251" s="3"/>
      <c r="I251" s="3"/>
      <c r="J251" s="3"/>
      <c r="K251" s="3"/>
    </row>
    <row r="252" spans="2:11" x14ac:dyDescent="0.25">
      <c r="B252" s="2"/>
      <c r="C252" s="2"/>
      <c r="D252" s="3"/>
      <c r="E252" s="3"/>
      <c r="F252" s="3"/>
      <c r="G252" s="3"/>
      <c r="H252" s="3"/>
      <c r="I252" s="3"/>
      <c r="J252" s="3"/>
      <c r="K252" s="3"/>
    </row>
    <row r="253" spans="2:11" x14ac:dyDescent="0.25">
      <c r="B253" s="2"/>
      <c r="C253" s="2"/>
      <c r="D253" s="3"/>
      <c r="E253" s="3"/>
      <c r="F253" s="3"/>
      <c r="G253" s="3"/>
      <c r="H253" s="3"/>
      <c r="I253" s="3"/>
      <c r="J253" s="3"/>
      <c r="K253" s="3"/>
    </row>
    <row r="254" spans="2:11" x14ac:dyDescent="0.25">
      <c r="B254" s="2"/>
      <c r="C254" s="2"/>
      <c r="D254" s="3"/>
      <c r="E254" s="3"/>
      <c r="F254" s="3"/>
      <c r="G254" s="3"/>
      <c r="H254" s="3"/>
      <c r="I254" s="3"/>
      <c r="J254" s="3"/>
      <c r="K254" s="3"/>
    </row>
    <row r="255" spans="2:11" x14ac:dyDescent="0.25">
      <c r="B255" s="2"/>
      <c r="C255" s="2"/>
      <c r="D255" s="3"/>
      <c r="E255" s="3"/>
      <c r="F255" s="3"/>
      <c r="G255" s="3"/>
      <c r="H255" s="3"/>
      <c r="I255" s="3"/>
      <c r="J255" s="3"/>
      <c r="K255" s="3"/>
    </row>
    <row r="256" spans="2:11" x14ac:dyDescent="0.25">
      <c r="B256" s="2"/>
      <c r="C256" s="2"/>
      <c r="D256" s="3"/>
      <c r="E256" s="3"/>
      <c r="F256" s="3"/>
      <c r="G256" s="3"/>
      <c r="H256" s="3"/>
      <c r="I256" s="3"/>
      <c r="J256" s="3"/>
      <c r="K256" s="3"/>
    </row>
    <row r="257" spans="2:11" x14ac:dyDescent="0.25">
      <c r="B257" s="2"/>
      <c r="C257" s="2"/>
      <c r="D257" s="3"/>
      <c r="E257" s="3"/>
      <c r="F257" s="3"/>
      <c r="G257" s="3"/>
      <c r="H257" s="3"/>
      <c r="I257" s="3"/>
      <c r="J257" s="3"/>
      <c r="K257" s="3"/>
    </row>
    <row r="258" spans="2:11" x14ac:dyDescent="0.25">
      <c r="B258" s="2"/>
      <c r="C258" s="2"/>
      <c r="D258" s="3"/>
      <c r="E258" s="3"/>
      <c r="F258" s="3"/>
      <c r="G258" s="3"/>
      <c r="H258" s="3"/>
      <c r="I258" s="3"/>
      <c r="J258" s="3"/>
      <c r="K258" s="3"/>
    </row>
    <row r="259" spans="2:11" x14ac:dyDescent="0.25">
      <c r="B259" s="2"/>
      <c r="C259" s="2"/>
      <c r="D259" s="3"/>
      <c r="E259" s="3"/>
      <c r="F259" s="3"/>
      <c r="G259" s="3"/>
      <c r="H259" s="3"/>
      <c r="I259" s="3"/>
      <c r="J259" s="3"/>
      <c r="K259" s="3"/>
    </row>
    <row r="260" spans="2:11" x14ac:dyDescent="0.25">
      <c r="B260" s="2"/>
      <c r="C260" s="2"/>
      <c r="D260" s="3"/>
      <c r="E260" s="3"/>
      <c r="F260" s="3"/>
      <c r="G260" s="3"/>
      <c r="H260" s="3"/>
      <c r="I260" s="3"/>
      <c r="J260" s="3"/>
      <c r="K260" s="3"/>
    </row>
    <row r="261" spans="2:11" x14ac:dyDescent="0.25">
      <c r="B261" s="2"/>
      <c r="C261" s="2"/>
      <c r="D261" s="3"/>
      <c r="E261" s="3"/>
      <c r="F261" s="3"/>
      <c r="G261" s="3"/>
      <c r="H261" s="3"/>
      <c r="I261" s="3"/>
      <c r="J261" s="3"/>
      <c r="K261" s="3"/>
    </row>
    <row r="262" spans="2:11" x14ac:dyDescent="0.25">
      <c r="B262" s="2"/>
      <c r="C262" s="2"/>
      <c r="D262" s="3"/>
      <c r="E262" s="3"/>
      <c r="F262" s="3"/>
      <c r="G262" s="3"/>
      <c r="H262" s="3"/>
      <c r="I262" s="3"/>
      <c r="J262" s="3"/>
      <c r="K262" s="3"/>
    </row>
    <row r="263" spans="2:11" x14ac:dyDescent="0.25">
      <c r="B263" s="2"/>
      <c r="C263" s="2"/>
      <c r="D263" s="3"/>
      <c r="E263" s="3"/>
      <c r="F263" s="3"/>
      <c r="G263" s="3"/>
      <c r="H263" s="3"/>
      <c r="I263" s="3"/>
      <c r="J263" s="3"/>
      <c r="K263" s="3"/>
    </row>
    <row r="264" spans="2:11" x14ac:dyDescent="0.25">
      <c r="B264" s="2"/>
      <c r="C264" s="2"/>
      <c r="D264" s="3"/>
      <c r="E264" s="3"/>
      <c r="F264" s="3"/>
      <c r="G264" s="3"/>
      <c r="H264" s="3"/>
      <c r="I264" s="3"/>
      <c r="J264" s="3"/>
      <c r="K264" s="3"/>
    </row>
    <row r="265" spans="2:11" x14ac:dyDescent="0.25">
      <c r="B265" s="2"/>
      <c r="C265" s="2"/>
      <c r="D265" s="3"/>
      <c r="E265" s="3"/>
      <c r="F265" s="3"/>
      <c r="G265" s="3"/>
      <c r="H265" s="3"/>
      <c r="I265" s="3"/>
      <c r="J265" s="3"/>
      <c r="K265" s="3"/>
    </row>
    <row r="266" spans="2:11" x14ac:dyDescent="0.25">
      <c r="B266" s="2"/>
      <c r="C266" s="2"/>
      <c r="D266" s="3"/>
      <c r="E266" s="3"/>
      <c r="F266" s="3"/>
      <c r="G266" s="3"/>
      <c r="H266" s="3"/>
      <c r="I266" s="3"/>
      <c r="J266" s="3"/>
      <c r="K266" s="3"/>
    </row>
    <row r="267" spans="2:11" x14ac:dyDescent="0.25">
      <c r="B267" s="2"/>
      <c r="C267" s="2"/>
      <c r="D267" s="3"/>
      <c r="E267" s="3"/>
      <c r="F267" s="3"/>
      <c r="G267" s="3"/>
      <c r="H267" s="3"/>
      <c r="I267" s="3"/>
      <c r="J267" s="3"/>
      <c r="K267" s="3"/>
    </row>
    <row r="268" spans="2:11" x14ac:dyDescent="0.25">
      <c r="B268" s="2"/>
      <c r="C268" s="2"/>
      <c r="D268" s="3"/>
      <c r="E268" s="3"/>
      <c r="F268" s="3"/>
      <c r="G268" s="3"/>
      <c r="H268" s="3"/>
      <c r="I268" s="3"/>
      <c r="J268" s="3"/>
      <c r="K268" s="3"/>
    </row>
    <row r="269" spans="2:11" x14ac:dyDescent="0.25">
      <c r="B269" s="2"/>
      <c r="C269" s="2"/>
      <c r="D269" s="3"/>
      <c r="E269" s="3"/>
      <c r="F269" s="3"/>
      <c r="G269" s="3"/>
      <c r="H269" s="3"/>
      <c r="I269" s="3"/>
      <c r="J269" s="3"/>
      <c r="K269" s="3"/>
    </row>
    <row r="270" spans="2:11" x14ac:dyDescent="0.25">
      <c r="B270" s="2"/>
      <c r="C270" s="2"/>
      <c r="D270" s="3"/>
      <c r="E270" s="3"/>
      <c r="F270" s="3"/>
      <c r="G270" s="3"/>
      <c r="H270" s="3"/>
      <c r="I270" s="3"/>
      <c r="J270" s="3"/>
      <c r="K270" s="3"/>
    </row>
    <row r="271" spans="2:11" x14ac:dyDescent="0.25">
      <c r="B271" s="2"/>
      <c r="C271" s="2"/>
      <c r="D271" s="3"/>
      <c r="E271" s="3"/>
      <c r="F271" s="3"/>
      <c r="G271" s="3"/>
      <c r="H271" s="3"/>
      <c r="I271" s="3"/>
      <c r="J271" s="3"/>
      <c r="K271" s="3"/>
    </row>
    <row r="272" spans="2:11" x14ac:dyDescent="0.25">
      <c r="B272" s="2"/>
      <c r="C272" s="2"/>
      <c r="D272" s="3"/>
      <c r="E272" s="3"/>
      <c r="F272" s="3"/>
      <c r="G272" s="3"/>
      <c r="H272" s="3"/>
      <c r="I272" s="3"/>
      <c r="J272" s="3"/>
      <c r="K272" s="3"/>
    </row>
    <row r="273" spans="2:11" x14ac:dyDescent="0.25">
      <c r="B273" s="2"/>
      <c r="C273" s="2"/>
      <c r="D273" s="3"/>
      <c r="E273" s="3"/>
      <c r="F273" s="3"/>
      <c r="G273" s="3"/>
      <c r="H273" s="3"/>
      <c r="I273" s="3"/>
      <c r="J273" s="3"/>
      <c r="K273" s="3"/>
    </row>
    <row r="274" spans="2:11" x14ac:dyDescent="0.25">
      <c r="B274" s="2"/>
      <c r="C274" s="2"/>
      <c r="D274" s="3"/>
      <c r="E274" s="3"/>
      <c r="F274" s="3"/>
      <c r="G274" s="3"/>
      <c r="H274" s="3"/>
      <c r="I274" s="3"/>
      <c r="J274" s="3"/>
      <c r="K274" s="3"/>
    </row>
    <row r="275" spans="2:11" x14ac:dyDescent="0.25">
      <c r="B275" s="2"/>
      <c r="C275" s="2"/>
      <c r="D275" s="3"/>
      <c r="E275" s="3"/>
      <c r="H275" s="3"/>
      <c r="I275" s="3"/>
      <c r="J275" s="3"/>
      <c r="K275" s="3"/>
    </row>
    <row r="276" spans="2:11" x14ac:dyDescent="0.25">
      <c r="B276" s="2"/>
      <c r="C276" s="2"/>
      <c r="D276" s="3"/>
      <c r="E276" s="3"/>
      <c r="H276" s="3"/>
      <c r="I276" s="3"/>
      <c r="J276" s="3"/>
      <c r="K276" s="3"/>
    </row>
    <row r="277" spans="2:11" x14ac:dyDescent="0.25">
      <c r="B277" s="2"/>
      <c r="C277" s="2"/>
      <c r="D277" s="3"/>
      <c r="E277" s="3"/>
      <c r="H277" s="3"/>
      <c r="I277" s="3"/>
      <c r="J277" s="3"/>
      <c r="K277" s="3"/>
    </row>
    <row r="278" spans="2:11" x14ac:dyDescent="0.25">
      <c r="B278" s="2"/>
      <c r="C278" s="2"/>
      <c r="D278" s="3"/>
      <c r="E278" s="3"/>
      <c r="H278" s="3"/>
      <c r="I278" s="3"/>
      <c r="J278" s="3"/>
      <c r="K278" s="3"/>
    </row>
    <row r="279" spans="2:11" x14ac:dyDescent="0.25">
      <c r="B279" s="2"/>
      <c r="C279" s="2"/>
      <c r="D279" s="3"/>
      <c r="E279" s="3"/>
      <c r="F279" s="3"/>
      <c r="G279" s="3"/>
      <c r="H279" s="3"/>
      <c r="I279" s="3"/>
      <c r="J279" s="3"/>
      <c r="K279" s="3"/>
    </row>
    <row r="280" spans="2:11" x14ac:dyDescent="0.25">
      <c r="B280" s="2"/>
      <c r="C280" s="2"/>
      <c r="D280" s="3"/>
      <c r="E280" s="3"/>
      <c r="H280" s="3"/>
      <c r="I280" s="3"/>
      <c r="J280" s="3"/>
      <c r="K280" s="3"/>
    </row>
    <row r="281" spans="2:11" x14ac:dyDescent="0.25">
      <c r="B281" s="2"/>
      <c r="C281" s="2"/>
      <c r="D281" s="3"/>
      <c r="E281" s="3"/>
      <c r="H281" s="3"/>
      <c r="I281" s="3"/>
      <c r="J281" s="3"/>
      <c r="K281" s="3"/>
    </row>
    <row r="282" spans="2:11" x14ac:dyDescent="0.25">
      <c r="B282" s="2"/>
      <c r="C282" s="2"/>
      <c r="D282" s="3"/>
      <c r="E282" s="3"/>
      <c r="H282" s="3"/>
      <c r="I282" s="3"/>
      <c r="J282" s="3"/>
      <c r="K282" s="3"/>
    </row>
    <row r="283" spans="2:11" x14ac:dyDescent="0.25">
      <c r="B283" s="2"/>
      <c r="C283" s="2"/>
      <c r="D283" s="3"/>
      <c r="E283" s="3"/>
      <c r="H283" s="3"/>
      <c r="I283" s="3"/>
      <c r="J283" s="3"/>
      <c r="K283" s="3"/>
    </row>
    <row r="284" spans="2:11" x14ac:dyDescent="0.25">
      <c r="B284" s="2"/>
      <c r="C284" s="2"/>
      <c r="D284" s="3"/>
      <c r="E284" s="3"/>
      <c r="G284" s="3"/>
      <c r="H284" s="3"/>
      <c r="I284" s="3"/>
      <c r="J284" s="3"/>
      <c r="K284" s="3"/>
    </row>
    <row r="285" spans="2:11" x14ac:dyDescent="0.25">
      <c r="B285" s="2"/>
      <c r="C285" s="2"/>
      <c r="D285" s="3"/>
      <c r="E285" s="3"/>
      <c r="H285" s="3"/>
      <c r="I285" s="3"/>
      <c r="J285" s="3"/>
      <c r="K285" s="3"/>
    </row>
    <row r="286" spans="2:11" x14ac:dyDescent="0.25">
      <c r="B286" s="2"/>
      <c r="C286" s="2"/>
      <c r="D286" s="3"/>
      <c r="E286" s="3"/>
      <c r="F286" s="3"/>
      <c r="G286" s="3"/>
      <c r="H286" s="3"/>
      <c r="I286" s="3"/>
      <c r="J286" s="3"/>
      <c r="K286" s="3"/>
    </row>
    <row r="287" spans="2:11" x14ac:dyDescent="0.25">
      <c r="B287" s="2"/>
      <c r="C287" s="2"/>
      <c r="D287" s="3"/>
      <c r="E287" s="3"/>
      <c r="F287" s="3"/>
      <c r="G287" s="3"/>
      <c r="H287" s="3"/>
      <c r="I287" s="3"/>
      <c r="J287" s="3"/>
      <c r="K287" s="3"/>
    </row>
    <row r="288" spans="2:11" x14ac:dyDescent="0.25">
      <c r="B288" s="2"/>
      <c r="C288" s="2"/>
      <c r="D288" s="3"/>
      <c r="E288" s="3"/>
      <c r="H288" s="3"/>
      <c r="I288" s="3"/>
      <c r="J288" s="3"/>
      <c r="K288" s="3"/>
    </row>
    <row r="289" spans="2:11" x14ac:dyDescent="0.25">
      <c r="B289" s="2"/>
      <c r="C289" s="2"/>
      <c r="D289" s="3"/>
      <c r="E289" s="3"/>
      <c r="H289" s="3"/>
      <c r="I289" s="3"/>
      <c r="J289" s="3"/>
      <c r="K289" s="3"/>
    </row>
    <row r="290" spans="2:11" x14ac:dyDescent="0.25">
      <c r="B290" s="2"/>
      <c r="C290" s="2"/>
      <c r="D290" s="3"/>
      <c r="E290" s="3"/>
      <c r="H290" s="3"/>
      <c r="I290" s="3"/>
      <c r="J290" s="3"/>
      <c r="K290" s="3"/>
    </row>
    <row r="291" spans="2:11" x14ac:dyDescent="0.25">
      <c r="B291" s="2"/>
      <c r="C291" s="2"/>
      <c r="D291" s="3"/>
      <c r="E291" s="3"/>
      <c r="H291" s="3"/>
      <c r="I291" s="3"/>
      <c r="J291" s="3"/>
      <c r="K291" s="3"/>
    </row>
    <row r="292" spans="2:11" x14ac:dyDescent="0.25">
      <c r="B292" s="2"/>
      <c r="C292" s="2"/>
      <c r="D292" s="3"/>
      <c r="E292" s="3"/>
      <c r="H292" s="3"/>
      <c r="I292" s="3"/>
      <c r="J292" s="3"/>
      <c r="K292" s="3"/>
    </row>
    <row r="293" spans="2:11" x14ac:dyDescent="0.25">
      <c r="B293" s="2"/>
      <c r="C293" s="2"/>
      <c r="D293" s="3"/>
      <c r="E293" s="3"/>
      <c r="H293" s="3"/>
      <c r="I293" s="3"/>
      <c r="J293" s="3"/>
      <c r="K293" s="3"/>
    </row>
    <row r="294" spans="2:11" x14ac:dyDescent="0.25">
      <c r="B294" s="2"/>
      <c r="C294" s="2"/>
      <c r="D294" s="3"/>
      <c r="E294" s="3"/>
      <c r="F294" s="3"/>
      <c r="G294" s="3"/>
      <c r="H294" s="3"/>
      <c r="I294" s="3"/>
      <c r="J294" s="3"/>
      <c r="K294" s="3"/>
    </row>
    <row r="295" spans="2:11" x14ac:dyDescent="0.25">
      <c r="B295" s="2"/>
      <c r="C295" s="2"/>
      <c r="D295" s="3"/>
      <c r="E295" s="3"/>
      <c r="H295" s="3"/>
      <c r="I295" s="3"/>
      <c r="J295" s="3"/>
      <c r="K295" s="3"/>
    </row>
    <row r="296" spans="2:11" x14ac:dyDescent="0.25">
      <c r="B296" s="2"/>
      <c r="C296" s="2"/>
      <c r="D296" s="3"/>
      <c r="E296" s="3"/>
      <c r="H296" s="3"/>
      <c r="I296" s="3"/>
      <c r="J296" s="3"/>
      <c r="K296" s="3"/>
    </row>
    <row r="297" spans="2:11" x14ac:dyDescent="0.25">
      <c r="B297" s="2"/>
      <c r="C297" s="2"/>
      <c r="D297" s="3"/>
      <c r="E297" s="3"/>
      <c r="F297" s="3"/>
      <c r="G297" s="3"/>
      <c r="H297" s="3"/>
      <c r="I297" s="3"/>
      <c r="J297" s="3"/>
      <c r="K297" s="3"/>
    </row>
    <row r="298" spans="2:11" x14ac:dyDescent="0.25">
      <c r="B298" s="2"/>
      <c r="C298" s="2"/>
      <c r="D298" s="3"/>
      <c r="E298" s="3"/>
      <c r="H298" s="3"/>
      <c r="I298" s="3"/>
      <c r="J298" s="3"/>
      <c r="K298" s="3"/>
    </row>
    <row r="299" spans="2:11" x14ac:dyDescent="0.25">
      <c r="B299" s="2"/>
      <c r="C299" s="2"/>
      <c r="D299" s="3"/>
      <c r="E299" s="3"/>
      <c r="F299" s="3"/>
      <c r="G299" s="3"/>
      <c r="H299" s="3"/>
      <c r="I299" s="3"/>
      <c r="J299" s="3"/>
      <c r="K299" s="3"/>
    </row>
    <row r="300" spans="2:11" x14ac:dyDescent="0.25">
      <c r="B300" s="2"/>
      <c r="C300" s="2"/>
      <c r="D300" s="3"/>
      <c r="E300" s="3"/>
      <c r="F300" s="3"/>
      <c r="G300" s="3"/>
      <c r="H300" s="3"/>
      <c r="I300" s="3"/>
      <c r="J300" s="3"/>
      <c r="K300" s="3"/>
    </row>
    <row r="301" spans="2:11" x14ac:dyDescent="0.25">
      <c r="B301" s="2"/>
      <c r="C301" s="2"/>
      <c r="D301" s="3"/>
      <c r="E301" s="3"/>
      <c r="F301" s="3"/>
      <c r="G301" s="3"/>
      <c r="H301" s="3"/>
      <c r="I301" s="3"/>
      <c r="J301" s="3"/>
      <c r="K301" s="3"/>
    </row>
    <row r="302" spans="2:11" x14ac:dyDescent="0.25">
      <c r="B302" s="2"/>
      <c r="C302" s="2"/>
      <c r="D302" s="3"/>
      <c r="E302" s="3"/>
      <c r="F302" s="3"/>
      <c r="G302" s="3"/>
      <c r="H302" s="3"/>
      <c r="I302" s="3"/>
      <c r="J302" s="3"/>
      <c r="K302" s="3"/>
    </row>
    <row r="303" spans="2:11" x14ac:dyDescent="0.25">
      <c r="B303" s="2"/>
      <c r="C303" s="2"/>
      <c r="D303" s="3"/>
      <c r="E303" s="3"/>
      <c r="F303" s="3"/>
      <c r="G303" s="3"/>
      <c r="H303" s="3"/>
      <c r="I303" s="3"/>
      <c r="J303" s="3"/>
      <c r="K303" s="3"/>
    </row>
    <row r="304" spans="2:11" x14ac:dyDescent="0.25">
      <c r="B304" s="2"/>
      <c r="C304" s="2"/>
      <c r="D304" s="3"/>
      <c r="E304" s="3"/>
      <c r="F304" s="3"/>
      <c r="G304" s="3"/>
      <c r="H304" s="3"/>
      <c r="I304" s="3"/>
      <c r="J304" s="3"/>
      <c r="K304" s="3"/>
    </row>
    <row r="305" spans="2:11" x14ac:dyDescent="0.25">
      <c r="B305" s="2"/>
      <c r="C305" s="2"/>
      <c r="D305" s="3"/>
      <c r="E305" s="3"/>
      <c r="F305" s="3"/>
      <c r="G305" s="3"/>
      <c r="H305" s="3"/>
      <c r="I305" s="3"/>
      <c r="J305" s="3"/>
      <c r="K305" s="3"/>
    </row>
    <row r="306" spans="2:11" x14ac:dyDescent="0.25">
      <c r="B306" s="2"/>
      <c r="C306" s="2"/>
      <c r="D306" s="3"/>
      <c r="E306" s="3"/>
      <c r="F306" s="3"/>
      <c r="G306" s="3"/>
      <c r="H306" s="3"/>
      <c r="I306" s="3"/>
      <c r="J306" s="3"/>
      <c r="K306" s="3"/>
    </row>
    <row r="307" spans="2:11" x14ac:dyDescent="0.25">
      <c r="B307" s="2"/>
      <c r="C307" s="2"/>
      <c r="D307" s="3"/>
      <c r="E307" s="3"/>
      <c r="F307" s="3"/>
      <c r="G307" s="3"/>
      <c r="H307" s="3"/>
      <c r="I307" s="3"/>
      <c r="J307" s="3"/>
      <c r="K307" s="3"/>
    </row>
    <row r="308" spans="2:11" x14ac:dyDescent="0.25">
      <c r="B308" s="2"/>
      <c r="C308" s="2"/>
      <c r="D308" s="3"/>
      <c r="E308" s="3"/>
      <c r="F308" s="3"/>
      <c r="G308" s="3"/>
      <c r="H308" s="3"/>
      <c r="I308" s="3"/>
      <c r="J308" s="3"/>
      <c r="K308" s="3"/>
    </row>
    <row r="309" spans="2:11" x14ac:dyDescent="0.25">
      <c r="B309" s="2"/>
      <c r="C309" s="2"/>
      <c r="D309" s="3"/>
      <c r="E309" s="3"/>
      <c r="F309" s="3"/>
      <c r="G309" s="3"/>
      <c r="H309" s="3"/>
      <c r="I309" s="3"/>
      <c r="J309" s="3"/>
      <c r="K309" s="3"/>
    </row>
    <row r="310" spans="2:11" x14ac:dyDescent="0.25">
      <c r="B310" s="2"/>
      <c r="C310" s="2"/>
      <c r="D310" s="3"/>
      <c r="E310" s="3"/>
      <c r="F310" s="3"/>
      <c r="G310" s="3"/>
      <c r="H310" s="3"/>
      <c r="I310" s="3"/>
      <c r="J310" s="3"/>
      <c r="K310" s="3"/>
    </row>
    <row r="311" spans="2:11" x14ac:dyDescent="0.25">
      <c r="B311" s="2"/>
      <c r="C311" s="2"/>
      <c r="D311" s="3"/>
      <c r="E311" s="3"/>
      <c r="F311" s="3"/>
      <c r="G311" s="3"/>
      <c r="H311" s="3"/>
      <c r="I311" s="3"/>
      <c r="J311" s="3"/>
      <c r="K311" s="3"/>
    </row>
    <row r="312" spans="2:11" x14ac:dyDescent="0.25">
      <c r="B312" s="2"/>
      <c r="C312" s="2"/>
      <c r="D312" s="3"/>
      <c r="E312" s="3"/>
      <c r="F312" s="3"/>
      <c r="G312" s="3"/>
      <c r="H312" s="3"/>
      <c r="I312" s="3"/>
      <c r="J312" s="3"/>
      <c r="K312" s="3"/>
    </row>
    <row r="313" spans="2:11" x14ac:dyDescent="0.25">
      <c r="B313" s="2"/>
      <c r="C313" s="2"/>
      <c r="D313" s="3"/>
      <c r="E313" s="3"/>
      <c r="F313" s="3"/>
      <c r="H313" s="3"/>
      <c r="I313" s="3"/>
      <c r="J313" s="3"/>
      <c r="K313" s="3"/>
    </row>
    <row r="314" spans="2:11" x14ac:dyDescent="0.25">
      <c r="B314" s="2"/>
      <c r="C314" s="2"/>
      <c r="D314" s="3"/>
      <c r="E314" s="3"/>
      <c r="F314" s="3"/>
      <c r="G314" s="3"/>
      <c r="H314" s="3"/>
      <c r="I314" s="3"/>
      <c r="J314" s="3"/>
      <c r="K314" s="3"/>
    </row>
    <row r="315" spans="2:11" x14ac:dyDescent="0.25">
      <c r="B315" s="2"/>
      <c r="C315" s="2"/>
      <c r="D315" s="3"/>
      <c r="E315" s="3"/>
      <c r="F315" s="3"/>
      <c r="H315" s="3"/>
      <c r="I315" s="3"/>
      <c r="J315" s="3"/>
      <c r="K315" s="3"/>
    </row>
    <row r="316" spans="2:11" x14ac:dyDescent="0.25">
      <c r="B316" s="2"/>
      <c r="C316" s="2"/>
      <c r="D316" s="3"/>
      <c r="E316" s="3"/>
      <c r="F316" s="3"/>
      <c r="H316" s="3"/>
      <c r="I316" s="3"/>
      <c r="J316" s="3"/>
      <c r="K316" s="3"/>
    </row>
    <row r="317" spans="2:11" x14ac:dyDescent="0.25">
      <c r="B317" s="2"/>
      <c r="C317" s="2"/>
      <c r="D317" s="3"/>
      <c r="E317" s="3"/>
      <c r="F317" s="3"/>
      <c r="G317" s="3"/>
      <c r="H317" s="3"/>
      <c r="I317" s="3"/>
      <c r="J317" s="3"/>
      <c r="K317" s="3"/>
    </row>
    <row r="318" spans="2:11" x14ac:dyDescent="0.25">
      <c r="B318" s="2"/>
      <c r="C318" s="2"/>
      <c r="D318" s="3"/>
      <c r="E318" s="3"/>
      <c r="F318" s="3"/>
      <c r="H318" s="3"/>
      <c r="I318" s="3"/>
      <c r="J318" s="3"/>
      <c r="K318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89CD-3BA3-C440-B9A0-BF3453F6AE84}">
  <sheetPr codeName="Sheet24"/>
  <dimension ref="A1:K108"/>
  <sheetViews>
    <sheetView workbookViewId="0">
      <selection activeCell="F28" sqref="F28"/>
    </sheetView>
  </sheetViews>
  <sheetFormatPr defaultColWidth="11" defaultRowHeight="15.75" x14ac:dyDescent="0.25"/>
  <cols>
    <col min="3" max="3" width="66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22118</v>
      </c>
      <c r="C3" s="10" t="str" cm="1">
        <f t="array" ref="C3">INDEX($B$11:$K$208, $A$3, C1)</f>
        <v>WORTHINGTON FOODS,MORNINGSTAR FARMS GARDEN VEGE PATTIES,FRZ</v>
      </c>
      <c r="D3" s="10" cm="1">
        <f t="array" ref="D3">INDEX($B$11:$K$74, $A$3, D1)</f>
        <v>17.8</v>
      </c>
      <c r="E3" s="10" cm="1">
        <f t="array" ref="E3">INDEX($B$11:$K$74, $A$3, E1)</f>
        <v>13.7</v>
      </c>
      <c r="F3" s="10" cm="1">
        <f t="array" ref="F3">INDEX($B$11:$K$74, $A$3, F1)</f>
        <v>4.5</v>
      </c>
      <c r="G3" s="10" cm="1">
        <f t="array" ref="G3">INDEX($B$11:$K$74, $A$3, G1)</f>
        <v>1.8</v>
      </c>
      <c r="H3" s="10" cm="1">
        <f t="array" ref="H3">INDEX($B$11:$K$74, $A$3, H1)</f>
        <v>525</v>
      </c>
      <c r="I3" s="10" cm="1">
        <f t="array" ref="I3">INDEX($B$11:$K$74, $A$3, I1)</f>
        <v>0.8</v>
      </c>
      <c r="J3" s="10" cm="1">
        <f t="array" ref="J3">INDEX($B$11:$K$74, $A$3, J1)</f>
        <v>1.5</v>
      </c>
      <c r="K3" s="10" cm="1">
        <f t="array" ref="K3">INDEX($B$11:$K$74, $A$3, K1)</f>
        <v>3.2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27.4</v>
      </c>
      <c r="F6" s="10">
        <f>A6*F3</f>
        <v>0</v>
      </c>
      <c r="G6" s="10">
        <f>A7*G3</f>
        <v>3.6</v>
      </c>
      <c r="H6" s="12">
        <f>A6*H3</f>
        <v>0</v>
      </c>
      <c r="I6" s="12">
        <f>A6*I3</f>
        <v>0</v>
      </c>
      <c r="J6" s="12">
        <f>A7*J3</f>
        <v>3</v>
      </c>
      <c r="K6" s="10">
        <f>A7*K3</f>
        <v>6.4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7821</v>
      </c>
      <c r="C11" s="2" t="s">
        <v>7822</v>
      </c>
      <c r="D11" s="3">
        <v>17.8</v>
      </c>
      <c r="E11" s="3">
        <v>13.7</v>
      </c>
      <c r="F11" s="3">
        <v>4.5</v>
      </c>
      <c r="G11" s="3">
        <v>1.8</v>
      </c>
      <c r="H11" s="3">
        <v>525</v>
      </c>
      <c r="I11" s="3">
        <v>0.8</v>
      </c>
      <c r="J11" s="3">
        <v>1.5</v>
      </c>
      <c r="K11" s="3">
        <v>3.2</v>
      </c>
    </row>
    <row r="12" spans="1:11" x14ac:dyDescent="0.25">
      <c r="B12" s="2" t="s">
        <v>7823</v>
      </c>
      <c r="C12" s="2" t="s">
        <v>7824</v>
      </c>
      <c r="D12" s="3">
        <v>17.399999999999999</v>
      </c>
      <c r="E12" s="3">
        <v>11.2</v>
      </c>
      <c r="F12" s="3">
        <v>2.2999999999999998</v>
      </c>
      <c r="G12" s="3">
        <v>4.4000000000000004</v>
      </c>
      <c r="H12" s="3">
        <v>1076</v>
      </c>
      <c r="I12" s="3">
        <v>0.2</v>
      </c>
      <c r="J12" s="3">
        <v>0.2</v>
      </c>
      <c r="K12" s="3">
        <v>0.6</v>
      </c>
    </row>
    <row r="13" spans="1:11" x14ac:dyDescent="0.25">
      <c r="B13" s="2" t="s">
        <v>7825</v>
      </c>
      <c r="C13" s="2" t="s">
        <v>7826</v>
      </c>
      <c r="D13" s="3">
        <v>18.5</v>
      </c>
      <c r="E13" s="3">
        <v>8.3000000000000007</v>
      </c>
      <c r="F13" s="3">
        <v>5.6</v>
      </c>
      <c r="G13" s="3">
        <v>1.1000000000000001</v>
      </c>
      <c r="H13" s="3">
        <v>434</v>
      </c>
      <c r="I13" s="3">
        <v>0.5</v>
      </c>
      <c r="J13" s="3">
        <v>0.9</v>
      </c>
      <c r="K13" s="3">
        <v>2.1</v>
      </c>
    </row>
    <row r="14" spans="1:11" x14ac:dyDescent="0.25">
      <c r="B14" s="2" t="s">
        <v>7827</v>
      </c>
      <c r="C14" s="2" t="s">
        <v>7828</v>
      </c>
      <c r="D14" s="3">
        <v>16.3</v>
      </c>
      <c r="E14" s="3">
        <v>9.1</v>
      </c>
      <c r="F14" s="3">
        <v>5.2</v>
      </c>
      <c r="G14" s="3">
        <v>0.4</v>
      </c>
      <c r="H14" s="3">
        <v>395</v>
      </c>
      <c r="I14" s="3">
        <v>0.5</v>
      </c>
      <c r="J14" s="3">
        <v>1.2</v>
      </c>
      <c r="K14" s="3">
        <v>1.7</v>
      </c>
    </row>
    <row r="15" spans="1:11" x14ac:dyDescent="0.25">
      <c r="B15" s="2" t="s">
        <v>7829</v>
      </c>
      <c r="C15" s="2" t="s">
        <v>7830</v>
      </c>
      <c r="D15" s="3">
        <v>25.8</v>
      </c>
      <c r="E15" s="3">
        <v>8.8000000000000007</v>
      </c>
      <c r="F15" s="3">
        <v>4.0999999999999996</v>
      </c>
      <c r="G15" s="3">
        <v>1.7</v>
      </c>
      <c r="H15" s="3">
        <v>671</v>
      </c>
      <c r="I15" s="3">
        <v>1.1000000000000001</v>
      </c>
      <c r="J15" s="3">
        <v>1.9</v>
      </c>
      <c r="K15" s="3">
        <v>4.9000000000000004</v>
      </c>
    </row>
    <row r="16" spans="1:11" x14ac:dyDescent="0.25">
      <c r="B16" s="2" t="s">
        <v>7831</v>
      </c>
      <c r="C16" s="2" t="s">
        <v>7832</v>
      </c>
      <c r="D16" s="3">
        <v>14.6</v>
      </c>
      <c r="E16" s="3">
        <v>19.100000000000001</v>
      </c>
      <c r="F16" s="3">
        <v>6</v>
      </c>
      <c r="G16" s="3">
        <v>1.8</v>
      </c>
      <c r="H16" s="3">
        <v>489</v>
      </c>
      <c r="I16" s="3">
        <v>0.9</v>
      </c>
      <c r="J16" s="3">
        <v>1.7</v>
      </c>
      <c r="K16" s="3">
        <v>3.1</v>
      </c>
    </row>
    <row r="17" spans="2:11" x14ac:dyDescent="0.25">
      <c r="B17" s="2" t="s">
        <v>7833</v>
      </c>
      <c r="C17" s="2" t="s">
        <v>7834</v>
      </c>
      <c r="D17" s="3">
        <v>21.5</v>
      </c>
      <c r="E17" s="3">
        <v>5.8</v>
      </c>
      <c r="F17" s="3">
        <v>3.5</v>
      </c>
      <c r="G17" s="3">
        <v>0.4</v>
      </c>
      <c r="H17" s="3">
        <v>426</v>
      </c>
      <c r="I17" s="3">
        <v>1.6</v>
      </c>
      <c r="J17" s="3">
        <v>3.1</v>
      </c>
      <c r="K17" s="3">
        <v>7.4</v>
      </c>
    </row>
    <row r="18" spans="2:11" x14ac:dyDescent="0.25">
      <c r="B18" s="2" t="s">
        <v>7835</v>
      </c>
      <c r="C18" s="2" t="s">
        <v>7836</v>
      </c>
      <c r="D18" s="3">
        <v>3.38</v>
      </c>
      <c r="E18" s="3">
        <v>11.52</v>
      </c>
      <c r="F18" s="3">
        <v>0.5</v>
      </c>
      <c r="G18" s="3">
        <v>0.5</v>
      </c>
      <c r="H18" s="3">
        <v>302</v>
      </c>
      <c r="I18" s="3">
        <v>0.88100000000000001</v>
      </c>
      <c r="J18" s="3">
        <v>0.6</v>
      </c>
      <c r="K18" s="3">
        <v>0.30299999999999999</v>
      </c>
    </row>
    <row r="19" spans="2:11" x14ac:dyDescent="0.25">
      <c r="B19" s="2" t="s">
        <v>7837</v>
      </c>
      <c r="C19" s="2" t="s">
        <v>7838</v>
      </c>
      <c r="D19" s="3">
        <v>5.05</v>
      </c>
      <c r="E19" s="3">
        <v>15.24</v>
      </c>
      <c r="F19" s="3">
        <v>1.8</v>
      </c>
      <c r="G19" s="3">
        <v>2.6</v>
      </c>
      <c r="H19" s="3">
        <v>238</v>
      </c>
      <c r="I19" s="3">
        <v>0.35</v>
      </c>
      <c r="J19" s="3">
        <v>0.33</v>
      </c>
      <c r="K19" s="3">
        <v>0.32</v>
      </c>
    </row>
    <row r="20" spans="2:11" x14ac:dyDescent="0.25">
      <c r="B20" s="2" t="s">
        <v>7839</v>
      </c>
      <c r="C20" s="2" t="s">
        <v>7840</v>
      </c>
      <c r="D20" s="3">
        <v>5.89</v>
      </c>
      <c r="E20" s="3">
        <v>17.989999999999998</v>
      </c>
      <c r="F20" s="3">
        <v>1.4</v>
      </c>
      <c r="G20" s="3">
        <v>3.8</v>
      </c>
      <c r="H20" s="3">
        <v>178</v>
      </c>
      <c r="I20" s="3">
        <v>0.443</v>
      </c>
      <c r="J20" s="3">
        <v>0.81599999999999995</v>
      </c>
      <c r="K20" s="3">
        <v>0.22800000000000001</v>
      </c>
    </row>
    <row r="21" spans="2:11" x14ac:dyDescent="0.25">
      <c r="B21" s="2" t="s">
        <v>7841</v>
      </c>
      <c r="C21" s="2" t="s">
        <v>7842</v>
      </c>
      <c r="D21" s="3">
        <v>4.37</v>
      </c>
      <c r="E21" s="3">
        <v>12.7</v>
      </c>
      <c r="F21" s="3">
        <v>1.6</v>
      </c>
      <c r="G21" s="3">
        <v>3.17</v>
      </c>
      <c r="H21" s="3">
        <v>287</v>
      </c>
      <c r="I21" s="3">
        <v>0.79100000000000004</v>
      </c>
      <c r="J21" s="3">
        <v>1.024</v>
      </c>
      <c r="K21" s="3">
        <v>0.32800000000000001</v>
      </c>
    </row>
    <row r="22" spans="2:11" x14ac:dyDescent="0.25">
      <c r="B22" s="2" t="s">
        <v>7843</v>
      </c>
      <c r="C22" s="2" t="s">
        <v>7844</v>
      </c>
      <c r="D22" s="3">
        <v>6.5</v>
      </c>
      <c r="E22" s="3">
        <v>17.7</v>
      </c>
      <c r="F22" s="3">
        <v>1.1000000000000001</v>
      </c>
      <c r="H22" s="3">
        <v>350</v>
      </c>
      <c r="I22" s="3">
        <v>2.88</v>
      </c>
      <c r="J22" s="3">
        <v>3.46</v>
      </c>
      <c r="K22" s="3">
        <v>1.38</v>
      </c>
    </row>
    <row r="23" spans="2:11" x14ac:dyDescent="0.25">
      <c r="B23" s="2" t="s">
        <v>7845</v>
      </c>
      <c r="C23" s="2" t="s">
        <v>7846</v>
      </c>
      <c r="D23" s="3">
        <v>7.25</v>
      </c>
      <c r="E23" s="3">
        <v>22.05</v>
      </c>
      <c r="F23" s="3">
        <v>0.8</v>
      </c>
      <c r="H23" s="3">
        <v>365</v>
      </c>
      <c r="I23" s="3">
        <v>4.149</v>
      </c>
      <c r="J23" s="3">
        <v>5.3120000000000003</v>
      </c>
      <c r="K23" s="3">
        <v>1.462</v>
      </c>
    </row>
    <row r="24" spans="2:11" x14ac:dyDescent="0.25">
      <c r="B24" s="2" t="s">
        <v>7847</v>
      </c>
      <c r="C24" s="2" t="s">
        <v>7848</v>
      </c>
      <c r="D24" s="3">
        <v>8.9</v>
      </c>
      <c r="E24" s="3">
        <v>30.4</v>
      </c>
      <c r="F24" s="3">
        <v>1.1000000000000001</v>
      </c>
      <c r="G24" s="3">
        <v>7.6</v>
      </c>
      <c r="H24" s="3">
        <v>346</v>
      </c>
      <c r="I24" s="3">
        <v>2.62</v>
      </c>
      <c r="J24" s="3">
        <v>3.42</v>
      </c>
      <c r="K24" s="3">
        <v>1.3</v>
      </c>
    </row>
    <row r="25" spans="2:11" x14ac:dyDescent="0.25">
      <c r="B25" s="2" t="s">
        <v>7849</v>
      </c>
      <c r="C25" s="2" t="s">
        <v>7850</v>
      </c>
      <c r="D25" s="3">
        <v>9.16</v>
      </c>
      <c r="E25" s="3">
        <v>30.55</v>
      </c>
      <c r="F25" s="3">
        <v>1.5</v>
      </c>
      <c r="G25" s="3">
        <v>7.6</v>
      </c>
      <c r="H25" s="3">
        <v>504</v>
      </c>
      <c r="I25" s="3">
        <v>3.5449999999999999</v>
      </c>
      <c r="J25" s="3">
        <v>2.5470000000000002</v>
      </c>
      <c r="K25" s="3">
        <v>1.9359999999999999</v>
      </c>
    </row>
    <row r="26" spans="2:11" x14ac:dyDescent="0.25">
      <c r="B26" s="2" t="s">
        <v>7851</v>
      </c>
      <c r="C26" s="2" t="s">
        <v>7852</v>
      </c>
      <c r="D26" s="3">
        <v>2.48</v>
      </c>
      <c r="E26" s="3">
        <v>13.64</v>
      </c>
      <c r="F26" s="3">
        <v>1.3</v>
      </c>
      <c r="G26" s="3">
        <v>3.72</v>
      </c>
      <c r="H26" s="3">
        <v>306</v>
      </c>
      <c r="I26" s="3">
        <v>0.72299999999999998</v>
      </c>
      <c r="J26" s="3">
        <v>0.41799999999999998</v>
      </c>
      <c r="K26" s="3">
        <v>0.182</v>
      </c>
    </row>
    <row r="27" spans="2:11" x14ac:dyDescent="0.25">
      <c r="B27" s="2" t="s">
        <v>7853</v>
      </c>
      <c r="C27" s="2" t="s">
        <v>7854</v>
      </c>
      <c r="D27" s="3">
        <v>3.24</v>
      </c>
      <c r="E27" s="3">
        <v>13.26</v>
      </c>
      <c r="F27" s="3">
        <v>1.5</v>
      </c>
      <c r="G27" s="3">
        <v>1.97</v>
      </c>
      <c r="H27" s="3">
        <v>283</v>
      </c>
      <c r="I27" s="3">
        <v>1.46</v>
      </c>
      <c r="J27" s="3">
        <v>1.617</v>
      </c>
      <c r="K27" s="3">
        <v>0.23699999999999999</v>
      </c>
    </row>
    <row r="28" spans="2:11" x14ac:dyDescent="0.25">
      <c r="B28" s="2" t="s">
        <v>7855</v>
      </c>
      <c r="C28" s="2" t="s">
        <v>7856</v>
      </c>
      <c r="D28" s="3">
        <v>13.5</v>
      </c>
      <c r="E28" s="3">
        <v>47</v>
      </c>
      <c r="F28" s="3">
        <v>1.9</v>
      </c>
      <c r="G28" s="3">
        <v>0.95</v>
      </c>
      <c r="H28" s="3">
        <v>406</v>
      </c>
      <c r="I28" s="3">
        <v>3.6</v>
      </c>
      <c r="J28" s="3">
        <v>2.0659999999999998</v>
      </c>
      <c r="K28" s="3">
        <v>0.46100000000000002</v>
      </c>
    </row>
    <row r="29" spans="2:11" x14ac:dyDescent="0.25">
      <c r="B29" s="2" t="s">
        <v>7857</v>
      </c>
      <c r="C29" s="2" t="s">
        <v>7858</v>
      </c>
      <c r="D29" s="3">
        <v>11.76</v>
      </c>
      <c r="E29" s="3">
        <v>30.76</v>
      </c>
      <c r="F29" s="3">
        <v>2.2999999999999998</v>
      </c>
      <c r="G29" s="3">
        <v>3.88</v>
      </c>
      <c r="H29" s="3">
        <v>690</v>
      </c>
      <c r="I29" s="3">
        <v>4.2830000000000004</v>
      </c>
      <c r="J29" s="3">
        <v>3.355</v>
      </c>
      <c r="K29" s="3">
        <v>2.496</v>
      </c>
    </row>
    <row r="30" spans="2:11" x14ac:dyDescent="0.25">
      <c r="B30" s="2" t="s">
        <v>7859</v>
      </c>
      <c r="C30" s="2" t="s">
        <v>7860</v>
      </c>
      <c r="D30" s="3">
        <v>14.38</v>
      </c>
      <c r="E30" s="3">
        <v>24.69</v>
      </c>
      <c r="F30" s="3">
        <v>2</v>
      </c>
      <c r="G30" s="3">
        <v>3.39</v>
      </c>
      <c r="H30" s="3">
        <v>590</v>
      </c>
      <c r="I30" s="3">
        <v>4.827</v>
      </c>
      <c r="J30" s="3">
        <v>4.0999999999999996</v>
      </c>
      <c r="K30" s="3">
        <v>2.7</v>
      </c>
    </row>
    <row r="31" spans="2:11" x14ac:dyDescent="0.25">
      <c r="B31" s="2" t="s">
        <v>7861</v>
      </c>
      <c r="C31" s="2" t="s">
        <v>7862</v>
      </c>
      <c r="D31" s="3">
        <v>5.8</v>
      </c>
      <c r="E31" s="3">
        <v>13.1</v>
      </c>
      <c r="F31" s="3">
        <v>3.3</v>
      </c>
      <c r="G31" s="3">
        <v>1.87</v>
      </c>
      <c r="H31" s="3">
        <v>449</v>
      </c>
      <c r="I31" s="3">
        <v>1.2529999999999999</v>
      </c>
      <c r="J31" s="3">
        <v>1.4119999999999999</v>
      </c>
      <c r="K31" s="3">
        <v>0.4</v>
      </c>
    </row>
    <row r="32" spans="2:11" x14ac:dyDescent="0.25">
      <c r="B32" s="2" t="s">
        <v>7863</v>
      </c>
      <c r="C32" s="2" t="s">
        <v>7864</v>
      </c>
      <c r="D32" s="3">
        <v>4.41</v>
      </c>
      <c r="E32" s="3">
        <v>7.85</v>
      </c>
      <c r="F32" s="3">
        <v>0.9</v>
      </c>
      <c r="G32" s="3">
        <v>1.76</v>
      </c>
      <c r="H32" s="3">
        <v>388</v>
      </c>
      <c r="I32" s="3">
        <v>2.1850000000000001</v>
      </c>
      <c r="J32" s="3">
        <v>2.5430000000000001</v>
      </c>
      <c r="K32" s="3">
        <v>0.251</v>
      </c>
    </row>
    <row r="33" spans="2:11" x14ac:dyDescent="0.25">
      <c r="B33" s="2" t="s">
        <v>7865</v>
      </c>
      <c r="C33" s="2" t="s">
        <v>7866</v>
      </c>
      <c r="D33" s="3">
        <v>5.1100000000000003</v>
      </c>
      <c r="E33" s="3">
        <v>19.21</v>
      </c>
      <c r="F33" s="3">
        <v>1.1000000000000001</v>
      </c>
      <c r="G33" s="3">
        <v>2.2599999999999998</v>
      </c>
      <c r="H33" s="3">
        <v>393</v>
      </c>
      <c r="I33" s="3">
        <v>4.3650000000000002</v>
      </c>
      <c r="J33" s="3">
        <v>3.613</v>
      </c>
      <c r="K33" s="3">
        <v>3.302</v>
      </c>
    </row>
    <row r="34" spans="2:11" x14ac:dyDescent="0.25">
      <c r="B34" s="2" t="s">
        <v>7867</v>
      </c>
      <c r="C34" s="2" t="s">
        <v>7868</v>
      </c>
      <c r="D34" s="3">
        <v>8.73</v>
      </c>
      <c r="E34" s="3">
        <v>9.27</v>
      </c>
      <c r="F34" s="3">
        <v>1.1000000000000001</v>
      </c>
      <c r="G34" s="3">
        <v>0.34</v>
      </c>
      <c r="H34" s="3">
        <v>412</v>
      </c>
      <c r="I34" s="3">
        <v>4.32</v>
      </c>
      <c r="J34" s="3">
        <v>5.26</v>
      </c>
      <c r="K34" s="3">
        <v>0.3</v>
      </c>
    </row>
    <row r="35" spans="2:11" x14ac:dyDescent="0.25">
      <c r="B35" s="2" t="s">
        <v>7869</v>
      </c>
      <c r="C35" s="2" t="s">
        <v>7870</v>
      </c>
      <c r="D35" s="3">
        <v>6.54</v>
      </c>
      <c r="E35" s="3">
        <v>13.84</v>
      </c>
      <c r="F35" s="3">
        <v>1.7</v>
      </c>
      <c r="G35" s="3">
        <v>4.2300000000000004</v>
      </c>
      <c r="H35" s="3">
        <v>284</v>
      </c>
      <c r="I35" s="3">
        <v>2.11</v>
      </c>
      <c r="J35" s="3">
        <v>1.573</v>
      </c>
      <c r="K35" s="3">
        <v>1.022</v>
      </c>
    </row>
    <row r="36" spans="2:11" x14ac:dyDescent="0.25">
      <c r="B36" s="2" t="s">
        <v>7871</v>
      </c>
      <c r="C36" s="2" t="s">
        <v>7872</v>
      </c>
      <c r="D36" s="3">
        <v>7.53</v>
      </c>
      <c r="E36" s="3">
        <v>6.1</v>
      </c>
      <c r="F36" s="3">
        <v>0.5</v>
      </c>
      <c r="G36" s="3">
        <v>1.1000000000000001</v>
      </c>
      <c r="H36" s="3">
        <v>411</v>
      </c>
      <c r="I36" s="3">
        <v>2.2549999999999999</v>
      </c>
      <c r="J36" s="3">
        <v>2.4689999999999999</v>
      </c>
      <c r="K36" s="3">
        <v>0.501</v>
      </c>
    </row>
    <row r="37" spans="2:11" x14ac:dyDescent="0.25">
      <c r="B37" s="2" t="s">
        <v>7873</v>
      </c>
      <c r="C37" s="2" t="s">
        <v>7874</v>
      </c>
      <c r="D37" s="3">
        <v>4.37</v>
      </c>
      <c r="E37" s="3">
        <v>11.45</v>
      </c>
      <c r="F37" s="3">
        <v>2.7</v>
      </c>
      <c r="G37" s="3">
        <v>2.91</v>
      </c>
      <c r="H37" s="3">
        <v>280</v>
      </c>
      <c r="I37" s="3">
        <v>1.4590000000000001</v>
      </c>
      <c r="J37" s="3">
        <v>1.633</v>
      </c>
      <c r="K37" s="3">
        <v>0.56299999999999994</v>
      </c>
    </row>
    <row r="38" spans="2:11" x14ac:dyDescent="0.25">
      <c r="B38" s="2" t="s">
        <v>7875</v>
      </c>
      <c r="C38" s="2" t="s">
        <v>7876</v>
      </c>
      <c r="D38" s="3">
        <v>2.2200000000000002</v>
      </c>
      <c r="E38" s="3">
        <v>14.22</v>
      </c>
      <c r="F38" s="3">
        <v>0.9</v>
      </c>
      <c r="G38" s="3">
        <v>4</v>
      </c>
      <c r="H38" s="3">
        <v>272</v>
      </c>
      <c r="I38" s="3">
        <v>0.13600000000000001</v>
      </c>
      <c r="J38" s="3">
        <v>8.7999999999999995E-2</v>
      </c>
      <c r="K38" s="3">
        <v>0.17100000000000001</v>
      </c>
    </row>
    <row r="39" spans="2:11" x14ac:dyDescent="0.25">
      <c r="B39" s="2" t="s">
        <v>7877</v>
      </c>
      <c r="C39" s="2" t="s">
        <v>7878</v>
      </c>
      <c r="D39" s="3">
        <v>6.81</v>
      </c>
      <c r="E39" s="3">
        <v>13.5</v>
      </c>
      <c r="F39" s="3">
        <v>1.3</v>
      </c>
      <c r="H39" s="3">
        <v>181</v>
      </c>
      <c r="I39" s="3">
        <v>0.96699999999999997</v>
      </c>
      <c r="J39" s="3">
        <v>0.69799999999999995</v>
      </c>
      <c r="K39" s="3">
        <v>0.27900000000000003</v>
      </c>
    </row>
    <row r="40" spans="2:11" x14ac:dyDescent="0.25">
      <c r="B40" s="2" t="s">
        <v>7879</v>
      </c>
      <c r="C40" s="2" t="s">
        <v>7880</v>
      </c>
      <c r="D40" s="3">
        <v>6.63</v>
      </c>
      <c r="E40" s="3">
        <v>14.39</v>
      </c>
      <c r="F40" s="3">
        <v>1.4</v>
      </c>
      <c r="G40" s="3">
        <v>2.96</v>
      </c>
      <c r="H40" s="3">
        <v>347</v>
      </c>
      <c r="I40" s="3">
        <v>2.0670000000000002</v>
      </c>
      <c r="J40" s="3">
        <v>1.6</v>
      </c>
      <c r="K40" s="3">
        <v>0.35799999999999998</v>
      </c>
    </row>
    <row r="41" spans="2:11" x14ac:dyDescent="0.25">
      <c r="B41" s="2" t="s">
        <v>7881</v>
      </c>
      <c r="C41" s="2" t="s">
        <v>7882</v>
      </c>
      <c r="D41" s="3">
        <v>7.26</v>
      </c>
      <c r="E41" s="3">
        <v>30.84</v>
      </c>
      <c r="F41" s="3">
        <v>4.2</v>
      </c>
      <c r="G41" s="3">
        <v>0.7</v>
      </c>
      <c r="H41" s="3">
        <v>587</v>
      </c>
      <c r="I41" s="3">
        <v>2.9489999999999998</v>
      </c>
      <c r="J41" s="3">
        <v>3.7890000000000001</v>
      </c>
      <c r="K41" s="3">
        <v>1.3580000000000001</v>
      </c>
    </row>
    <row r="42" spans="2:11" x14ac:dyDescent="0.25">
      <c r="B42" s="2" t="s">
        <v>7883</v>
      </c>
      <c r="C42" s="2" t="s">
        <v>7884</v>
      </c>
      <c r="D42" s="3">
        <v>7.07</v>
      </c>
      <c r="E42" s="3">
        <v>34.01</v>
      </c>
      <c r="F42" s="3">
        <v>3.4</v>
      </c>
      <c r="G42" s="3">
        <v>3.21</v>
      </c>
      <c r="H42" s="3">
        <v>351</v>
      </c>
      <c r="I42" s="3">
        <v>1.343</v>
      </c>
      <c r="J42" s="3">
        <v>1.298</v>
      </c>
      <c r="K42" s="3">
        <v>3.1040000000000001</v>
      </c>
    </row>
    <row r="43" spans="2:11" x14ac:dyDescent="0.25">
      <c r="B43" s="2" t="s">
        <v>7885</v>
      </c>
      <c r="C43" s="2" t="s">
        <v>7886</v>
      </c>
      <c r="D43" s="3">
        <v>5.98</v>
      </c>
      <c r="E43" s="3">
        <v>13.96</v>
      </c>
      <c r="F43" s="3">
        <v>0.4</v>
      </c>
      <c r="G43" s="3">
        <v>1.41</v>
      </c>
      <c r="H43" s="3">
        <v>335</v>
      </c>
      <c r="I43" s="3">
        <v>3.665</v>
      </c>
      <c r="J43" s="3">
        <v>1.7729999999999999</v>
      </c>
      <c r="K43" s="3">
        <v>0.43099999999999999</v>
      </c>
    </row>
    <row r="44" spans="2:11" x14ac:dyDescent="0.25">
      <c r="B44" s="2" t="s">
        <v>7887</v>
      </c>
      <c r="C44" s="2" t="s">
        <v>7888</v>
      </c>
      <c r="D44" s="3">
        <v>8.73</v>
      </c>
      <c r="E44" s="3">
        <v>38.950000000000003</v>
      </c>
      <c r="F44" s="3">
        <v>6.9</v>
      </c>
      <c r="G44" s="3">
        <v>1.36</v>
      </c>
      <c r="H44" s="3">
        <v>659</v>
      </c>
      <c r="I44" s="3">
        <v>4.0720000000000001</v>
      </c>
      <c r="J44" s="3">
        <v>5.0350000000000001</v>
      </c>
      <c r="K44" s="3">
        <v>1.7629999999999999</v>
      </c>
    </row>
    <row r="45" spans="2:11" x14ac:dyDescent="0.25">
      <c r="B45" s="2" t="s">
        <v>7889</v>
      </c>
      <c r="C45" s="2" t="s">
        <v>7890</v>
      </c>
      <c r="D45" s="3">
        <v>4.25</v>
      </c>
      <c r="E45" s="3">
        <v>16.600000000000001</v>
      </c>
      <c r="F45" s="3">
        <v>1.9</v>
      </c>
      <c r="G45" s="3">
        <v>5.41</v>
      </c>
      <c r="H45" s="3">
        <v>409</v>
      </c>
      <c r="I45" s="3">
        <v>0.77200000000000002</v>
      </c>
    </row>
    <row r="46" spans="2:11" x14ac:dyDescent="0.25">
      <c r="B46" s="2" t="s">
        <v>7891</v>
      </c>
      <c r="C46" s="2" t="s">
        <v>7892</v>
      </c>
      <c r="D46" s="3">
        <v>2.78</v>
      </c>
      <c r="E46" s="3">
        <v>15.87</v>
      </c>
      <c r="F46" s="3">
        <v>1.2</v>
      </c>
      <c r="G46" s="3">
        <v>5.16</v>
      </c>
      <c r="H46" s="3">
        <v>377</v>
      </c>
      <c r="I46" s="3">
        <v>0.19800000000000001</v>
      </c>
    </row>
    <row r="47" spans="2:11" x14ac:dyDescent="0.25">
      <c r="B47" s="2" t="s">
        <v>7893</v>
      </c>
      <c r="C47" s="2" t="s">
        <v>7894</v>
      </c>
      <c r="D47" s="3">
        <v>2.38</v>
      </c>
      <c r="E47" s="3">
        <v>13.89</v>
      </c>
      <c r="F47" s="3">
        <v>1.2</v>
      </c>
      <c r="G47" s="3">
        <v>4.37</v>
      </c>
      <c r="H47" s="3">
        <v>238</v>
      </c>
      <c r="I47" s="3">
        <v>0.19800000000000001</v>
      </c>
      <c r="J47" s="3">
        <v>0</v>
      </c>
      <c r="K47" s="3">
        <v>0.19800000000000001</v>
      </c>
    </row>
    <row r="48" spans="2:11" x14ac:dyDescent="0.25">
      <c r="B48" s="2" t="s">
        <v>7895</v>
      </c>
      <c r="C48" s="2" t="s">
        <v>7896</v>
      </c>
      <c r="D48" s="3">
        <v>2.38</v>
      </c>
      <c r="E48" s="3">
        <v>13.89</v>
      </c>
      <c r="F48" s="3">
        <v>1.2</v>
      </c>
      <c r="G48" s="3">
        <v>4.76</v>
      </c>
      <c r="H48" s="3">
        <v>238</v>
      </c>
      <c r="I48" s="3">
        <v>0.19800000000000001</v>
      </c>
      <c r="J48" s="3">
        <v>0</v>
      </c>
      <c r="K48" s="3">
        <v>0.19800000000000001</v>
      </c>
    </row>
    <row r="49" spans="2:11" x14ac:dyDescent="0.25">
      <c r="B49" s="2" t="s">
        <v>7897</v>
      </c>
      <c r="C49" s="2" t="s">
        <v>7898</v>
      </c>
      <c r="D49" s="3">
        <v>3.17</v>
      </c>
      <c r="E49" s="3">
        <v>12.3</v>
      </c>
      <c r="F49" s="3">
        <v>1.2</v>
      </c>
      <c r="G49" s="3">
        <v>4.76</v>
      </c>
      <c r="H49" s="3">
        <v>353</v>
      </c>
      <c r="I49" s="3">
        <v>0.39700000000000002</v>
      </c>
    </row>
    <row r="50" spans="2:11" x14ac:dyDescent="0.25">
      <c r="B50" s="2" t="s">
        <v>7899</v>
      </c>
      <c r="C50" s="2" t="s">
        <v>7900</v>
      </c>
      <c r="D50" s="3">
        <v>2.38</v>
      </c>
      <c r="E50" s="3">
        <v>13.89</v>
      </c>
      <c r="F50" s="3">
        <v>1.2</v>
      </c>
      <c r="G50" s="3">
        <v>5.16</v>
      </c>
      <c r="H50" s="3">
        <v>238</v>
      </c>
      <c r="I50" s="3">
        <v>0.19800000000000001</v>
      </c>
      <c r="J50" s="3">
        <v>0</v>
      </c>
      <c r="K50" s="3">
        <v>0.19800000000000001</v>
      </c>
    </row>
    <row r="51" spans="2:11" x14ac:dyDescent="0.25">
      <c r="B51" s="2" t="s">
        <v>7901</v>
      </c>
      <c r="C51" s="2" t="s">
        <v>7902</v>
      </c>
      <c r="D51" s="3">
        <v>4.37</v>
      </c>
      <c r="E51" s="3">
        <v>15.08</v>
      </c>
      <c r="F51" s="3">
        <v>1.6</v>
      </c>
      <c r="G51" s="3">
        <v>3.57</v>
      </c>
      <c r="H51" s="3">
        <v>433</v>
      </c>
      <c r="I51" s="3">
        <v>1.389</v>
      </c>
    </row>
    <row r="52" spans="2:11" x14ac:dyDescent="0.25">
      <c r="B52" s="2" t="s">
        <v>7903</v>
      </c>
      <c r="C52" s="2" t="s">
        <v>7904</v>
      </c>
      <c r="D52" s="3">
        <v>4.37</v>
      </c>
      <c r="E52" s="3">
        <v>12.7</v>
      </c>
      <c r="F52" s="3">
        <v>1.6</v>
      </c>
      <c r="G52" s="3">
        <v>3.17</v>
      </c>
      <c r="H52" s="3">
        <v>238</v>
      </c>
      <c r="I52" s="3">
        <v>0.99199999999999999</v>
      </c>
      <c r="J52" s="3">
        <v>1.19</v>
      </c>
      <c r="K52" s="3">
        <v>0.39700000000000002</v>
      </c>
    </row>
    <row r="53" spans="2:11" x14ac:dyDescent="0.25">
      <c r="B53" s="2" t="s">
        <v>7905</v>
      </c>
      <c r="C53" s="2" t="s">
        <v>7906</v>
      </c>
      <c r="D53" s="3">
        <v>3.57</v>
      </c>
      <c r="E53" s="3">
        <v>12.7</v>
      </c>
      <c r="F53" s="3">
        <v>1.6</v>
      </c>
      <c r="G53" s="3">
        <v>3.57</v>
      </c>
      <c r="H53" s="3">
        <v>238</v>
      </c>
      <c r="I53" s="3">
        <v>0.99199999999999999</v>
      </c>
      <c r="J53" s="3">
        <v>0.99199999999999999</v>
      </c>
      <c r="K53" s="3">
        <v>0.39700000000000002</v>
      </c>
    </row>
    <row r="54" spans="2:11" x14ac:dyDescent="0.25">
      <c r="B54" s="2" t="s">
        <v>7907</v>
      </c>
      <c r="C54" s="2" t="s">
        <v>7908</v>
      </c>
      <c r="D54" s="3">
        <v>4.37</v>
      </c>
      <c r="E54" s="3">
        <v>12.7</v>
      </c>
      <c r="F54" s="3">
        <v>1.6</v>
      </c>
      <c r="G54" s="3">
        <v>3.17</v>
      </c>
      <c r="H54" s="3">
        <v>238</v>
      </c>
      <c r="I54" s="3">
        <v>0.99199999999999999</v>
      </c>
      <c r="J54" s="3">
        <v>1.19</v>
      </c>
      <c r="K54" s="3">
        <v>0.39700000000000002</v>
      </c>
    </row>
    <row r="55" spans="2:11" x14ac:dyDescent="0.25">
      <c r="B55" s="2" t="s">
        <v>7909</v>
      </c>
      <c r="C55" s="2" t="s">
        <v>7910</v>
      </c>
      <c r="D55" s="3">
        <v>7.06</v>
      </c>
      <c r="E55" s="3">
        <v>31.76</v>
      </c>
      <c r="F55" s="3">
        <v>1.2</v>
      </c>
      <c r="G55" s="3">
        <v>4.71</v>
      </c>
      <c r="H55" s="3">
        <v>988</v>
      </c>
      <c r="I55" s="3">
        <v>1.1759999999999999</v>
      </c>
    </row>
    <row r="56" spans="2:11" x14ac:dyDescent="0.25">
      <c r="B56" s="2" t="s">
        <v>7911</v>
      </c>
      <c r="C56" s="2" t="s">
        <v>7912</v>
      </c>
      <c r="D56" s="3">
        <v>4.8</v>
      </c>
      <c r="E56" s="3">
        <v>24.8</v>
      </c>
      <c r="F56" s="3">
        <v>0.8</v>
      </c>
      <c r="G56" s="3">
        <v>2.4</v>
      </c>
      <c r="H56" s="3">
        <v>520</v>
      </c>
      <c r="I56" s="3">
        <v>1.2</v>
      </c>
    </row>
    <row r="57" spans="2:11" x14ac:dyDescent="0.25">
      <c r="B57" s="2" t="s">
        <v>7913</v>
      </c>
      <c r="C57" s="2" t="s">
        <v>7914</v>
      </c>
      <c r="D57" s="3">
        <v>9.76</v>
      </c>
      <c r="E57" s="3">
        <v>42.93</v>
      </c>
      <c r="F57" s="3">
        <v>2</v>
      </c>
      <c r="G57" s="3">
        <v>6.83</v>
      </c>
      <c r="H57" s="3">
        <v>741</v>
      </c>
      <c r="I57" s="3">
        <v>0.48799999999999999</v>
      </c>
    </row>
    <row r="58" spans="2:11" x14ac:dyDescent="0.25">
      <c r="B58" s="2" t="s">
        <v>7915</v>
      </c>
      <c r="C58" s="2" t="s">
        <v>7916</v>
      </c>
      <c r="D58" s="3">
        <v>4.26</v>
      </c>
      <c r="E58" s="3">
        <v>42.55</v>
      </c>
      <c r="F58" s="3">
        <v>1.1000000000000001</v>
      </c>
      <c r="G58" s="3">
        <v>2.13</v>
      </c>
      <c r="H58" s="3">
        <v>830</v>
      </c>
      <c r="I58" s="3">
        <v>0.53200000000000003</v>
      </c>
    </row>
    <row r="59" spans="2:11" x14ac:dyDescent="0.25">
      <c r="B59" s="2" t="s">
        <v>7917</v>
      </c>
      <c r="C59" s="2" t="s">
        <v>7918</v>
      </c>
      <c r="D59" s="3">
        <v>4.26</v>
      </c>
      <c r="E59" s="3">
        <v>45.74</v>
      </c>
      <c r="F59" s="3">
        <v>2.1</v>
      </c>
      <c r="G59" s="3">
        <v>3.19</v>
      </c>
      <c r="H59" s="3">
        <v>830</v>
      </c>
      <c r="I59" s="3">
        <v>0.53200000000000003</v>
      </c>
    </row>
    <row r="60" spans="2:11" x14ac:dyDescent="0.25">
      <c r="B60" s="2" t="s">
        <v>7919</v>
      </c>
      <c r="C60" s="2" t="s">
        <v>7920</v>
      </c>
      <c r="D60" s="3">
        <v>5.91</v>
      </c>
      <c r="E60" s="3">
        <v>36.64</v>
      </c>
      <c r="F60" s="3">
        <v>2.4</v>
      </c>
      <c r="G60" s="3">
        <v>4.7300000000000004</v>
      </c>
      <c r="H60" s="3">
        <v>922</v>
      </c>
      <c r="I60" s="3">
        <v>0.59099999999999997</v>
      </c>
    </row>
    <row r="61" spans="2:11" x14ac:dyDescent="0.25">
      <c r="B61" s="2" t="s">
        <v>7921</v>
      </c>
      <c r="C61" s="2" t="s">
        <v>7922</v>
      </c>
      <c r="D61" s="3">
        <v>4.9400000000000004</v>
      </c>
      <c r="E61" s="3">
        <v>39.51</v>
      </c>
      <c r="F61" s="3">
        <v>2.5</v>
      </c>
      <c r="G61" s="3">
        <v>4.9400000000000004</v>
      </c>
      <c r="H61" s="3">
        <v>741</v>
      </c>
      <c r="I61" s="3">
        <v>0.61699999999999999</v>
      </c>
    </row>
    <row r="62" spans="2:11" x14ac:dyDescent="0.25">
      <c r="B62" s="2" t="s">
        <v>7923</v>
      </c>
      <c r="C62" s="2" t="s">
        <v>7924</v>
      </c>
      <c r="D62" s="3">
        <v>5.94</v>
      </c>
      <c r="E62" s="3">
        <v>34.44</v>
      </c>
      <c r="F62" s="3">
        <v>2.4</v>
      </c>
      <c r="G62" s="3">
        <v>3.56</v>
      </c>
      <c r="H62" s="3">
        <v>879</v>
      </c>
      <c r="I62" s="3">
        <v>1.1879999999999999</v>
      </c>
    </row>
    <row r="63" spans="2:11" x14ac:dyDescent="0.25">
      <c r="B63" s="2" t="s">
        <v>7925</v>
      </c>
      <c r="C63" s="2" t="s">
        <v>7926</v>
      </c>
      <c r="D63" s="3">
        <v>4.7</v>
      </c>
      <c r="E63" s="3">
        <v>4.03</v>
      </c>
      <c r="F63" s="3">
        <v>0.7</v>
      </c>
      <c r="G63" s="3">
        <v>0.67</v>
      </c>
      <c r="H63" s="3">
        <v>460</v>
      </c>
      <c r="I63" s="3">
        <v>1.1739999999999999</v>
      </c>
    </row>
    <row r="64" spans="2:11" x14ac:dyDescent="0.25">
      <c r="B64" s="2" t="s">
        <v>7927</v>
      </c>
      <c r="C64" s="2" t="s">
        <v>7928</v>
      </c>
      <c r="D64" s="3">
        <v>4.45</v>
      </c>
      <c r="E64" s="3">
        <v>9.7200000000000006</v>
      </c>
      <c r="F64" s="3">
        <v>0.8</v>
      </c>
      <c r="G64" s="3">
        <v>0.81</v>
      </c>
      <c r="H64" s="3">
        <v>401</v>
      </c>
      <c r="I64" s="3">
        <v>1.8220000000000001</v>
      </c>
    </row>
    <row r="65" spans="2:11" x14ac:dyDescent="0.25">
      <c r="B65" s="2" t="s">
        <v>7929</v>
      </c>
      <c r="C65" s="2" t="s">
        <v>7930</v>
      </c>
      <c r="D65" s="3">
        <v>9.94</v>
      </c>
      <c r="E65" s="3">
        <v>29.5</v>
      </c>
      <c r="F65" s="3">
        <v>2.1</v>
      </c>
      <c r="G65" s="3">
        <v>5.32</v>
      </c>
      <c r="H65" s="3">
        <v>407</v>
      </c>
      <c r="I65" s="3">
        <v>1.5880000000000001</v>
      </c>
      <c r="J65" s="3">
        <v>2.35</v>
      </c>
      <c r="K65" s="3">
        <v>2.464</v>
      </c>
    </row>
    <row r="66" spans="2:11" x14ac:dyDescent="0.25">
      <c r="B66" s="2" t="s">
        <v>7931</v>
      </c>
      <c r="C66" s="2" t="s">
        <v>7932</v>
      </c>
      <c r="D66" s="3">
        <v>10.44</v>
      </c>
      <c r="E66" s="3">
        <v>28.54</v>
      </c>
      <c r="F66" s="3">
        <v>2.4</v>
      </c>
      <c r="G66" s="3">
        <v>5.57</v>
      </c>
      <c r="H66" s="3">
        <v>478</v>
      </c>
      <c r="I66" s="3">
        <v>0.96399999999999997</v>
      </c>
      <c r="J66" s="3">
        <v>1.329</v>
      </c>
      <c r="K66" s="3">
        <v>1.8129999999999999</v>
      </c>
    </row>
    <row r="67" spans="2:11" x14ac:dyDescent="0.25">
      <c r="B67" s="2" t="s">
        <v>7933</v>
      </c>
      <c r="C67" s="2" t="s">
        <v>7934</v>
      </c>
      <c r="D67" s="3">
        <v>5.95</v>
      </c>
      <c r="E67" s="3">
        <v>31.77</v>
      </c>
      <c r="F67" s="3">
        <v>2.4</v>
      </c>
      <c r="G67" s="3">
        <v>5.96</v>
      </c>
      <c r="H67" s="3">
        <v>490</v>
      </c>
      <c r="I67" s="3">
        <v>1.1379999999999999</v>
      </c>
      <c r="J67" s="3">
        <v>1.8109999999999999</v>
      </c>
      <c r="K67" s="3">
        <v>3.4060000000000001</v>
      </c>
    </row>
    <row r="68" spans="2:11" x14ac:dyDescent="0.25">
      <c r="B68" s="2" t="s">
        <v>7935</v>
      </c>
      <c r="C68" s="2" t="s">
        <v>7936</v>
      </c>
      <c r="D68" s="3">
        <v>6.87</v>
      </c>
      <c r="E68" s="3">
        <v>14.18</v>
      </c>
      <c r="F68" s="3">
        <v>1.9</v>
      </c>
      <c r="G68" s="3">
        <v>2.54</v>
      </c>
      <c r="H68" s="3">
        <v>445</v>
      </c>
      <c r="I68" s="3">
        <v>2.8660000000000001</v>
      </c>
      <c r="J68" s="3">
        <v>1.7210000000000001</v>
      </c>
      <c r="K68" s="3">
        <v>1.337</v>
      </c>
    </row>
    <row r="69" spans="2:11" x14ac:dyDescent="0.25">
      <c r="B69" s="2" t="s">
        <v>7937</v>
      </c>
      <c r="C69" s="2" t="s">
        <v>7938</v>
      </c>
      <c r="D69" s="3">
        <v>6.97</v>
      </c>
      <c r="E69" s="3">
        <v>16.32</v>
      </c>
      <c r="F69" s="3">
        <v>1.3</v>
      </c>
      <c r="G69" s="3">
        <v>4.82</v>
      </c>
      <c r="H69" s="3">
        <v>326</v>
      </c>
      <c r="I69" s="3">
        <v>0.877</v>
      </c>
      <c r="J69" s="3">
        <v>1.2350000000000001</v>
      </c>
      <c r="K69" s="3">
        <v>1.087</v>
      </c>
    </row>
    <row r="70" spans="2:11" x14ac:dyDescent="0.25">
      <c r="B70" s="2" t="s">
        <v>7939</v>
      </c>
      <c r="C70" s="2" t="s">
        <v>7940</v>
      </c>
      <c r="D70" s="3">
        <v>5.65</v>
      </c>
      <c r="E70" s="3">
        <v>22.46</v>
      </c>
      <c r="F70" s="3">
        <v>0.7</v>
      </c>
      <c r="G70" s="3">
        <v>4.07</v>
      </c>
      <c r="H70" s="3">
        <v>333</v>
      </c>
      <c r="I70" s="3">
        <v>0.32700000000000001</v>
      </c>
      <c r="J70" s="3">
        <v>0.503</v>
      </c>
      <c r="K70" s="3">
        <v>0.41499999999999998</v>
      </c>
    </row>
    <row r="71" spans="2:11" x14ac:dyDescent="0.25">
      <c r="B71" s="2" t="s">
        <v>7941</v>
      </c>
      <c r="C71" s="2" t="s">
        <v>7942</v>
      </c>
      <c r="D71" s="3">
        <v>13.86</v>
      </c>
      <c r="E71" s="3">
        <v>70.12</v>
      </c>
      <c r="F71" s="3">
        <v>3.2</v>
      </c>
      <c r="G71" s="3">
        <v>9.61</v>
      </c>
      <c r="H71" s="3">
        <v>680</v>
      </c>
      <c r="I71" s="3">
        <v>1.151</v>
      </c>
      <c r="J71" s="3">
        <v>0.66500000000000004</v>
      </c>
      <c r="K71" s="3">
        <v>0.81299999999999994</v>
      </c>
    </row>
    <row r="72" spans="2:11" x14ac:dyDescent="0.25">
      <c r="B72" s="2" t="s">
        <v>7943</v>
      </c>
      <c r="C72" s="2" t="s">
        <v>7944</v>
      </c>
      <c r="D72" s="3">
        <v>4.8899999999999997</v>
      </c>
      <c r="E72" s="3">
        <v>23.93</v>
      </c>
      <c r="F72" s="3">
        <v>1.2</v>
      </c>
      <c r="G72" s="3">
        <v>4.2699999999999996</v>
      </c>
      <c r="H72" s="3">
        <v>338</v>
      </c>
      <c r="I72" s="3">
        <v>1.8160000000000001</v>
      </c>
      <c r="J72" s="3">
        <v>3.6869999999999998</v>
      </c>
      <c r="K72" s="3">
        <v>1.88</v>
      </c>
    </row>
    <row r="73" spans="2:11" x14ac:dyDescent="0.25">
      <c r="B73" s="2" t="s">
        <v>7945</v>
      </c>
      <c r="C73" s="2" t="s">
        <v>7946</v>
      </c>
      <c r="D73" s="3">
        <v>9.32</v>
      </c>
      <c r="E73" s="3">
        <v>30.45</v>
      </c>
      <c r="F73" s="3">
        <v>2.2000000000000002</v>
      </c>
      <c r="G73" s="3">
        <v>7.73</v>
      </c>
      <c r="H73" s="3">
        <v>439</v>
      </c>
      <c r="I73" s="3">
        <v>4.0069999999999997</v>
      </c>
      <c r="J73" s="3">
        <v>2.7869999999999999</v>
      </c>
      <c r="K73" s="3">
        <v>2.6110000000000002</v>
      </c>
    </row>
    <row r="74" spans="2:11" x14ac:dyDescent="0.25">
      <c r="B74" s="2" t="s">
        <v>7947</v>
      </c>
      <c r="C74" s="2" t="s">
        <v>7948</v>
      </c>
      <c r="D74" s="3">
        <v>10.28</v>
      </c>
      <c r="E74" s="3">
        <v>32.520000000000003</v>
      </c>
      <c r="F74" s="3">
        <v>1.7</v>
      </c>
      <c r="G74" s="3">
        <v>7.6</v>
      </c>
      <c r="H74" s="3">
        <v>423</v>
      </c>
      <c r="I74" s="3">
        <v>2.3889999999999998</v>
      </c>
      <c r="J74" s="3">
        <v>1.5509999999999999</v>
      </c>
      <c r="K74" s="3">
        <v>1.403</v>
      </c>
    </row>
    <row r="75" spans="2:11" x14ac:dyDescent="0.25">
      <c r="B75" s="2" t="s">
        <v>7949</v>
      </c>
      <c r="C75" s="2" t="s">
        <v>7950</v>
      </c>
      <c r="D75" s="3">
        <v>10.49</v>
      </c>
      <c r="E75" s="3">
        <v>32.28</v>
      </c>
      <c r="F75" s="3">
        <v>2</v>
      </c>
      <c r="G75" s="3">
        <v>8.81</v>
      </c>
      <c r="H75" s="3">
        <v>557</v>
      </c>
      <c r="I75" s="3">
        <v>3.0870000000000002</v>
      </c>
      <c r="J75" s="3">
        <v>1.9710000000000001</v>
      </c>
      <c r="K75" s="3">
        <v>1.4790000000000001</v>
      </c>
    </row>
    <row r="76" spans="2:11" x14ac:dyDescent="0.25">
      <c r="B76" s="2" t="s">
        <v>7951</v>
      </c>
      <c r="C76" s="2" t="s">
        <v>7952</v>
      </c>
      <c r="D76" s="3">
        <v>2.35</v>
      </c>
      <c r="E76" s="3">
        <v>14.55</v>
      </c>
      <c r="F76" s="3">
        <v>1.4</v>
      </c>
      <c r="G76" s="3">
        <v>4.2300000000000004</v>
      </c>
      <c r="H76" s="3">
        <v>225</v>
      </c>
      <c r="I76" s="3">
        <v>0.23499999999999999</v>
      </c>
      <c r="J76" s="3">
        <v>0</v>
      </c>
      <c r="K76" s="3">
        <v>0.23499999999999999</v>
      </c>
    </row>
    <row r="77" spans="2:11" x14ac:dyDescent="0.25">
      <c r="B77" s="2" t="s">
        <v>7953</v>
      </c>
      <c r="C77" s="2" t="s">
        <v>7954</v>
      </c>
      <c r="D77" s="3">
        <v>4.37</v>
      </c>
      <c r="E77" s="3">
        <v>11.65</v>
      </c>
      <c r="F77" s="3">
        <v>1.5</v>
      </c>
      <c r="G77" s="3">
        <v>3.4</v>
      </c>
      <c r="H77" s="3">
        <v>238</v>
      </c>
      <c r="I77" s="3">
        <v>0.97099999999999997</v>
      </c>
      <c r="J77" s="3">
        <v>1.214</v>
      </c>
      <c r="K77" s="3">
        <v>0.24299999999999999</v>
      </c>
    </row>
    <row r="78" spans="2:11" x14ac:dyDescent="0.25">
      <c r="B78" s="2" t="s">
        <v>7955</v>
      </c>
      <c r="C78" s="2" t="s">
        <v>7956</v>
      </c>
      <c r="D78" s="3">
        <v>5.85</v>
      </c>
      <c r="E78" s="3">
        <v>10.88</v>
      </c>
      <c r="F78" s="3">
        <v>2.9</v>
      </c>
      <c r="G78" s="3">
        <v>1.84</v>
      </c>
      <c r="H78" s="3">
        <v>385</v>
      </c>
      <c r="I78" s="3">
        <v>1.3720000000000001</v>
      </c>
      <c r="J78" s="3">
        <v>1.595</v>
      </c>
      <c r="K78" s="3">
        <v>0.40100000000000002</v>
      </c>
    </row>
    <row r="79" spans="2:11" x14ac:dyDescent="0.25">
      <c r="B79" s="2" t="s">
        <v>7957</v>
      </c>
      <c r="C79" s="2" t="s">
        <v>7958</v>
      </c>
      <c r="D79" s="3">
        <v>5.6</v>
      </c>
      <c r="E79" s="3">
        <v>17.28</v>
      </c>
      <c r="F79" s="3">
        <v>1.1000000000000001</v>
      </c>
      <c r="G79" s="3">
        <v>1.53</v>
      </c>
      <c r="H79" s="3">
        <v>290</v>
      </c>
      <c r="I79" s="3">
        <v>2.6080000000000001</v>
      </c>
      <c r="J79" s="3">
        <v>1.4330000000000001</v>
      </c>
      <c r="K79" s="3">
        <v>1.363</v>
      </c>
    </row>
    <row r="80" spans="2:11" x14ac:dyDescent="0.25">
      <c r="B80" s="2" t="s">
        <v>7959</v>
      </c>
      <c r="C80" s="2" t="s">
        <v>7960</v>
      </c>
      <c r="D80" s="3">
        <v>1.96</v>
      </c>
      <c r="E80" s="3">
        <v>16.18</v>
      </c>
      <c r="F80" s="3">
        <v>1.3</v>
      </c>
      <c r="G80" s="3">
        <v>4.95</v>
      </c>
      <c r="H80" s="3">
        <v>329</v>
      </c>
      <c r="I80" s="3">
        <v>1.4370000000000001</v>
      </c>
      <c r="J80" s="3">
        <v>2</v>
      </c>
      <c r="K80" s="3">
        <v>4.9829999999999997</v>
      </c>
    </row>
    <row r="81" spans="2:11" x14ac:dyDescent="0.25">
      <c r="B81" s="2" t="s">
        <v>7961</v>
      </c>
      <c r="C81" s="2" t="s">
        <v>7962</v>
      </c>
      <c r="D81" s="3">
        <v>13.19</v>
      </c>
      <c r="E81" s="3">
        <v>18.739999999999998</v>
      </c>
      <c r="F81" s="3">
        <v>1.2</v>
      </c>
      <c r="G81" s="3">
        <v>15.2</v>
      </c>
      <c r="H81" s="3">
        <v>666</v>
      </c>
      <c r="I81" s="3">
        <v>1.4159999999999999</v>
      </c>
      <c r="J81" s="3">
        <v>1.8129999999999999</v>
      </c>
      <c r="K81" s="3">
        <v>0.75700000000000001</v>
      </c>
    </row>
    <row r="82" spans="2:11" x14ac:dyDescent="0.25">
      <c r="B82" s="2" t="s">
        <v>7963</v>
      </c>
      <c r="C82" s="2" t="s">
        <v>7964</v>
      </c>
      <c r="D82" s="3">
        <v>8.57</v>
      </c>
      <c r="E82" s="3">
        <v>26.96</v>
      </c>
      <c r="F82" s="3">
        <v>1</v>
      </c>
      <c r="G82" s="3">
        <v>7.54</v>
      </c>
      <c r="H82" s="3">
        <v>668</v>
      </c>
      <c r="I82" s="3">
        <v>3.4660000000000002</v>
      </c>
      <c r="J82" s="3">
        <v>4.7320000000000002</v>
      </c>
      <c r="K82" s="3">
        <v>3.3540000000000001</v>
      </c>
    </row>
    <row r="83" spans="2:11" x14ac:dyDescent="0.25">
      <c r="B83" s="2" t="s">
        <v>7965</v>
      </c>
      <c r="C83" s="2" t="s">
        <v>7966</v>
      </c>
      <c r="D83" s="3">
        <v>12.02</v>
      </c>
      <c r="E83" s="3">
        <v>16.09</v>
      </c>
      <c r="F83" s="3">
        <v>1.6</v>
      </c>
      <c r="G83" s="3">
        <v>0.72</v>
      </c>
      <c r="H83" s="3">
        <v>540</v>
      </c>
      <c r="I83" s="3">
        <v>3.5979999999999999</v>
      </c>
      <c r="J83" s="3">
        <v>5.524</v>
      </c>
      <c r="K83" s="3">
        <v>6.81</v>
      </c>
    </row>
    <row r="84" spans="2:11" x14ac:dyDescent="0.25">
      <c r="B84" s="2" t="s">
        <v>7967</v>
      </c>
      <c r="C84" s="2" t="s">
        <v>7968</v>
      </c>
      <c r="D84" s="3">
        <v>14.36</v>
      </c>
      <c r="E84" s="3">
        <v>16.239999999999998</v>
      </c>
      <c r="F84" s="3">
        <v>0.7</v>
      </c>
      <c r="G84" s="3">
        <v>1.27</v>
      </c>
      <c r="H84" s="3">
        <v>538</v>
      </c>
      <c r="I84" s="3">
        <v>3.3660000000000001</v>
      </c>
      <c r="J84" s="3">
        <v>4.6669999999999998</v>
      </c>
      <c r="K84" s="3">
        <v>6.1680000000000001</v>
      </c>
    </row>
    <row r="85" spans="2:11" x14ac:dyDescent="0.25">
      <c r="B85" s="2" t="s">
        <v>7969</v>
      </c>
      <c r="C85" s="2" t="s">
        <v>7970</v>
      </c>
      <c r="D85" s="3">
        <v>4.5199999999999996</v>
      </c>
      <c r="E85" s="3">
        <v>17.309999999999999</v>
      </c>
      <c r="F85" s="3">
        <v>1.4</v>
      </c>
      <c r="G85" s="3">
        <v>4.09</v>
      </c>
      <c r="H85" s="3">
        <v>280</v>
      </c>
      <c r="I85" s="3">
        <v>1.1910000000000001</v>
      </c>
      <c r="J85" s="3">
        <v>0.68899999999999995</v>
      </c>
      <c r="K85" s="3">
        <v>0.42</v>
      </c>
    </row>
    <row r="86" spans="2:11" x14ac:dyDescent="0.25">
      <c r="B86" s="2" t="s">
        <v>7971</v>
      </c>
      <c r="C86" s="2" t="s">
        <v>7972</v>
      </c>
      <c r="D86" s="3">
        <v>7.28</v>
      </c>
      <c r="E86" s="3">
        <v>15.36</v>
      </c>
      <c r="F86" s="3">
        <v>1.7</v>
      </c>
      <c r="G86" s="3">
        <v>3.11</v>
      </c>
      <c r="H86" s="3">
        <v>373</v>
      </c>
      <c r="I86" s="3">
        <v>2.3479999999999999</v>
      </c>
      <c r="J86" s="3">
        <v>1.758</v>
      </c>
      <c r="K86" s="3">
        <v>0.433</v>
      </c>
    </row>
    <row r="87" spans="2:11" x14ac:dyDescent="0.25">
      <c r="B87" s="2" t="s">
        <v>7973</v>
      </c>
      <c r="C87" s="2" t="s">
        <v>7974</v>
      </c>
      <c r="D87" s="3">
        <v>14.62</v>
      </c>
      <c r="E87" s="3">
        <v>14.86</v>
      </c>
      <c r="F87" s="3">
        <v>1.7</v>
      </c>
      <c r="G87" s="3">
        <v>0.56999999999999995</v>
      </c>
      <c r="H87" s="3">
        <v>527</v>
      </c>
      <c r="I87" s="3">
        <v>2.4369999999999998</v>
      </c>
      <c r="J87" s="3">
        <v>4.0810000000000004</v>
      </c>
      <c r="K87" s="3">
        <v>6.2350000000000003</v>
      </c>
    </row>
    <row r="88" spans="2:11" x14ac:dyDescent="0.25">
      <c r="B88" s="2" t="s">
        <v>7975</v>
      </c>
      <c r="C88" s="2" t="s">
        <v>7976</v>
      </c>
      <c r="D88" s="3">
        <v>3</v>
      </c>
      <c r="E88" s="3">
        <v>18</v>
      </c>
      <c r="F88" s="3">
        <v>6</v>
      </c>
      <c r="G88" s="3">
        <v>3</v>
      </c>
      <c r="H88" s="3">
        <v>134</v>
      </c>
      <c r="I88" s="3">
        <v>0</v>
      </c>
      <c r="J88" s="3">
        <v>2</v>
      </c>
      <c r="K88" s="3">
        <v>1</v>
      </c>
    </row>
    <row r="89" spans="2:11" x14ac:dyDescent="0.25">
      <c r="B89" s="2" t="s">
        <v>7977</v>
      </c>
      <c r="C89" s="2" t="s">
        <v>7978</v>
      </c>
      <c r="D89" s="3">
        <v>5.3</v>
      </c>
      <c r="E89" s="3">
        <v>17.600000000000001</v>
      </c>
      <c r="F89" s="3">
        <v>2.2000000000000002</v>
      </c>
      <c r="G89" s="3">
        <v>4.7</v>
      </c>
      <c r="H89" s="3">
        <v>219</v>
      </c>
      <c r="I89" s="3">
        <v>0.3</v>
      </c>
      <c r="J89" s="3">
        <v>0.6</v>
      </c>
      <c r="K89" s="3">
        <v>0.5</v>
      </c>
    </row>
    <row r="90" spans="2:11" x14ac:dyDescent="0.25">
      <c r="B90" s="2" t="s">
        <v>7979</v>
      </c>
      <c r="C90" s="2" t="s">
        <v>7980</v>
      </c>
      <c r="D90" s="3">
        <v>4.9000000000000004</v>
      </c>
      <c r="E90" s="3">
        <v>14.9</v>
      </c>
      <c r="F90" s="3">
        <v>2.2999999999999998</v>
      </c>
      <c r="G90" s="3">
        <v>2</v>
      </c>
      <c r="H90" s="3">
        <v>243</v>
      </c>
      <c r="I90" s="3">
        <v>1</v>
      </c>
      <c r="J90" s="3">
        <v>1</v>
      </c>
      <c r="K90" s="3">
        <v>0.9</v>
      </c>
    </row>
    <row r="91" spans="2:11" x14ac:dyDescent="0.25">
      <c r="B91" s="2" t="s">
        <v>7981</v>
      </c>
      <c r="C91" s="2" t="s">
        <v>7982</v>
      </c>
      <c r="D91" s="3">
        <v>6.2</v>
      </c>
      <c r="E91" s="3">
        <v>14</v>
      </c>
      <c r="F91" s="3">
        <v>2</v>
      </c>
      <c r="G91" s="3">
        <v>1.3</v>
      </c>
      <c r="H91" s="3">
        <v>166</v>
      </c>
      <c r="I91" s="3">
        <v>0.9</v>
      </c>
      <c r="J91" s="3">
        <v>0.9</v>
      </c>
      <c r="K91" s="3">
        <v>0.4</v>
      </c>
    </row>
    <row r="92" spans="2:11" x14ac:dyDescent="0.25">
      <c r="B92" s="2" t="s">
        <v>7983</v>
      </c>
      <c r="C92" s="2" t="s">
        <v>7984</v>
      </c>
      <c r="D92" s="3">
        <v>7.9</v>
      </c>
      <c r="E92" s="3">
        <v>11</v>
      </c>
      <c r="F92" s="3">
        <v>1.8</v>
      </c>
      <c r="G92" s="3">
        <v>0.5</v>
      </c>
      <c r="H92" s="3">
        <v>194</v>
      </c>
      <c r="I92" s="3">
        <v>1.5</v>
      </c>
      <c r="J92" s="3">
        <v>1.1000000000000001</v>
      </c>
      <c r="K92" s="3">
        <v>0.7</v>
      </c>
    </row>
    <row r="93" spans="2:11" x14ac:dyDescent="0.25">
      <c r="B93" s="2" t="s">
        <v>7985</v>
      </c>
      <c r="C93" s="2" t="s">
        <v>7986</v>
      </c>
      <c r="D93" s="3">
        <v>7</v>
      </c>
      <c r="E93" s="3">
        <v>13</v>
      </c>
      <c r="F93" s="3">
        <v>2.6</v>
      </c>
      <c r="G93" s="3">
        <v>1</v>
      </c>
      <c r="H93" s="3">
        <v>166</v>
      </c>
      <c r="I93" s="3">
        <v>0.66</v>
      </c>
      <c r="J93" s="3">
        <v>0.74</v>
      </c>
      <c r="K93" s="3">
        <v>0.76</v>
      </c>
    </row>
    <row r="94" spans="2:11" x14ac:dyDescent="0.25">
      <c r="B94" s="2" t="s">
        <v>7987</v>
      </c>
      <c r="C94" s="2" t="s">
        <v>7988</v>
      </c>
      <c r="D94" s="3">
        <v>6.3</v>
      </c>
      <c r="E94" s="3">
        <v>13.4</v>
      </c>
      <c r="F94" s="3">
        <v>3</v>
      </c>
      <c r="G94" s="3">
        <v>2.2000000000000002</v>
      </c>
      <c r="H94" s="3">
        <v>241</v>
      </c>
      <c r="I94" s="3">
        <v>1.4</v>
      </c>
      <c r="J94" s="3">
        <v>0.7</v>
      </c>
      <c r="K94" s="3">
        <v>0.7</v>
      </c>
    </row>
    <row r="95" spans="2:11" x14ac:dyDescent="0.25">
      <c r="B95" s="2" t="s">
        <v>7989</v>
      </c>
      <c r="C95" s="2" t="s">
        <v>7990</v>
      </c>
      <c r="D95" s="3">
        <v>3</v>
      </c>
      <c r="E95" s="3">
        <v>21</v>
      </c>
      <c r="F95" s="3">
        <v>3</v>
      </c>
      <c r="G95" s="3">
        <v>7</v>
      </c>
      <c r="H95" s="3">
        <v>133</v>
      </c>
      <c r="I95" s="3">
        <v>0.6</v>
      </c>
      <c r="J95" s="3">
        <v>0.6</v>
      </c>
      <c r="K95" s="3">
        <v>2.2000000000000002</v>
      </c>
    </row>
    <row r="96" spans="2:11" x14ac:dyDescent="0.25">
      <c r="B96" s="2" t="s">
        <v>7991</v>
      </c>
      <c r="C96" s="2" t="s">
        <v>7992</v>
      </c>
      <c r="D96" s="3">
        <v>3.8</v>
      </c>
      <c r="E96" s="3">
        <v>13</v>
      </c>
      <c r="F96" s="3">
        <v>2.4</v>
      </c>
      <c r="G96" s="3">
        <v>1.4</v>
      </c>
      <c r="H96" s="3">
        <v>265</v>
      </c>
      <c r="I96" s="3">
        <v>0.7</v>
      </c>
      <c r="J96" s="3">
        <v>1.9</v>
      </c>
      <c r="K96" s="3">
        <v>1.2</v>
      </c>
    </row>
    <row r="97" spans="2:11" x14ac:dyDescent="0.25">
      <c r="B97" s="2" t="s">
        <v>7993</v>
      </c>
      <c r="C97" s="2" t="s">
        <v>7994</v>
      </c>
      <c r="D97" s="3">
        <v>13.81</v>
      </c>
      <c r="E97" s="3">
        <v>71</v>
      </c>
      <c r="F97" s="3">
        <v>12.3</v>
      </c>
      <c r="G97" s="3">
        <v>0.8</v>
      </c>
      <c r="H97" s="3">
        <v>5</v>
      </c>
      <c r="I97" s="3">
        <v>0.93</v>
      </c>
      <c r="J97" s="3">
        <v>1.69</v>
      </c>
      <c r="K97" s="3">
        <v>2.78</v>
      </c>
    </row>
    <row r="98" spans="2:11" x14ac:dyDescent="0.25">
      <c r="B98" s="2" t="s">
        <v>7995</v>
      </c>
      <c r="C98" s="2" t="s">
        <v>7996</v>
      </c>
      <c r="D98" s="3">
        <v>5.9</v>
      </c>
      <c r="E98" s="3">
        <v>15.6</v>
      </c>
      <c r="F98" s="3">
        <v>2.2999999999999998</v>
      </c>
      <c r="G98" s="3">
        <v>3.3</v>
      </c>
      <c r="H98" s="3">
        <v>154</v>
      </c>
      <c r="I98" s="3">
        <v>1.2</v>
      </c>
      <c r="J98" s="3">
        <v>0.9</v>
      </c>
      <c r="K98" s="3">
        <v>0.6</v>
      </c>
    </row>
    <row r="99" spans="2:11" x14ac:dyDescent="0.25">
      <c r="B99" s="2" t="s">
        <v>7997</v>
      </c>
      <c r="C99" s="2" t="s">
        <v>7998</v>
      </c>
      <c r="D99" s="3">
        <v>5.5</v>
      </c>
      <c r="E99" s="3">
        <v>14.6</v>
      </c>
      <c r="F99" s="3">
        <v>1.6</v>
      </c>
      <c r="G99" s="3">
        <v>1.4</v>
      </c>
      <c r="H99" s="3">
        <v>213</v>
      </c>
      <c r="I99" s="3">
        <v>0.6</v>
      </c>
      <c r="J99" s="3">
        <v>1.6</v>
      </c>
      <c r="K99" s="3">
        <v>0.7</v>
      </c>
    </row>
    <row r="100" spans="2:11" x14ac:dyDescent="0.25">
      <c r="B100" s="2" t="s">
        <v>7999</v>
      </c>
      <c r="C100" s="2" t="s">
        <v>8000</v>
      </c>
      <c r="D100" s="3">
        <v>6.1</v>
      </c>
      <c r="E100" s="3">
        <v>15.7</v>
      </c>
      <c r="F100" s="3">
        <v>2.9</v>
      </c>
      <c r="G100" s="3">
        <v>3</v>
      </c>
      <c r="H100" s="3">
        <v>233</v>
      </c>
      <c r="I100" s="3">
        <v>0.8</v>
      </c>
      <c r="J100" s="3">
        <v>0.9</v>
      </c>
      <c r="K100" s="3">
        <v>0.9</v>
      </c>
    </row>
    <row r="101" spans="2:11" x14ac:dyDescent="0.25">
      <c r="B101" s="2" t="s">
        <v>8001</v>
      </c>
      <c r="C101" s="2" t="s">
        <v>8002</v>
      </c>
      <c r="D101" s="3">
        <v>5.7</v>
      </c>
      <c r="E101" s="3">
        <v>17.399999999999999</v>
      </c>
      <c r="F101" s="3">
        <v>2.1</v>
      </c>
      <c r="G101" s="3">
        <v>1</v>
      </c>
      <c r="H101" s="3">
        <v>240</v>
      </c>
      <c r="I101" s="3">
        <v>0.3</v>
      </c>
      <c r="J101" s="3">
        <v>0.8</v>
      </c>
      <c r="K101" s="3">
        <v>0.6</v>
      </c>
    </row>
    <row r="102" spans="2:11" x14ac:dyDescent="0.25">
      <c r="B102" s="2" t="s">
        <v>8003</v>
      </c>
      <c r="C102" s="2" t="s">
        <v>8004</v>
      </c>
      <c r="D102" s="3">
        <v>3</v>
      </c>
      <c r="E102" s="3">
        <v>17.7</v>
      </c>
      <c r="F102" s="3">
        <v>3.1</v>
      </c>
      <c r="G102" s="3">
        <v>1</v>
      </c>
      <c r="H102" s="3">
        <v>237</v>
      </c>
      <c r="I102" s="3">
        <v>0.4</v>
      </c>
      <c r="J102" s="3">
        <v>1.4</v>
      </c>
      <c r="K102" s="3">
        <v>0.8</v>
      </c>
    </row>
    <row r="103" spans="2:11" x14ac:dyDescent="0.25">
      <c r="B103" s="2" t="s">
        <v>8005</v>
      </c>
      <c r="C103" s="2" t="s">
        <v>8006</v>
      </c>
      <c r="D103" s="3">
        <v>5</v>
      </c>
      <c r="E103" s="3">
        <v>15.1</v>
      </c>
      <c r="F103" s="3">
        <v>3</v>
      </c>
      <c r="G103" s="3">
        <v>0.1</v>
      </c>
      <c r="H103" s="3">
        <v>229</v>
      </c>
      <c r="I103" s="3">
        <v>1.6</v>
      </c>
      <c r="J103" s="3">
        <v>1.1000000000000001</v>
      </c>
      <c r="K103" s="3">
        <v>0.5</v>
      </c>
    </row>
    <row r="104" spans="2:11" x14ac:dyDescent="0.25">
      <c r="B104" s="2" t="s">
        <v>8007</v>
      </c>
      <c r="C104" s="2" t="s">
        <v>8008</v>
      </c>
      <c r="D104" s="3">
        <v>6</v>
      </c>
      <c r="E104" s="3">
        <v>19</v>
      </c>
      <c r="F104" s="3">
        <v>2.5</v>
      </c>
      <c r="G104" s="3">
        <v>8</v>
      </c>
      <c r="H104" s="3">
        <v>134</v>
      </c>
      <c r="I104" s="3">
        <v>0.24</v>
      </c>
      <c r="J104" s="3">
        <v>0.41</v>
      </c>
      <c r="K104" s="3">
        <v>0.44</v>
      </c>
    </row>
    <row r="105" spans="2:11" x14ac:dyDescent="0.25">
      <c r="B105" s="2" t="s">
        <v>8009</v>
      </c>
      <c r="C105" s="2" t="s">
        <v>8010</v>
      </c>
      <c r="D105" s="3">
        <v>5.7</v>
      </c>
      <c r="E105" s="3">
        <v>16.8</v>
      </c>
      <c r="F105" s="3">
        <v>2.7</v>
      </c>
      <c r="G105" s="3">
        <v>1.9</v>
      </c>
      <c r="H105" s="3">
        <v>248</v>
      </c>
      <c r="I105" s="3">
        <v>2.2999999999999998</v>
      </c>
      <c r="J105" s="3">
        <v>1</v>
      </c>
      <c r="K105" s="3">
        <v>0.4</v>
      </c>
    </row>
    <row r="106" spans="2:11" x14ac:dyDescent="0.25">
      <c r="B106" s="2" t="s">
        <v>8011</v>
      </c>
      <c r="C106" s="2" t="s">
        <v>8012</v>
      </c>
      <c r="D106" s="3">
        <v>2</v>
      </c>
      <c r="E106" s="3">
        <v>15</v>
      </c>
      <c r="F106" s="3">
        <v>2.9</v>
      </c>
      <c r="G106" s="3">
        <v>3</v>
      </c>
      <c r="H106" s="3">
        <v>245</v>
      </c>
      <c r="I106" s="3">
        <v>0.5</v>
      </c>
      <c r="J106" s="3">
        <v>1.9</v>
      </c>
      <c r="K106" s="3">
        <v>0.8</v>
      </c>
    </row>
    <row r="107" spans="2:11" x14ac:dyDescent="0.25">
      <c r="B107" s="2" t="s">
        <v>8013</v>
      </c>
      <c r="C107" s="2" t="s">
        <v>8014</v>
      </c>
      <c r="D107" s="3">
        <v>10.64</v>
      </c>
      <c r="E107" s="3">
        <v>75.8</v>
      </c>
      <c r="F107" s="3">
        <v>1.2</v>
      </c>
      <c r="G107" s="3">
        <v>2.4</v>
      </c>
      <c r="H107" s="3">
        <v>1238</v>
      </c>
      <c r="I107" s="3">
        <v>0.38900000000000001</v>
      </c>
      <c r="J107" s="3">
        <v>0.32800000000000001</v>
      </c>
      <c r="K107" s="3">
        <v>0.46300000000000002</v>
      </c>
    </row>
    <row r="108" spans="2:11" x14ac:dyDescent="0.25">
      <c r="B108" s="2" t="s">
        <v>8015</v>
      </c>
      <c r="C108" s="2" t="s">
        <v>8016</v>
      </c>
      <c r="D108" s="3">
        <v>2.65</v>
      </c>
      <c r="E108" s="3">
        <v>23.54</v>
      </c>
      <c r="F108" s="3">
        <v>0.7</v>
      </c>
      <c r="G108" s="3">
        <v>0.64</v>
      </c>
      <c r="H108" s="3">
        <v>377</v>
      </c>
      <c r="I108" s="3">
        <v>0.746</v>
      </c>
      <c r="J108" s="3">
        <v>1.421</v>
      </c>
      <c r="K108" s="3">
        <v>1.161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3AFCE-778E-2646-9291-E650BD5C87D3}">
  <sheetPr codeName="Sheet25"/>
  <dimension ref="A1:K70"/>
  <sheetViews>
    <sheetView topLeftCell="A37" workbookViewId="0">
      <selection activeCell="B11" sqref="B11:B70"/>
    </sheetView>
  </sheetViews>
  <sheetFormatPr defaultColWidth="11" defaultRowHeight="15.75" x14ac:dyDescent="0.25"/>
  <cols>
    <col min="3" max="3" width="61.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25000</v>
      </c>
      <c r="C3" s="10" t="str" cm="1">
        <f t="array" ref="C3">INDEX($B$11:$K$208, $A$3, C1)</f>
        <v>POPCORN,OIL-POPPED,LOFAT</v>
      </c>
      <c r="D3" s="10" cm="1">
        <f t="array" ref="D3">INDEX($B$11:$K$74, $A$3, D1)</f>
        <v>10.72</v>
      </c>
      <c r="E3" s="10" cm="1">
        <f t="array" ref="E3">INDEX($B$11:$K$74, $A$3, E1)</f>
        <v>76.040000000000006</v>
      </c>
      <c r="F3" s="10" cm="1">
        <f t="array" ref="F3">INDEX($B$11:$K$74, $A$3, F1)</f>
        <v>13.6</v>
      </c>
      <c r="G3" s="10" cm="1">
        <f t="array" ref="G3">INDEX($B$11:$K$74, $A$3, G1)</f>
        <v>0.65</v>
      </c>
      <c r="H3" s="10" cm="1">
        <f t="array" ref="H3">INDEX($B$11:$K$74, $A$3, H1)</f>
        <v>571</v>
      </c>
      <c r="I3" s="10" cm="1">
        <f t="array" ref="I3">INDEX($B$11:$K$74, $A$3, I1)</f>
        <v>1.1839999999999999</v>
      </c>
      <c r="J3" s="10" cm="1">
        <f t="array" ref="J3">INDEX($B$11:$K$74, $A$3, J1)</f>
        <v>2.7669999999999999</v>
      </c>
      <c r="K3" s="10" cm="1">
        <f t="array" ref="K3">INDEX($B$11:$K$74, $A$3, K1)</f>
        <v>2.2160000000000002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152.08000000000001</v>
      </c>
      <c r="F6" s="10">
        <f>A6*F3</f>
        <v>0</v>
      </c>
      <c r="G6" s="10">
        <f>A7*G3</f>
        <v>1.3</v>
      </c>
      <c r="H6" s="12">
        <f>A6*H3</f>
        <v>0</v>
      </c>
      <c r="I6" s="12">
        <f>A6*I3</f>
        <v>0</v>
      </c>
      <c r="J6" s="12">
        <f>A7*J3</f>
        <v>5.5339999999999998</v>
      </c>
      <c r="K6" s="10">
        <f>A7*K3</f>
        <v>4.4320000000000004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>
        <f>G4/G3</f>
        <v>0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8017</v>
      </c>
      <c r="C11" s="2" t="s">
        <v>8018</v>
      </c>
      <c r="D11" s="3">
        <v>10.72</v>
      </c>
      <c r="E11" s="3">
        <v>76.040000000000006</v>
      </c>
      <c r="F11" s="3">
        <v>13.6</v>
      </c>
      <c r="G11" s="3">
        <v>0.65</v>
      </c>
      <c r="H11" s="3">
        <v>571</v>
      </c>
      <c r="I11" s="3">
        <v>1.1839999999999999</v>
      </c>
      <c r="J11" s="3">
        <v>2.7669999999999999</v>
      </c>
      <c r="K11" s="3">
        <v>2.2160000000000002</v>
      </c>
    </row>
    <row r="12" spans="1:11" x14ac:dyDescent="0.25">
      <c r="B12" s="2" t="s">
        <v>8019</v>
      </c>
      <c r="C12" s="2" t="s">
        <v>8018</v>
      </c>
      <c r="D12" s="3">
        <v>12.6</v>
      </c>
      <c r="E12" s="3">
        <v>72</v>
      </c>
      <c r="F12" s="3">
        <v>14.2</v>
      </c>
      <c r="G12" s="3">
        <v>0.92</v>
      </c>
      <c r="H12" s="3">
        <v>540</v>
      </c>
      <c r="I12" s="3">
        <v>1.415</v>
      </c>
      <c r="J12" s="3">
        <v>4.085</v>
      </c>
      <c r="K12" s="3">
        <v>3.5720000000000001</v>
      </c>
    </row>
    <row r="13" spans="1:11" x14ac:dyDescent="0.25">
      <c r="B13" s="2" t="s">
        <v>8020</v>
      </c>
      <c r="C13" s="2" t="s">
        <v>8021</v>
      </c>
      <c r="D13" s="3">
        <v>0.46</v>
      </c>
      <c r="E13" s="3">
        <v>74.64</v>
      </c>
      <c r="F13" s="3">
        <v>3.3</v>
      </c>
      <c r="G13" s="3">
        <v>39.15</v>
      </c>
      <c r="H13" s="3">
        <v>8</v>
      </c>
      <c r="I13" s="3">
        <v>5.0960000000000001</v>
      </c>
      <c r="J13" s="3">
        <v>0.753</v>
      </c>
      <c r="K13" s="3">
        <v>0.23799999999999999</v>
      </c>
    </row>
    <row r="14" spans="1:11" x14ac:dyDescent="0.25">
      <c r="B14" s="2" t="s">
        <v>8022</v>
      </c>
      <c r="C14" s="2" t="s">
        <v>8023</v>
      </c>
      <c r="D14" s="3">
        <v>24.29</v>
      </c>
      <c r="E14" s="3">
        <v>47.24</v>
      </c>
      <c r="F14" s="3">
        <v>2.5</v>
      </c>
      <c r="G14" s="3">
        <v>32.86</v>
      </c>
      <c r="H14" s="3">
        <v>462</v>
      </c>
      <c r="I14" s="3">
        <v>4.7279999999999998</v>
      </c>
    </row>
    <row r="15" spans="1:11" x14ac:dyDescent="0.25">
      <c r="B15" s="2" t="s">
        <v>8024</v>
      </c>
      <c r="C15" s="2" t="s">
        <v>8025</v>
      </c>
      <c r="D15" s="3">
        <v>18.489999999999998</v>
      </c>
      <c r="E15" s="3">
        <v>57.27</v>
      </c>
      <c r="F15" s="3">
        <v>2.8</v>
      </c>
      <c r="G15" s="3">
        <v>33.04</v>
      </c>
      <c r="H15" s="3">
        <v>418</v>
      </c>
      <c r="I15" s="3">
        <v>4.7939999999999996</v>
      </c>
    </row>
    <row r="16" spans="1:11" x14ac:dyDescent="0.25">
      <c r="B16" s="2" t="s">
        <v>8026</v>
      </c>
      <c r="C16" s="2" t="s">
        <v>8027</v>
      </c>
      <c r="D16" s="3">
        <v>22.35</v>
      </c>
      <c r="E16" s="3">
        <v>52.47</v>
      </c>
      <c r="F16" s="3">
        <v>10.5</v>
      </c>
      <c r="G16" s="3">
        <v>22.67</v>
      </c>
      <c r="H16" s="3">
        <v>333</v>
      </c>
      <c r="I16" s="3">
        <v>4.8470000000000004</v>
      </c>
    </row>
    <row r="17" spans="2:11" x14ac:dyDescent="0.25">
      <c r="B17" s="2" t="s">
        <v>8028</v>
      </c>
      <c r="C17" s="2" t="s">
        <v>8029</v>
      </c>
      <c r="D17" s="3">
        <v>5.88</v>
      </c>
      <c r="E17" s="3">
        <v>64.69</v>
      </c>
      <c r="F17" s="3">
        <v>2.6</v>
      </c>
      <c r="G17" s="3">
        <v>44.29</v>
      </c>
      <c r="H17" s="3">
        <v>268</v>
      </c>
      <c r="I17" s="3">
        <v>10.411</v>
      </c>
    </row>
    <row r="18" spans="2:11" x14ac:dyDescent="0.25">
      <c r="B18" s="2" t="s">
        <v>8030</v>
      </c>
      <c r="C18" s="2" t="s">
        <v>8031</v>
      </c>
      <c r="D18" s="3">
        <v>22.5</v>
      </c>
      <c r="E18" s="3">
        <v>54.3</v>
      </c>
      <c r="F18" s="3">
        <v>11</v>
      </c>
      <c r="G18" s="3">
        <v>26.26</v>
      </c>
      <c r="H18" s="3">
        <v>318</v>
      </c>
      <c r="I18" s="3">
        <v>4.4809999999999999</v>
      </c>
    </row>
    <row r="19" spans="2:11" x14ac:dyDescent="0.25">
      <c r="B19" s="2" t="s">
        <v>8032</v>
      </c>
      <c r="C19" s="2" t="s">
        <v>8033</v>
      </c>
      <c r="D19" s="3">
        <v>3.78</v>
      </c>
      <c r="E19" s="3">
        <v>73.010000000000005</v>
      </c>
      <c r="F19" s="3">
        <v>2.4</v>
      </c>
      <c r="G19" s="3">
        <v>37.81</v>
      </c>
      <c r="H19" s="3">
        <v>341</v>
      </c>
      <c r="I19" s="3">
        <v>6.8019999999999996</v>
      </c>
    </row>
    <row r="20" spans="2:11" x14ac:dyDescent="0.25">
      <c r="B20" s="2" t="s">
        <v>8034</v>
      </c>
      <c r="C20" s="2" t="s">
        <v>8035</v>
      </c>
      <c r="D20" s="3">
        <v>7.72</v>
      </c>
      <c r="E20" s="3">
        <v>51.68</v>
      </c>
      <c r="F20" s="3">
        <v>5.2</v>
      </c>
      <c r="G20" s="3">
        <v>27.03</v>
      </c>
      <c r="H20" s="3">
        <v>260</v>
      </c>
      <c r="I20" s="3">
        <v>4.3259999999999996</v>
      </c>
    </row>
    <row r="21" spans="2:11" x14ac:dyDescent="0.25">
      <c r="B21" s="2" t="s">
        <v>8036</v>
      </c>
      <c r="C21" s="2" t="s">
        <v>8037</v>
      </c>
      <c r="D21" s="3">
        <v>2.94</v>
      </c>
      <c r="E21" s="3">
        <v>56.82</v>
      </c>
      <c r="F21" s="3">
        <v>8.8000000000000007</v>
      </c>
      <c r="G21" s="3">
        <v>8.82</v>
      </c>
      <c r="H21" s="3">
        <v>35</v>
      </c>
      <c r="I21" s="3">
        <v>2.9409999999999998</v>
      </c>
      <c r="J21" s="3">
        <v>9.1549999999999994</v>
      </c>
      <c r="K21" s="3">
        <v>12.224</v>
      </c>
    </row>
    <row r="22" spans="2:11" x14ac:dyDescent="0.25">
      <c r="B22" s="2" t="s">
        <v>8038</v>
      </c>
      <c r="C22" s="2" t="s">
        <v>8039</v>
      </c>
      <c r="D22" s="3">
        <v>7.95</v>
      </c>
      <c r="E22" s="3">
        <v>67.260000000000005</v>
      </c>
      <c r="F22" s="3">
        <v>8.8000000000000007</v>
      </c>
      <c r="G22" s="3">
        <v>7.2</v>
      </c>
      <c r="H22" s="3">
        <v>423</v>
      </c>
      <c r="I22" s="3">
        <v>2.1659999999999999</v>
      </c>
      <c r="J22" s="3">
        <v>11.500999999999999</v>
      </c>
      <c r="K22" s="3">
        <v>6.5129999999999999</v>
      </c>
    </row>
    <row r="23" spans="2:11" x14ac:dyDescent="0.25">
      <c r="B23" s="2" t="s">
        <v>8040</v>
      </c>
      <c r="C23" s="2" t="s">
        <v>8041</v>
      </c>
      <c r="D23" s="3">
        <v>7.5</v>
      </c>
      <c r="E23" s="3">
        <v>55.16</v>
      </c>
      <c r="F23" s="3">
        <v>10</v>
      </c>
      <c r="G23" s="3">
        <v>0.55000000000000004</v>
      </c>
      <c r="H23" s="3">
        <v>764</v>
      </c>
      <c r="I23" s="3">
        <v>7.2160000000000002</v>
      </c>
      <c r="J23" s="3">
        <v>21.143000000000001</v>
      </c>
      <c r="K23" s="3">
        <v>2.3919999999999999</v>
      </c>
    </row>
    <row r="24" spans="2:11" x14ac:dyDescent="0.25">
      <c r="B24" s="2" t="s">
        <v>8042</v>
      </c>
      <c r="C24" s="2" t="s">
        <v>8043</v>
      </c>
      <c r="D24" s="3">
        <v>25</v>
      </c>
      <c r="E24" s="3">
        <v>50.5</v>
      </c>
      <c r="F24" s="3">
        <v>12.5</v>
      </c>
      <c r="G24" s="3">
        <v>28.75</v>
      </c>
      <c r="H24" s="3">
        <v>238</v>
      </c>
      <c r="I24" s="3">
        <v>6.25</v>
      </c>
      <c r="J24" s="3">
        <v>2.645</v>
      </c>
      <c r="K24" s="3">
        <v>2.8919999999999999</v>
      </c>
    </row>
    <row r="25" spans="2:11" x14ac:dyDescent="0.25">
      <c r="B25" s="2" t="s">
        <v>8044</v>
      </c>
      <c r="C25" s="2" t="s">
        <v>8045</v>
      </c>
      <c r="D25" s="3">
        <v>21.91</v>
      </c>
      <c r="E25" s="3">
        <v>50.3</v>
      </c>
      <c r="F25" s="3">
        <v>6.7</v>
      </c>
      <c r="G25" s="3">
        <v>28.71</v>
      </c>
      <c r="H25" s="3">
        <v>383</v>
      </c>
      <c r="I25" s="3">
        <v>4.7530000000000001</v>
      </c>
      <c r="J25" s="3">
        <v>3.92</v>
      </c>
      <c r="K25" s="3">
        <v>1.917</v>
      </c>
    </row>
    <row r="26" spans="2:11" x14ac:dyDescent="0.25">
      <c r="B26" s="2" t="s">
        <v>8046</v>
      </c>
      <c r="C26" s="2" t="s">
        <v>8047</v>
      </c>
      <c r="D26" s="3">
        <v>14.15</v>
      </c>
      <c r="E26" s="3">
        <v>69.63</v>
      </c>
      <c r="F26" s="3">
        <v>5.7</v>
      </c>
      <c r="G26" s="3">
        <v>30.07</v>
      </c>
      <c r="H26" s="3">
        <v>308</v>
      </c>
      <c r="I26" s="3">
        <v>1.32</v>
      </c>
      <c r="J26" s="3">
        <v>1.05</v>
      </c>
      <c r="K26" s="3">
        <v>0.58899999999999997</v>
      </c>
    </row>
    <row r="27" spans="2:11" x14ac:dyDescent="0.25">
      <c r="B27" s="2" t="s">
        <v>8048</v>
      </c>
      <c r="C27" s="2" t="s">
        <v>8049</v>
      </c>
      <c r="D27" s="3">
        <v>6.21</v>
      </c>
      <c r="E27" s="3">
        <v>57.87</v>
      </c>
      <c r="F27" s="3">
        <v>4.5999999999999996</v>
      </c>
      <c r="G27" s="3">
        <v>33.4</v>
      </c>
      <c r="H27" s="3">
        <v>260</v>
      </c>
      <c r="I27" s="3">
        <v>3.87</v>
      </c>
    </row>
    <row r="28" spans="2:11" x14ac:dyDescent="0.25">
      <c r="B28" s="2" t="s">
        <v>8050</v>
      </c>
      <c r="C28" s="2" t="s">
        <v>8051</v>
      </c>
      <c r="D28" s="3">
        <v>16.190000000000001</v>
      </c>
      <c r="E28" s="3">
        <v>60.21</v>
      </c>
      <c r="F28" s="3">
        <v>5.0999999999999996</v>
      </c>
      <c r="G28" s="3">
        <v>25</v>
      </c>
      <c r="H28" s="3">
        <v>253</v>
      </c>
      <c r="I28" s="3">
        <v>5.36</v>
      </c>
      <c r="J28" s="3">
        <v>2.4279999999999999</v>
      </c>
      <c r="K28" s="3">
        <v>1.1319999999999999</v>
      </c>
    </row>
    <row r="29" spans="2:11" x14ac:dyDescent="0.25">
      <c r="B29" s="2" t="s">
        <v>8052</v>
      </c>
      <c r="C29" s="2" t="s">
        <v>8053</v>
      </c>
      <c r="D29" s="3">
        <v>20.75</v>
      </c>
      <c r="E29" s="3">
        <v>52.49</v>
      </c>
      <c r="F29" s="3">
        <v>4.3</v>
      </c>
      <c r="G29" s="3">
        <v>16.899999999999999</v>
      </c>
      <c r="H29" s="3">
        <v>386</v>
      </c>
      <c r="I29" s="3">
        <v>5.5229999999999997</v>
      </c>
      <c r="J29" s="3">
        <v>2.9329999999999998</v>
      </c>
      <c r="K29" s="3">
        <v>2.714</v>
      </c>
    </row>
    <row r="30" spans="2:11" x14ac:dyDescent="0.25">
      <c r="B30" s="2" t="s">
        <v>8054</v>
      </c>
      <c r="C30" s="2" t="s">
        <v>8055</v>
      </c>
      <c r="D30" s="3">
        <v>8.68</v>
      </c>
      <c r="E30" s="3">
        <v>65.489999999999995</v>
      </c>
      <c r="F30" s="3">
        <v>7.8</v>
      </c>
      <c r="G30" s="3">
        <v>8.82</v>
      </c>
      <c r="H30" s="3">
        <v>467</v>
      </c>
      <c r="I30" s="3">
        <v>2.4689999999999999</v>
      </c>
      <c r="J30" s="3">
        <v>12.698</v>
      </c>
      <c r="K30" s="3">
        <v>6.5129999999999999</v>
      </c>
    </row>
    <row r="31" spans="2:11" x14ac:dyDescent="0.25">
      <c r="B31" s="2" t="s">
        <v>8056</v>
      </c>
      <c r="C31" s="2" t="s">
        <v>8057</v>
      </c>
      <c r="D31" s="3">
        <v>8.08</v>
      </c>
      <c r="E31" s="3">
        <v>64.7</v>
      </c>
      <c r="F31" s="3">
        <v>8.1</v>
      </c>
      <c r="G31" s="3">
        <v>7.05</v>
      </c>
      <c r="H31" s="3">
        <v>705</v>
      </c>
      <c r="I31" s="3">
        <v>2.8919999999999999</v>
      </c>
      <c r="J31" s="3">
        <v>12.557</v>
      </c>
      <c r="K31" s="3">
        <v>6.6310000000000002</v>
      </c>
    </row>
    <row r="32" spans="2:11" x14ac:dyDescent="0.25">
      <c r="B32" s="2" t="s">
        <v>8058</v>
      </c>
      <c r="C32" s="2" t="s">
        <v>8059</v>
      </c>
      <c r="D32" s="3">
        <v>8.1999999999999993</v>
      </c>
      <c r="E32" s="3">
        <v>71.040000000000006</v>
      </c>
      <c r="F32" s="3">
        <v>1.7</v>
      </c>
      <c r="G32" s="3">
        <v>0.25</v>
      </c>
      <c r="H32" s="3">
        <v>252</v>
      </c>
      <c r="I32" s="3">
        <v>0.69499999999999995</v>
      </c>
      <c r="J32" s="3">
        <v>1.071</v>
      </c>
      <c r="K32" s="3">
        <v>0.94799999999999995</v>
      </c>
    </row>
    <row r="33" spans="2:11" x14ac:dyDescent="0.25">
      <c r="B33" s="2" t="s">
        <v>8060</v>
      </c>
      <c r="C33" s="2" t="s">
        <v>8061</v>
      </c>
      <c r="D33" s="3">
        <v>26.5</v>
      </c>
      <c r="E33" s="3">
        <v>53.15</v>
      </c>
      <c r="F33" s="3">
        <v>3.5</v>
      </c>
      <c r="G33" s="3">
        <v>1.8</v>
      </c>
      <c r="H33" s="3">
        <v>842</v>
      </c>
      <c r="I33" s="3">
        <v>1.1020000000000001</v>
      </c>
      <c r="J33" s="3">
        <v>1.661</v>
      </c>
      <c r="K33" s="3">
        <v>4.0179999999999998</v>
      </c>
    </row>
    <row r="34" spans="2:11" x14ac:dyDescent="0.25">
      <c r="B34" s="2" t="s">
        <v>8062</v>
      </c>
      <c r="C34" s="2" t="s">
        <v>8063</v>
      </c>
      <c r="D34" s="3">
        <v>8.3800000000000008</v>
      </c>
      <c r="E34" s="3">
        <v>57.26</v>
      </c>
      <c r="F34" s="3">
        <v>10</v>
      </c>
      <c r="G34" s="3">
        <v>0.3</v>
      </c>
      <c r="H34" s="3">
        <v>763</v>
      </c>
      <c r="I34" s="3">
        <v>14.598000000000001</v>
      </c>
      <c r="J34" s="3">
        <v>0.374</v>
      </c>
      <c r="K34" s="3">
        <v>4.1239999999999997</v>
      </c>
    </row>
    <row r="35" spans="2:11" x14ac:dyDescent="0.25">
      <c r="B35" s="2" t="s">
        <v>8064</v>
      </c>
      <c r="C35" s="2" t="s">
        <v>8065</v>
      </c>
      <c r="D35" s="3">
        <v>2.2799999999999998</v>
      </c>
      <c r="E35" s="3">
        <v>63.84</v>
      </c>
      <c r="F35" s="3">
        <v>3.5</v>
      </c>
      <c r="G35" s="3">
        <v>0.92</v>
      </c>
      <c r="H35" s="3">
        <v>202</v>
      </c>
      <c r="I35" s="3">
        <v>8.3369999999999997</v>
      </c>
      <c r="J35" s="3">
        <v>5.6319999999999997</v>
      </c>
      <c r="K35" s="3">
        <v>11.739000000000001</v>
      </c>
    </row>
    <row r="36" spans="2:11" x14ac:dyDescent="0.25">
      <c r="B36" s="2" t="s">
        <v>8066</v>
      </c>
      <c r="C36" s="2" t="s">
        <v>8067</v>
      </c>
      <c r="D36" s="3">
        <v>6.62</v>
      </c>
      <c r="E36" s="3">
        <v>67.38</v>
      </c>
      <c r="F36" s="3">
        <v>4.7</v>
      </c>
      <c r="G36" s="3">
        <v>1.21</v>
      </c>
      <c r="H36" s="3">
        <v>310</v>
      </c>
      <c r="I36" s="3">
        <v>2.7759999999999998</v>
      </c>
      <c r="J36" s="3">
        <v>8.5839999999999996</v>
      </c>
      <c r="K36" s="3">
        <v>9.1790000000000003</v>
      </c>
    </row>
    <row r="37" spans="2:11" x14ac:dyDescent="0.25">
      <c r="B37" s="2" t="s">
        <v>8068</v>
      </c>
      <c r="C37" s="2" t="s">
        <v>8069</v>
      </c>
      <c r="D37" s="3">
        <v>4.13</v>
      </c>
      <c r="E37" s="3">
        <v>57.97</v>
      </c>
      <c r="F37" s="3">
        <v>10.9</v>
      </c>
      <c r="G37" s="3">
        <v>9.75</v>
      </c>
      <c r="H37" s="3">
        <v>246</v>
      </c>
      <c r="I37" s="3">
        <v>1.887</v>
      </c>
      <c r="J37" s="3">
        <v>15.409000000000001</v>
      </c>
      <c r="K37" s="3">
        <v>6.93</v>
      </c>
    </row>
    <row r="38" spans="2:11" x14ac:dyDescent="0.25">
      <c r="B38" s="2" t="s">
        <v>8070</v>
      </c>
      <c r="C38" s="2" t="s">
        <v>8071</v>
      </c>
      <c r="D38" s="3">
        <v>30</v>
      </c>
      <c r="E38" s="3">
        <v>45</v>
      </c>
      <c r="F38" s="3">
        <v>2</v>
      </c>
      <c r="G38" s="3">
        <v>27</v>
      </c>
      <c r="H38" s="3">
        <v>520</v>
      </c>
      <c r="I38" s="3">
        <v>4.4989999999999997</v>
      </c>
      <c r="J38" s="3">
        <v>3.8279999999999998</v>
      </c>
      <c r="K38" s="3">
        <v>4.8040000000000003</v>
      </c>
    </row>
    <row r="39" spans="2:11" x14ac:dyDescent="0.25">
      <c r="B39" s="2" t="s">
        <v>8072</v>
      </c>
      <c r="C39" s="2" t="s">
        <v>8073</v>
      </c>
      <c r="D39" s="3">
        <v>16.670000000000002</v>
      </c>
      <c r="E39" s="3">
        <v>63.42</v>
      </c>
      <c r="F39" s="3">
        <v>7.7</v>
      </c>
      <c r="G39" s="3">
        <v>42.31</v>
      </c>
      <c r="H39" s="3">
        <v>321</v>
      </c>
      <c r="I39" s="3">
        <v>3.2269999999999999</v>
      </c>
      <c r="J39" s="3">
        <v>2.5579999999999998</v>
      </c>
      <c r="K39" s="3">
        <v>1.228</v>
      </c>
    </row>
    <row r="40" spans="2:11" x14ac:dyDescent="0.25">
      <c r="B40" s="2" t="s">
        <v>8074</v>
      </c>
      <c r="C40" s="2" t="s">
        <v>8075</v>
      </c>
      <c r="D40" s="3">
        <v>18.57</v>
      </c>
      <c r="E40" s="3">
        <v>53.26</v>
      </c>
      <c r="F40" s="3">
        <v>11.4</v>
      </c>
      <c r="G40" s="3">
        <v>17.14</v>
      </c>
      <c r="H40" s="3">
        <v>293</v>
      </c>
      <c r="I40" s="3">
        <v>1.2130000000000001</v>
      </c>
      <c r="J40" s="3">
        <v>9.4860000000000007</v>
      </c>
      <c r="K40" s="3">
        <v>4.181</v>
      </c>
    </row>
    <row r="41" spans="2:11" x14ac:dyDescent="0.25">
      <c r="B41" s="2" t="s">
        <v>8076</v>
      </c>
      <c r="C41" s="2" t="s">
        <v>8077</v>
      </c>
      <c r="D41" s="3">
        <v>17.88</v>
      </c>
      <c r="E41" s="3">
        <v>59.58</v>
      </c>
      <c r="F41" s="3">
        <v>5.9</v>
      </c>
      <c r="G41" s="3">
        <v>27.3</v>
      </c>
      <c r="H41" s="3">
        <v>486</v>
      </c>
      <c r="I41" s="3">
        <v>4.6870000000000003</v>
      </c>
      <c r="J41" s="3">
        <v>2.4980000000000002</v>
      </c>
      <c r="K41" s="3">
        <v>1.268</v>
      </c>
    </row>
    <row r="42" spans="2:11" x14ac:dyDescent="0.25">
      <c r="B42" s="2" t="s">
        <v>8078</v>
      </c>
      <c r="C42" s="2" t="s">
        <v>8079</v>
      </c>
      <c r="D42" s="3">
        <v>5.55</v>
      </c>
      <c r="E42" s="3">
        <v>69.400000000000006</v>
      </c>
      <c r="F42" s="3">
        <v>3.1</v>
      </c>
      <c r="G42" s="3">
        <v>20.8</v>
      </c>
      <c r="H42" s="3">
        <v>312</v>
      </c>
      <c r="I42" s="3">
        <v>5.008</v>
      </c>
      <c r="J42" s="3">
        <v>5.3029999999999999</v>
      </c>
      <c r="K42" s="3">
        <v>1.44</v>
      </c>
    </row>
    <row r="43" spans="2:11" x14ac:dyDescent="0.25">
      <c r="B43" s="2" t="s">
        <v>8080</v>
      </c>
      <c r="C43" s="2" t="s">
        <v>8081</v>
      </c>
      <c r="D43" s="3">
        <v>7.17</v>
      </c>
      <c r="E43" s="3">
        <v>66.27</v>
      </c>
      <c r="F43" s="3">
        <v>5.7</v>
      </c>
      <c r="G43" s="3">
        <v>30</v>
      </c>
      <c r="H43" s="3">
        <v>167</v>
      </c>
      <c r="I43" s="3">
        <v>9.8879999999999999</v>
      </c>
      <c r="J43" s="3">
        <v>3.194</v>
      </c>
      <c r="K43" s="3">
        <v>2.5459999999999998</v>
      </c>
    </row>
    <row r="44" spans="2:11" x14ac:dyDescent="0.25">
      <c r="B44" s="2" t="s">
        <v>8082</v>
      </c>
      <c r="C44" s="2" t="s">
        <v>8083</v>
      </c>
      <c r="D44" s="3">
        <v>11.79</v>
      </c>
      <c r="E44" s="3">
        <v>68.260000000000005</v>
      </c>
      <c r="F44" s="3">
        <v>3.8</v>
      </c>
      <c r="G44" s="3">
        <v>4.76</v>
      </c>
      <c r="H44" s="3">
        <v>854</v>
      </c>
      <c r="I44" s="3">
        <v>1.3420000000000001</v>
      </c>
      <c r="J44" s="3">
        <v>10.842000000000001</v>
      </c>
      <c r="K44" s="3">
        <v>2.13</v>
      </c>
    </row>
    <row r="45" spans="2:11" x14ac:dyDescent="0.25">
      <c r="B45" s="2" t="s">
        <v>8084</v>
      </c>
      <c r="C45" s="2" t="s">
        <v>8085</v>
      </c>
      <c r="D45" s="3">
        <v>8.6</v>
      </c>
      <c r="E45" s="3">
        <v>60.13</v>
      </c>
      <c r="F45" s="3">
        <v>4.3</v>
      </c>
      <c r="G45" s="3">
        <v>34</v>
      </c>
      <c r="H45" s="3">
        <v>486</v>
      </c>
      <c r="I45" s="3">
        <v>5.6680000000000001</v>
      </c>
      <c r="J45" s="3">
        <v>9.4909999999999997</v>
      </c>
      <c r="K45" s="3">
        <v>3.6429999999999998</v>
      </c>
    </row>
    <row r="46" spans="2:11" x14ac:dyDescent="0.25">
      <c r="B46" s="2" t="s">
        <v>8086</v>
      </c>
      <c r="C46" s="2" t="s">
        <v>8087</v>
      </c>
      <c r="D46" s="3">
        <v>6.67</v>
      </c>
      <c r="E46" s="3">
        <v>75.47</v>
      </c>
      <c r="F46" s="3">
        <v>4.5999999999999996</v>
      </c>
      <c r="G46" s="3">
        <v>31.54</v>
      </c>
      <c r="H46" s="3">
        <v>367</v>
      </c>
      <c r="I46" s="3">
        <v>1.2989999999999999</v>
      </c>
      <c r="J46" s="3">
        <v>1.5309999999999999</v>
      </c>
      <c r="K46" s="3">
        <v>2.5590000000000002</v>
      </c>
    </row>
    <row r="47" spans="2:11" x14ac:dyDescent="0.25">
      <c r="B47" s="2" t="s">
        <v>8088</v>
      </c>
      <c r="C47" s="2" t="s">
        <v>8089</v>
      </c>
      <c r="D47" s="3">
        <v>5.32</v>
      </c>
      <c r="E47" s="3">
        <v>60.43</v>
      </c>
      <c r="F47" s="3">
        <v>4.7</v>
      </c>
      <c r="G47" s="3">
        <v>4.04</v>
      </c>
      <c r="H47" s="3">
        <v>357</v>
      </c>
      <c r="I47" s="3">
        <v>1.762</v>
      </c>
      <c r="J47" s="3">
        <v>14.566000000000001</v>
      </c>
      <c r="K47" s="3">
        <v>6.6020000000000003</v>
      </c>
    </row>
    <row r="48" spans="2:11" x14ac:dyDescent="0.25">
      <c r="B48" s="2" t="s">
        <v>8090</v>
      </c>
      <c r="C48" s="2" t="s">
        <v>8091</v>
      </c>
      <c r="D48" s="3">
        <v>15</v>
      </c>
      <c r="E48" s="3">
        <v>62.78</v>
      </c>
      <c r="F48" s="3">
        <v>10</v>
      </c>
      <c r="G48" s="3">
        <v>20</v>
      </c>
      <c r="H48" s="3">
        <v>400</v>
      </c>
      <c r="I48" s="3">
        <v>1.4359999999999999</v>
      </c>
      <c r="J48" s="3">
        <v>7.9320000000000004</v>
      </c>
      <c r="K48" s="3">
        <v>5.0060000000000002</v>
      </c>
    </row>
    <row r="49" spans="2:11" x14ac:dyDescent="0.25">
      <c r="B49" s="2" t="s">
        <v>8092</v>
      </c>
      <c r="C49" s="2" t="s">
        <v>8093</v>
      </c>
      <c r="D49" s="3">
        <v>0</v>
      </c>
      <c r="E49" s="3">
        <v>86.9</v>
      </c>
      <c r="F49" s="3">
        <v>0.2</v>
      </c>
      <c r="G49" s="3">
        <v>65</v>
      </c>
      <c r="H49" s="3">
        <v>75</v>
      </c>
      <c r="I49" s="3">
        <v>1.389</v>
      </c>
      <c r="J49" s="3">
        <v>0.98299999999999998</v>
      </c>
      <c r="K49" s="3">
        <v>3.8860000000000001</v>
      </c>
    </row>
    <row r="50" spans="2:11" x14ac:dyDescent="0.25">
      <c r="B50" s="2" t="s">
        <v>8094</v>
      </c>
      <c r="C50" s="2" t="s">
        <v>8095</v>
      </c>
      <c r="D50" s="3">
        <v>5</v>
      </c>
      <c r="E50" s="3">
        <v>69.78</v>
      </c>
      <c r="F50" s="3">
        <v>22.5</v>
      </c>
      <c r="G50" s="3">
        <v>25</v>
      </c>
      <c r="H50" s="3">
        <v>350</v>
      </c>
      <c r="I50" s="3">
        <v>3.3969999999999998</v>
      </c>
      <c r="J50" s="3">
        <v>3.5219999999999998</v>
      </c>
      <c r="K50" s="3">
        <v>2.3340000000000001</v>
      </c>
    </row>
    <row r="51" spans="2:11" x14ac:dyDescent="0.25">
      <c r="B51" s="2" t="s">
        <v>8096</v>
      </c>
      <c r="C51" s="2" t="s">
        <v>8097</v>
      </c>
      <c r="D51" s="3">
        <v>12.34</v>
      </c>
      <c r="E51" s="3">
        <v>66.36</v>
      </c>
      <c r="F51" s="3">
        <v>4.0999999999999996</v>
      </c>
      <c r="G51" s="3">
        <v>6.02</v>
      </c>
      <c r="H51" s="3">
        <v>233</v>
      </c>
      <c r="I51" s="3">
        <v>6.835</v>
      </c>
      <c r="J51" s="3">
        <v>6.05</v>
      </c>
      <c r="K51" s="3">
        <v>2.085</v>
      </c>
    </row>
    <row r="52" spans="2:11" x14ac:dyDescent="0.25">
      <c r="B52" s="2" t="s">
        <v>8098</v>
      </c>
      <c r="C52" s="2" t="s">
        <v>8099</v>
      </c>
      <c r="D52" s="3">
        <v>9.3800000000000008</v>
      </c>
      <c r="E52" s="3">
        <v>66.72</v>
      </c>
      <c r="F52" s="3">
        <v>7.5</v>
      </c>
      <c r="G52" s="3">
        <v>32.450000000000003</v>
      </c>
      <c r="H52" s="3">
        <v>195</v>
      </c>
      <c r="I52" s="3">
        <v>1.93</v>
      </c>
      <c r="J52" s="3">
        <v>5.7050000000000001</v>
      </c>
      <c r="K52" s="3">
        <v>2.581</v>
      </c>
    </row>
    <row r="53" spans="2:11" x14ac:dyDescent="0.25">
      <c r="B53" s="2" t="s">
        <v>8100</v>
      </c>
      <c r="C53" s="2" t="s">
        <v>8101</v>
      </c>
      <c r="D53" s="3">
        <v>1.34</v>
      </c>
      <c r="E53" s="3">
        <v>69.23</v>
      </c>
      <c r="F53" s="3">
        <v>3.7</v>
      </c>
      <c r="G53" s="3">
        <v>3.36</v>
      </c>
      <c r="H53" s="3">
        <v>296</v>
      </c>
      <c r="I53" s="3">
        <v>8.6890000000000001</v>
      </c>
      <c r="J53" s="3">
        <v>7.4429999999999996</v>
      </c>
      <c r="K53" s="3">
        <v>6.9119999999999999</v>
      </c>
    </row>
    <row r="54" spans="2:11" x14ac:dyDescent="0.25">
      <c r="B54" s="2" t="s">
        <v>8102</v>
      </c>
      <c r="C54" s="2" t="s">
        <v>8103</v>
      </c>
      <c r="D54" s="3">
        <v>14.71</v>
      </c>
      <c r="E54" s="3">
        <v>65.44</v>
      </c>
      <c r="F54" s="3">
        <v>7.4</v>
      </c>
      <c r="G54" s="3">
        <v>31.62</v>
      </c>
      <c r="H54" s="3">
        <v>195</v>
      </c>
      <c r="I54" s="3">
        <v>1.4710000000000001</v>
      </c>
      <c r="J54" s="3">
        <v>1.093</v>
      </c>
      <c r="K54" s="3">
        <v>2.1819999999999999</v>
      </c>
    </row>
    <row r="55" spans="2:11" x14ac:dyDescent="0.25">
      <c r="B55" s="2" t="s">
        <v>8104</v>
      </c>
      <c r="C55" s="2" t="s">
        <v>8105</v>
      </c>
      <c r="D55" s="3">
        <v>4.17</v>
      </c>
      <c r="E55" s="3">
        <v>79.17</v>
      </c>
      <c r="F55" s="3">
        <v>4.2</v>
      </c>
      <c r="G55" s="3">
        <v>29.17</v>
      </c>
      <c r="H55" s="3">
        <v>313</v>
      </c>
      <c r="I55" s="3">
        <v>2.0830000000000002</v>
      </c>
      <c r="J55" s="3">
        <v>2.9449999999999998</v>
      </c>
      <c r="K55" s="3">
        <v>1.929</v>
      </c>
    </row>
    <row r="56" spans="2:11" x14ac:dyDescent="0.25">
      <c r="B56" s="2" t="s">
        <v>8106</v>
      </c>
      <c r="C56" s="2" t="s">
        <v>8107</v>
      </c>
      <c r="D56" s="3">
        <v>9.14</v>
      </c>
      <c r="E56" s="3">
        <v>61.14</v>
      </c>
      <c r="F56" s="3">
        <v>2.9</v>
      </c>
      <c r="G56" s="3">
        <v>33.14</v>
      </c>
      <c r="H56" s="3">
        <v>414</v>
      </c>
      <c r="I56" s="3">
        <v>6.8570000000000002</v>
      </c>
      <c r="J56" s="3">
        <v>9.0830000000000002</v>
      </c>
      <c r="K56" s="3">
        <v>5.141</v>
      </c>
    </row>
    <row r="57" spans="2:11" x14ac:dyDescent="0.25">
      <c r="B57" s="2" t="s">
        <v>8108</v>
      </c>
      <c r="C57" s="2" t="s">
        <v>8109</v>
      </c>
      <c r="D57" s="3">
        <v>5.71</v>
      </c>
      <c r="E57" s="3">
        <v>74.290000000000006</v>
      </c>
      <c r="F57" s="3">
        <v>4.4000000000000004</v>
      </c>
      <c r="G57" s="3">
        <v>40</v>
      </c>
      <c r="H57" s="3">
        <v>271</v>
      </c>
      <c r="I57" s="3">
        <v>1.3720000000000001</v>
      </c>
      <c r="J57" s="3">
        <v>6.3719999999999999</v>
      </c>
      <c r="K57" s="3">
        <v>3.476</v>
      </c>
    </row>
    <row r="58" spans="2:11" x14ac:dyDescent="0.25">
      <c r="B58" s="2" t="s">
        <v>8110</v>
      </c>
      <c r="C58" s="2" t="s">
        <v>8111</v>
      </c>
      <c r="D58" s="3">
        <v>5.71</v>
      </c>
      <c r="E58" s="3">
        <v>72.27</v>
      </c>
      <c r="F58" s="3">
        <v>3.8</v>
      </c>
      <c r="G58" s="3">
        <v>42.86</v>
      </c>
      <c r="H58" s="3">
        <v>185</v>
      </c>
      <c r="I58" s="3">
        <v>1.4350000000000001</v>
      </c>
      <c r="J58" s="3">
        <v>4.585</v>
      </c>
      <c r="K58" s="3">
        <v>4.0279999999999996</v>
      </c>
    </row>
    <row r="59" spans="2:11" x14ac:dyDescent="0.25">
      <c r="B59" s="2" t="s">
        <v>8112</v>
      </c>
      <c r="C59" s="2" t="s">
        <v>8113</v>
      </c>
      <c r="D59" s="3">
        <v>7.52</v>
      </c>
      <c r="E59" s="3">
        <v>64.959999999999994</v>
      </c>
      <c r="F59" s="3">
        <v>3.2</v>
      </c>
      <c r="G59" s="3">
        <v>37.61</v>
      </c>
      <c r="H59" s="3">
        <v>269</v>
      </c>
      <c r="I59" s="3">
        <v>8.6929999999999996</v>
      </c>
      <c r="J59" s="3">
        <v>3.4990000000000001</v>
      </c>
      <c r="K59" s="3">
        <v>7.0510000000000002</v>
      </c>
    </row>
    <row r="60" spans="2:11" x14ac:dyDescent="0.25">
      <c r="B60" s="2" t="s">
        <v>8114</v>
      </c>
      <c r="C60" s="2" t="s">
        <v>8115</v>
      </c>
      <c r="D60" s="3">
        <v>8.1999999999999993</v>
      </c>
      <c r="E60" s="3">
        <v>81.5</v>
      </c>
      <c r="F60" s="3">
        <v>4.2</v>
      </c>
      <c r="G60" s="3">
        <v>0.6</v>
      </c>
      <c r="H60" s="3">
        <v>326</v>
      </c>
      <c r="I60" s="3">
        <v>0.64200000000000002</v>
      </c>
      <c r="J60" s="3">
        <v>1.03</v>
      </c>
      <c r="K60" s="3">
        <v>0.98</v>
      </c>
    </row>
    <row r="61" spans="2:11" x14ac:dyDescent="0.25">
      <c r="B61" s="2" t="s">
        <v>8116</v>
      </c>
      <c r="C61" s="2" t="s">
        <v>8117</v>
      </c>
      <c r="D61" s="3">
        <v>7.05</v>
      </c>
      <c r="E61" s="3">
        <v>70.069999999999993</v>
      </c>
      <c r="F61" s="3">
        <v>3.5</v>
      </c>
      <c r="G61" s="3">
        <v>38.799999999999997</v>
      </c>
      <c r="H61" s="3">
        <v>494</v>
      </c>
      <c r="I61" s="3">
        <v>8.6110000000000007</v>
      </c>
      <c r="J61" s="3">
        <v>3.2930000000000001</v>
      </c>
      <c r="K61" s="3">
        <v>2.82</v>
      </c>
    </row>
    <row r="62" spans="2:11" x14ac:dyDescent="0.25">
      <c r="B62" s="2" t="s">
        <v>8118</v>
      </c>
      <c r="C62" s="2" t="s">
        <v>8119</v>
      </c>
      <c r="D62" s="3">
        <v>13.16</v>
      </c>
      <c r="E62" s="3">
        <v>58.84</v>
      </c>
      <c r="F62" s="3">
        <v>7.9</v>
      </c>
      <c r="G62" s="3">
        <v>26.32</v>
      </c>
      <c r="H62" s="3">
        <v>447</v>
      </c>
      <c r="I62" s="3">
        <v>3.8460000000000001</v>
      </c>
      <c r="J62" s="3">
        <v>2.8969999999999998</v>
      </c>
      <c r="K62" s="3">
        <v>2.0579999999999998</v>
      </c>
    </row>
    <row r="63" spans="2:11" x14ac:dyDescent="0.25">
      <c r="B63" s="2" t="s">
        <v>8120</v>
      </c>
      <c r="C63" s="2" t="s">
        <v>8121</v>
      </c>
      <c r="D63" s="3">
        <v>5.3</v>
      </c>
      <c r="E63" s="3">
        <v>65.34</v>
      </c>
      <c r="F63" s="3">
        <v>2.7</v>
      </c>
      <c r="G63" s="3">
        <v>4.08</v>
      </c>
      <c r="H63" s="3">
        <v>544</v>
      </c>
      <c r="I63" s="3">
        <v>6.3070000000000004</v>
      </c>
      <c r="J63" s="3">
        <v>4.2850000000000001</v>
      </c>
      <c r="K63" s="3">
        <v>10.614000000000001</v>
      </c>
    </row>
    <row r="64" spans="2:11" x14ac:dyDescent="0.25">
      <c r="B64" s="2" t="s">
        <v>8122</v>
      </c>
      <c r="C64" s="2" t="s">
        <v>8123</v>
      </c>
      <c r="D64" s="3">
        <v>6.72</v>
      </c>
      <c r="E64" s="3">
        <v>53.54</v>
      </c>
      <c r="F64" s="3">
        <v>4.2</v>
      </c>
      <c r="G64" s="3">
        <v>0.34</v>
      </c>
      <c r="H64" s="3">
        <v>187</v>
      </c>
      <c r="I64" s="3">
        <v>5.49</v>
      </c>
      <c r="J64" s="3">
        <v>14.938000000000001</v>
      </c>
      <c r="K64" s="3">
        <v>12.416</v>
      </c>
    </row>
    <row r="65" spans="2:11" x14ac:dyDescent="0.25">
      <c r="B65" s="2" t="s">
        <v>8124</v>
      </c>
      <c r="C65" s="2" t="s">
        <v>8125</v>
      </c>
      <c r="D65" s="3">
        <v>3.52</v>
      </c>
      <c r="E65" s="3">
        <v>78.62</v>
      </c>
      <c r="F65" s="3">
        <v>3.3</v>
      </c>
      <c r="G65" s="3">
        <v>4.22</v>
      </c>
      <c r="H65" s="3">
        <v>1567</v>
      </c>
      <c r="I65" s="3">
        <v>3.3069999999999999</v>
      </c>
      <c r="J65" s="3">
        <v>2.4060000000000001</v>
      </c>
      <c r="K65" s="3">
        <v>0.63</v>
      </c>
    </row>
    <row r="66" spans="2:11" x14ac:dyDescent="0.25">
      <c r="B66" s="2" t="s">
        <v>8126</v>
      </c>
      <c r="C66" s="2" t="s">
        <v>8127</v>
      </c>
      <c r="D66" s="3">
        <v>14.11</v>
      </c>
      <c r="E66" s="3">
        <v>62.2</v>
      </c>
      <c r="F66" s="3">
        <v>3.8</v>
      </c>
      <c r="G66" s="3">
        <v>14.11</v>
      </c>
      <c r="H66" s="3">
        <v>300</v>
      </c>
      <c r="I66" s="3">
        <v>5.29</v>
      </c>
      <c r="J66" s="3">
        <v>5.7919999999999998</v>
      </c>
      <c r="K66" s="3">
        <v>1.9510000000000001</v>
      </c>
    </row>
    <row r="67" spans="2:11" x14ac:dyDescent="0.25">
      <c r="B67" s="2" t="s">
        <v>8128</v>
      </c>
      <c r="C67" s="2" t="s">
        <v>8129</v>
      </c>
      <c r="D67" s="3">
        <v>30.34</v>
      </c>
      <c r="E67" s="3">
        <v>38.4</v>
      </c>
      <c r="F67" s="3">
        <v>7.3</v>
      </c>
      <c r="G67" s="3">
        <v>15.17</v>
      </c>
      <c r="H67" s="3">
        <v>436</v>
      </c>
      <c r="I67" s="3">
        <v>3.3839999999999999</v>
      </c>
      <c r="J67" s="3">
        <v>4.29</v>
      </c>
      <c r="K67" s="3">
        <v>5.3259999999999996</v>
      </c>
    </row>
    <row r="68" spans="2:11" x14ac:dyDescent="0.25">
      <c r="B68" s="2" t="s">
        <v>8130</v>
      </c>
      <c r="C68" s="2" t="s">
        <v>8131</v>
      </c>
      <c r="D68" s="3">
        <v>28</v>
      </c>
      <c r="E68" s="3">
        <v>48.73</v>
      </c>
      <c r="F68" s="3">
        <v>3.1</v>
      </c>
      <c r="G68" s="3">
        <v>34.89</v>
      </c>
      <c r="H68" s="3">
        <v>253</v>
      </c>
      <c r="I68" s="3">
        <v>1.149</v>
      </c>
      <c r="J68" s="3">
        <v>8.1150000000000002</v>
      </c>
      <c r="K68" s="3">
        <v>1.9690000000000001</v>
      </c>
    </row>
    <row r="69" spans="2:11" x14ac:dyDescent="0.25">
      <c r="B69" s="2" t="s">
        <v>8132</v>
      </c>
      <c r="C69" s="2" t="s">
        <v>8133</v>
      </c>
      <c r="D69" s="3">
        <v>7.14</v>
      </c>
      <c r="E69" s="3">
        <v>59.09</v>
      </c>
      <c r="F69" s="3">
        <v>5.6</v>
      </c>
      <c r="G69" s="3">
        <v>21.43</v>
      </c>
      <c r="H69" s="3">
        <v>571</v>
      </c>
      <c r="I69" s="3">
        <v>5.3570000000000002</v>
      </c>
      <c r="J69" s="3">
        <v>7.9969999999999999</v>
      </c>
      <c r="K69" s="3">
        <v>3.9710000000000001</v>
      </c>
    </row>
    <row r="70" spans="2:11" x14ac:dyDescent="0.25">
      <c r="B70" s="2" t="s">
        <v>8134</v>
      </c>
      <c r="C70" s="2" t="s">
        <v>8135</v>
      </c>
      <c r="D70" s="3">
        <v>10</v>
      </c>
      <c r="E70" s="3">
        <v>82.64</v>
      </c>
      <c r="F70" s="3">
        <v>0</v>
      </c>
      <c r="G70" s="3">
        <v>0</v>
      </c>
      <c r="H70" s="3">
        <v>233</v>
      </c>
      <c r="I70" s="3">
        <v>0</v>
      </c>
      <c r="J70" s="3">
        <v>3.0209999999999999</v>
      </c>
      <c r="K70" s="3">
        <v>1.641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C5515-C7E5-C543-AE99-C434E7BF118B}">
  <sheetPr codeName="Sheet26"/>
  <dimension ref="A1:K176"/>
  <sheetViews>
    <sheetView topLeftCell="A151" workbookViewId="0">
      <selection activeCell="B182" sqref="B182"/>
    </sheetView>
  </sheetViews>
  <sheetFormatPr defaultColWidth="11" defaultRowHeight="15.75" x14ac:dyDescent="0.25"/>
  <cols>
    <col min="3" max="3" width="56.62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35001</v>
      </c>
      <c r="C3" s="10" t="str" cm="1">
        <f t="array" ref="C3">INDEX($B$11:$K$208, $A$3, C1)</f>
        <v>AGUTUK,FISH/BERRY W/ SEAL OIL (ICE CREAM) (ALASKA NATIVE)</v>
      </c>
      <c r="D3" s="10" cm="1">
        <f t="array" ref="D3">INDEX($B$11:$K$74, $A$3, D1)</f>
        <v>3.4</v>
      </c>
      <c r="E3" s="10" cm="1">
        <f t="array" ref="E3">INDEX($B$11:$K$74, $A$3, E1)</f>
        <v>13.4</v>
      </c>
      <c r="F3" s="10" cm="1">
        <f t="array" ref="F3">INDEX($B$11:$K$74, $A$3, F1)</f>
        <v>0.5</v>
      </c>
      <c r="G3" s="10" cm="1">
        <f t="array" ref="G3">INDEX($B$11:$K$74, $A$3, G1)</f>
        <v>0</v>
      </c>
      <c r="H3" s="10" cm="1">
        <f t="array" ref="H3">INDEX($B$11:$K$74, $A$3, H1)</f>
        <v>21</v>
      </c>
      <c r="I3" s="10" cm="1">
        <f t="array" ref="I3">INDEX($B$11:$K$74, $A$3, I1)</f>
        <v>7.7</v>
      </c>
      <c r="J3" s="10" cm="1">
        <f t="array" ref="J3">INDEX($B$11:$K$74, $A$3, J1)</f>
        <v>14.4</v>
      </c>
      <c r="K3" s="10" cm="1">
        <f t="array" ref="K3">INDEX($B$11:$K$74, $A$3, K1)</f>
        <v>8.4</v>
      </c>
    </row>
    <row r="4" spans="1:11" x14ac:dyDescent="0.25">
      <c r="A4" s="10"/>
      <c r="B4" s="10"/>
      <c r="C4" s="11" t="s">
        <v>406</v>
      </c>
      <c r="D4" s="12">
        <f>SUMPRODUCT($A$11:$A$74, D11:D74)</f>
        <v>0</v>
      </c>
      <c r="E4" s="12">
        <f>SUMPRODUCT($A$11:$A$74, E11:E74)</f>
        <v>0</v>
      </c>
      <c r="F4" s="10">
        <f>SUMPRODUCT($A$11:$A$74, F11:F74)</f>
        <v>0</v>
      </c>
      <c r="G4" s="10">
        <f t="shared" ref="G4:K4" si="0">SUMPRODUCT($A$11:$A$208, G11:G208)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0">
        <f t="shared" si="0"/>
        <v>0</v>
      </c>
    </row>
    <row r="5" spans="1:11" x14ac:dyDescent="0.25">
      <c r="A5" s="10">
        <f>A7-A6</f>
        <v>2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</v>
      </c>
      <c r="B6" s="13" t="s">
        <v>413</v>
      </c>
      <c r="C6" s="11" t="s">
        <v>414</v>
      </c>
      <c r="D6" s="19">
        <f>A6*D3</f>
        <v>0</v>
      </c>
      <c r="E6" s="12">
        <f>A7*E3</f>
        <v>26.8</v>
      </c>
      <c r="F6" s="10">
        <f>A6*F3</f>
        <v>0</v>
      </c>
      <c r="G6" s="10">
        <f>A7*G3</f>
        <v>0</v>
      </c>
      <c r="H6" s="12">
        <f>A6*H3</f>
        <v>0</v>
      </c>
      <c r="I6" s="12">
        <f>A6*I3</f>
        <v>0</v>
      </c>
      <c r="J6" s="12">
        <f>A7*J3</f>
        <v>28.8</v>
      </c>
      <c r="K6" s="10">
        <f>A7*K3</f>
        <v>16.8</v>
      </c>
    </row>
    <row r="7" spans="1:11" x14ac:dyDescent="0.25">
      <c r="A7" s="10">
        <v>2</v>
      </c>
      <c r="B7" s="13" t="s">
        <v>415</v>
      </c>
      <c r="C7" s="11" t="s">
        <v>416</v>
      </c>
      <c r="D7" s="10">
        <f>D4/D3</f>
        <v>0</v>
      </c>
      <c r="E7" s="10">
        <f>E4/E3</f>
        <v>0</v>
      </c>
      <c r="F7" s="10">
        <f t="shared" ref="F7:J7" si="1">F4/F3</f>
        <v>0</v>
      </c>
      <c r="G7" s="10" t="e">
        <f>G4/G3</f>
        <v>#DIV/0!</v>
      </c>
      <c r="H7" s="10">
        <f t="shared" si="1"/>
        <v>0</v>
      </c>
      <c r="I7" s="10">
        <f t="shared" si="1"/>
        <v>0</v>
      </c>
      <c r="J7" s="10">
        <f t="shared" si="1"/>
        <v>0</v>
      </c>
      <c r="K7" s="10">
        <f>K4/K3</f>
        <v>0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B11" s="2" t="s">
        <v>8136</v>
      </c>
      <c r="C11" s="2" t="s">
        <v>8137</v>
      </c>
      <c r="D11" s="3">
        <v>3.4</v>
      </c>
      <c r="E11" s="3">
        <v>13.4</v>
      </c>
      <c r="F11" s="3">
        <v>0.5</v>
      </c>
      <c r="H11" s="3">
        <v>21</v>
      </c>
      <c r="I11" s="3">
        <v>7.7</v>
      </c>
      <c r="J11" s="3">
        <v>14.4</v>
      </c>
      <c r="K11" s="3">
        <v>8.4</v>
      </c>
    </row>
    <row r="12" spans="1:11" x14ac:dyDescent="0.25">
      <c r="B12" s="2" t="s">
        <v>8138</v>
      </c>
      <c r="C12" s="2" t="s">
        <v>8139</v>
      </c>
      <c r="D12" s="3">
        <v>21.7</v>
      </c>
      <c r="E12" s="3">
        <v>0.9</v>
      </c>
      <c r="H12" s="3">
        <v>95</v>
      </c>
      <c r="I12" s="3">
        <v>5.0999999999999996</v>
      </c>
      <c r="J12" s="3">
        <v>8.6999999999999993</v>
      </c>
      <c r="K12" s="3">
        <v>3.6</v>
      </c>
    </row>
    <row r="13" spans="1:11" x14ac:dyDescent="0.25">
      <c r="B13" s="2" t="s">
        <v>8140</v>
      </c>
      <c r="C13" s="2" t="s">
        <v>8141</v>
      </c>
      <c r="D13" s="3">
        <v>3.8</v>
      </c>
      <c r="E13" s="3">
        <v>0</v>
      </c>
      <c r="H13" s="3">
        <v>656</v>
      </c>
      <c r="I13" s="3">
        <v>0.1</v>
      </c>
      <c r="J13" s="3">
        <v>0.12</v>
      </c>
      <c r="K13" s="3">
        <v>0.2</v>
      </c>
    </row>
    <row r="14" spans="1:11" x14ac:dyDescent="0.25">
      <c r="B14" s="2" t="s">
        <v>8142</v>
      </c>
      <c r="C14" s="2" t="s">
        <v>8143</v>
      </c>
      <c r="D14" s="3">
        <v>20.100000000000001</v>
      </c>
      <c r="E14" s="3">
        <v>0</v>
      </c>
    </row>
    <row r="15" spans="1:11" x14ac:dyDescent="0.25">
      <c r="B15" s="2" t="s">
        <v>8144</v>
      </c>
      <c r="C15" s="2" t="s">
        <v>8145</v>
      </c>
      <c r="D15" s="3">
        <v>25.6</v>
      </c>
      <c r="E15" s="3">
        <v>0</v>
      </c>
      <c r="I15" s="3">
        <v>0.63</v>
      </c>
      <c r="J15" s="3">
        <v>2</v>
      </c>
      <c r="K15" s="3">
        <v>0.46</v>
      </c>
    </row>
    <row r="16" spans="1:11" x14ac:dyDescent="0.25">
      <c r="B16" s="2" t="s">
        <v>8146</v>
      </c>
      <c r="C16" s="2" t="s">
        <v>8147</v>
      </c>
      <c r="D16" s="3">
        <v>69.86</v>
      </c>
      <c r="E16" s="3">
        <v>0</v>
      </c>
      <c r="F16" s="3">
        <v>0</v>
      </c>
      <c r="G16" s="3">
        <v>0</v>
      </c>
      <c r="H16" s="3">
        <v>220</v>
      </c>
      <c r="I16" s="3">
        <v>1.204</v>
      </c>
      <c r="J16" s="3">
        <v>3.3450000000000002</v>
      </c>
      <c r="K16" s="3">
        <v>0.31900000000000001</v>
      </c>
    </row>
    <row r="17" spans="2:11" x14ac:dyDescent="0.25">
      <c r="B17" s="2" t="s">
        <v>8148</v>
      </c>
      <c r="C17" s="2" t="s">
        <v>8149</v>
      </c>
      <c r="D17" s="3">
        <v>19.600000000000001</v>
      </c>
      <c r="E17" s="3">
        <v>0</v>
      </c>
      <c r="F17" s="3">
        <v>0</v>
      </c>
      <c r="G17" s="3">
        <v>0</v>
      </c>
    </row>
    <row r="18" spans="2:11" x14ac:dyDescent="0.25">
      <c r="B18" s="2" t="s">
        <v>8150</v>
      </c>
      <c r="C18" s="2" t="s">
        <v>8151</v>
      </c>
      <c r="D18" s="3">
        <v>26.5</v>
      </c>
      <c r="E18" s="3">
        <v>0</v>
      </c>
      <c r="F18" s="3">
        <v>0</v>
      </c>
      <c r="G18" s="3">
        <v>0</v>
      </c>
      <c r="H18" s="3">
        <v>78</v>
      </c>
      <c r="I18" s="3">
        <v>9.1999999999999998E-2</v>
      </c>
      <c r="J18" s="3">
        <v>0.33700000000000002</v>
      </c>
      <c r="K18" s="3">
        <v>2.5000000000000001E-2</v>
      </c>
    </row>
    <row r="19" spans="2:11" x14ac:dyDescent="0.25">
      <c r="B19" s="2" t="s">
        <v>8152</v>
      </c>
      <c r="C19" s="2" t="s">
        <v>8153</v>
      </c>
      <c r="D19" s="3">
        <v>19</v>
      </c>
      <c r="E19" s="3">
        <v>0</v>
      </c>
      <c r="F19" s="3">
        <v>0</v>
      </c>
      <c r="G19" s="3">
        <v>0</v>
      </c>
    </row>
    <row r="20" spans="2:11" x14ac:dyDescent="0.25">
      <c r="B20" s="2" t="s">
        <v>8154</v>
      </c>
      <c r="C20" s="2" t="s">
        <v>8155</v>
      </c>
      <c r="D20" s="3">
        <v>18.399999999999999</v>
      </c>
      <c r="E20" s="3">
        <v>2</v>
      </c>
    </row>
    <row r="21" spans="2:11" x14ac:dyDescent="0.25">
      <c r="B21" s="2" t="s">
        <v>8156</v>
      </c>
      <c r="C21" s="2" t="s">
        <v>8157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14.49</v>
      </c>
      <c r="J21" s="3">
        <v>54.19</v>
      </c>
      <c r="K21" s="3">
        <v>10.8</v>
      </c>
    </row>
    <row r="22" spans="2:11" x14ac:dyDescent="0.25">
      <c r="B22" s="2" t="s">
        <v>8158</v>
      </c>
      <c r="C22" s="2" t="s">
        <v>8159</v>
      </c>
      <c r="D22" s="3">
        <v>0.84</v>
      </c>
      <c r="E22" s="3">
        <v>9.84</v>
      </c>
      <c r="F22" s="3">
        <v>3.2</v>
      </c>
      <c r="G22" s="3">
        <v>3.65</v>
      </c>
      <c r="H22" s="3">
        <v>6</v>
      </c>
    </row>
    <row r="23" spans="2:11" x14ac:dyDescent="0.25">
      <c r="B23" s="2" t="s">
        <v>8160</v>
      </c>
      <c r="C23" s="2" t="s">
        <v>8161</v>
      </c>
      <c r="D23" s="3">
        <v>15.5</v>
      </c>
      <c r="E23" s="3">
        <v>0</v>
      </c>
    </row>
    <row r="24" spans="2:11" x14ac:dyDescent="0.25">
      <c r="B24" s="2" t="s">
        <v>8162</v>
      </c>
      <c r="C24" s="2" t="s">
        <v>8163</v>
      </c>
      <c r="D24" s="3">
        <v>0.7</v>
      </c>
      <c r="E24" s="3">
        <v>10.4</v>
      </c>
    </row>
    <row r="25" spans="2:11" x14ac:dyDescent="0.25">
      <c r="B25" s="2" t="s">
        <v>8164</v>
      </c>
      <c r="C25" s="2" t="s">
        <v>8165</v>
      </c>
      <c r="D25" s="3">
        <v>6.7</v>
      </c>
      <c r="E25" s="3">
        <v>0</v>
      </c>
    </row>
    <row r="26" spans="2:11" x14ac:dyDescent="0.25">
      <c r="B26" s="2" t="s">
        <v>8166</v>
      </c>
      <c r="C26" s="2" t="s">
        <v>8167</v>
      </c>
      <c r="D26" s="3">
        <v>10.8</v>
      </c>
      <c r="E26" s="3">
        <v>0</v>
      </c>
    </row>
    <row r="27" spans="2:11" x14ac:dyDescent="0.25">
      <c r="B27" s="2" t="s">
        <v>8168</v>
      </c>
      <c r="C27" s="2" t="s">
        <v>8169</v>
      </c>
      <c r="D27" s="3">
        <v>15</v>
      </c>
      <c r="E27" s="3">
        <v>6.8</v>
      </c>
    </row>
    <row r="28" spans="2:11" x14ac:dyDescent="0.25">
      <c r="B28" s="2" t="s">
        <v>8170</v>
      </c>
      <c r="C28" s="2" t="s">
        <v>8171</v>
      </c>
      <c r="D28" s="3">
        <v>3.8</v>
      </c>
      <c r="E28" s="3">
        <v>4.8</v>
      </c>
      <c r="F28" s="3">
        <v>0.1</v>
      </c>
      <c r="H28" s="3">
        <v>72</v>
      </c>
      <c r="I28" s="3">
        <v>0.01</v>
      </c>
      <c r="K28" s="3">
        <v>0.02</v>
      </c>
    </row>
    <row r="29" spans="2:11" x14ac:dyDescent="0.25">
      <c r="B29" s="2" t="s">
        <v>8172</v>
      </c>
      <c r="C29" s="2" t="s">
        <v>8173</v>
      </c>
      <c r="D29" s="3">
        <v>13.7</v>
      </c>
      <c r="E29" s="3">
        <v>0</v>
      </c>
    </row>
    <row r="30" spans="2:11" x14ac:dyDescent="0.25">
      <c r="B30" s="2" t="s">
        <v>8174</v>
      </c>
      <c r="C30" s="2" t="s">
        <v>8175</v>
      </c>
      <c r="D30" s="3">
        <v>17.100000000000001</v>
      </c>
      <c r="E30" s="3">
        <v>0</v>
      </c>
    </row>
    <row r="31" spans="2:11" x14ac:dyDescent="0.25">
      <c r="B31" s="2" t="s">
        <v>8176</v>
      </c>
      <c r="C31" s="2" t="s">
        <v>8177</v>
      </c>
      <c r="D31" s="3">
        <v>2.4</v>
      </c>
      <c r="E31" s="3">
        <v>8.6</v>
      </c>
    </row>
    <row r="32" spans="2:11" x14ac:dyDescent="0.25">
      <c r="B32" s="2" t="s">
        <v>8178</v>
      </c>
      <c r="C32" s="2" t="s">
        <v>8179</v>
      </c>
      <c r="D32" s="3">
        <v>13.5</v>
      </c>
      <c r="E32" s="3">
        <v>4.7</v>
      </c>
    </row>
    <row r="33" spans="2:11" x14ac:dyDescent="0.25">
      <c r="B33" s="2" t="s">
        <v>8180</v>
      </c>
      <c r="C33" s="2" t="s">
        <v>8181</v>
      </c>
      <c r="D33" s="3">
        <v>1.1000000000000001</v>
      </c>
      <c r="E33" s="3">
        <v>12.3</v>
      </c>
      <c r="F33" s="3">
        <v>6.7</v>
      </c>
      <c r="H33" s="3">
        <v>26</v>
      </c>
    </row>
    <row r="34" spans="2:11" x14ac:dyDescent="0.25">
      <c r="B34" s="2" t="s">
        <v>8182</v>
      </c>
      <c r="C34" s="2" t="s">
        <v>8183</v>
      </c>
      <c r="D34" s="3">
        <v>0.4</v>
      </c>
      <c r="E34" s="3">
        <v>12.2</v>
      </c>
    </row>
    <row r="35" spans="2:11" x14ac:dyDescent="0.25">
      <c r="B35" s="2" t="s">
        <v>8184</v>
      </c>
      <c r="C35" s="2" t="s">
        <v>8185</v>
      </c>
      <c r="D35" s="3">
        <v>11.7</v>
      </c>
      <c r="E35" s="3">
        <v>0</v>
      </c>
    </row>
    <row r="36" spans="2:11" x14ac:dyDescent="0.25">
      <c r="B36" s="2" t="s">
        <v>8186</v>
      </c>
      <c r="C36" s="2" t="s">
        <v>8187</v>
      </c>
      <c r="D36" s="3">
        <v>3</v>
      </c>
      <c r="E36" s="3">
        <v>6.3</v>
      </c>
      <c r="F36" s="3">
        <v>6</v>
      </c>
      <c r="H36" s="3">
        <v>50</v>
      </c>
    </row>
    <row r="37" spans="2:11" x14ac:dyDescent="0.25">
      <c r="B37" s="2" t="s">
        <v>8188</v>
      </c>
      <c r="C37" s="2" t="s">
        <v>8189</v>
      </c>
      <c r="D37" s="3">
        <v>11.3</v>
      </c>
      <c r="E37" s="3">
        <v>2.6</v>
      </c>
      <c r="H37" s="3">
        <v>61</v>
      </c>
    </row>
    <row r="38" spans="2:11" x14ac:dyDescent="0.25">
      <c r="B38" s="2" t="s">
        <v>8190</v>
      </c>
      <c r="C38" s="2" t="s">
        <v>8191</v>
      </c>
      <c r="D38" s="3">
        <v>60.4</v>
      </c>
      <c r="E38" s="3">
        <v>2.8</v>
      </c>
    </row>
    <row r="39" spans="2:11" x14ac:dyDescent="0.25">
      <c r="B39" s="2" t="s">
        <v>8192</v>
      </c>
      <c r="C39" s="2" t="s">
        <v>8193</v>
      </c>
      <c r="D39" s="3">
        <v>9.6</v>
      </c>
      <c r="E39" s="3">
        <v>4.47</v>
      </c>
      <c r="H39" s="3">
        <v>61</v>
      </c>
      <c r="I39" s="3">
        <v>0.43</v>
      </c>
      <c r="J39" s="3">
        <v>0.42</v>
      </c>
      <c r="K39" s="3">
        <v>0.71</v>
      </c>
    </row>
    <row r="40" spans="2:11" x14ac:dyDescent="0.25">
      <c r="B40" s="2" t="s">
        <v>8194</v>
      </c>
      <c r="C40" s="2" t="s">
        <v>8195</v>
      </c>
      <c r="D40" s="3">
        <v>44.5</v>
      </c>
      <c r="E40" s="3">
        <v>0</v>
      </c>
    </row>
    <row r="41" spans="2:11" x14ac:dyDescent="0.25">
      <c r="B41" s="2" t="s">
        <v>8196</v>
      </c>
      <c r="C41" s="2" t="s">
        <v>8197</v>
      </c>
      <c r="D41" s="3">
        <v>0.4</v>
      </c>
      <c r="E41" s="3">
        <v>8.6999999999999993</v>
      </c>
      <c r="H41" s="3">
        <v>10</v>
      </c>
    </row>
    <row r="42" spans="2:11" x14ac:dyDescent="0.25">
      <c r="B42" s="2" t="s">
        <v>8198</v>
      </c>
      <c r="C42" s="2" t="s">
        <v>8199</v>
      </c>
      <c r="D42" s="3">
        <v>17.899999999999999</v>
      </c>
      <c r="E42" s="3">
        <v>0</v>
      </c>
      <c r="H42" s="3">
        <v>59</v>
      </c>
    </row>
    <row r="43" spans="2:11" x14ac:dyDescent="0.25">
      <c r="B43" s="2" t="s">
        <v>8200</v>
      </c>
      <c r="C43" s="2" t="s">
        <v>8201</v>
      </c>
      <c r="D43" s="3">
        <v>5.6</v>
      </c>
      <c r="E43" s="3">
        <v>6</v>
      </c>
    </row>
    <row r="44" spans="2:11" x14ac:dyDescent="0.25">
      <c r="B44" s="2" t="s">
        <v>8202</v>
      </c>
      <c r="C44" s="2" t="s">
        <v>8203</v>
      </c>
      <c r="D44" s="3">
        <v>6.6</v>
      </c>
      <c r="E44" s="3">
        <v>6</v>
      </c>
      <c r="F44" s="3">
        <v>0.5</v>
      </c>
      <c r="H44" s="3">
        <v>222</v>
      </c>
      <c r="I44" s="3">
        <v>0.01</v>
      </c>
      <c r="J44" s="3">
        <v>0.01</v>
      </c>
      <c r="K44" s="3">
        <v>0.02</v>
      </c>
    </row>
    <row r="45" spans="2:11" x14ac:dyDescent="0.25">
      <c r="B45" s="2" t="s">
        <v>8204</v>
      </c>
      <c r="C45" s="2" t="s">
        <v>8205</v>
      </c>
      <c r="D45" s="3">
        <v>22.3</v>
      </c>
      <c r="E45" s="3">
        <v>0</v>
      </c>
      <c r="F45" s="3">
        <v>0</v>
      </c>
      <c r="G45" s="3">
        <v>0</v>
      </c>
      <c r="H45" s="3">
        <v>65</v>
      </c>
      <c r="I45" s="3">
        <v>0.22</v>
      </c>
      <c r="J45" s="3">
        <v>0.15</v>
      </c>
      <c r="K45" s="3">
        <v>1.2</v>
      </c>
    </row>
    <row r="46" spans="2:11" x14ac:dyDescent="0.25">
      <c r="B46" s="2" t="s">
        <v>8206</v>
      </c>
      <c r="C46" s="2" t="s">
        <v>8207</v>
      </c>
      <c r="D46" s="3">
        <v>5.8</v>
      </c>
      <c r="E46" s="3">
        <v>22.6</v>
      </c>
    </row>
    <row r="47" spans="2:11" x14ac:dyDescent="0.25">
      <c r="B47" s="2" t="s">
        <v>8208</v>
      </c>
      <c r="C47" s="2" t="s">
        <v>8209</v>
      </c>
      <c r="D47" s="3">
        <v>24.38</v>
      </c>
      <c r="E47" s="3">
        <v>3.43</v>
      </c>
      <c r="H47" s="3">
        <v>70</v>
      </c>
      <c r="J47" s="3">
        <v>0.65</v>
      </c>
      <c r="K47" s="3">
        <v>1.07</v>
      </c>
    </row>
    <row r="48" spans="2:11" x14ac:dyDescent="0.25">
      <c r="B48" s="2" t="s">
        <v>8210</v>
      </c>
      <c r="C48" s="2" t="s">
        <v>8211</v>
      </c>
      <c r="D48" s="3">
        <v>3.9</v>
      </c>
      <c r="E48" s="3">
        <v>16.100000000000001</v>
      </c>
    </row>
    <row r="49" spans="2:11" x14ac:dyDescent="0.25">
      <c r="B49" s="2" t="s">
        <v>8212</v>
      </c>
      <c r="C49" s="2" t="s">
        <v>8213</v>
      </c>
      <c r="D49" s="3">
        <v>7.3</v>
      </c>
      <c r="E49" s="3">
        <v>16.3</v>
      </c>
    </row>
    <row r="50" spans="2:11" x14ac:dyDescent="0.25">
      <c r="B50" s="2" t="s">
        <v>8214</v>
      </c>
      <c r="C50" s="2" t="s">
        <v>8215</v>
      </c>
      <c r="D50" s="3">
        <v>12.3</v>
      </c>
      <c r="E50" s="3">
        <v>0</v>
      </c>
      <c r="I50" s="3">
        <v>0.2</v>
      </c>
      <c r="K50" s="3">
        <v>0.2</v>
      </c>
    </row>
    <row r="51" spans="2:11" x14ac:dyDescent="0.25">
      <c r="B51" s="2" t="s">
        <v>8216</v>
      </c>
      <c r="C51" s="2" t="s">
        <v>8217</v>
      </c>
      <c r="D51" s="3">
        <v>82.6</v>
      </c>
      <c r="E51" s="3">
        <v>0</v>
      </c>
      <c r="F51" s="3">
        <v>0</v>
      </c>
      <c r="G51" s="3">
        <v>0</v>
      </c>
      <c r="I51" s="3">
        <v>0.6</v>
      </c>
      <c r="J51" s="3">
        <v>1.33</v>
      </c>
      <c r="K51" s="3">
        <v>0.37</v>
      </c>
    </row>
    <row r="52" spans="2:11" x14ac:dyDescent="0.25">
      <c r="B52" s="2" t="s">
        <v>8218</v>
      </c>
      <c r="C52" s="2" t="s">
        <v>8219</v>
      </c>
      <c r="D52" s="3">
        <v>26.7</v>
      </c>
      <c r="E52" s="3">
        <v>0</v>
      </c>
    </row>
    <row r="53" spans="2:11" x14ac:dyDescent="0.25">
      <c r="B53" s="2" t="s">
        <v>8220</v>
      </c>
      <c r="C53" s="2" t="s">
        <v>8221</v>
      </c>
      <c r="D53" s="3">
        <v>0.56000000000000005</v>
      </c>
      <c r="E53" s="3">
        <v>0</v>
      </c>
      <c r="H53" s="3">
        <v>0</v>
      </c>
      <c r="I53" s="3">
        <v>10.926</v>
      </c>
      <c r="J53" s="3">
        <v>47.08</v>
      </c>
      <c r="K53" s="3">
        <v>33.000999999999998</v>
      </c>
    </row>
    <row r="54" spans="2:11" x14ac:dyDescent="0.25">
      <c r="B54" s="2" t="s">
        <v>8222</v>
      </c>
      <c r="C54" s="2" t="s">
        <v>8223</v>
      </c>
      <c r="D54" s="3">
        <v>11.7</v>
      </c>
      <c r="E54" s="3">
        <v>0</v>
      </c>
    </row>
    <row r="55" spans="2:11" x14ac:dyDescent="0.25">
      <c r="B55" s="2" t="s">
        <v>8224</v>
      </c>
      <c r="C55" s="2" t="s">
        <v>8225</v>
      </c>
      <c r="D55" s="3">
        <v>22.7</v>
      </c>
      <c r="E55" s="3">
        <v>0</v>
      </c>
    </row>
    <row r="56" spans="2:11" x14ac:dyDescent="0.25">
      <c r="B56" s="2" t="s">
        <v>8226</v>
      </c>
      <c r="C56" s="2" t="s">
        <v>8227</v>
      </c>
      <c r="D56" s="3">
        <v>16.600000000000001</v>
      </c>
      <c r="E56" s="3">
        <v>4.3</v>
      </c>
    </row>
    <row r="57" spans="2:11" x14ac:dyDescent="0.25">
      <c r="B57" s="2" t="s">
        <v>8228</v>
      </c>
      <c r="C57" s="2" t="s">
        <v>8229</v>
      </c>
      <c r="D57" s="3">
        <v>4.2</v>
      </c>
      <c r="E57" s="3">
        <v>9.9</v>
      </c>
    </row>
    <row r="58" spans="2:11" x14ac:dyDescent="0.25">
      <c r="B58" s="2" t="s">
        <v>8230</v>
      </c>
      <c r="C58" s="2" t="s">
        <v>8231</v>
      </c>
      <c r="D58" s="3">
        <v>15.9</v>
      </c>
      <c r="E58" s="3">
        <v>0</v>
      </c>
    </row>
    <row r="59" spans="2:11" x14ac:dyDescent="0.25">
      <c r="B59" s="2" t="s">
        <v>8232</v>
      </c>
      <c r="C59" s="2" t="s">
        <v>8233</v>
      </c>
      <c r="D59" s="3">
        <v>30.7</v>
      </c>
      <c r="E59" s="3">
        <v>0</v>
      </c>
    </row>
    <row r="60" spans="2:11" x14ac:dyDescent="0.25">
      <c r="B60" s="2" t="s">
        <v>8234</v>
      </c>
      <c r="C60" s="2" t="s">
        <v>8235</v>
      </c>
      <c r="D60" s="3">
        <v>23.2</v>
      </c>
      <c r="E60" s="3">
        <v>0</v>
      </c>
    </row>
    <row r="61" spans="2:11" x14ac:dyDescent="0.25">
      <c r="B61" s="2" t="s">
        <v>8236</v>
      </c>
      <c r="C61" s="2" t="s">
        <v>8237</v>
      </c>
      <c r="D61" s="3">
        <v>39.9</v>
      </c>
      <c r="E61" s="3">
        <v>0</v>
      </c>
      <c r="F61" s="3">
        <v>0</v>
      </c>
      <c r="H61" s="3">
        <v>693</v>
      </c>
      <c r="I61" s="3">
        <v>6.97</v>
      </c>
      <c r="J61" s="3">
        <v>16.899999999999999</v>
      </c>
      <c r="K61" s="3">
        <v>0.35</v>
      </c>
    </row>
    <row r="62" spans="2:11" x14ac:dyDescent="0.25">
      <c r="B62" s="2" t="s">
        <v>8238</v>
      </c>
      <c r="C62" s="2" t="s">
        <v>8239</v>
      </c>
      <c r="D62" s="3">
        <v>16.600000000000001</v>
      </c>
      <c r="E62" s="3">
        <v>4.3</v>
      </c>
    </row>
    <row r="63" spans="2:11" x14ac:dyDescent="0.25">
      <c r="B63" s="2" t="s">
        <v>8240</v>
      </c>
      <c r="C63" s="2" t="s">
        <v>8241</v>
      </c>
      <c r="D63" s="3">
        <v>20.2</v>
      </c>
      <c r="E63" s="3">
        <v>0</v>
      </c>
    </row>
    <row r="64" spans="2:11" x14ac:dyDescent="0.25">
      <c r="B64" s="2" t="s">
        <v>8242</v>
      </c>
      <c r="C64" s="2" t="s">
        <v>8243</v>
      </c>
      <c r="D64" s="3">
        <v>13</v>
      </c>
      <c r="E64" s="3">
        <v>0</v>
      </c>
    </row>
    <row r="65" spans="2:11" x14ac:dyDescent="0.25">
      <c r="B65" s="2" t="s">
        <v>8244</v>
      </c>
      <c r="C65" s="2" t="s">
        <v>8245</v>
      </c>
      <c r="D65" s="3">
        <v>28.4</v>
      </c>
      <c r="E65" s="3">
        <v>0</v>
      </c>
      <c r="H65" s="3">
        <v>110</v>
      </c>
      <c r="I65" s="3">
        <v>0.82</v>
      </c>
      <c r="J65" s="3">
        <v>1.72</v>
      </c>
      <c r="K65" s="3">
        <v>0.06</v>
      </c>
    </row>
    <row r="66" spans="2:11" x14ac:dyDescent="0.25">
      <c r="B66" s="2" t="s">
        <v>8246</v>
      </c>
      <c r="C66" s="2" t="s">
        <v>8247</v>
      </c>
      <c r="D66" s="3">
        <v>18.600000000000001</v>
      </c>
      <c r="E66" s="3">
        <v>2.9</v>
      </c>
      <c r="I66" s="3">
        <v>1.17</v>
      </c>
      <c r="J66" s="3">
        <v>1.1000000000000001</v>
      </c>
      <c r="K66" s="3">
        <v>1.03</v>
      </c>
    </row>
    <row r="67" spans="2:11" x14ac:dyDescent="0.25">
      <c r="B67" s="2" t="s">
        <v>8248</v>
      </c>
      <c r="C67" s="2" t="s">
        <v>8249</v>
      </c>
      <c r="D67" s="3">
        <v>7.4</v>
      </c>
      <c r="E67" s="3">
        <v>5.6</v>
      </c>
      <c r="H67" s="3">
        <v>30</v>
      </c>
      <c r="I67" s="3">
        <v>0.5</v>
      </c>
    </row>
    <row r="68" spans="2:11" x14ac:dyDescent="0.25">
      <c r="B68" s="2" t="s">
        <v>8250</v>
      </c>
      <c r="C68" s="2" t="s">
        <v>8251</v>
      </c>
      <c r="D68" s="3">
        <v>2.2999999999999998</v>
      </c>
      <c r="E68" s="3">
        <v>6.5</v>
      </c>
    </row>
    <row r="69" spans="2:11" x14ac:dyDescent="0.25">
      <c r="B69" s="2" t="s">
        <v>8252</v>
      </c>
      <c r="C69" s="2" t="s">
        <v>8253</v>
      </c>
      <c r="D69" s="3">
        <v>19.3</v>
      </c>
      <c r="E69" s="3">
        <v>0</v>
      </c>
    </row>
    <row r="70" spans="2:11" x14ac:dyDescent="0.25">
      <c r="B70" s="2" t="s">
        <v>8254</v>
      </c>
      <c r="C70" s="2" t="s">
        <v>8255</v>
      </c>
      <c r="D70" s="3">
        <v>0</v>
      </c>
      <c r="E70" s="3">
        <v>0.2</v>
      </c>
      <c r="H70" s="3">
        <v>132</v>
      </c>
      <c r="I70" s="3">
        <v>0</v>
      </c>
      <c r="J70" s="3">
        <v>0</v>
      </c>
      <c r="K70" s="3">
        <v>0</v>
      </c>
    </row>
    <row r="71" spans="2:11" x14ac:dyDescent="0.25">
      <c r="B71" s="2" t="s">
        <v>8256</v>
      </c>
      <c r="C71" s="2" t="s">
        <v>8257</v>
      </c>
      <c r="D71" s="3">
        <v>57</v>
      </c>
      <c r="E71" s="3">
        <v>0</v>
      </c>
    </row>
    <row r="72" spans="2:11" x14ac:dyDescent="0.25">
      <c r="B72" s="2" t="s">
        <v>8258</v>
      </c>
      <c r="C72" s="2" t="s">
        <v>8259</v>
      </c>
      <c r="D72" s="3">
        <v>21.5</v>
      </c>
      <c r="E72" s="3">
        <v>0</v>
      </c>
      <c r="I72" s="3">
        <v>0.63</v>
      </c>
      <c r="J72" s="3">
        <v>0.34</v>
      </c>
      <c r="K72" s="3">
        <v>0.35</v>
      </c>
    </row>
    <row r="73" spans="2:11" x14ac:dyDescent="0.25">
      <c r="B73" s="2" t="s">
        <v>8260</v>
      </c>
      <c r="C73" s="2" t="s">
        <v>8261</v>
      </c>
      <c r="D73" s="3">
        <v>19.2</v>
      </c>
      <c r="E73" s="3">
        <v>0</v>
      </c>
      <c r="I73" s="3">
        <v>2.57</v>
      </c>
      <c r="J73" s="3">
        <v>8.42</v>
      </c>
      <c r="K73" s="3">
        <v>2.6</v>
      </c>
    </row>
    <row r="74" spans="2:11" x14ac:dyDescent="0.25">
      <c r="B74" s="2" t="s">
        <v>8262</v>
      </c>
      <c r="C74" s="2" t="s">
        <v>8263</v>
      </c>
      <c r="D74" s="3">
        <v>16.3</v>
      </c>
      <c r="E74" s="3">
        <v>0</v>
      </c>
    </row>
    <row r="75" spans="2:11" x14ac:dyDescent="0.25">
      <c r="B75" s="2" t="s">
        <v>8264</v>
      </c>
      <c r="C75" s="2" t="s">
        <v>8265</v>
      </c>
      <c r="D75" s="3">
        <v>21</v>
      </c>
      <c r="E75" s="3">
        <v>3.5</v>
      </c>
    </row>
    <row r="76" spans="2:11" x14ac:dyDescent="0.25">
      <c r="B76" s="2" t="s">
        <v>8266</v>
      </c>
      <c r="C76" s="2" t="s">
        <v>8267</v>
      </c>
      <c r="D76" s="3">
        <v>0</v>
      </c>
      <c r="E76" s="3">
        <v>0</v>
      </c>
    </row>
    <row r="77" spans="2:11" x14ac:dyDescent="0.25">
      <c r="B77" s="2" t="s">
        <v>8268</v>
      </c>
      <c r="C77" s="2" t="s">
        <v>8269</v>
      </c>
      <c r="D77" s="3">
        <v>0.4</v>
      </c>
      <c r="E77" s="3">
        <v>0</v>
      </c>
    </row>
    <row r="78" spans="2:11" x14ac:dyDescent="0.25">
      <c r="B78" s="2" t="s">
        <v>8270</v>
      </c>
      <c r="C78" s="2" t="s">
        <v>8271</v>
      </c>
      <c r="D78" s="3">
        <v>12.6</v>
      </c>
      <c r="E78" s="3">
        <v>0</v>
      </c>
      <c r="I78" s="3">
        <v>6.56</v>
      </c>
      <c r="J78" s="3">
        <v>28.12</v>
      </c>
      <c r="K78" s="3">
        <v>7.97</v>
      </c>
    </row>
    <row r="79" spans="2:11" x14ac:dyDescent="0.25">
      <c r="B79" s="2" t="s">
        <v>8272</v>
      </c>
      <c r="C79" s="2" t="s">
        <v>8273</v>
      </c>
      <c r="D79" s="3">
        <v>0</v>
      </c>
      <c r="E79" s="3">
        <v>0</v>
      </c>
    </row>
    <row r="80" spans="2:11" x14ac:dyDescent="0.25">
      <c r="B80" s="2" t="s">
        <v>8274</v>
      </c>
      <c r="C80" s="2" t="s">
        <v>8275</v>
      </c>
      <c r="D80" s="3">
        <v>11</v>
      </c>
      <c r="E80" s="3">
        <v>5.0999999999999996</v>
      </c>
    </row>
    <row r="81" spans="2:11" x14ac:dyDescent="0.25">
      <c r="B81" s="2" t="s">
        <v>8276</v>
      </c>
      <c r="C81" s="2" t="s">
        <v>8277</v>
      </c>
      <c r="D81" s="3">
        <v>18.899999999999999</v>
      </c>
      <c r="E81" s="3">
        <v>0</v>
      </c>
      <c r="H81" s="3">
        <v>51</v>
      </c>
      <c r="I81" s="3">
        <v>1.37</v>
      </c>
      <c r="J81" s="3">
        <v>2.56</v>
      </c>
      <c r="K81" s="3">
        <v>1.82</v>
      </c>
    </row>
    <row r="82" spans="2:11" x14ac:dyDescent="0.25">
      <c r="B82" s="2" t="s">
        <v>8278</v>
      </c>
      <c r="C82" s="2" t="s">
        <v>8279</v>
      </c>
      <c r="D82" s="3">
        <v>18.600000000000001</v>
      </c>
      <c r="E82" s="3">
        <v>0</v>
      </c>
    </row>
    <row r="83" spans="2:11" x14ac:dyDescent="0.25">
      <c r="B83" s="2" t="s">
        <v>8280</v>
      </c>
      <c r="C83" s="2" t="s">
        <v>8281</v>
      </c>
      <c r="D83" s="3">
        <v>2.6</v>
      </c>
      <c r="E83" s="3">
        <v>8.1</v>
      </c>
    </row>
    <row r="84" spans="2:11" x14ac:dyDescent="0.25">
      <c r="B84" s="2" t="s">
        <v>8282</v>
      </c>
      <c r="C84" s="2" t="s">
        <v>8283</v>
      </c>
      <c r="D84" s="3">
        <v>6.1</v>
      </c>
      <c r="E84" s="3">
        <v>20.7</v>
      </c>
    </row>
    <row r="85" spans="2:11" x14ac:dyDescent="0.25">
      <c r="B85" s="2" t="s">
        <v>8284</v>
      </c>
      <c r="C85" s="2" t="s">
        <v>8285</v>
      </c>
      <c r="D85" s="3">
        <v>0.66</v>
      </c>
      <c r="E85" s="3">
        <v>11.74</v>
      </c>
      <c r="F85" s="3">
        <v>1.1000000000000001</v>
      </c>
      <c r="G85" s="3">
        <v>0.19</v>
      </c>
      <c r="H85" s="3">
        <v>8</v>
      </c>
      <c r="I85" s="3">
        <v>7.3999999999999996E-2</v>
      </c>
      <c r="J85" s="3">
        <v>0.109</v>
      </c>
      <c r="K85" s="3">
        <v>0.20799999999999999</v>
      </c>
    </row>
    <row r="86" spans="2:11" x14ac:dyDescent="0.25">
      <c r="B86" s="2" t="s">
        <v>8286</v>
      </c>
      <c r="C86" s="2" t="s">
        <v>8287</v>
      </c>
      <c r="D86" s="3">
        <v>10.4</v>
      </c>
      <c r="E86" s="3">
        <v>76.930000000000007</v>
      </c>
      <c r="F86" s="3">
        <v>8.6999999999999993</v>
      </c>
      <c r="G86" s="3">
        <v>1.81</v>
      </c>
      <c r="H86" s="3">
        <v>7</v>
      </c>
      <c r="I86" s="3">
        <v>0.88600000000000001</v>
      </c>
      <c r="J86" s="3">
        <v>1.679</v>
      </c>
      <c r="K86" s="3">
        <v>2.4649999999999999</v>
      </c>
    </row>
    <row r="87" spans="2:11" x14ac:dyDescent="0.25">
      <c r="B87" s="2" t="s">
        <v>8288</v>
      </c>
      <c r="C87" s="2" t="s">
        <v>8289</v>
      </c>
      <c r="D87" s="3">
        <v>0.84</v>
      </c>
      <c r="E87" s="3">
        <v>4.0599999999999996</v>
      </c>
      <c r="F87" s="3">
        <v>0.3</v>
      </c>
      <c r="G87" s="3">
        <v>3.36</v>
      </c>
      <c r="H87" s="3">
        <v>11</v>
      </c>
    </row>
    <row r="88" spans="2:11" x14ac:dyDescent="0.25">
      <c r="B88" s="2" t="s">
        <v>8290</v>
      </c>
      <c r="C88" s="2" t="s">
        <v>8291</v>
      </c>
      <c r="D88" s="3">
        <v>0.81</v>
      </c>
      <c r="E88" s="3">
        <v>8.68</v>
      </c>
      <c r="G88" s="3">
        <v>2.6</v>
      </c>
      <c r="H88" s="3">
        <v>15</v>
      </c>
      <c r="I88" s="3">
        <v>7.4999999999999997E-2</v>
      </c>
      <c r="J88" s="3">
        <v>0.13500000000000001</v>
      </c>
      <c r="K88" s="3">
        <v>0.151</v>
      </c>
    </row>
    <row r="89" spans="2:11" x14ac:dyDescent="0.25">
      <c r="B89" s="2" t="s">
        <v>8292</v>
      </c>
      <c r="C89" s="2" t="s">
        <v>8293</v>
      </c>
      <c r="D89" s="3">
        <v>9.8800000000000008</v>
      </c>
      <c r="E89" s="3">
        <v>74.930000000000007</v>
      </c>
      <c r="G89" s="3">
        <v>5.38</v>
      </c>
      <c r="H89" s="3">
        <v>13</v>
      </c>
      <c r="I89" s="3">
        <v>0.82</v>
      </c>
      <c r="J89" s="3">
        <v>1.4830000000000001</v>
      </c>
      <c r="K89" s="3">
        <v>1.9</v>
      </c>
    </row>
    <row r="90" spans="2:11" x14ac:dyDescent="0.25">
      <c r="B90" s="2" t="s">
        <v>8294</v>
      </c>
      <c r="C90" s="2" t="s">
        <v>8295</v>
      </c>
      <c r="D90" s="3">
        <v>9.7200000000000006</v>
      </c>
      <c r="E90" s="3">
        <v>75.2</v>
      </c>
      <c r="F90" s="3">
        <v>16.600000000000001</v>
      </c>
      <c r="G90" s="3">
        <v>6.47</v>
      </c>
      <c r="H90" s="3">
        <v>4</v>
      </c>
      <c r="I90" s="3">
        <v>0.83</v>
      </c>
      <c r="J90" s="3">
        <v>1.4830000000000001</v>
      </c>
      <c r="K90" s="3">
        <v>1.8620000000000001</v>
      </c>
    </row>
    <row r="91" spans="2:11" x14ac:dyDescent="0.25">
      <c r="B91" s="2" t="s">
        <v>8296</v>
      </c>
      <c r="C91" s="2" t="s">
        <v>8297</v>
      </c>
      <c r="D91" s="3">
        <v>10.99</v>
      </c>
      <c r="E91" s="3">
        <v>77.14</v>
      </c>
      <c r="F91" s="3">
        <v>10.4</v>
      </c>
      <c r="G91" s="3">
        <v>1.46</v>
      </c>
      <c r="H91" s="3">
        <v>4</v>
      </c>
      <c r="I91" s="3">
        <v>0.85299999999999998</v>
      </c>
      <c r="J91" s="3">
        <v>1.532</v>
      </c>
      <c r="K91" s="3">
        <v>2.0779999999999998</v>
      </c>
    </row>
    <row r="92" spans="2:11" x14ac:dyDescent="0.25">
      <c r="B92" s="2" t="s">
        <v>8298</v>
      </c>
      <c r="C92" s="2" t="s">
        <v>8299</v>
      </c>
      <c r="D92" s="3">
        <v>9.85</v>
      </c>
      <c r="E92" s="3">
        <v>72.900000000000006</v>
      </c>
      <c r="F92" s="3">
        <v>9.4</v>
      </c>
      <c r="G92" s="3">
        <v>1.56</v>
      </c>
      <c r="H92" s="3">
        <v>4</v>
      </c>
      <c r="I92" s="3">
        <v>1.0429999999999999</v>
      </c>
      <c r="J92" s="3">
        <v>2.1429999999999998</v>
      </c>
      <c r="K92" s="3">
        <v>2.3519999999999999</v>
      </c>
    </row>
    <row r="93" spans="2:11" x14ac:dyDescent="0.25">
      <c r="B93" s="2" t="s">
        <v>8300</v>
      </c>
      <c r="C93" s="2" t="s">
        <v>8301</v>
      </c>
      <c r="D93" s="3">
        <v>0.52</v>
      </c>
      <c r="E93" s="3">
        <v>5.64</v>
      </c>
      <c r="G93" s="3">
        <v>3.54</v>
      </c>
      <c r="H93" s="3">
        <v>20</v>
      </c>
    </row>
    <row r="94" spans="2:11" x14ac:dyDescent="0.25">
      <c r="B94" s="2" t="s">
        <v>8302</v>
      </c>
      <c r="C94" s="2" t="s">
        <v>8303</v>
      </c>
      <c r="D94" s="3">
        <v>0.31</v>
      </c>
      <c r="E94" s="3">
        <v>3.22</v>
      </c>
      <c r="F94" s="3">
        <v>1.5</v>
      </c>
      <c r="G94" s="3">
        <v>2.02</v>
      </c>
    </row>
    <row r="95" spans="2:11" x14ac:dyDescent="0.25">
      <c r="B95" s="2" t="s">
        <v>8304</v>
      </c>
      <c r="C95" s="2" t="s">
        <v>8305</v>
      </c>
      <c r="D95" s="3">
        <v>4.29</v>
      </c>
      <c r="E95" s="3">
        <v>39.47</v>
      </c>
      <c r="G95" s="3">
        <v>3.74</v>
      </c>
      <c r="H95" s="3">
        <v>126</v>
      </c>
      <c r="I95" s="3">
        <v>0.35299999999999998</v>
      </c>
      <c r="J95" s="3">
        <v>0.60299999999999998</v>
      </c>
      <c r="K95" s="3">
        <v>0.84699999999999998</v>
      </c>
    </row>
    <row r="96" spans="2:11" x14ac:dyDescent="0.25">
      <c r="B96" s="2" t="s">
        <v>8306</v>
      </c>
      <c r="C96" s="2" t="s">
        <v>8307</v>
      </c>
      <c r="D96" s="3">
        <v>33.43</v>
      </c>
      <c r="E96" s="3">
        <v>0.08</v>
      </c>
      <c r="H96" s="3">
        <v>135</v>
      </c>
      <c r="I96" s="3">
        <v>5.1420000000000003</v>
      </c>
      <c r="J96" s="3">
        <v>4.4589999999999996</v>
      </c>
      <c r="K96" s="3">
        <v>0.81399999999999995</v>
      </c>
    </row>
    <row r="97" spans="2:11" x14ac:dyDescent="0.25">
      <c r="B97" s="2" t="s">
        <v>8308</v>
      </c>
      <c r="C97" s="2" t="s">
        <v>8309</v>
      </c>
      <c r="D97" s="3">
        <v>6.69</v>
      </c>
      <c r="E97" s="3">
        <v>48.26</v>
      </c>
      <c r="G97" s="3">
        <v>2.0299999999999998</v>
      </c>
      <c r="H97" s="3">
        <v>329</v>
      </c>
      <c r="I97" s="3">
        <v>4.6210000000000004</v>
      </c>
      <c r="J97" s="3">
        <v>4.4109999999999996</v>
      </c>
      <c r="K97" s="3">
        <v>1.0549999999999999</v>
      </c>
    </row>
    <row r="98" spans="2:11" x14ac:dyDescent="0.25">
      <c r="B98" s="2" t="s">
        <v>8310</v>
      </c>
      <c r="C98" s="2" t="s">
        <v>8311</v>
      </c>
      <c r="D98" s="3">
        <v>7.28</v>
      </c>
      <c r="E98" s="3">
        <v>49.94</v>
      </c>
      <c r="F98" s="3">
        <v>2.4</v>
      </c>
      <c r="G98" s="3">
        <v>2.75</v>
      </c>
      <c r="H98" s="3">
        <v>482</v>
      </c>
      <c r="I98" s="3">
        <v>0.29599999999999999</v>
      </c>
      <c r="J98" s="3">
        <v>0.185</v>
      </c>
      <c r="K98" s="3">
        <v>0.39100000000000001</v>
      </c>
    </row>
    <row r="99" spans="2:11" x14ac:dyDescent="0.25">
      <c r="B99" s="2" t="s">
        <v>8312</v>
      </c>
      <c r="C99" s="2" t="s">
        <v>8313</v>
      </c>
      <c r="D99" s="3">
        <v>8.7100000000000009</v>
      </c>
      <c r="E99" s="3">
        <v>8.0299999999999994</v>
      </c>
      <c r="G99" s="3">
        <v>0.21</v>
      </c>
      <c r="H99" s="3">
        <v>46</v>
      </c>
      <c r="I99" s="3">
        <v>1.7090000000000001</v>
      </c>
      <c r="J99" s="3">
        <v>1.5329999999999999</v>
      </c>
      <c r="K99" s="3">
        <v>0.27400000000000002</v>
      </c>
    </row>
    <row r="100" spans="2:11" x14ac:dyDescent="0.25">
      <c r="B100" s="2" t="s">
        <v>8314</v>
      </c>
      <c r="C100" s="2" t="s">
        <v>8315</v>
      </c>
      <c r="D100" s="3">
        <v>6.71</v>
      </c>
      <c r="E100" s="3">
        <v>9.3800000000000008</v>
      </c>
      <c r="F100" s="3">
        <v>2</v>
      </c>
      <c r="G100" s="3">
        <v>0.11</v>
      </c>
      <c r="H100" s="3">
        <v>45</v>
      </c>
      <c r="I100" s="3">
        <v>0.73299999999999998</v>
      </c>
      <c r="J100" s="3">
        <v>0.89700000000000002</v>
      </c>
      <c r="K100" s="3">
        <v>0.28699999999999998</v>
      </c>
    </row>
    <row r="101" spans="2:11" x14ac:dyDescent="0.25">
      <c r="B101" s="2" t="s">
        <v>8316</v>
      </c>
      <c r="C101" s="2" t="s">
        <v>8317</v>
      </c>
      <c r="D101" s="3">
        <v>8.6199999999999992</v>
      </c>
      <c r="E101" s="3">
        <v>7.27</v>
      </c>
      <c r="F101" s="3">
        <v>1.7</v>
      </c>
      <c r="G101" s="3">
        <v>0.61</v>
      </c>
      <c r="H101" s="3">
        <v>49</v>
      </c>
      <c r="I101" s="3">
        <v>1.7350000000000001</v>
      </c>
      <c r="J101" s="3">
        <v>1.748</v>
      </c>
      <c r="K101" s="3">
        <v>0.38300000000000001</v>
      </c>
    </row>
    <row r="102" spans="2:11" x14ac:dyDescent="0.25">
      <c r="B102" s="2" t="s">
        <v>8318</v>
      </c>
      <c r="C102" s="2" t="s">
        <v>8319</v>
      </c>
      <c r="D102" s="3">
        <v>6.28</v>
      </c>
      <c r="E102" s="3">
        <v>18.12</v>
      </c>
      <c r="F102" s="3">
        <v>3.1</v>
      </c>
      <c r="G102" s="3">
        <v>0.99</v>
      </c>
      <c r="H102" s="3">
        <v>427</v>
      </c>
      <c r="I102" s="3">
        <v>2.3959999999999999</v>
      </c>
      <c r="J102" s="3">
        <v>2.7389999999999999</v>
      </c>
      <c r="K102" s="3">
        <v>0.68799999999999994</v>
      </c>
    </row>
    <row r="103" spans="2:11" x14ac:dyDescent="0.25">
      <c r="B103" s="2" t="s">
        <v>8320</v>
      </c>
      <c r="C103" s="2" t="s">
        <v>8321</v>
      </c>
      <c r="D103" s="3">
        <v>8.82</v>
      </c>
      <c r="E103" s="3">
        <v>10.8</v>
      </c>
      <c r="F103" s="3">
        <v>2.2999999999999998</v>
      </c>
      <c r="G103" s="3">
        <v>0.51</v>
      </c>
      <c r="H103" s="3">
        <v>104</v>
      </c>
      <c r="I103" s="3">
        <v>1.603</v>
      </c>
      <c r="J103" s="3">
        <v>1.4970000000000001</v>
      </c>
      <c r="K103" s="3">
        <v>0.39200000000000002</v>
      </c>
    </row>
    <row r="104" spans="2:11" x14ac:dyDescent="0.25">
      <c r="B104" s="2" t="s">
        <v>8322</v>
      </c>
      <c r="C104" s="2" t="s">
        <v>8323</v>
      </c>
      <c r="D104" s="3">
        <v>20.53</v>
      </c>
      <c r="E104" s="3">
        <v>1.81</v>
      </c>
      <c r="F104" s="3">
        <v>0</v>
      </c>
      <c r="G104" s="3">
        <v>0</v>
      </c>
      <c r="H104" s="3">
        <v>79</v>
      </c>
      <c r="I104" s="3">
        <v>0.72599999999999998</v>
      </c>
      <c r="J104" s="3">
        <v>1.1950000000000001</v>
      </c>
      <c r="K104" s="3">
        <v>0.91200000000000003</v>
      </c>
    </row>
    <row r="105" spans="2:11" x14ac:dyDescent="0.25">
      <c r="B105" s="2" t="s">
        <v>8324</v>
      </c>
      <c r="C105" s="2" t="s">
        <v>8325</v>
      </c>
      <c r="D105" s="3">
        <v>22.56</v>
      </c>
      <c r="E105" s="3">
        <v>0</v>
      </c>
      <c r="F105" s="3">
        <v>0</v>
      </c>
      <c r="G105" s="3">
        <v>0</v>
      </c>
      <c r="H105" s="3">
        <v>58</v>
      </c>
      <c r="I105" s="3">
        <v>0.90400000000000003</v>
      </c>
      <c r="J105" s="3">
        <v>1.79</v>
      </c>
      <c r="K105" s="3">
        <v>2.41</v>
      </c>
    </row>
    <row r="106" spans="2:11" x14ac:dyDescent="0.25">
      <c r="B106" s="2" t="s">
        <v>8326</v>
      </c>
      <c r="C106" s="2" t="s">
        <v>8327</v>
      </c>
      <c r="D106" s="3">
        <v>21.94</v>
      </c>
      <c r="E106" s="3">
        <v>0</v>
      </c>
      <c r="F106" s="3">
        <v>0</v>
      </c>
      <c r="G106" s="3">
        <v>0</v>
      </c>
      <c r="H106" s="3">
        <v>60</v>
      </c>
      <c r="I106" s="3">
        <v>1.0069999999999999</v>
      </c>
      <c r="J106" s="3">
        <v>2.2000000000000002</v>
      </c>
      <c r="K106" s="3">
        <v>1.37</v>
      </c>
    </row>
    <row r="107" spans="2:11" x14ac:dyDescent="0.25">
      <c r="B107" s="2" t="s">
        <v>8328</v>
      </c>
      <c r="C107" s="2" t="s">
        <v>8329</v>
      </c>
      <c r="D107" s="3">
        <v>20.69</v>
      </c>
      <c r="E107" s="3">
        <v>0</v>
      </c>
      <c r="F107" s="3">
        <v>0</v>
      </c>
      <c r="G107" s="3">
        <v>0</v>
      </c>
      <c r="H107" s="3">
        <v>59</v>
      </c>
      <c r="I107" s="3">
        <v>0.54700000000000004</v>
      </c>
      <c r="J107" s="3">
        <v>0.94</v>
      </c>
      <c r="K107" s="3">
        <v>0.77</v>
      </c>
    </row>
    <row r="108" spans="2:11" x14ac:dyDescent="0.25">
      <c r="B108" s="2" t="s">
        <v>8330</v>
      </c>
      <c r="C108" s="2" t="s">
        <v>8331</v>
      </c>
      <c r="D108" s="3">
        <v>20.25</v>
      </c>
      <c r="E108" s="3">
        <v>0</v>
      </c>
      <c r="F108" s="3">
        <v>0</v>
      </c>
      <c r="G108" s="3">
        <v>0</v>
      </c>
      <c r="H108" s="3">
        <v>48</v>
      </c>
      <c r="I108" s="3">
        <v>1.87</v>
      </c>
      <c r="J108" s="3">
        <v>4.09</v>
      </c>
      <c r="K108" s="3">
        <v>1.599</v>
      </c>
    </row>
    <row r="109" spans="2:11" x14ac:dyDescent="0.25">
      <c r="B109" s="2" t="s">
        <v>8332</v>
      </c>
      <c r="C109" s="2" t="s">
        <v>8333</v>
      </c>
      <c r="D109" s="3">
        <v>0.85</v>
      </c>
      <c r="E109" s="3">
        <v>10.050000000000001</v>
      </c>
      <c r="F109" s="3">
        <v>1.9</v>
      </c>
      <c r="G109" s="3">
        <v>3.66</v>
      </c>
      <c r="H109" s="3">
        <v>14</v>
      </c>
    </row>
    <row r="110" spans="2:11" x14ac:dyDescent="0.25">
      <c r="B110" s="2" t="s">
        <v>8334</v>
      </c>
      <c r="C110" s="2" t="s">
        <v>8335</v>
      </c>
      <c r="D110" s="3">
        <v>1.22</v>
      </c>
      <c r="E110" s="3">
        <v>12.31</v>
      </c>
      <c r="F110" s="3">
        <v>2.6</v>
      </c>
      <c r="G110" s="3">
        <v>6.46</v>
      </c>
      <c r="H110" s="3">
        <v>6</v>
      </c>
    </row>
    <row r="111" spans="2:11" x14ac:dyDescent="0.25">
      <c r="B111" s="2" t="s">
        <v>8336</v>
      </c>
      <c r="C111" s="2" t="s">
        <v>8337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14.74</v>
      </c>
      <c r="J111" s="3">
        <v>54.52</v>
      </c>
      <c r="K111" s="3">
        <v>18.059999999999999</v>
      </c>
    </row>
    <row r="112" spans="2:11" x14ac:dyDescent="0.25">
      <c r="B112" s="2" t="s">
        <v>8338</v>
      </c>
      <c r="C112" s="2" t="s">
        <v>8339</v>
      </c>
      <c r="D112" s="3">
        <v>27.31</v>
      </c>
      <c r="E112" s="3">
        <v>0</v>
      </c>
      <c r="F112" s="3">
        <v>0</v>
      </c>
      <c r="G112" s="3">
        <v>0</v>
      </c>
      <c r="H112" s="3">
        <v>390</v>
      </c>
      <c r="I112" s="3">
        <v>0.92</v>
      </c>
      <c r="J112" s="3">
        <v>2.29</v>
      </c>
      <c r="K112" s="3">
        <v>1.61</v>
      </c>
    </row>
    <row r="113" spans="2:11" x14ac:dyDescent="0.25">
      <c r="B113" s="2" t="s">
        <v>8340</v>
      </c>
      <c r="C113" s="2" t="s">
        <v>8341</v>
      </c>
      <c r="D113" s="3">
        <v>14.66</v>
      </c>
      <c r="E113" s="3">
        <v>4.8899999999999997</v>
      </c>
      <c r="F113" s="3">
        <v>0</v>
      </c>
      <c r="G113" s="3">
        <v>0</v>
      </c>
      <c r="H113" s="3">
        <v>160</v>
      </c>
      <c r="I113" s="3">
        <v>0.496</v>
      </c>
      <c r="J113" s="3">
        <v>1.046</v>
      </c>
      <c r="K113" s="3">
        <v>1.073</v>
      </c>
    </row>
    <row r="114" spans="2:11" x14ac:dyDescent="0.25">
      <c r="B114" s="2" t="s">
        <v>8342</v>
      </c>
      <c r="C114" s="2" t="s">
        <v>8343</v>
      </c>
      <c r="D114" s="3">
        <v>52.06</v>
      </c>
      <c r="E114" s="3">
        <v>0</v>
      </c>
      <c r="F114" s="3">
        <v>0</v>
      </c>
      <c r="G114" s="3">
        <v>0</v>
      </c>
      <c r="H114" s="3">
        <v>390</v>
      </c>
      <c r="I114" s="3">
        <v>1.55</v>
      </c>
      <c r="J114" s="3">
        <v>1.19</v>
      </c>
      <c r="K114" s="3">
        <v>0.63</v>
      </c>
    </row>
    <row r="115" spans="2:11" x14ac:dyDescent="0.25">
      <c r="B115" s="2" t="s">
        <v>8344</v>
      </c>
      <c r="C115" s="2" t="s">
        <v>8345</v>
      </c>
      <c r="D115" s="3">
        <v>59.38</v>
      </c>
      <c r="E115" s="3">
        <v>0</v>
      </c>
      <c r="F115" s="3">
        <v>0</v>
      </c>
      <c r="G115" s="3">
        <v>0</v>
      </c>
      <c r="H115" s="3">
        <v>950</v>
      </c>
      <c r="I115" s="3">
        <v>1.5860000000000001</v>
      </c>
      <c r="J115" s="3">
        <v>1.2010000000000001</v>
      </c>
      <c r="K115" s="3">
        <v>0.37</v>
      </c>
    </row>
    <row r="116" spans="2:11" x14ac:dyDescent="0.25">
      <c r="B116" s="2" t="s">
        <v>8346</v>
      </c>
      <c r="C116" s="2" t="s">
        <v>8347</v>
      </c>
      <c r="D116" s="3">
        <v>22.63</v>
      </c>
      <c r="E116" s="3">
        <v>0</v>
      </c>
      <c r="F116" s="3">
        <v>0</v>
      </c>
      <c r="G116" s="3">
        <v>0</v>
      </c>
      <c r="H116" s="3">
        <v>52</v>
      </c>
      <c r="I116" s="3">
        <v>1.27</v>
      </c>
      <c r="J116" s="3">
        <v>0.94</v>
      </c>
      <c r="K116" s="3">
        <v>0.56000000000000005</v>
      </c>
    </row>
    <row r="117" spans="2:11" x14ac:dyDescent="0.25">
      <c r="B117" s="2" t="s">
        <v>8348</v>
      </c>
      <c r="C117" s="2" t="s">
        <v>8349</v>
      </c>
      <c r="D117" s="3">
        <v>35.31</v>
      </c>
      <c r="E117" s="3">
        <v>0</v>
      </c>
      <c r="F117" s="3">
        <v>0</v>
      </c>
      <c r="G117" s="3">
        <v>0</v>
      </c>
      <c r="H117" s="3">
        <v>120</v>
      </c>
      <c r="I117" s="3">
        <v>3.92</v>
      </c>
      <c r="J117" s="3">
        <v>11.16</v>
      </c>
      <c r="K117" s="3">
        <v>1.18</v>
      </c>
    </row>
    <row r="118" spans="2:11" x14ac:dyDescent="0.25">
      <c r="B118" s="2" t="s">
        <v>8350</v>
      </c>
      <c r="C118" s="2" t="s">
        <v>8351</v>
      </c>
      <c r="D118" s="3">
        <v>62.44</v>
      </c>
      <c r="E118" s="3">
        <v>0</v>
      </c>
      <c r="F118" s="3">
        <v>0</v>
      </c>
      <c r="G118" s="3">
        <v>0</v>
      </c>
      <c r="H118" s="3">
        <v>200</v>
      </c>
      <c r="I118" s="3">
        <v>2.85</v>
      </c>
      <c r="J118" s="3">
        <v>4.38</v>
      </c>
      <c r="K118" s="3">
        <v>2.16</v>
      </c>
    </row>
    <row r="119" spans="2:11" x14ac:dyDescent="0.25">
      <c r="B119" s="2" t="s">
        <v>8352</v>
      </c>
      <c r="C119" s="2" t="s">
        <v>8353</v>
      </c>
      <c r="D119" s="3">
        <v>35.19</v>
      </c>
      <c r="E119" s="3">
        <v>0</v>
      </c>
      <c r="F119" s="3">
        <v>0</v>
      </c>
      <c r="G119" s="3">
        <v>0</v>
      </c>
      <c r="H119" s="3">
        <v>600</v>
      </c>
      <c r="I119" s="3">
        <v>1.48</v>
      </c>
      <c r="J119" s="3">
        <v>2.29</v>
      </c>
      <c r="K119" s="3">
        <v>2.21</v>
      </c>
    </row>
    <row r="120" spans="2:11" x14ac:dyDescent="0.25">
      <c r="B120" s="2" t="s">
        <v>8354</v>
      </c>
      <c r="C120" s="2" t="s">
        <v>8355</v>
      </c>
      <c r="D120" s="3">
        <v>24.5</v>
      </c>
      <c r="E120" s="3">
        <v>0</v>
      </c>
      <c r="F120" s="3">
        <v>0</v>
      </c>
      <c r="G120" s="3">
        <v>0</v>
      </c>
      <c r="H120" s="3">
        <v>460</v>
      </c>
      <c r="I120" s="3">
        <v>0.8</v>
      </c>
      <c r="J120" s="3">
        <v>1.83</v>
      </c>
      <c r="K120" s="3">
        <v>1.1299999999999999</v>
      </c>
    </row>
    <row r="121" spans="2:11" x14ac:dyDescent="0.25">
      <c r="B121" s="2" t="s">
        <v>8356</v>
      </c>
      <c r="C121" s="2" t="s">
        <v>8357</v>
      </c>
      <c r="D121" s="3">
        <v>23.19</v>
      </c>
      <c r="E121" s="3">
        <v>0</v>
      </c>
      <c r="F121" s="3">
        <v>0</v>
      </c>
      <c r="G121" s="3">
        <v>0</v>
      </c>
      <c r="H121" s="3">
        <v>870</v>
      </c>
      <c r="I121" s="3">
        <v>2.44</v>
      </c>
      <c r="J121" s="3">
        <v>5.86</v>
      </c>
      <c r="K121" s="3">
        <v>2.09</v>
      </c>
    </row>
    <row r="122" spans="2:11" x14ac:dyDescent="0.25">
      <c r="B122" s="2" t="s">
        <v>8358</v>
      </c>
      <c r="C122" s="2" t="s">
        <v>8359</v>
      </c>
      <c r="D122" s="3">
        <v>22.25</v>
      </c>
      <c r="E122" s="3">
        <v>0</v>
      </c>
      <c r="F122" s="3">
        <v>0</v>
      </c>
      <c r="G122" s="3">
        <v>0</v>
      </c>
      <c r="H122" s="3">
        <v>52</v>
      </c>
      <c r="I122" s="3">
        <v>0.49</v>
      </c>
      <c r="J122" s="3">
        <v>1.08</v>
      </c>
      <c r="K122" s="3">
        <v>0.7</v>
      </c>
    </row>
    <row r="123" spans="2:11" x14ac:dyDescent="0.25">
      <c r="B123" s="2" t="s">
        <v>8360</v>
      </c>
      <c r="C123" s="2" t="s">
        <v>8361</v>
      </c>
      <c r="D123" s="3">
        <v>23.63</v>
      </c>
      <c r="E123" s="3">
        <v>0</v>
      </c>
      <c r="F123" s="3">
        <v>0</v>
      </c>
      <c r="G123" s="3">
        <v>0</v>
      </c>
      <c r="H123" s="3">
        <v>57</v>
      </c>
    </row>
    <row r="124" spans="2:11" x14ac:dyDescent="0.25">
      <c r="B124" s="2" t="s">
        <v>8362</v>
      </c>
      <c r="C124" s="2" t="s">
        <v>8363</v>
      </c>
      <c r="D124" s="3">
        <v>62.09</v>
      </c>
      <c r="E124" s="3">
        <v>0</v>
      </c>
      <c r="F124" s="3">
        <v>0</v>
      </c>
      <c r="G124" s="3">
        <v>0</v>
      </c>
      <c r="H124" s="3">
        <v>190</v>
      </c>
      <c r="I124" s="3">
        <v>2.395</v>
      </c>
      <c r="J124" s="3">
        <v>5.1390000000000002</v>
      </c>
      <c r="K124" s="3">
        <v>2.323</v>
      </c>
    </row>
    <row r="125" spans="2:11" x14ac:dyDescent="0.25">
      <c r="B125" s="2" t="s">
        <v>8364</v>
      </c>
      <c r="C125" s="2" t="s">
        <v>8365</v>
      </c>
      <c r="D125" s="3">
        <v>29.45</v>
      </c>
      <c r="E125" s="3">
        <v>0</v>
      </c>
      <c r="G125" s="3">
        <v>0</v>
      </c>
      <c r="H125" s="3">
        <v>56</v>
      </c>
      <c r="I125" s="3">
        <v>1.1379999999999999</v>
      </c>
      <c r="J125" s="3">
        <v>0.95199999999999996</v>
      </c>
      <c r="K125" s="3">
        <v>0.23899999999999999</v>
      </c>
    </row>
    <row r="126" spans="2:11" x14ac:dyDescent="0.25">
      <c r="B126" s="2" t="s">
        <v>8366</v>
      </c>
      <c r="C126" s="2" t="s">
        <v>8367</v>
      </c>
      <c r="D126" s="3">
        <v>20.14</v>
      </c>
      <c r="E126" s="3">
        <v>0</v>
      </c>
      <c r="F126" s="3">
        <v>0</v>
      </c>
      <c r="G126" s="3">
        <v>0</v>
      </c>
      <c r="H126" s="3">
        <v>49</v>
      </c>
      <c r="I126" s="3">
        <v>0.70599999999999996</v>
      </c>
      <c r="J126" s="3">
        <v>0.57399999999999995</v>
      </c>
      <c r="K126" s="3">
        <v>0.13</v>
      </c>
    </row>
    <row r="127" spans="2:11" x14ac:dyDescent="0.25">
      <c r="B127" s="2" t="s">
        <v>8368</v>
      </c>
      <c r="C127" s="2" t="s">
        <v>8369</v>
      </c>
      <c r="D127" s="3">
        <v>21.44</v>
      </c>
      <c r="E127" s="3">
        <v>0</v>
      </c>
      <c r="H127" s="3">
        <v>43</v>
      </c>
      <c r="I127" s="3">
        <v>0.41799999999999998</v>
      </c>
      <c r="J127" s="3">
        <v>0.42499999999999999</v>
      </c>
      <c r="K127" s="3">
        <v>9.8000000000000004E-2</v>
      </c>
    </row>
    <row r="128" spans="2:11" x14ac:dyDescent="0.25">
      <c r="B128" s="2" t="s">
        <v>8370</v>
      </c>
      <c r="C128" s="2" t="s">
        <v>8371</v>
      </c>
      <c r="D128" s="3">
        <v>62.38</v>
      </c>
      <c r="E128" s="3">
        <v>0</v>
      </c>
      <c r="G128" s="3">
        <v>0</v>
      </c>
      <c r="H128" s="3">
        <v>130</v>
      </c>
    </row>
    <row r="129" spans="2:11" x14ac:dyDescent="0.25">
      <c r="B129" s="2" t="s">
        <v>8372</v>
      </c>
      <c r="C129" s="2" t="s">
        <v>8373</v>
      </c>
      <c r="D129" s="3">
        <v>32.51</v>
      </c>
      <c r="E129" s="3">
        <v>0</v>
      </c>
      <c r="H129" s="3">
        <v>41</v>
      </c>
      <c r="I129" s="3">
        <v>0.59499999999999997</v>
      </c>
      <c r="J129" s="3">
        <v>0.61399999999999999</v>
      </c>
      <c r="K129" s="3">
        <v>0.17100000000000001</v>
      </c>
    </row>
    <row r="130" spans="2:11" x14ac:dyDescent="0.25">
      <c r="B130" s="2" t="s">
        <v>8374</v>
      </c>
      <c r="C130" s="2" t="s">
        <v>8375</v>
      </c>
      <c r="D130" s="3">
        <v>19.739999999999998</v>
      </c>
      <c r="E130" s="3">
        <v>0</v>
      </c>
      <c r="F130" s="3">
        <v>0</v>
      </c>
      <c r="G130" s="3">
        <v>0</v>
      </c>
      <c r="H130" s="3">
        <v>43</v>
      </c>
      <c r="I130" s="3">
        <v>0.82799999999999996</v>
      </c>
      <c r="J130" s="3">
        <v>0.89700000000000002</v>
      </c>
      <c r="K130" s="3">
        <v>0.122</v>
      </c>
    </row>
    <row r="131" spans="2:11" x14ac:dyDescent="0.25">
      <c r="B131" s="2" t="s">
        <v>8376</v>
      </c>
      <c r="C131" s="2" t="s">
        <v>8377</v>
      </c>
      <c r="D131" s="3">
        <v>30.56</v>
      </c>
      <c r="E131" s="3">
        <v>0</v>
      </c>
      <c r="F131" s="3">
        <v>0</v>
      </c>
      <c r="G131" s="3">
        <v>0</v>
      </c>
      <c r="H131" s="3">
        <v>50</v>
      </c>
      <c r="I131" s="3">
        <v>1.125</v>
      </c>
      <c r="J131" s="3">
        <v>1.353</v>
      </c>
      <c r="K131" s="3">
        <v>0.13700000000000001</v>
      </c>
    </row>
    <row r="132" spans="2:11" x14ac:dyDescent="0.25">
      <c r="B132" s="2" t="s">
        <v>8378</v>
      </c>
      <c r="C132" s="2" t="s">
        <v>8379</v>
      </c>
      <c r="D132" s="3">
        <v>2.89</v>
      </c>
      <c r="E132" s="3">
        <v>33.880000000000003</v>
      </c>
      <c r="F132" s="3">
        <v>17</v>
      </c>
      <c r="G132" s="3">
        <v>14.22</v>
      </c>
      <c r="H132" s="3">
        <v>2</v>
      </c>
    </row>
    <row r="133" spans="2:11" x14ac:dyDescent="0.25">
      <c r="B133" s="2" t="s">
        <v>8380</v>
      </c>
      <c r="C133" s="2" t="s">
        <v>8381</v>
      </c>
      <c r="D133" s="3">
        <v>77.27</v>
      </c>
      <c r="E133" s="3">
        <v>0</v>
      </c>
      <c r="F133" s="3">
        <v>0</v>
      </c>
      <c r="G133" s="3">
        <v>0</v>
      </c>
      <c r="H133" s="3">
        <v>2850</v>
      </c>
      <c r="I133" s="3">
        <v>0.82899999999999996</v>
      </c>
      <c r="J133" s="3">
        <v>1.228</v>
      </c>
      <c r="K133" s="3">
        <v>1.7390000000000001</v>
      </c>
    </row>
    <row r="134" spans="2:11" x14ac:dyDescent="0.25">
      <c r="B134" s="2" t="s">
        <v>8382</v>
      </c>
      <c r="C134" s="2" t="s">
        <v>8383</v>
      </c>
      <c r="D134" s="3">
        <v>21.11</v>
      </c>
      <c r="E134" s="3">
        <v>0</v>
      </c>
      <c r="F134" s="3">
        <v>0</v>
      </c>
      <c r="G134" s="3">
        <v>0</v>
      </c>
      <c r="H134" s="3">
        <v>118</v>
      </c>
      <c r="I134" s="3">
        <v>1.53</v>
      </c>
      <c r="J134" s="3">
        <v>2.2229999999999999</v>
      </c>
      <c r="K134" s="3">
        <v>1.2250000000000001</v>
      </c>
    </row>
    <row r="135" spans="2:11" x14ac:dyDescent="0.25">
      <c r="B135" s="2" t="s">
        <v>8384</v>
      </c>
      <c r="C135" s="2" t="s">
        <v>8385</v>
      </c>
      <c r="D135" s="3">
        <v>6.81</v>
      </c>
      <c r="E135" s="3">
        <v>9.2200000000000006</v>
      </c>
      <c r="F135" s="3">
        <v>0.7</v>
      </c>
      <c r="G135" s="3">
        <v>0.34</v>
      </c>
      <c r="H135" s="3">
        <v>130</v>
      </c>
      <c r="I135" s="3">
        <v>1.28</v>
      </c>
      <c r="J135" s="3">
        <v>1.68</v>
      </c>
      <c r="K135" s="3">
        <v>0.29699999999999999</v>
      </c>
    </row>
    <row r="136" spans="2:11" x14ac:dyDescent="0.25">
      <c r="B136" s="2" t="s">
        <v>8386</v>
      </c>
      <c r="C136" s="2" t="s">
        <v>8387</v>
      </c>
      <c r="D136" s="3">
        <v>14.48</v>
      </c>
      <c r="E136" s="3">
        <v>66.27</v>
      </c>
      <c r="F136" s="3">
        <v>20.5</v>
      </c>
      <c r="G136" s="3">
        <v>21.32</v>
      </c>
      <c r="H136" s="3">
        <v>4</v>
      </c>
      <c r="I136" s="3">
        <v>1.974</v>
      </c>
      <c r="J136" s="3">
        <v>3.75</v>
      </c>
      <c r="K136" s="3">
        <v>4.5430000000000001</v>
      </c>
    </row>
    <row r="137" spans="2:11" x14ac:dyDescent="0.25">
      <c r="B137" s="2" t="s">
        <v>8388</v>
      </c>
      <c r="C137" s="2" t="s">
        <v>8389</v>
      </c>
      <c r="D137" s="3">
        <v>56.19</v>
      </c>
      <c r="E137" s="3">
        <v>0</v>
      </c>
      <c r="F137" s="3">
        <v>0</v>
      </c>
      <c r="G137" s="3">
        <v>0</v>
      </c>
      <c r="H137" s="3">
        <v>420</v>
      </c>
      <c r="I137" s="3">
        <v>3.59</v>
      </c>
      <c r="J137" s="3">
        <v>6.86</v>
      </c>
      <c r="K137" s="3">
        <v>2.8839999999999999</v>
      </c>
    </row>
    <row r="138" spans="2:11" x14ac:dyDescent="0.25">
      <c r="B138" s="2" t="s">
        <v>8390</v>
      </c>
      <c r="C138" s="2" t="s">
        <v>8391</v>
      </c>
      <c r="D138" s="3">
        <v>8.3800000000000008</v>
      </c>
      <c r="E138" s="3">
        <v>46.01</v>
      </c>
      <c r="F138" s="3">
        <v>1.7</v>
      </c>
      <c r="G138" s="3">
        <v>1.54</v>
      </c>
      <c r="H138" s="3">
        <v>671</v>
      </c>
      <c r="I138" s="3">
        <v>3.6309999999999998</v>
      </c>
      <c r="J138" s="3">
        <v>3.5</v>
      </c>
      <c r="K138" s="3">
        <v>1.306</v>
      </c>
    </row>
    <row r="139" spans="2:11" x14ac:dyDescent="0.25">
      <c r="B139" s="2" t="s">
        <v>8392</v>
      </c>
      <c r="C139" s="2" t="s">
        <v>8393</v>
      </c>
      <c r="D139" s="3">
        <v>7.91</v>
      </c>
      <c r="E139" s="3">
        <v>29.35</v>
      </c>
      <c r="F139" s="3">
        <v>1.5</v>
      </c>
      <c r="G139" s="3">
        <v>1.79</v>
      </c>
      <c r="H139" s="3">
        <v>511</v>
      </c>
      <c r="I139" s="3">
        <v>3.3660000000000001</v>
      </c>
      <c r="J139" s="3">
        <v>3.3450000000000002</v>
      </c>
      <c r="K139" s="3">
        <v>0.86399999999999999</v>
      </c>
    </row>
    <row r="140" spans="2:11" x14ac:dyDescent="0.25">
      <c r="B140" s="2" t="s">
        <v>8394</v>
      </c>
      <c r="C140" s="2" t="s">
        <v>8395</v>
      </c>
      <c r="D140" s="3">
        <v>9</v>
      </c>
      <c r="E140" s="3">
        <v>53.26</v>
      </c>
      <c r="F140" s="3">
        <v>2.6</v>
      </c>
      <c r="G140" s="3">
        <v>3.01</v>
      </c>
      <c r="H140" s="3">
        <v>810</v>
      </c>
      <c r="I140" s="3">
        <v>0.27</v>
      </c>
      <c r="J140" s="3">
        <v>0.12</v>
      </c>
      <c r="K140" s="3">
        <v>0.59</v>
      </c>
    </row>
    <row r="141" spans="2:11" x14ac:dyDescent="0.25">
      <c r="B141" s="2" t="s">
        <v>8396</v>
      </c>
      <c r="C141" s="2" t="s">
        <v>8397</v>
      </c>
      <c r="D141" s="3">
        <v>22.13</v>
      </c>
      <c r="E141" s="3">
        <v>0</v>
      </c>
      <c r="F141" s="3">
        <v>0</v>
      </c>
      <c r="G141" s="3">
        <v>0</v>
      </c>
      <c r="H141" s="3">
        <v>86</v>
      </c>
      <c r="I141" s="3">
        <v>0.498</v>
      </c>
      <c r="J141" s="3">
        <v>0.84199999999999997</v>
      </c>
      <c r="K141" s="3">
        <v>0.73099999999999998</v>
      </c>
    </row>
    <row r="142" spans="2:11" x14ac:dyDescent="0.25">
      <c r="B142" s="2" t="s">
        <v>8398</v>
      </c>
      <c r="C142" s="2" t="s">
        <v>8399</v>
      </c>
      <c r="D142" s="3">
        <v>60.62</v>
      </c>
      <c r="E142" s="3">
        <v>0</v>
      </c>
      <c r="F142" s="3">
        <v>0</v>
      </c>
      <c r="G142" s="3">
        <v>0</v>
      </c>
      <c r="H142" s="3">
        <v>51</v>
      </c>
      <c r="I142" s="3">
        <v>2.593</v>
      </c>
      <c r="J142" s="3">
        <v>4.0250000000000004</v>
      </c>
      <c r="K142" s="3">
        <v>3.4689999999999999</v>
      </c>
    </row>
    <row r="143" spans="2:11" x14ac:dyDescent="0.25">
      <c r="B143" s="2" t="s">
        <v>8400</v>
      </c>
      <c r="C143" s="2" t="s">
        <v>8401</v>
      </c>
      <c r="D143" s="3">
        <v>0.52</v>
      </c>
      <c r="E143" s="3">
        <v>16.23</v>
      </c>
      <c r="F143" s="3">
        <v>6.6</v>
      </c>
      <c r="G143" s="3">
        <v>2.58</v>
      </c>
      <c r="H143" s="3">
        <v>14</v>
      </c>
    </row>
    <row r="144" spans="2:11" x14ac:dyDescent="0.25">
      <c r="B144" s="2" t="s">
        <v>8402</v>
      </c>
      <c r="C144" s="2" t="s">
        <v>8403</v>
      </c>
      <c r="D144" s="3">
        <v>0.99</v>
      </c>
      <c r="E144" s="3">
        <v>32</v>
      </c>
      <c r="F144" s="3">
        <v>10.6</v>
      </c>
      <c r="G144" s="3">
        <v>20.87</v>
      </c>
      <c r="H144" s="3">
        <v>13</v>
      </c>
    </row>
    <row r="145" spans="2:11" x14ac:dyDescent="0.25">
      <c r="B145" s="2" t="s">
        <v>8404</v>
      </c>
      <c r="C145" s="2" t="s">
        <v>8405</v>
      </c>
      <c r="D145" s="3">
        <v>1.71</v>
      </c>
      <c r="E145" s="3">
        <v>81.98</v>
      </c>
      <c r="F145" s="3">
        <v>15.6</v>
      </c>
      <c r="G145" s="3">
        <v>50.7</v>
      </c>
      <c r="H145" s="3">
        <v>14</v>
      </c>
    </row>
    <row r="146" spans="2:11" x14ac:dyDescent="0.25">
      <c r="B146" s="2" t="s">
        <v>8406</v>
      </c>
      <c r="C146" s="2" t="s">
        <v>8407</v>
      </c>
      <c r="D146" s="3">
        <v>1.18</v>
      </c>
      <c r="E146" s="3">
        <v>5.14</v>
      </c>
      <c r="F146" s="3">
        <v>4.5</v>
      </c>
      <c r="G146" s="3">
        <v>0.22</v>
      </c>
      <c r="H146" s="3">
        <v>109</v>
      </c>
    </row>
    <row r="147" spans="2:11" x14ac:dyDescent="0.25">
      <c r="B147" s="2" t="s">
        <v>8408</v>
      </c>
      <c r="C147" s="2" t="s">
        <v>8409</v>
      </c>
      <c r="D147" s="3">
        <v>4.21</v>
      </c>
      <c r="E147" s="3">
        <v>6.96</v>
      </c>
      <c r="F147" s="3">
        <v>6.3</v>
      </c>
      <c r="H147" s="3">
        <v>7</v>
      </c>
    </row>
    <row r="148" spans="2:11" x14ac:dyDescent="0.25">
      <c r="B148" s="2" t="s">
        <v>8410</v>
      </c>
      <c r="C148" s="2" t="s">
        <v>8411</v>
      </c>
      <c r="D148" s="3">
        <v>4.0599999999999996</v>
      </c>
      <c r="E148" s="3">
        <v>7.47</v>
      </c>
      <c r="F148" s="3">
        <v>5.2</v>
      </c>
      <c r="H148" s="3">
        <v>4</v>
      </c>
    </row>
    <row r="149" spans="2:11" x14ac:dyDescent="0.25">
      <c r="B149" s="2" t="s">
        <v>8412</v>
      </c>
      <c r="C149" s="2" t="s">
        <v>8413</v>
      </c>
      <c r="D149" s="3">
        <v>0.12</v>
      </c>
      <c r="E149" s="3">
        <v>10.17</v>
      </c>
      <c r="F149" s="3">
        <v>5.3</v>
      </c>
      <c r="G149" s="3">
        <v>1.02</v>
      </c>
      <c r="H149" s="3">
        <v>4</v>
      </c>
    </row>
    <row r="150" spans="2:11" x14ac:dyDescent="0.25">
      <c r="B150" s="2" t="s">
        <v>8414</v>
      </c>
      <c r="C150" s="2" t="s">
        <v>8415</v>
      </c>
      <c r="D150" s="3">
        <v>0.39</v>
      </c>
      <c r="E150" s="3">
        <v>21.57</v>
      </c>
    </row>
    <row r="151" spans="2:11" x14ac:dyDescent="0.25">
      <c r="B151" s="2" t="s">
        <v>8416</v>
      </c>
      <c r="C151" s="2" t="s">
        <v>8417</v>
      </c>
      <c r="D151" s="3">
        <v>2.62</v>
      </c>
      <c r="E151" s="3">
        <v>35.67</v>
      </c>
      <c r="F151" s="3">
        <v>8</v>
      </c>
      <c r="G151" s="3">
        <v>0.82</v>
      </c>
      <c r="H151" s="3">
        <v>5</v>
      </c>
    </row>
    <row r="152" spans="2:11" x14ac:dyDescent="0.25">
      <c r="B152" s="2" t="s">
        <v>8418</v>
      </c>
      <c r="C152" s="2" t="s">
        <v>8419</v>
      </c>
      <c r="D152" s="3">
        <v>1.64</v>
      </c>
      <c r="E152" s="3">
        <v>29.99</v>
      </c>
      <c r="F152" s="3">
        <v>7.2</v>
      </c>
      <c r="G152" s="3">
        <v>4.74</v>
      </c>
      <c r="H152" s="3">
        <v>4</v>
      </c>
    </row>
    <row r="153" spans="2:11" x14ac:dyDescent="0.25">
      <c r="B153" s="2" t="s">
        <v>8420</v>
      </c>
      <c r="C153" s="2" t="s">
        <v>8421</v>
      </c>
      <c r="D153" s="3">
        <v>1.1200000000000001</v>
      </c>
      <c r="E153" s="3">
        <v>13.85</v>
      </c>
      <c r="F153" s="3">
        <v>7.5</v>
      </c>
      <c r="G153" s="3">
        <v>5.54</v>
      </c>
      <c r="H153" s="3">
        <v>4</v>
      </c>
    </row>
    <row r="154" spans="2:11" x14ac:dyDescent="0.25">
      <c r="B154" s="2" t="s">
        <v>8422</v>
      </c>
      <c r="C154" s="2" t="s">
        <v>8423</v>
      </c>
      <c r="D154" s="3">
        <v>1.6</v>
      </c>
      <c r="E154" s="3">
        <v>38.22</v>
      </c>
      <c r="F154" s="3">
        <v>24.1</v>
      </c>
      <c r="G154" s="3">
        <v>2.58</v>
      </c>
      <c r="H154" s="3">
        <v>4</v>
      </c>
    </row>
    <row r="155" spans="2:11" x14ac:dyDescent="0.25">
      <c r="B155" s="2" t="s">
        <v>8424</v>
      </c>
      <c r="C155" s="2" t="s">
        <v>8425</v>
      </c>
      <c r="D155" s="3">
        <v>3.04</v>
      </c>
      <c r="E155" s="3">
        <v>33.619999999999997</v>
      </c>
      <c r="F155" s="3">
        <v>20</v>
      </c>
      <c r="G155" s="3">
        <v>9.3699999999999992</v>
      </c>
      <c r="H155" s="3">
        <v>5</v>
      </c>
    </row>
    <row r="156" spans="2:11" x14ac:dyDescent="0.25">
      <c r="B156" s="2" t="s">
        <v>8426</v>
      </c>
      <c r="C156" s="2" t="s">
        <v>8427</v>
      </c>
      <c r="D156" s="3">
        <v>2.71</v>
      </c>
      <c r="E156" s="3">
        <v>7.49</v>
      </c>
      <c r="F156" s="3">
        <v>6.9</v>
      </c>
      <c r="G156" s="3">
        <v>0.25</v>
      </c>
      <c r="H156" s="3">
        <v>4</v>
      </c>
    </row>
    <row r="157" spans="2:11" x14ac:dyDescent="0.25">
      <c r="B157" s="2" t="s">
        <v>8428</v>
      </c>
      <c r="C157" s="2" t="s">
        <v>8429</v>
      </c>
      <c r="D157" s="3">
        <v>0.43</v>
      </c>
      <c r="E157" s="3">
        <v>21.95</v>
      </c>
      <c r="F157" s="3">
        <v>6</v>
      </c>
      <c r="G157" s="3">
        <v>10.61</v>
      </c>
      <c r="H157" s="3">
        <v>4</v>
      </c>
    </row>
    <row r="158" spans="2:11" x14ac:dyDescent="0.25">
      <c r="B158" s="2" t="s">
        <v>8430</v>
      </c>
      <c r="C158" s="2" t="s">
        <v>8431</v>
      </c>
      <c r="D158" s="3">
        <v>7.41</v>
      </c>
      <c r="E158" s="3">
        <v>51.06</v>
      </c>
      <c r="F158" s="3">
        <v>43.4</v>
      </c>
      <c r="H158" s="3">
        <v>310</v>
      </c>
      <c r="I158" s="3">
        <v>3.21</v>
      </c>
      <c r="J158" s="3">
        <v>15.57</v>
      </c>
      <c r="K158" s="3">
        <v>14.42</v>
      </c>
    </row>
    <row r="159" spans="2:11" x14ac:dyDescent="0.25">
      <c r="B159" s="2" t="s">
        <v>8432</v>
      </c>
      <c r="C159" s="2" t="s">
        <v>8433</v>
      </c>
      <c r="D159" s="3">
        <v>28.81</v>
      </c>
      <c r="E159" s="3">
        <v>0</v>
      </c>
      <c r="F159" s="3">
        <v>0</v>
      </c>
      <c r="G159" s="3">
        <v>0</v>
      </c>
      <c r="H159" s="3">
        <v>45</v>
      </c>
      <c r="I159" s="3">
        <v>1.88</v>
      </c>
      <c r="J159" s="3">
        <v>1.4950000000000001</v>
      </c>
      <c r="K159" s="3">
        <v>0.72499999999999998</v>
      </c>
    </row>
    <row r="160" spans="2:11" x14ac:dyDescent="0.25">
      <c r="B160" s="2" t="s">
        <v>8434</v>
      </c>
      <c r="C160" s="2" t="s">
        <v>8435</v>
      </c>
      <c r="D160" s="3">
        <v>9</v>
      </c>
      <c r="E160" s="3">
        <v>10.5</v>
      </c>
      <c r="H160" s="3">
        <v>24</v>
      </c>
      <c r="I160" s="3">
        <v>8.6</v>
      </c>
      <c r="J160" s="3">
        <v>15.6</v>
      </c>
      <c r="K160" s="3">
        <v>17.3</v>
      </c>
    </row>
    <row r="161" spans="2:11" x14ac:dyDescent="0.25">
      <c r="B161" s="2" t="s">
        <v>8436</v>
      </c>
      <c r="C161" s="2" t="s">
        <v>8437</v>
      </c>
      <c r="D161" s="3">
        <v>22.9</v>
      </c>
      <c r="E161" s="3">
        <v>0</v>
      </c>
      <c r="H161" s="3">
        <v>88</v>
      </c>
      <c r="I161" s="3">
        <v>1.3</v>
      </c>
      <c r="J161" s="3">
        <v>0.9</v>
      </c>
      <c r="K161" s="3">
        <v>0.2</v>
      </c>
    </row>
    <row r="162" spans="2:11" x14ac:dyDescent="0.25">
      <c r="B162" s="2" t="s">
        <v>8438</v>
      </c>
      <c r="C162" s="2" t="s">
        <v>8439</v>
      </c>
      <c r="D162" s="3">
        <v>18.100000000000001</v>
      </c>
      <c r="E162" s="3">
        <v>1.4</v>
      </c>
      <c r="H162" s="3">
        <v>231</v>
      </c>
      <c r="I162" s="3">
        <v>0.3</v>
      </c>
      <c r="J162" s="3">
        <v>0.3</v>
      </c>
      <c r="K162" s="3">
        <v>0.3</v>
      </c>
    </row>
    <row r="163" spans="2:11" x14ac:dyDescent="0.25">
      <c r="B163" s="2" t="s">
        <v>8440</v>
      </c>
      <c r="C163" s="2" t="s">
        <v>8441</v>
      </c>
      <c r="D163" s="3">
        <v>17</v>
      </c>
      <c r="E163" s="3">
        <v>1</v>
      </c>
      <c r="H163" s="3">
        <v>115</v>
      </c>
    </row>
    <row r="164" spans="2:11" x14ac:dyDescent="0.25">
      <c r="B164" s="2" t="s">
        <v>8442</v>
      </c>
      <c r="C164" s="2" t="s">
        <v>8443</v>
      </c>
      <c r="D164" s="3">
        <v>25.85</v>
      </c>
      <c r="E164" s="3">
        <v>0</v>
      </c>
      <c r="H164" s="3">
        <v>62</v>
      </c>
      <c r="J164" s="3">
        <v>0.1</v>
      </c>
    </row>
    <row r="165" spans="2:11" x14ac:dyDescent="0.25">
      <c r="B165" s="2" t="s">
        <v>8444</v>
      </c>
      <c r="C165" s="2" t="s">
        <v>8445</v>
      </c>
      <c r="D165" s="3">
        <v>22.1</v>
      </c>
      <c r="E165" s="3">
        <v>5.55</v>
      </c>
      <c r="H165" s="3">
        <v>80</v>
      </c>
      <c r="I165" s="3">
        <v>2.9</v>
      </c>
      <c r="J165" s="3">
        <v>3.3</v>
      </c>
      <c r="K165" s="3">
        <v>3</v>
      </c>
    </row>
    <row r="166" spans="2:11" x14ac:dyDescent="0.25">
      <c r="B166" s="2" t="s">
        <v>8446</v>
      </c>
      <c r="C166" s="2" t="s">
        <v>8447</v>
      </c>
      <c r="D166" s="3">
        <v>0.9</v>
      </c>
      <c r="E166" s="3">
        <v>0</v>
      </c>
    </row>
    <row r="167" spans="2:11" x14ac:dyDescent="0.25">
      <c r="B167" s="2" t="s">
        <v>8448</v>
      </c>
      <c r="C167" s="2" t="s">
        <v>8449</v>
      </c>
      <c r="D167" s="3">
        <v>7.9</v>
      </c>
      <c r="E167" s="3">
        <v>80.02</v>
      </c>
      <c r="F167" s="3">
        <v>19.2</v>
      </c>
      <c r="G167" s="3">
        <v>0.43</v>
      </c>
      <c r="H167" s="3">
        <v>25</v>
      </c>
      <c r="I167" s="3">
        <v>0.14699999999999999</v>
      </c>
      <c r="J167" s="3">
        <v>0.1</v>
      </c>
      <c r="K167" s="3">
        <v>0.161</v>
      </c>
    </row>
    <row r="168" spans="2:11" x14ac:dyDescent="0.25">
      <c r="B168" s="2" t="s">
        <v>8450</v>
      </c>
      <c r="C168" s="2" t="s">
        <v>8451</v>
      </c>
      <c r="D168" s="3">
        <v>14.89</v>
      </c>
      <c r="E168" s="3">
        <v>22.98</v>
      </c>
      <c r="F168" s="3">
        <v>9.8000000000000007</v>
      </c>
      <c r="H168" s="3">
        <v>2</v>
      </c>
    </row>
    <row r="169" spans="2:11" x14ac:dyDescent="0.25">
      <c r="B169" s="2" t="s">
        <v>8452</v>
      </c>
      <c r="C169" s="2" t="s">
        <v>8453</v>
      </c>
      <c r="D169" s="3">
        <v>9.06</v>
      </c>
      <c r="E169" s="3">
        <v>72.22</v>
      </c>
      <c r="F169" s="3">
        <v>9.1999999999999993</v>
      </c>
      <c r="G169" s="3">
        <v>1.6</v>
      </c>
      <c r="H169" s="3">
        <v>60</v>
      </c>
      <c r="I169" s="3">
        <v>0.81899999999999995</v>
      </c>
      <c r="J169" s="3">
        <v>1.7829999999999999</v>
      </c>
      <c r="K169" s="3">
        <v>1.623</v>
      </c>
    </row>
    <row r="170" spans="2:11" x14ac:dyDescent="0.25">
      <c r="B170" s="2" t="s">
        <v>8454</v>
      </c>
      <c r="C170" s="2" t="s">
        <v>8455</v>
      </c>
      <c r="D170" s="3">
        <v>0.69</v>
      </c>
      <c r="E170" s="3">
        <v>7.06</v>
      </c>
      <c r="F170" s="3">
        <v>2.2999999999999998</v>
      </c>
      <c r="G170" s="3">
        <v>0</v>
      </c>
      <c r="H170" s="3">
        <v>10</v>
      </c>
      <c r="I170" s="3">
        <v>4.1000000000000002E-2</v>
      </c>
      <c r="J170" s="3">
        <v>1.6E-2</v>
      </c>
      <c r="K170" s="3">
        <v>4.9000000000000002E-2</v>
      </c>
    </row>
    <row r="171" spans="2:11" x14ac:dyDescent="0.25">
      <c r="B171" s="2" t="s">
        <v>8456</v>
      </c>
      <c r="C171" s="2" t="s">
        <v>8457</v>
      </c>
      <c r="D171" s="3">
        <v>1.42</v>
      </c>
      <c r="E171" s="3">
        <v>5.38</v>
      </c>
      <c r="F171" s="3">
        <v>1.5</v>
      </c>
      <c r="G171" s="3">
        <v>0</v>
      </c>
      <c r="H171" s="3">
        <v>45</v>
      </c>
      <c r="I171" s="3">
        <v>8.5000000000000006E-2</v>
      </c>
      <c r="J171" s="3">
        <v>0.08</v>
      </c>
      <c r="K171" s="3">
        <v>0.122</v>
      </c>
    </row>
    <row r="172" spans="2:11" x14ac:dyDescent="0.25">
      <c r="B172" s="2" t="s">
        <v>8458</v>
      </c>
      <c r="C172" s="2" t="s">
        <v>8459</v>
      </c>
      <c r="D172" s="3">
        <v>13.19</v>
      </c>
      <c r="E172" s="3">
        <v>18.28</v>
      </c>
      <c r="F172" s="3">
        <v>3.3</v>
      </c>
      <c r="G172" s="3">
        <v>1.57</v>
      </c>
      <c r="H172" s="3">
        <v>298</v>
      </c>
      <c r="I172" s="3">
        <v>1.383</v>
      </c>
      <c r="J172" s="3">
        <v>1.649</v>
      </c>
      <c r="K172" s="3">
        <v>1.0089999999999999</v>
      </c>
    </row>
    <row r="173" spans="2:11" x14ac:dyDescent="0.25">
      <c r="B173" s="2" t="s">
        <v>8460</v>
      </c>
      <c r="C173" s="2" t="s">
        <v>8461</v>
      </c>
      <c r="D173" s="3">
        <v>0.12</v>
      </c>
      <c r="E173" s="3">
        <v>0</v>
      </c>
      <c r="H173" s="3">
        <v>27</v>
      </c>
    </row>
    <row r="174" spans="2:11" x14ac:dyDescent="0.25">
      <c r="B174" s="2" t="s">
        <v>8462</v>
      </c>
      <c r="C174" s="2" t="s">
        <v>8463</v>
      </c>
      <c r="D174" s="3">
        <v>7.83</v>
      </c>
      <c r="E174" s="3">
        <v>58.12</v>
      </c>
      <c r="F174" s="3">
        <v>3.4</v>
      </c>
      <c r="G174" s="3">
        <v>2.97</v>
      </c>
      <c r="H174" s="3">
        <v>663</v>
      </c>
      <c r="I174" s="3">
        <v>0.28699999999999998</v>
      </c>
      <c r="J174" s="3">
        <v>0.22900000000000001</v>
      </c>
      <c r="K174" s="3">
        <v>0.68899999999999995</v>
      </c>
    </row>
    <row r="175" spans="2:11" x14ac:dyDescent="0.25">
      <c r="B175" s="2" t="s">
        <v>8464</v>
      </c>
      <c r="C175" s="2" t="s">
        <v>8465</v>
      </c>
      <c r="D175" s="3">
        <v>3.1</v>
      </c>
      <c r="E175" s="3">
        <v>39.840000000000003</v>
      </c>
      <c r="F175" s="3">
        <v>3.6</v>
      </c>
      <c r="G175" s="3">
        <v>12.94</v>
      </c>
      <c r="H175" s="3">
        <v>9</v>
      </c>
      <c r="I175" s="3">
        <v>0.28899999999999998</v>
      </c>
      <c r="J175" s="3">
        <v>0.34699999999999998</v>
      </c>
      <c r="K175" s="3">
        <v>0.77900000000000003</v>
      </c>
    </row>
    <row r="176" spans="2:11" x14ac:dyDescent="0.25">
      <c r="B176" s="2"/>
      <c r="C176" s="2"/>
      <c r="D176" s="3"/>
      <c r="E176" s="3"/>
      <c r="G176" s="3"/>
      <c r="H176" s="3"/>
      <c r="I176" s="3"/>
      <c r="J176" s="3"/>
      <c r="K176" s="3"/>
    </row>
  </sheetData>
  <mergeCells count="1">
    <mergeCell ref="D9:K9"/>
  </mergeCells>
  <phoneticPr fontId="5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38565-C48B-774D-AAA9-F59A0D1C8BA3}">
  <sheetPr codeName="Sheet27"/>
  <dimension ref="A1:K119"/>
  <sheetViews>
    <sheetView topLeftCell="A88" workbookViewId="0">
      <selection activeCell="C24" sqref="C24"/>
    </sheetView>
  </sheetViews>
  <sheetFormatPr defaultColWidth="11" defaultRowHeight="15.75" x14ac:dyDescent="0.25"/>
  <cols>
    <col min="3" max="3" width="55" bestFit="1" customWidth="1"/>
  </cols>
  <sheetData>
    <row r="1" spans="1:11" x14ac:dyDescent="0.25">
      <c r="A1" s="10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</row>
    <row r="2" spans="1:11" x14ac:dyDescent="0.25">
      <c r="A2" s="10"/>
      <c r="B2" s="5" t="s">
        <v>0</v>
      </c>
      <c r="C2" s="5" t="s">
        <v>1</v>
      </c>
      <c r="D2" s="18" t="s">
        <v>2</v>
      </c>
      <c r="E2" s="5" t="s">
        <v>3</v>
      </c>
      <c r="F2" s="5" t="s">
        <v>420</v>
      </c>
      <c r="G2" s="5" t="s">
        <v>5</v>
      </c>
      <c r="H2" s="5" t="s">
        <v>6</v>
      </c>
      <c r="I2" s="5" t="s">
        <v>7</v>
      </c>
      <c r="J2" s="5" t="s">
        <v>421</v>
      </c>
      <c r="K2" s="5" t="s">
        <v>9</v>
      </c>
    </row>
    <row r="3" spans="1:11" x14ac:dyDescent="0.25">
      <c r="A3" s="10">
        <v>1</v>
      </c>
      <c r="B3" s="10" t="str" cm="1">
        <f t="array" ref="B3">INDEX($B$11:$K$208, $A$3, B1)</f>
        <v>36000</v>
      </c>
      <c r="C3" s="10" t="str" cm="1">
        <f t="array" ref="C3">INDEX($B$11:$K$208, $A$3, C1)</f>
        <v>APPLEBEE'S,9 OZ HOUSE SIRLOIN STEAK</v>
      </c>
      <c r="D3" s="10" cm="1">
        <f t="array" ref="D3">INDEX($B$11:$K$74, $A$3, D1)</f>
        <v>26.85</v>
      </c>
      <c r="E3" s="10" cm="1">
        <f t="array" ref="E3">INDEX($B$11:$K$74, $A$3, E1)</f>
        <v>0</v>
      </c>
      <c r="F3" s="10" cm="1">
        <f t="array" ref="F3">INDEX($B$11:$K$74, $A$3, F1)</f>
        <v>0</v>
      </c>
      <c r="G3" s="10" cm="1">
        <f t="array" ref="G3">INDEX($B$11:$K$74, $A$3, G1)</f>
        <v>0</v>
      </c>
      <c r="H3" s="10" cm="1">
        <f t="array" ref="H3">INDEX($B$11:$K$74, $A$3, H1)</f>
        <v>604</v>
      </c>
      <c r="I3" s="10" cm="1">
        <f t="array" ref="I3">INDEX($B$11:$K$74, $A$3, I1)</f>
        <v>3.4769999999999999</v>
      </c>
      <c r="J3" s="10" cm="1">
        <f t="array" ref="J3">INDEX($B$11:$K$74, $A$3, J1)</f>
        <v>4.3499999999999996</v>
      </c>
      <c r="K3" s="10" cm="1">
        <f t="array" ref="K3">INDEX($B$11:$K$74, $A$3, K1)</f>
        <v>0.53200000000000003</v>
      </c>
    </row>
    <row r="4" spans="1:11" x14ac:dyDescent="0.25">
      <c r="A4" s="10"/>
      <c r="B4" s="10"/>
      <c r="C4" s="11" t="s">
        <v>406</v>
      </c>
      <c r="D4" s="12">
        <f>SUMPRODUCT($A$11:$A$74, D11:D74)</f>
        <v>9.1318986790945598</v>
      </c>
      <c r="E4" s="12">
        <f>SUMPRODUCT($A$11:$A$74, E11:E74)</f>
        <v>7.3150499529863788</v>
      </c>
      <c r="F4" s="10">
        <f>SUMPRODUCT($A$11:$A$74, F11:F74)</f>
        <v>0.53611929622864352</v>
      </c>
      <c r="G4" s="10">
        <f t="shared" ref="G4:K4" si="0">SUMPRODUCT($A$11:$A$208, G11:G208)</f>
        <v>1.8564677642898257</v>
      </c>
      <c r="H4" s="12">
        <f t="shared" si="0"/>
        <v>449.13582873864061</v>
      </c>
      <c r="I4" s="12">
        <f t="shared" si="0"/>
        <v>2.5855054247090288</v>
      </c>
      <c r="J4" s="12">
        <f t="shared" si="0"/>
        <v>5.4653297102432328</v>
      </c>
      <c r="K4" s="10">
        <f t="shared" si="0"/>
        <v>4.2593866408285503</v>
      </c>
    </row>
    <row r="5" spans="1:11" x14ac:dyDescent="0.25">
      <c r="A5" s="10">
        <f>A7-A6</f>
        <v>0.51279526907735196</v>
      </c>
      <c r="B5" s="13" t="s">
        <v>407</v>
      </c>
      <c r="C5" s="10"/>
      <c r="D5" s="14" t="s">
        <v>408</v>
      </c>
      <c r="E5" s="14" t="s">
        <v>409</v>
      </c>
      <c r="F5" s="6" t="s">
        <v>410</v>
      </c>
      <c r="G5" s="6" t="s">
        <v>411</v>
      </c>
      <c r="H5" s="14" t="s">
        <v>412</v>
      </c>
      <c r="I5" s="14" t="s">
        <v>412</v>
      </c>
      <c r="J5" s="7" t="s">
        <v>411</v>
      </c>
      <c r="K5" s="15" t="s">
        <v>409</v>
      </c>
    </row>
    <row r="6" spans="1:11" x14ac:dyDescent="0.25">
      <c r="A6" s="10">
        <v>0.74360236546132408</v>
      </c>
      <c r="B6" s="13" t="s">
        <v>413</v>
      </c>
      <c r="C6" s="11" t="s">
        <v>414</v>
      </c>
      <c r="D6" s="19">
        <f>A6*D3</f>
        <v>19.965723512636554</v>
      </c>
      <c r="E6" s="12">
        <f>A7*E3</f>
        <v>0</v>
      </c>
      <c r="F6" s="10">
        <f>A6*F3</f>
        <v>0</v>
      </c>
      <c r="G6" s="10">
        <f>A7*G3</f>
        <v>0</v>
      </c>
      <c r="H6" s="12">
        <f>A6*H3</f>
        <v>449.13582873863976</v>
      </c>
      <c r="I6" s="12">
        <f>A6*I3</f>
        <v>2.5855054247090239</v>
      </c>
      <c r="J6" s="12">
        <f>A7*J3</f>
        <v>5.4653297102432399</v>
      </c>
      <c r="K6" s="10">
        <f>A7*K3</f>
        <v>0.66840354157457571</v>
      </c>
    </row>
    <row r="7" spans="1:11" x14ac:dyDescent="0.25">
      <c r="A7" s="10">
        <v>1.256397634538676</v>
      </c>
      <c r="B7" s="13" t="s">
        <v>415</v>
      </c>
      <c r="C7" s="11" t="s">
        <v>416</v>
      </c>
      <c r="D7" s="10">
        <f>D4/D3</f>
        <v>0.34010795825305623</v>
      </c>
      <c r="E7" s="10" t="e">
        <f>E4/E3</f>
        <v>#DIV/0!</v>
      </c>
      <c r="F7" s="10" t="e">
        <f t="shared" ref="F7:J7" si="1">F4/F3</f>
        <v>#DIV/0!</v>
      </c>
      <c r="G7" s="10" t="e">
        <f>G4/G3</f>
        <v>#DIV/0!</v>
      </c>
      <c r="H7" s="10">
        <f t="shared" si="1"/>
        <v>0.74360236546132552</v>
      </c>
      <c r="I7" s="10">
        <f t="shared" si="1"/>
        <v>0.74360236546132552</v>
      </c>
      <c r="J7" s="10">
        <f t="shared" si="1"/>
        <v>1.2563976345386743</v>
      </c>
      <c r="K7" s="10">
        <f>K4/K3</f>
        <v>8.0063658662190793</v>
      </c>
    </row>
    <row r="8" spans="1:11" x14ac:dyDescent="0.25">
      <c r="A8" s="10">
        <f>A6+A7</f>
        <v>2</v>
      </c>
      <c r="B8" s="13" t="s">
        <v>417</v>
      </c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5">
      <c r="A9" s="10">
        <f>SUM(A11:A208)</f>
        <v>0.99999999999999967</v>
      </c>
      <c r="B9" s="13" t="s">
        <v>418</v>
      </c>
      <c r="C9" s="10"/>
      <c r="D9" s="34" t="s">
        <v>430</v>
      </c>
      <c r="E9" s="34"/>
      <c r="F9" s="34"/>
      <c r="G9" s="34"/>
      <c r="H9" s="34"/>
      <c r="I9" s="34"/>
      <c r="J9" s="34"/>
      <c r="K9" s="34"/>
    </row>
    <row r="10" spans="1:11" x14ac:dyDescent="0.25">
      <c r="A10" s="1" t="s">
        <v>419</v>
      </c>
      <c r="B10" s="5" t="s">
        <v>0</v>
      </c>
      <c r="C10" s="1" t="s">
        <v>1</v>
      </c>
      <c r="D10" s="18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8</v>
      </c>
      <c r="K10" s="1" t="s">
        <v>9</v>
      </c>
    </row>
    <row r="11" spans="1:11" x14ac:dyDescent="0.25">
      <c r="A11">
        <v>0</v>
      </c>
      <c r="B11" s="2" t="s">
        <v>8466</v>
      </c>
      <c r="C11" s="2" t="s">
        <v>8467</v>
      </c>
      <c r="D11" s="3">
        <v>26.85</v>
      </c>
      <c r="E11" s="3">
        <v>0</v>
      </c>
      <c r="G11" s="3">
        <v>0</v>
      </c>
      <c r="H11" s="3">
        <v>604</v>
      </c>
      <c r="I11" s="3">
        <v>3.4769999999999999</v>
      </c>
      <c r="J11" s="3">
        <v>4.3499999999999996</v>
      </c>
      <c r="K11" s="3">
        <v>0.53200000000000003</v>
      </c>
    </row>
    <row r="12" spans="1:11" x14ac:dyDescent="0.25">
      <c r="A12">
        <v>0</v>
      </c>
      <c r="B12" s="2" t="s">
        <v>8468</v>
      </c>
      <c r="C12" s="2" t="s">
        <v>8469</v>
      </c>
      <c r="D12" s="3">
        <v>12.31</v>
      </c>
      <c r="E12" s="3">
        <v>25.96</v>
      </c>
      <c r="F12" s="3">
        <v>2.6</v>
      </c>
      <c r="G12" s="3">
        <v>1.07</v>
      </c>
      <c r="H12" s="3">
        <v>838</v>
      </c>
      <c r="I12" s="3">
        <v>3.3660000000000001</v>
      </c>
      <c r="J12" s="3">
        <v>4.2350000000000003</v>
      </c>
      <c r="K12" s="3">
        <v>9.6820000000000004</v>
      </c>
    </row>
    <row r="13" spans="1:11" x14ac:dyDescent="0.25">
      <c r="A13">
        <v>0</v>
      </c>
      <c r="B13" s="2" t="s">
        <v>8470</v>
      </c>
      <c r="C13" s="2" t="s">
        <v>8471</v>
      </c>
      <c r="D13" s="3">
        <v>3.31</v>
      </c>
      <c r="E13" s="3">
        <v>39.5</v>
      </c>
      <c r="F13" s="3">
        <v>3.9</v>
      </c>
      <c r="G13" s="3">
        <v>0</v>
      </c>
      <c r="H13" s="3">
        <v>618</v>
      </c>
      <c r="I13" s="3">
        <v>2.3330000000000002</v>
      </c>
      <c r="J13" s="3">
        <v>3.31</v>
      </c>
      <c r="K13" s="3">
        <v>5.8019999999999996</v>
      </c>
    </row>
    <row r="14" spans="1:11" x14ac:dyDescent="0.25">
      <c r="A14">
        <v>0</v>
      </c>
      <c r="B14" s="2" t="s">
        <v>8472</v>
      </c>
      <c r="C14" s="2" t="s">
        <v>8473</v>
      </c>
      <c r="D14" s="3">
        <v>5.01</v>
      </c>
      <c r="E14" s="3">
        <v>21.08</v>
      </c>
      <c r="F14" s="3">
        <v>1.3</v>
      </c>
      <c r="G14" s="3">
        <v>3.7</v>
      </c>
      <c r="H14" s="3">
        <v>288</v>
      </c>
      <c r="I14" s="3">
        <v>1.3120000000000001</v>
      </c>
      <c r="J14" s="3">
        <v>1.9510000000000001</v>
      </c>
      <c r="K14" s="3">
        <v>0.95199999999999996</v>
      </c>
    </row>
    <row r="15" spans="1:11" x14ac:dyDescent="0.25">
      <c r="A15">
        <v>0</v>
      </c>
      <c r="B15" s="2" t="s">
        <v>8474</v>
      </c>
      <c r="C15" s="2" t="s">
        <v>8475</v>
      </c>
      <c r="D15" s="3">
        <v>14.87</v>
      </c>
      <c r="E15" s="3">
        <v>22.87</v>
      </c>
      <c r="F15" s="3">
        <v>2.1</v>
      </c>
      <c r="G15" s="3">
        <v>2.8</v>
      </c>
      <c r="H15" s="3">
        <v>838</v>
      </c>
      <c r="I15" s="3">
        <v>6.73</v>
      </c>
      <c r="J15" s="3">
        <v>4.2169999999999996</v>
      </c>
      <c r="K15" s="3">
        <v>4.58</v>
      </c>
    </row>
    <row r="16" spans="1:11" x14ac:dyDescent="0.25">
      <c r="A16">
        <v>0</v>
      </c>
      <c r="B16" s="2" t="s">
        <v>8476</v>
      </c>
      <c r="C16" s="2" t="s">
        <v>8477</v>
      </c>
      <c r="D16" s="3">
        <v>19.25</v>
      </c>
      <c r="E16" s="3">
        <v>18.36</v>
      </c>
      <c r="F16" s="3">
        <v>1.2</v>
      </c>
      <c r="G16" s="3">
        <v>0.39</v>
      </c>
      <c r="H16" s="3">
        <v>763</v>
      </c>
      <c r="I16" s="3">
        <v>2.8519999999999999</v>
      </c>
      <c r="J16" s="3">
        <v>3.5680000000000001</v>
      </c>
      <c r="K16" s="3">
        <v>7.8940000000000001</v>
      </c>
    </row>
    <row r="17" spans="1:11" x14ac:dyDescent="0.25">
      <c r="A17">
        <v>0</v>
      </c>
      <c r="B17" s="2" t="s">
        <v>8478</v>
      </c>
      <c r="C17" s="2" t="s">
        <v>8479</v>
      </c>
      <c r="D17" s="3">
        <v>11.87</v>
      </c>
      <c r="E17" s="3">
        <v>20.87</v>
      </c>
      <c r="H17" s="3">
        <v>1210</v>
      </c>
      <c r="I17" s="3">
        <v>3.5009999999999999</v>
      </c>
      <c r="J17" s="3">
        <v>4.383</v>
      </c>
      <c r="K17" s="3">
        <v>9.5269999999999992</v>
      </c>
    </row>
    <row r="18" spans="1:11" x14ac:dyDescent="0.25">
      <c r="A18">
        <v>0</v>
      </c>
      <c r="B18" s="2" t="s">
        <v>8480</v>
      </c>
      <c r="C18" s="2" t="s">
        <v>8481</v>
      </c>
      <c r="D18" s="3">
        <v>3.74</v>
      </c>
      <c r="E18" s="3">
        <v>36.9</v>
      </c>
      <c r="F18" s="3">
        <v>4.0999999999999996</v>
      </c>
      <c r="G18" s="3">
        <v>0</v>
      </c>
      <c r="H18" s="3">
        <v>409</v>
      </c>
      <c r="I18" s="3">
        <v>2.6</v>
      </c>
      <c r="J18" s="3">
        <v>3.3559999999999999</v>
      </c>
      <c r="K18" s="3">
        <v>7.4729999999999999</v>
      </c>
    </row>
    <row r="19" spans="1:11" x14ac:dyDescent="0.25">
      <c r="A19">
        <v>0</v>
      </c>
      <c r="B19" s="2" t="s">
        <v>8482</v>
      </c>
      <c r="C19" s="2" t="s">
        <v>8483</v>
      </c>
      <c r="D19" s="3">
        <v>15.82</v>
      </c>
      <c r="E19" s="3">
        <v>25.33</v>
      </c>
      <c r="F19" s="3">
        <v>2.2000000000000002</v>
      </c>
      <c r="G19" s="3">
        <v>1.45</v>
      </c>
      <c r="H19" s="3">
        <v>738</v>
      </c>
      <c r="I19" s="3">
        <v>7.1719999999999997</v>
      </c>
      <c r="J19" s="3">
        <v>4.4809999999999999</v>
      </c>
      <c r="K19" s="3">
        <v>5.2610000000000001</v>
      </c>
    </row>
    <row r="20" spans="1:11" x14ac:dyDescent="0.25">
      <c r="A20">
        <v>0</v>
      </c>
      <c r="B20" s="2" t="s">
        <v>8484</v>
      </c>
      <c r="C20" s="2" t="s">
        <v>8485</v>
      </c>
      <c r="D20" s="3">
        <v>5.03</v>
      </c>
      <c r="E20" s="3">
        <v>17.399999999999999</v>
      </c>
      <c r="F20" s="3">
        <v>1</v>
      </c>
      <c r="G20" s="3">
        <v>1.65</v>
      </c>
      <c r="H20" s="3">
        <v>482</v>
      </c>
      <c r="I20" s="3">
        <v>1.63</v>
      </c>
      <c r="J20" s="3">
        <v>0.89900000000000002</v>
      </c>
      <c r="K20" s="3">
        <v>0.72</v>
      </c>
    </row>
    <row r="21" spans="1:11" x14ac:dyDescent="0.25">
      <c r="A21">
        <v>0</v>
      </c>
      <c r="B21" s="2" t="s">
        <v>8486</v>
      </c>
      <c r="C21" s="2" t="s">
        <v>8487</v>
      </c>
      <c r="D21" s="3">
        <v>18.11</v>
      </c>
      <c r="E21" s="3">
        <v>17.72</v>
      </c>
      <c r="F21" s="3">
        <v>0.9</v>
      </c>
      <c r="G21" s="3">
        <v>0.34</v>
      </c>
      <c r="H21" s="3">
        <v>792</v>
      </c>
      <c r="I21" s="3">
        <v>3.9159999999999999</v>
      </c>
      <c r="J21" s="3">
        <v>4.8929999999999998</v>
      </c>
      <c r="K21" s="3">
        <v>11.003</v>
      </c>
    </row>
    <row r="22" spans="1:11" x14ac:dyDescent="0.25">
      <c r="A22">
        <v>0</v>
      </c>
      <c r="B22" s="2" t="s">
        <v>8488</v>
      </c>
      <c r="C22" s="2" t="s">
        <v>8489</v>
      </c>
      <c r="D22" s="3">
        <v>31.02</v>
      </c>
      <c r="E22" s="3">
        <v>0.47</v>
      </c>
      <c r="G22" s="3">
        <v>0.46</v>
      </c>
      <c r="H22" s="3">
        <v>232</v>
      </c>
      <c r="I22" s="3">
        <v>2.4510000000000001</v>
      </c>
      <c r="J22" s="3">
        <v>2.6360000000000001</v>
      </c>
      <c r="K22" s="3">
        <v>0.67600000000000005</v>
      </c>
    </row>
    <row r="23" spans="1:11" x14ac:dyDescent="0.25">
      <c r="A23">
        <v>0</v>
      </c>
      <c r="B23" s="2" t="s">
        <v>8490</v>
      </c>
      <c r="C23" s="2" t="s">
        <v>8491</v>
      </c>
      <c r="D23" s="3">
        <v>14.75</v>
      </c>
      <c r="E23" s="3">
        <v>25.14</v>
      </c>
      <c r="F23" s="3">
        <v>2</v>
      </c>
      <c r="G23" s="3">
        <v>2.36</v>
      </c>
      <c r="H23" s="3">
        <v>861</v>
      </c>
      <c r="I23" s="3">
        <v>6.8479999999999999</v>
      </c>
      <c r="J23" s="3">
        <v>4.3280000000000003</v>
      </c>
      <c r="K23" s="3">
        <v>4.9820000000000002</v>
      </c>
    </row>
    <row r="24" spans="1:11" x14ac:dyDescent="0.25">
      <c r="A24">
        <v>0</v>
      </c>
      <c r="B24" s="2" t="s">
        <v>8492</v>
      </c>
      <c r="C24" s="2" t="s">
        <v>8493</v>
      </c>
      <c r="D24" s="3">
        <v>29.8</v>
      </c>
      <c r="E24" s="3">
        <v>0</v>
      </c>
      <c r="G24" s="3">
        <v>0.55000000000000004</v>
      </c>
      <c r="H24" s="3">
        <v>339</v>
      </c>
      <c r="I24" s="3">
        <v>3.1429999999999998</v>
      </c>
      <c r="J24" s="3">
        <v>3.6539999999999999</v>
      </c>
      <c r="K24" s="3">
        <v>0.67300000000000004</v>
      </c>
    </row>
    <row r="25" spans="1:11" x14ac:dyDescent="0.25">
      <c r="A25">
        <v>0</v>
      </c>
      <c r="B25" s="2" t="s">
        <v>8494</v>
      </c>
      <c r="C25" s="2" t="s">
        <v>8495</v>
      </c>
      <c r="D25" s="3">
        <v>3.49</v>
      </c>
      <c r="E25" s="3">
        <v>37.200000000000003</v>
      </c>
      <c r="F25" s="3">
        <v>3.9</v>
      </c>
      <c r="G25" s="3">
        <v>0.28000000000000003</v>
      </c>
      <c r="H25" s="3">
        <v>357</v>
      </c>
      <c r="I25" s="3">
        <v>2.4889999999999999</v>
      </c>
      <c r="J25" s="3">
        <v>3.3580000000000001</v>
      </c>
      <c r="K25" s="3">
        <v>6.6079999999999997</v>
      </c>
    </row>
    <row r="26" spans="1:11" x14ac:dyDescent="0.25">
      <c r="A26">
        <v>0</v>
      </c>
      <c r="B26" s="2" t="s">
        <v>8496</v>
      </c>
      <c r="C26" s="2" t="s">
        <v>8497</v>
      </c>
      <c r="D26" s="3">
        <v>18.68</v>
      </c>
      <c r="E26" s="3">
        <v>18.77</v>
      </c>
      <c r="F26" s="3">
        <v>1.1000000000000001</v>
      </c>
      <c r="G26" s="3">
        <v>0.33</v>
      </c>
      <c r="H26" s="3">
        <v>809</v>
      </c>
      <c r="I26" s="3">
        <v>3.1989999999999998</v>
      </c>
      <c r="J26" s="3">
        <v>3.9620000000000002</v>
      </c>
      <c r="K26" s="3">
        <v>9.0129999999999999</v>
      </c>
    </row>
    <row r="27" spans="1:11" x14ac:dyDescent="0.25">
      <c r="A27">
        <v>0</v>
      </c>
      <c r="B27" s="2" t="s">
        <v>8498</v>
      </c>
      <c r="C27" s="2" t="s">
        <v>8499</v>
      </c>
      <c r="D27" s="3">
        <v>12.67</v>
      </c>
      <c r="E27" s="3">
        <v>22.29</v>
      </c>
      <c r="F27" s="3">
        <v>1.5</v>
      </c>
      <c r="G27" s="3">
        <v>0.91</v>
      </c>
      <c r="H27" s="3">
        <v>1125</v>
      </c>
      <c r="I27" s="3">
        <v>3.3610000000000002</v>
      </c>
      <c r="J27" s="3">
        <v>4.2939999999999996</v>
      </c>
      <c r="K27" s="3">
        <v>9.3109999999999999</v>
      </c>
    </row>
    <row r="28" spans="1:11" x14ac:dyDescent="0.25">
      <c r="A28">
        <v>0</v>
      </c>
      <c r="B28" s="2" t="s">
        <v>8500</v>
      </c>
      <c r="C28" s="2" t="s">
        <v>8501</v>
      </c>
      <c r="D28" s="3">
        <v>5.42</v>
      </c>
      <c r="E28" s="3">
        <v>18.8</v>
      </c>
      <c r="F28" s="3">
        <v>1.1000000000000001</v>
      </c>
      <c r="G28" s="3">
        <v>3.09</v>
      </c>
      <c r="H28" s="3">
        <v>361</v>
      </c>
      <c r="I28" s="3">
        <v>2.1469999999999998</v>
      </c>
      <c r="J28" s="3">
        <v>1.954</v>
      </c>
      <c r="K28" s="3">
        <v>1.663</v>
      </c>
    </row>
    <row r="29" spans="1:11" x14ac:dyDescent="0.25">
      <c r="A29">
        <v>0</v>
      </c>
      <c r="B29" s="2" t="s">
        <v>8502</v>
      </c>
      <c r="C29" s="2" t="s">
        <v>8503</v>
      </c>
      <c r="D29" s="3">
        <v>13.23</v>
      </c>
      <c r="E29" s="3">
        <v>16.649999999999999</v>
      </c>
      <c r="F29" s="3">
        <v>0.9</v>
      </c>
      <c r="G29" s="3">
        <v>0.51</v>
      </c>
      <c r="H29" s="3">
        <v>607</v>
      </c>
      <c r="I29" s="3">
        <v>1.613</v>
      </c>
      <c r="J29" s="3">
        <v>2.0139999999999998</v>
      </c>
      <c r="K29" s="3">
        <v>4.5590000000000002</v>
      </c>
    </row>
    <row r="30" spans="1:11" x14ac:dyDescent="0.25">
      <c r="A30">
        <v>0</v>
      </c>
      <c r="B30" s="2" t="s">
        <v>8504</v>
      </c>
      <c r="C30" s="2" t="s">
        <v>8505</v>
      </c>
      <c r="D30" s="3">
        <v>12.56</v>
      </c>
      <c r="E30" s="3">
        <v>4.57</v>
      </c>
      <c r="F30" s="3">
        <v>1.4</v>
      </c>
      <c r="G30" s="3">
        <v>2.27</v>
      </c>
      <c r="H30" s="3">
        <v>381</v>
      </c>
      <c r="I30" s="3">
        <v>4.1500000000000004</v>
      </c>
      <c r="J30" s="3">
        <v>4.8090000000000002</v>
      </c>
      <c r="K30" s="3">
        <v>0.64400000000000002</v>
      </c>
    </row>
    <row r="31" spans="1:11" x14ac:dyDescent="0.25">
      <c r="A31">
        <v>0</v>
      </c>
      <c r="B31" s="2" t="s">
        <v>8506</v>
      </c>
      <c r="C31" s="2" t="s">
        <v>8507</v>
      </c>
      <c r="D31" s="3">
        <v>18.68</v>
      </c>
      <c r="E31" s="3">
        <v>16.84</v>
      </c>
      <c r="F31" s="3">
        <v>0.8</v>
      </c>
      <c r="G31" s="3">
        <v>0.23</v>
      </c>
      <c r="H31" s="3">
        <v>787</v>
      </c>
      <c r="I31" s="3">
        <v>3.9049999999999998</v>
      </c>
      <c r="J31" s="3">
        <v>4.9009999999999998</v>
      </c>
      <c r="K31" s="3">
        <v>10.56</v>
      </c>
    </row>
    <row r="32" spans="1:11" x14ac:dyDescent="0.25">
      <c r="A32">
        <v>0</v>
      </c>
      <c r="B32" s="2" t="s">
        <v>8508</v>
      </c>
      <c r="C32" s="2" t="s">
        <v>8509</v>
      </c>
      <c r="D32" s="3">
        <v>0.79</v>
      </c>
      <c r="E32" s="3">
        <v>13.17</v>
      </c>
      <c r="F32" s="3">
        <v>2.8</v>
      </c>
      <c r="G32" s="3">
        <v>9.33</v>
      </c>
      <c r="H32" s="3">
        <v>178</v>
      </c>
      <c r="I32" s="3">
        <v>1.0609999999999999</v>
      </c>
      <c r="J32" s="3">
        <v>1.4039999999999999</v>
      </c>
      <c r="K32" s="3">
        <v>3.819</v>
      </c>
    </row>
    <row r="33" spans="1:11" x14ac:dyDescent="0.25">
      <c r="A33">
        <v>0</v>
      </c>
      <c r="B33" s="2" t="s">
        <v>8510</v>
      </c>
      <c r="C33" s="2" t="s">
        <v>8511</v>
      </c>
      <c r="D33" s="3">
        <v>4.58</v>
      </c>
      <c r="E33" s="3">
        <v>40.17</v>
      </c>
      <c r="F33" s="3">
        <v>3.1</v>
      </c>
      <c r="G33" s="3">
        <v>4.4800000000000004</v>
      </c>
      <c r="H33" s="3">
        <v>833</v>
      </c>
      <c r="I33" s="3">
        <v>3.5739999999999998</v>
      </c>
      <c r="J33" s="3">
        <v>4.4080000000000004</v>
      </c>
      <c r="K33" s="3">
        <v>10.255000000000001</v>
      </c>
    </row>
    <row r="34" spans="1:11" x14ac:dyDescent="0.25">
      <c r="A34">
        <v>0</v>
      </c>
      <c r="B34" s="2" t="s">
        <v>8512</v>
      </c>
      <c r="C34" s="2" t="s">
        <v>8513</v>
      </c>
      <c r="D34" s="3">
        <v>19.62</v>
      </c>
      <c r="E34" s="3">
        <v>17.98</v>
      </c>
      <c r="F34" s="3">
        <v>1</v>
      </c>
      <c r="G34" s="3">
        <v>0.36</v>
      </c>
      <c r="H34" s="3">
        <v>740</v>
      </c>
      <c r="I34" s="3">
        <v>2.8490000000000002</v>
      </c>
      <c r="J34" s="3">
        <v>4.3849999999999998</v>
      </c>
      <c r="K34" s="3">
        <v>7.0419999999999998</v>
      </c>
    </row>
    <row r="35" spans="1:11" x14ac:dyDescent="0.25">
      <c r="A35">
        <v>0</v>
      </c>
      <c r="B35" s="2" t="s">
        <v>8514</v>
      </c>
      <c r="C35" s="2" t="s">
        <v>8515</v>
      </c>
      <c r="D35" s="3">
        <v>18.059999999999999</v>
      </c>
      <c r="E35" s="3">
        <v>20.29</v>
      </c>
      <c r="F35" s="3">
        <v>0.7</v>
      </c>
      <c r="G35" s="3">
        <v>0.09</v>
      </c>
      <c r="H35" s="3">
        <v>874</v>
      </c>
      <c r="I35" s="3">
        <v>2.7629999999999999</v>
      </c>
      <c r="J35" s="3">
        <v>3.319</v>
      </c>
      <c r="K35" s="3">
        <v>7.891</v>
      </c>
    </row>
    <row r="36" spans="1:11" x14ac:dyDescent="0.25">
      <c r="A36">
        <v>0</v>
      </c>
      <c r="B36" s="2" t="s">
        <v>8516</v>
      </c>
      <c r="C36" s="2" t="s">
        <v>8517</v>
      </c>
      <c r="D36" s="3">
        <v>0.89</v>
      </c>
      <c r="E36" s="3">
        <v>13.01</v>
      </c>
      <c r="F36" s="3">
        <v>1.6</v>
      </c>
      <c r="G36" s="3">
        <v>11.07</v>
      </c>
      <c r="H36" s="3">
        <v>110</v>
      </c>
      <c r="I36" s="3">
        <v>2.0390000000000001</v>
      </c>
      <c r="J36" s="3">
        <v>2.7519999999999998</v>
      </c>
      <c r="K36" s="3">
        <v>7.4580000000000002</v>
      </c>
    </row>
    <row r="37" spans="1:11" x14ac:dyDescent="0.25">
      <c r="A37">
        <v>0</v>
      </c>
      <c r="B37" s="2" t="s">
        <v>8518</v>
      </c>
      <c r="C37" s="2" t="s">
        <v>8519</v>
      </c>
      <c r="D37" s="3">
        <v>4.78</v>
      </c>
      <c r="E37" s="3">
        <v>40.950000000000003</v>
      </c>
      <c r="F37" s="3">
        <v>2.2000000000000002</v>
      </c>
      <c r="G37" s="3">
        <v>4.82</v>
      </c>
      <c r="H37" s="3">
        <v>463</v>
      </c>
      <c r="I37" s="3">
        <v>2.9409999999999998</v>
      </c>
      <c r="J37" s="3">
        <v>3.63</v>
      </c>
      <c r="K37" s="3">
        <v>8.6750000000000007</v>
      </c>
    </row>
    <row r="38" spans="1:11" x14ac:dyDescent="0.25">
      <c r="A38">
        <v>0</v>
      </c>
      <c r="B38" s="2" t="s">
        <v>8520</v>
      </c>
      <c r="C38" s="2" t="s">
        <v>8521</v>
      </c>
      <c r="D38" s="3">
        <v>19.170000000000002</v>
      </c>
      <c r="E38" s="3">
        <v>22.03</v>
      </c>
      <c r="F38" s="3">
        <v>1.1000000000000001</v>
      </c>
      <c r="G38" s="3">
        <v>0.28999999999999998</v>
      </c>
      <c r="H38" s="3">
        <v>798</v>
      </c>
      <c r="I38" s="3">
        <v>2.585</v>
      </c>
      <c r="J38" s="3">
        <v>3.2</v>
      </c>
      <c r="K38" s="3">
        <v>7.1230000000000002</v>
      </c>
    </row>
    <row r="39" spans="1:11" x14ac:dyDescent="0.25">
      <c r="A39">
        <v>0</v>
      </c>
      <c r="B39" s="2" t="s">
        <v>8522</v>
      </c>
      <c r="C39" s="2" t="s">
        <v>8523</v>
      </c>
      <c r="D39" s="3">
        <v>0.97</v>
      </c>
      <c r="E39" s="3">
        <v>10.88</v>
      </c>
      <c r="F39" s="3">
        <v>1.3</v>
      </c>
      <c r="G39" s="3">
        <v>8.16</v>
      </c>
      <c r="H39" s="3">
        <v>376</v>
      </c>
      <c r="I39" s="3">
        <v>2.3439999999999999</v>
      </c>
      <c r="J39" s="3">
        <v>3.1970000000000001</v>
      </c>
      <c r="K39" s="3">
        <v>8.4320000000000004</v>
      </c>
    </row>
    <row r="40" spans="1:11" x14ac:dyDescent="0.25">
      <c r="A40">
        <v>0</v>
      </c>
      <c r="B40" s="2" t="s">
        <v>8524</v>
      </c>
      <c r="C40" s="2" t="s">
        <v>8525</v>
      </c>
      <c r="D40" s="3">
        <v>13.75</v>
      </c>
      <c r="E40" s="3">
        <v>17.41</v>
      </c>
      <c r="F40" s="3">
        <v>1</v>
      </c>
      <c r="G40" s="3">
        <v>0.4</v>
      </c>
      <c r="H40" s="3">
        <v>516</v>
      </c>
      <c r="I40" s="3">
        <v>2.1389999999999998</v>
      </c>
      <c r="J40" s="3">
        <v>2.6080000000000001</v>
      </c>
      <c r="K40" s="3">
        <v>6.11</v>
      </c>
    </row>
    <row r="41" spans="1:11" x14ac:dyDescent="0.25">
      <c r="A41">
        <v>0</v>
      </c>
      <c r="B41" s="2" t="s">
        <v>8526</v>
      </c>
      <c r="C41" s="2" t="s">
        <v>8527</v>
      </c>
      <c r="D41" s="3">
        <v>2.4900000000000002</v>
      </c>
      <c r="E41" s="3">
        <v>26.59</v>
      </c>
      <c r="F41" s="3">
        <v>2.7</v>
      </c>
      <c r="G41" s="3">
        <v>1.38</v>
      </c>
      <c r="H41" s="3">
        <v>468</v>
      </c>
      <c r="I41" s="3">
        <v>1.6890000000000001</v>
      </c>
      <c r="J41" s="3">
        <v>2.0350000000000001</v>
      </c>
      <c r="K41" s="3">
        <v>5.0289999999999999</v>
      </c>
    </row>
    <row r="42" spans="1:11" x14ac:dyDescent="0.25">
      <c r="A42">
        <v>0</v>
      </c>
      <c r="B42" s="2" t="s">
        <v>8528</v>
      </c>
      <c r="C42" s="2" t="s">
        <v>8529</v>
      </c>
      <c r="D42" s="3">
        <v>5.29</v>
      </c>
      <c r="E42" s="3">
        <v>41.05</v>
      </c>
      <c r="F42" s="3">
        <v>2.4</v>
      </c>
      <c r="G42" s="3">
        <v>4.76</v>
      </c>
      <c r="H42" s="3">
        <v>780</v>
      </c>
      <c r="I42" s="3">
        <v>3.7290000000000001</v>
      </c>
      <c r="J42" s="3">
        <v>4.6109999999999998</v>
      </c>
      <c r="K42" s="3">
        <v>10.56</v>
      </c>
    </row>
    <row r="43" spans="1:11" x14ac:dyDescent="0.25">
      <c r="A43">
        <v>0</v>
      </c>
      <c r="B43" s="2" t="s">
        <v>8530</v>
      </c>
      <c r="C43" s="2" t="s">
        <v>8531</v>
      </c>
      <c r="D43" s="3">
        <v>7.84</v>
      </c>
      <c r="E43" s="3">
        <v>15.51</v>
      </c>
      <c r="F43" s="3">
        <v>1.5</v>
      </c>
      <c r="G43" s="3">
        <v>2.0299999999999998</v>
      </c>
      <c r="H43" s="3">
        <v>351</v>
      </c>
      <c r="I43" s="3">
        <v>3.1040000000000001</v>
      </c>
      <c r="J43" s="3">
        <v>3.6</v>
      </c>
      <c r="K43" s="3">
        <v>1.2130000000000001</v>
      </c>
    </row>
    <row r="44" spans="1:11" x14ac:dyDescent="0.25">
      <c r="A44">
        <v>0</v>
      </c>
      <c r="B44" s="2" t="s">
        <v>8532</v>
      </c>
      <c r="C44" s="2" t="s">
        <v>8533</v>
      </c>
      <c r="D44" s="3">
        <v>13.49</v>
      </c>
      <c r="E44" s="3">
        <v>16.89</v>
      </c>
      <c r="F44" s="3">
        <v>0.9</v>
      </c>
      <c r="G44" s="3">
        <v>0.45</v>
      </c>
      <c r="H44" s="3">
        <v>561</v>
      </c>
      <c r="I44" s="3">
        <v>1.8759999999999999</v>
      </c>
      <c r="J44" s="3">
        <v>2.3109999999999999</v>
      </c>
      <c r="K44" s="3">
        <v>5.3339999999999996</v>
      </c>
    </row>
    <row r="45" spans="1:11" x14ac:dyDescent="0.25">
      <c r="A45">
        <v>0</v>
      </c>
      <c r="B45" s="2" t="s">
        <v>8534</v>
      </c>
      <c r="C45" s="2" t="s">
        <v>8535</v>
      </c>
      <c r="D45" s="3">
        <v>18.88</v>
      </c>
      <c r="E45" s="3">
        <v>19.29</v>
      </c>
      <c r="F45" s="3">
        <v>0.9</v>
      </c>
      <c r="G45" s="3">
        <v>0.24</v>
      </c>
      <c r="H45" s="3">
        <v>800</v>
      </c>
      <c r="I45" s="3">
        <v>2.9460000000000002</v>
      </c>
      <c r="J45" s="3">
        <v>3.8650000000000002</v>
      </c>
      <c r="K45" s="3">
        <v>7.9349999999999996</v>
      </c>
    </row>
    <row r="46" spans="1:11" x14ac:dyDescent="0.25">
      <c r="A46">
        <v>0</v>
      </c>
      <c r="B46" s="2" t="s">
        <v>8536</v>
      </c>
      <c r="C46" s="2" t="s">
        <v>8537</v>
      </c>
      <c r="D46" s="3">
        <v>0.88</v>
      </c>
      <c r="E46" s="3">
        <v>12.35</v>
      </c>
      <c r="F46" s="3">
        <v>1.9</v>
      </c>
      <c r="G46" s="3">
        <v>9.5399999999999991</v>
      </c>
      <c r="H46" s="3">
        <v>221</v>
      </c>
      <c r="I46" s="3">
        <v>1.909</v>
      </c>
      <c r="J46" s="3">
        <v>2.5819999999999999</v>
      </c>
      <c r="K46" s="3">
        <v>6.9130000000000003</v>
      </c>
    </row>
    <row r="47" spans="1:11" x14ac:dyDescent="0.25">
      <c r="A47">
        <v>0</v>
      </c>
      <c r="B47" s="2" t="s">
        <v>8538</v>
      </c>
      <c r="C47" s="2" t="s">
        <v>8539</v>
      </c>
      <c r="D47" s="3">
        <v>4.8899999999999997</v>
      </c>
      <c r="E47" s="3">
        <v>40.72</v>
      </c>
      <c r="F47" s="3">
        <v>2.6</v>
      </c>
      <c r="G47" s="3">
        <v>4.68</v>
      </c>
      <c r="H47" s="3">
        <v>692</v>
      </c>
      <c r="I47" s="3">
        <v>3.415</v>
      </c>
      <c r="J47" s="3">
        <v>4.2169999999999996</v>
      </c>
      <c r="K47" s="3">
        <v>9.83</v>
      </c>
    </row>
    <row r="48" spans="1:11" x14ac:dyDescent="0.25">
      <c r="A48">
        <v>0</v>
      </c>
      <c r="B48" s="2" t="s">
        <v>8540</v>
      </c>
      <c r="C48" s="2" t="s">
        <v>8541</v>
      </c>
      <c r="D48" s="3">
        <v>12.56</v>
      </c>
      <c r="E48" s="3">
        <v>4.57</v>
      </c>
      <c r="F48" s="3">
        <v>1.4</v>
      </c>
      <c r="G48" s="3">
        <v>2.27</v>
      </c>
      <c r="H48" s="3">
        <v>381</v>
      </c>
      <c r="I48" s="3">
        <v>4.0229999999999997</v>
      </c>
      <c r="J48" s="3">
        <v>4.6619999999999999</v>
      </c>
      <c r="K48" s="3">
        <v>0.625</v>
      </c>
    </row>
    <row r="49" spans="1:11" x14ac:dyDescent="0.25">
      <c r="A49">
        <v>0</v>
      </c>
      <c r="B49" s="2" t="s">
        <v>8542</v>
      </c>
      <c r="C49" s="2" t="s">
        <v>8543</v>
      </c>
      <c r="D49" s="3">
        <v>7.84</v>
      </c>
      <c r="E49" s="3">
        <v>15.51</v>
      </c>
      <c r="F49" s="3">
        <v>1.5</v>
      </c>
      <c r="G49" s="3">
        <v>2.0299999999999998</v>
      </c>
      <c r="H49" s="3">
        <v>351</v>
      </c>
      <c r="I49" s="3">
        <v>3.1040000000000001</v>
      </c>
      <c r="J49" s="3">
        <v>3.6</v>
      </c>
      <c r="K49" s="3">
        <v>1.2130000000000001</v>
      </c>
    </row>
    <row r="50" spans="1:11" x14ac:dyDescent="0.25">
      <c r="A50">
        <v>0</v>
      </c>
      <c r="B50" s="2" t="s">
        <v>8544</v>
      </c>
      <c r="C50" s="2" t="s">
        <v>8545</v>
      </c>
      <c r="D50" s="3">
        <v>2.4900000000000002</v>
      </c>
      <c r="E50" s="3">
        <v>26.59</v>
      </c>
      <c r="F50" s="3">
        <v>2.7</v>
      </c>
      <c r="G50" s="3">
        <v>1.38</v>
      </c>
      <c r="H50" s="3">
        <v>468</v>
      </c>
      <c r="I50" s="3">
        <v>1.6890000000000001</v>
      </c>
      <c r="J50" s="3">
        <v>2.0350000000000001</v>
      </c>
      <c r="K50" s="3">
        <v>5.0289999999999999</v>
      </c>
    </row>
    <row r="51" spans="1:11" x14ac:dyDescent="0.25">
      <c r="A51">
        <v>0</v>
      </c>
      <c r="B51" s="2" t="s">
        <v>8546</v>
      </c>
      <c r="C51" s="2" t="s">
        <v>8547</v>
      </c>
      <c r="D51" s="3">
        <v>6.49</v>
      </c>
      <c r="E51" s="3">
        <v>15.61</v>
      </c>
      <c r="F51" s="3">
        <v>1.1000000000000001</v>
      </c>
      <c r="G51" s="3">
        <v>2.83</v>
      </c>
      <c r="H51" s="3">
        <v>375</v>
      </c>
      <c r="I51" s="3">
        <v>4.1779999999999999</v>
      </c>
      <c r="J51" s="3">
        <v>2.8130000000000002</v>
      </c>
      <c r="K51" s="3">
        <v>3.9409999999999998</v>
      </c>
    </row>
    <row r="52" spans="1:11" x14ac:dyDescent="0.25">
      <c r="A52">
        <v>0</v>
      </c>
      <c r="B52" s="2" t="s">
        <v>8548</v>
      </c>
      <c r="C52" s="2" t="s">
        <v>8549</v>
      </c>
      <c r="D52" s="3">
        <v>10.83</v>
      </c>
      <c r="E52" s="3">
        <v>11.36</v>
      </c>
      <c r="F52" s="3">
        <v>1.5</v>
      </c>
      <c r="G52" s="3">
        <v>3.15</v>
      </c>
      <c r="H52" s="3">
        <v>466</v>
      </c>
      <c r="I52" s="3">
        <v>4.9409999999999998</v>
      </c>
      <c r="J52" s="3">
        <v>3.3130000000000002</v>
      </c>
      <c r="K52" s="3">
        <v>0.78800000000000003</v>
      </c>
    </row>
    <row r="53" spans="1:11" x14ac:dyDescent="0.25">
      <c r="A53">
        <v>0</v>
      </c>
      <c r="B53" s="2" t="s">
        <v>8550</v>
      </c>
      <c r="C53" s="2" t="s">
        <v>8551</v>
      </c>
      <c r="D53" s="3">
        <v>11.28</v>
      </c>
      <c r="E53" s="3">
        <v>10.33</v>
      </c>
      <c r="F53" s="3">
        <v>1.6</v>
      </c>
      <c r="G53" s="3">
        <v>3.53</v>
      </c>
      <c r="H53" s="3">
        <v>450</v>
      </c>
      <c r="I53" s="3">
        <v>5.3470000000000004</v>
      </c>
      <c r="J53" s="3">
        <v>3.2029999999999998</v>
      </c>
      <c r="K53" s="3">
        <v>0.78900000000000003</v>
      </c>
    </row>
    <row r="54" spans="1:11" x14ac:dyDescent="0.25">
      <c r="A54">
        <v>0</v>
      </c>
      <c r="B54" s="2" t="s">
        <v>8552</v>
      </c>
      <c r="C54" s="2" t="s">
        <v>8553</v>
      </c>
      <c r="D54" s="3">
        <v>10.48</v>
      </c>
      <c r="E54" s="3">
        <v>12.36</v>
      </c>
      <c r="F54" s="3">
        <v>1.3</v>
      </c>
      <c r="G54" s="3">
        <v>2.77</v>
      </c>
      <c r="H54" s="3">
        <v>524</v>
      </c>
      <c r="I54" s="3">
        <v>4.3659999999999997</v>
      </c>
      <c r="J54" s="3">
        <v>3.577</v>
      </c>
      <c r="K54" s="3">
        <v>0.71599999999999997</v>
      </c>
    </row>
    <row r="55" spans="1:11" x14ac:dyDescent="0.25">
      <c r="A55">
        <v>0</v>
      </c>
      <c r="B55" s="2" t="s">
        <v>8554</v>
      </c>
      <c r="C55" s="2" t="s">
        <v>8555</v>
      </c>
      <c r="D55" s="3">
        <v>3.56</v>
      </c>
      <c r="E55" s="3">
        <v>34.15</v>
      </c>
      <c r="F55" s="3">
        <v>1.1000000000000001</v>
      </c>
      <c r="G55" s="3">
        <v>1.38</v>
      </c>
      <c r="H55" s="3">
        <v>677</v>
      </c>
      <c r="I55" s="3">
        <v>0.88600000000000001</v>
      </c>
      <c r="J55" s="3">
        <v>1.155</v>
      </c>
      <c r="K55" s="3">
        <v>2.298</v>
      </c>
    </row>
    <row r="56" spans="1:11" x14ac:dyDescent="0.25">
      <c r="A56">
        <v>0</v>
      </c>
      <c r="B56" s="2" t="s">
        <v>8556</v>
      </c>
      <c r="C56" s="2" t="s">
        <v>8557</v>
      </c>
      <c r="D56" s="3">
        <v>7.3</v>
      </c>
      <c r="E56" s="3">
        <v>17.52</v>
      </c>
      <c r="F56" s="3">
        <v>8.1999999999999993</v>
      </c>
      <c r="G56" s="3">
        <v>0.84</v>
      </c>
      <c r="H56" s="3">
        <v>378</v>
      </c>
      <c r="I56" s="3">
        <v>1.819</v>
      </c>
      <c r="J56" s="3">
        <v>1.6479999999999999</v>
      </c>
      <c r="K56" s="3">
        <v>1.034</v>
      </c>
    </row>
    <row r="57" spans="1:11" x14ac:dyDescent="0.25">
      <c r="A57">
        <v>0</v>
      </c>
      <c r="B57" s="2" t="s">
        <v>8558</v>
      </c>
      <c r="C57" s="2" t="s">
        <v>8559</v>
      </c>
      <c r="D57" s="3">
        <v>3.9</v>
      </c>
      <c r="E57" s="3">
        <v>17.77</v>
      </c>
      <c r="F57" s="3">
        <v>1.7</v>
      </c>
      <c r="G57" s="3">
        <v>1.82</v>
      </c>
      <c r="H57" s="3">
        <v>191</v>
      </c>
      <c r="I57" s="3">
        <v>0.36599999999999999</v>
      </c>
      <c r="J57" s="3">
        <v>0.92600000000000005</v>
      </c>
      <c r="K57" s="3">
        <v>0.52800000000000002</v>
      </c>
    </row>
    <row r="58" spans="1:11" x14ac:dyDescent="0.25">
      <c r="A58">
        <v>0</v>
      </c>
      <c r="B58" s="2" t="s">
        <v>8560</v>
      </c>
      <c r="C58" s="2" t="s">
        <v>8561</v>
      </c>
      <c r="D58" s="3">
        <v>4.26</v>
      </c>
      <c r="E58" s="3">
        <v>17.14</v>
      </c>
      <c r="F58" s="3">
        <v>1.7</v>
      </c>
      <c r="G58" s="3">
        <v>1.77</v>
      </c>
      <c r="H58" s="3">
        <v>183</v>
      </c>
      <c r="I58" s="3">
        <v>0.33600000000000002</v>
      </c>
      <c r="J58" s="3">
        <v>0.83599999999999997</v>
      </c>
      <c r="K58" s="3">
        <v>0.64500000000000002</v>
      </c>
    </row>
    <row r="59" spans="1:11" x14ac:dyDescent="0.25">
      <c r="A59">
        <v>0</v>
      </c>
      <c r="B59" s="2" t="s">
        <v>8562</v>
      </c>
      <c r="C59" s="2" t="s">
        <v>8563</v>
      </c>
      <c r="D59" s="3">
        <v>3.42</v>
      </c>
      <c r="E59" s="3">
        <v>18.63</v>
      </c>
      <c r="F59" s="3">
        <v>1.7</v>
      </c>
      <c r="G59" s="3">
        <v>1.87</v>
      </c>
      <c r="H59" s="3">
        <v>218</v>
      </c>
      <c r="I59" s="3">
        <v>0.36</v>
      </c>
      <c r="J59" s="3">
        <v>0.92700000000000005</v>
      </c>
      <c r="K59" s="3">
        <v>0.375</v>
      </c>
    </row>
    <row r="60" spans="1:11" x14ac:dyDescent="0.25">
      <c r="A60">
        <v>0</v>
      </c>
      <c r="B60" s="2" t="s">
        <v>8564</v>
      </c>
      <c r="C60" s="2" t="s">
        <v>8565</v>
      </c>
      <c r="D60" s="3">
        <v>11.67</v>
      </c>
      <c r="E60" s="3">
        <v>16.2</v>
      </c>
      <c r="F60" s="3">
        <v>1.8</v>
      </c>
      <c r="G60" s="3">
        <v>2.89</v>
      </c>
      <c r="H60" s="3">
        <v>561</v>
      </c>
      <c r="I60" s="3">
        <v>7.52</v>
      </c>
      <c r="J60" s="3">
        <v>4.0880000000000001</v>
      </c>
      <c r="K60" s="3">
        <v>2.1070000000000002</v>
      </c>
    </row>
    <row r="61" spans="1:11" x14ac:dyDescent="0.25">
      <c r="A61">
        <v>0</v>
      </c>
      <c r="B61" s="2" t="s">
        <v>8566</v>
      </c>
      <c r="C61" s="2" t="s">
        <v>8567</v>
      </c>
      <c r="D61" s="3">
        <v>11.24</v>
      </c>
      <c r="E61" s="3">
        <v>15.45</v>
      </c>
      <c r="F61" s="3">
        <v>1.9</v>
      </c>
      <c r="G61" s="3">
        <v>2.6</v>
      </c>
      <c r="H61" s="3">
        <v>528</v>
      </c>
      <c r="I61" s="3">
        <v>8.3650000000000002</v>
      </c>
      <c r="J61" s="3">
        <v>4.6859999999999999</v>
      </c>
      <c r="K61" s="3">
        <v>2.746</v>
      </c>
    </row>
    <row r="62" spans="1:11" x14ac:dyDescent="0.25">
      <c r="A62">
        <v>0</v>
      </c>
      <c r="B62" s="2" t="s">
        <v>8568</v>
      </c>
      <c r="C62" s="2" t="s">
        <v>8569</v>
      </c>
      <c r="D62" s="3">
        <v>16.87</v>
      </c>
      <c r="E62" s="3">
        <v>24.25</v>
      </c>
      <c r="F62" s="3">
        <v>2.2000000000000002</v>
      </c>
      <c r="G62" s="3">
        <v>2.04</v>
      </c>
      <c r="H62" s="3">
        <v>677</v>
      </c>
      <c r="I62" s="3">
        <v>12.976000000000001</v>
      </c>
      <c r="J62" s="3">
        <v>6.3090000000000002</v>
      </c>
      <c r="K62" s="3">
        <v>2.3610000000000002</v>
      </c>
    </row>
    <row r="63" spans="1:11" x14ac:dyDescent="0.25">
      <c r="A63">
        <v>0</v>
      </c>
      <c r="B63" s="2" t="s">
        <v>8570</v>
      </c>
      <c r="C63" s="2" t="s">
        <v>8571</v>
      </c>
      <c r="D63" s="3">
        <v>15.93</v>
      </c>
      <c r="E63" s="3">
        <v>24.11</v>
      </c>
      <c r="F63" s="3">
        <v>1.7</v>
      </c>
      <c r="G63" s="3">
        <v>2.21</v>
      </c>
      <c r="H63" s="3">
        <v>701</v>
      </c>
      <c r="I63" s="3">
        <v>11.558999999999999</v>
      </c>
      <c r="J63" s="3">
        <v>6.3620000000000001</v>
      </c>
      <c r="K63" s="3">
        <v>1.9710000000000001</v>
      </c>
    </row>
    <row r="64" spans="1:11" x14ac:dyDescent="0.25">
      <c r="A64">
        <v>0</v>
      </c>
      <c r="B64" s="2" t="s">
        <v>8572</v>
      </c>
      <c r="C64" s="2" t="s">
        <v>8573</v>
      </c>
      <c r="D64" s="3">
        <v>7.96</v>
      </c>
      <c r="E64" s="3">
        <v>17.62</v>
      </c>
      <c r="F64" s="3">
        <v>1.4</v>
      </c>
      <c r="G64" s="3">
        <v>4.1500000000000004</v>
      </c>
      <c r="H64" s="3">
        <v>371</v>
      </c>
      <c r="I64" s="3">
        <v>2.8170000000000002</v>
      </c>
      <c r="J64" s="3">
        <v>1.9239999999999999</v>
      </c>
      <c r="K64" s="3">
        <v>0.47</v>
      </c>
    </row>
    <row r="65" spans="1:11" x14ac:dyDescent="0.25">
      <c r="A65">
        <v>0</v>
      </c>
      <c r="B65" s="2" t="s">
        <v>8574</v>
      </c>
      <c r="C65" s="2" t="s">
        <v>8575</v>
      </c>
      <c r="D65" s="3">
        <v>7.44</v>
      </c>
      <c r="E65" s="3">
        <v>19.64</v>
      </c>
      <c r="F65" s="3">
        <v>1.1000000000000001</v>
      </c>
      <c r="G65" s="3">
        <v>4.8499999999999996</v>
      </c>
      <c r="H65" s="3">
        <v>269</v>
      </c>
      <c r="I65" s="3">
        <v>2.5310000000000001</v>
      </c>
      <c r="J65" s="3">
        <v>1.4279999999999999</v>
      </c>
      <c r="K65" s="3">
        <v>0.54700000000000004</v>
      </c>
    </row>
    <row r="66" spans="1:11" x14ac:dyDescent="0.25">
      <c r="A66">
        <v>0</v>
      </c>
      <c r="B66" s="2" t="s">
        <v>8576</v>
      </c>
      <c r="C66" s="2" t="s">
        <v>8577</v>
      </c>
      <c r="D66" s="3">
        <v>7.07</v>
      </c>
      <c r="E66" s="3">
        <v>18.5</v>
      </c>
      <c r="F66" s="3">
        <v>1.2</v>
      </c>
      <c r="G66" s="3">
        <v>4.5</v>
      </c>
      <c r="H66" s="3">
        <v>306</v>
      </c>
      <c r="I66" s="3">
        <v>2.556</v>
      </c>
      <c r="J66" s="3">
        <v>1.7330000000000001</v>
      </c>
      <c r="K66" s="3">
        <v>0.56000000000000005</v>
      </c>
    </row>
    <row r="67" spans="1:11" x14ac:dyDescent="0.25">
      <c r="A67">
        <v>0</v>
      </c>
      <c r="B67" s="2" t="s">
        <v>8578</v>
      </c>
      <c r="C67" s="2" t="s">
        <v>8579</v>
      </c>
      <c r="D67" s="3">
        <v>8.99</v>
      </c>
      <c r="E67" s="3">
        <v>17.97</v>
      </c>
      <c r="F67" s="3">
        <v>2.2000000000000002</v>
      </c>
      <c r="G67" s="3">
        <v>1.23</v>
      </c>
      <c r="H67" s="3">
        <v>503</v>
      </c>
      <c r="I67" s="3">
        <v>3.9830000000000001</v>
      </c>
      <c r="J67" s="3">
        <v>3.8220000000000001</v>
      </c>
      <c r="K67" s="3">
        <v>2.9670000000000001</v>
      </c>
    </row>
    <row r="68" spans="1:11" x14ac:dyDescent="0.25">
      <c r="A68">
        <v>0</v>
      </c>
      <c r="B68" s="2" t="s">
        <v>8580</v>
      </c>
      <c r="C68" s="2" t="s">
        <v>8581</v>
      </c>
      <c r="D68" s="3">
        <v>19</v>
      </c>
      <c r="E68" s="3">
        <v>7.8</v>
      </c>
      <c r="F68" s="3">
        <v>0.9</v>
      </c>
      <c r="G68" s="3">
        <v>2.89</v>
      </c>
      <c r="H68" s="3">
        <v>467</v>
      </c>
      <c r="I68" s="3">
        <v>3.5169999999999999</v>
      </c>
      <c r="J68" s="3">
        <v>4.6639999999999997</v>
      </c>
      <c r="K68" s="3">
        <v>1.4370000000000001</v>
      </c>
    </row>
    <row r="69" spans="1:11" x14ac:dyDescent="0.25">
      <c r="A69">
        <v>0.59568810692071494</v>
      </c>
      <c r="B69" s="2" t="s">
        <v>8582</v>
      </c>
      <c r="C69" s="2" t="s">
        <v>8583</v>
      </c>
      <c r="D69" s="3">
        <v>15.33</v>
      </c>
      <c r="E69" s="3">
        <v>12.28</v>
      </c>
      <c r="F69" s="3">
        <v>0.9</v>
      </c>
      <c r="G69" s="3">
        <v>2.68</v>
      </c>
      <c r="H69" s="3">
        <v>625</v>
      </c>
      <c r="I69" s="3">
        <v>2.113</v>
      </c>
      <c r="J69" s="3">
        <v>5.8029999999999999</v>
      </c>
      <c r="K69" s="3">
        <v>2.02</v>
      </c>
    </row>
    <row r="70" spans="1:11" x14ac:dyDescent="0.25">
      <c r="A70">
        <v>0</v>
      </c>
      <c r="B70" s="2" t="s">
        <v>8584</v>
      </c>
      <c r="C70" s="2" t="s">
        <v>8585</v>
      </c>
      <c r="D70" s="3">
        <v>16.170000000000002</v>
      </c>
      <c r="E70" s="3">
        <v>10.92</v>
      </c>
      <c r="F70" s="3">
        <v>0.9</v>
      </c>
      <c r="G70" s="3">
        <v>2.79</v>
      </c>
      <c r="H70" s="3">
        <v>536</v>
      </c>
      <c r="I70" s="3">
        <v>2.5499999999999998</v>
      </c>
      <c r="J70" s="3">
        <v>4.87</v>
      </c>
      <c r="K70" s="3">
        <v>1.9510000000000001</v>
      </c>
    </row>
    <row r="71" spans="1:11" x14ac:dyDescent="0.25">
      <c r="A71">
        <v>0</v>
      </c>
      <c r="B71" s="2" t="s">
        <v>8586</v>
      </c>
      <c r="C71" s="2" t="s">
        <v>8587</v>
      </c>
      <c r="D71" s="3">
        <v>13.19</v>
      </c>
      <c r="E71" s="3">
        <v>19.28</v>
      </c>
      <c r="F71" s="3">
        <v>1.8</v>
      </c>
      <c r="G71" s="3">
        <v>1.84</v>
      </c>
      <c r="H71" s="3">
        <v>646</v>
      </c>
      <c r="I71" s="3">
        <v>4.8479999999999999</v>
      </c>
      <c r="J71" s="3">
        <v>4.4640000000000004</v>
      </c>
      <c r="K71" s="3">
        <v>1.0149999999999999</v>
      </c>
    </row>
    <row r="72" spans="1:11" x14ac:dyDescent="0.25">
      <c r="A72">
        <v>0</v>
      </c>
      <c r="B72" s="2" t="s">
        <v>8588</v>
      </c>
      <c r="C72" s="2" t="s">
        <v>8589</v>
      </c>
      <c r="D72" s="3">
        <v>12.56</v>
      </c>
      <c r="E72" s="3">
        <v>17.920000000000002</v>
      </c>
      <c r="F72" s="3">
        <v>1.5</v>
      </c>
      <c r="G72" s="3">
        <v>2.39</v>
      </c>
      <c r="H72" s="3">
        <v>509</v>
      </c>
      <c r="I72" s="3">
        <v>4.4859999999999998</v>
      </c>
      <c r="J72" s="3">
        <v>4.2290000000000001</v>
      </c>
      <c r="K72" s="3">
        <v>1.2030000000000001</v>
      </c>
    </row>
    <row r="73" spans="1:11" x14ac:dyDescent="0.25">
      <c r="A73">
        <v>0</v>
      </c>
      <c r="B73" s="2" t="s">
        <v>8590</v>
      </c>
      <c r="C73" s="2" t="s">
        <v>8591</v>
      </c>
      <c r="D73" s="3">
        <v>12.02</v>
      </c>
      <c r="E73" s="3">
        <v>20.03</v>
      </c>
      <c r="F73" s="3">
        <v>1.2</v>
      </c>
      <c r="G73" s="3">
        <v>0.55000000000000004</v>
      </c>
      <c r="H73" s="3">
        <v>518</v>
      </c>
      <c r="I73" s="3">
        <v>1.101</v>
      </c>
      <c r="J73" s="3">
        <v>1.7989999999999999</v>
      </c>
      <c r="K73" s="3">
        <v>1.5640000000000001</v>
      </c>
    </row>
    <row r="74" spans="1:11" x14ac:dyDescent="0.25">
      <c r="A74">
        <v>0</v>
      </c>
      <c r="B74" s="2" t="s">
        <v>8592</v>
      </c>
      <c r="C74" s="2" t="s">
        <v>8593</v>
      </c>
      <c r="D74" s="3">
        <v>11.31</v>
      </c>
      <c r="E74" s="3">
        <v>31.19</v>
      </c>
      <c r="F74" s="3">
        <v>2</v>
      </c>
      <c r="G74" s="3">
        <v>1.84</v>
      </c>
      <c r="H74" s="3">
        <v>440</v>
      </c>
      <c r="I74" s="3">
        <v>5.1559999999999997</v>
      </c>
      <c r="J74" s="3">
        <v>7.1210000000000004</v>
      </c>
      <c r="K74" s="3">
        <v>4.2679999999999998</v>
      </c>
    </row>
    <row r="75" spans="1:11" x14ac:dyDescent="0.25">
      <c r="A75">
        <v>0</v>
      </c>
      <c r="B75" s="2" t="s">
        <v>8594</v>
      </c>
      <c r="C75" s="2" t="s">
        <v>8595</v>
      </c>
      <c r="D75" s="3">
        <v>3.2</v>
      </c>
      <c r="E75" s="3">
        <v>24.92</v>
      </c>
      <c r="F75" s="3">
        <v>0.5</v>
      </c>
      <c r="G75" s="3">
        <v>15.26</v>
      </c>
      <c r="H75" s="3">
        <v>106</v>
      </c>
      <c r="I75" s="3">
        <v>1.899</v>
      </c>
      <c r="J75" s="3">
        <v>1.018</v>
      </c>
      <c r="K75" s="3">
        <v>0.443</v>
      </c>
    </row>
    <row r="76" spans="1:11" x14ac:dyDescent="0.25">
      <c r="A76">
        <v>0</v>
      </c>
      <c r="B76" s="2" t="s">
        <v>8596</v>
      </c>
      <c r="C76" s="2" t="s">
        <v>8597</v>
      </c>
      <c r="D76" s="3">
        <v>4.6399999999999997</v>
      </c>
      <c r="E76" s="3">
        <v>24.4</v>
      </c>
      <c r="F76" s="3">
        <v>3.4</v>
      </c>
      <c r="G76" s="3">
        <v>0.86</v>
      </c>
      <c r="H76" s="3">
        <v>420</v>
      </c>
      <c r="I76" s="3">
        <v>0.72899999999999998</v>
      </c>
      <c r="J76" s="3">
        <v>0.88900000000000001</v>
      </c>
      <c r="K76" s="3">
        <v>1.5569999999999999</v>
      </c>
    </row>
    <row r="77" spans="1:11" x14ac:dyDescent="0.25">
      <c r="A77">
        <v>0</v>
      </c>
      <c r="B77" s="2" t="s">
        <v>8598</v>
      </c>
      <c r="C77" s="2" t="s">
        <v>8599</v>
      </c>
      <c r="D77" s="3">
        <v>3.96</v>
      </c>
      <c r="E77" s="3">
        <v>23.74</v>
      </c>
      <c r="F77" s="3">
        <v>2.6</v>
      </c>
      <c r="G77" s="3">
        <v>0.15</v>
      </c>
      <c r="H77" s="3">
        <v>370</v>
      </c>
      <c r="I77" s="3">
        <v>0.502</v>
      </c>
      <c r="J77" s="3">
        <v>0.69099999999999995</v>
      </c>
      <c r="K77" s="3">
        <v>1.579</v>
      </c>
    </row>
    <row r="78" spans="1:11" x14ac:dyDescent="0.25">
      <c r="A78">
        <v>0</v>
      </c>
      <c r="B78" s="2" t="s">
        <v>8600</v>
      </c>
      <c r="C78" s="2" t="s">
        <v>8601</v>
      </c>
      <c r="D78" s="3">
        <v>3.5</v>
      </c>
      <c r="E78" s="3">
        <v>30.75</v>
      </c>
      <c r="F78" s="3">
        <v>1.4</v>
      </c>
      <c r="H78" s="3">
        <v>583</v>
      </c>
      <c r="I78" s="3">
        <v>0.76300000000000001</v>
      </c>
      <c r="J78" s="3">
        <v>1.0049999999999999</v>
      </c>
      <c r="K78" s="3">
        <v>2.3199999999999998</v>
      </c>
    </row>
    <row r="79" spans="1:11" x14ac:dyDescent="0.25">
      <c r="A79">
        <v>0</v>
      </c>
      <c r="B79" s="2" t="s">
        <v>8602</v>
      </c>
      <c r="C79" s="2" t="s">
        <v>8603</v>
      </c>
      <c r="D79" s="3">
        <v>5.59</v>
      </c>
      <c r="E79" s="3">
        <v>31.49</v>
      </c>
      <c r="F79" s="3">
        <v>5.8</v>
      </c>
      <c r="G79" s="3">
        <v>1.3</v>
      </c>
      <c r="H79" s="3">
        <v>305</v>
      </c>
      <c r="I79" s="3">
        <v>2.1880000000000002</v>
      </c>
      <c r="J79" s="3">
        <v>2.9860000000000002</v>
      </c>
      <c r="K79" s="3">
        <v>2.907</v>
      </c>
    </row>
    <row r="80" spans="1:11" x14ac:dyDescent="0.25">
      <c r="A80">
        <v>0</v>
      </c>
      <c r="B80" s="2" t="s">
        <v>8604</v>
      </c>
      <c r="C80" s="2" t="s">
        <v>8605</v>
      </c>
      <c r="D80" s="3">
        <v>11.72</v>
      </c>
      <c r="E80" s="3">
        <v>22.39</v>
      </c>
      <c r="F80" s="3">
        <v>2.9</v>
      </c>
      <c r="G80" s="3">
        <v>1.2</v>
      </c>
      <c r="H80" s="3">
        <v>400</v>
      </c>
      <c r="I80" s="3">
        <v>6.4790000000000001</v>
      </c>
      <c r="J80" s="3">
        <v>3.411</v>
      </c>
      <c r="K80" s="3">
        <v>1.5549999999999999</v>
      </c>
    </row>
    <row r="81" spans="1:11" x14ac:dyDescent="0.25">
      <c r="A81">
        <v>0</v>
      </c>
      <c r="B81" s="2" t="s">
        <v>8606</v>
      </c>
      <c r="C81" s="2" t="s">
        <v>8607</v>
      </c>
      <c r="D81" s="3">
        <v>11.51</v>
      </c>
      <c r="E81" s="3">
        <v>23.02</v>
      </c>
      <c r="F81" s="3">
        <v>2.6</v>
      </c>
      <c r="G81" s="3">
        <v>1.45</v>
      </c>
      <c r="H81" s="3">
        <v>426</v>
      </c>
      <c r="I81" s="3">
        <v>3.1659999999999999</v>
      </c>
      <c r="J81" s="3">
        <v>3.964</v>
      </c>
      <c r="K81" s="3">
        <v>2.2050000000000001</v>
      </c>
    </row>
    <row r="82" spans="1:11" x14ac:dyDescent="0.25">
      <c r="A82">
        <v>0</v>
      </c>
      <c r="B82" s="2" t="s">
        <v>8608</v>
      </c>
      <c r="C82" s="2" t="s">
        <v>8609</v>
      </c>
      <c r="D82" s="3">
        <v>3.48</v>
      </c>
      <c r="E82" s="3">
        <v>26.68</v>
      </c>
      <c r="F82" s="3">
        <v>3.2</v>
      </c>
      <c r="G82" s="3">
        <v>7.42</v>
      </c>
      <c r="H82" s="3">
        <v>277</v>
      </c>
      <c r="I82" s="3">
        <v>2.629</v>
      </c>
      <c r="J82" s="3">
        <v>2.4369999999999998</v>
      </c>
      <c r="K82" s="3">
        <v>1.548</v>
      </c>
    </row>
    <row r="83" spans="1:11" x14ac:dyDescent="0.25">
      <c r="A83">
        <v>0</v>
      </c>
      <c r="B83" s="2" t="s">
        <v>8610</v>
      </c>
      <c r="C83" s="2" t="s">
        <v>8611</v>
      </c>
      <c r="D83" s="3">
        <v>7.35</v>
      </c>
      <c r="E83" s="3">
        <v>15.75</v>
      </c>
      <c r="F83" s="3">
        <v>2.4</v>
      </c>
      <c r="G83" s="3">
        <v>0.46</v>
      </c>
      <c r="H83" s="3">
        <v>473</v>
      </c>
      <c r="I83" s="3">
        <v>2.6920000000000002</v>
      </c>
      <c r="J83" s="3">
        <v>3.2440000000000002</v>
      </c>
      <c r="K83" s="3">
        <v>2.052</v>
      </c>
    </row>
    <row r="84" spans="1:11" x14ac:dyDescent="0.25">
      <c r="A84">
        <v>0</v>
      </c>
      <c r="B84" s="2" t="s">
        <v>8612</v>
      </c>
      <c r="C84" s="2" t="s">
        <v>8613</v>
      </c>
      <c r="D84" s="3">
        <v>5.0999999999999996</v>
      </c>
      <c r="E84" s="3">
        <v>14.79</v>
      </c>
      <c r="F84" s="3">
        <v>4.9000000000000004</v>
      </c>
      <c r="G84" s="3">
        <v>0.89</v>
      </c>
      <c r="H84" s="3">
        <v>311</v>
      </c>
      <c r="I84" s="3">
        <v>0.53500000000000003</v>
      </c>
      <c r="J84" s="3">
        <v>1.0349999999999999</v>
      </c>
      <c r="K84" s="3">
        <v>0.78700000000000003</v>
      </c>
    </row>
    <row r="85" spans="1:11" x14ac:dyDescent="0.25">
      <c r="A85">
        <v>0</v>
      </c>
      <c r="B85" s="2" t="s">
        <v>8614</v>
      </c>
      <c r="C85" s="2" t="s">
        <v>8615</v>
      </c>
      <c r="D85" s="3">
        <v>8.61</v>
      </c>
      <c r="E85" s="3">
        <v>4.07</v>
      </c>
      <c r="H85" s="3">
        <v>411</v>
      </c>
      <c r="I85" s="3">
        <v>1.0449999999999999</v>
      </c>
      <c r="J85" s="3">
        <v>1.1240000000000001</v>
      </c>
      <c r="K85" s="3">
        <v>0.31</v>
      </c>
    </row>
    <row r="86" spans="1:11" x14ac:dyDescent="0.25">
      <c r="A86">
        <v>0</v>
      </c>
      <c r="B86" s="2" t="s">
        <v>8616</v>
      </c>
      <c r="C86" s="2" t="s">
        <v>8617</v>
      </c>
      <c r="D86" s="3">
        <v>5.48</v>
      </c>
      <c r="E86" s="3">
        <v>37.14</v>
      </c>
      <c r="F86" s="3">
        <v>2.6</v>
      </c>
      <c r="G86" s="3">
        <v>0.87</v>
      </c>
      <c r="H86" s="3">
        <v>270</v>
      </c>
      <c r="I86" s="3">
        <v>2.9020000000000001</v>
      </c>
      <c r="J86" s="3">
        <v>1.514</v>
      </c>
      <c r="K86" s="3">
        <v>0.98899999999999999</v>
      </c>
    </row>
    <row r="87" spans="1:11" x14ac:dyDescent="0.25">
      <c r="A87">
        <v>0</v>
      </c>
      <c r="B87" s="2" t="s">
        <v>8618</v>
      </c>
      <c r="C87" s="2" t="s">
        <v>8619</v>
      </c>
      <c r="D87" s="3">
        <v>8.02</v>
      </c>
      <c r="E87" s="3">
        <v>48.57</v>
      </c>
      <c r="F87" s="3">
        <v>1.5</v>
      </c>
      <c r="G87" s="3">
        <v>12.24</v>
      </c>
      <c r="H87" s="3">
        <v>418</v>
      </c>
      <c r="I87" s="3">
        <v>6.8339999999999996</v>
      </c>
      <c r="J87" s="3">
        <v>9.4149999999999991</v>
      </c>
      <c r="K87" s="3">
        <v>7.09</v>
      </c>
    </row>
    <row r="88" spans="1:11" x14ac:dyDescent="0.25">
      <c r="A88">
        <v>0</v>
      </c>
      <c r="B88" s="2" t="s">
        <v>8620</v>
      </c>
      <c r="C88" s="2" t="s">
        <v>8621</v>
      </c>
      <c r="D88" s="3">
        <v>3.28</v>
      </c>
      <c r="E88" s="3">
        <v>31.16</v>
      </c>
      <c r="F88" s="3">
        <v>1.2</v>
      </c>
      <c r="G88" s="3">
        <v>1.3</v>
      </c>
      <c r="H88" s="3">
        <v>528</v>
      </c>
      <c r="I88" s="3">
        <v>1.0049999999999999</v>
      </c>
      <c r="J88" s="3">
        <v>1.5109999999999999</v>
      </c>
      <c r="K88" s="3">
        <v>2.3170000000000002</v>
      </c>
    </row>
    <row r="89" spans="1:11" x14ac:dyDescent="0.25">
      <c r="A89">
        <v>0</v>
      </c>
      <c r="B89" s="2" t="s">
        <v>8622</v>
      </c>
      <c r="C89" s="2" t="s">
        <v>8623</v>
      </c>
      <c r="D89" s="3">
        <v>6.91</v>
      </c>
      <c r="E89" s="3">
        <v>16.79</v>
      </c>
      <c r="F89" s="3">
        <v>8</v>
      </c>
      <c r="G89" s="3">
        <v>0.78</v>
      </c>
      <c r="H89" s="3">
        <v>376</v>
      </c>
      <c r="I89" s="3">
        <v>1.84</v>
      </c>
      <c r="J89" s="3">
        <v>1.8340000000000001</v>
      </c>
      <c r="K89" s="3">
        <v>2.3439999999999999</v>
      </c>
    </row>
    <row r="90" spans="1:11" x14ac:dyDescent="0.25">
      <c r="A90">
        <v>0</v>
      </c>
      <c r="B90" s="2" t="s">
        <v>8624</v>
      </c>
      <c r="C90" s="2" t="s">
        <v>8625</v>
      </c>
      <c r="D90" s="3">
        <v>8.2799999999999994</v>
      </c>
      <c r="E90" s="3">
        <v>27.29</v>
      </c>
      <c r="F90" s="3">
        <v>2.6</v>
      </c>
      <c r="H90" s="3">
        <v>468</v>
      </c>
      <c r="I90" s="3">
        <v>2.1160000000000001</v>
      </c>
      <c r="J90" s="3">
        <v>3.036</v>
      </c>
      <c r="K90" s="3">
        <v>5.601</v>
      </c>
    </row>
    <row r="91" spans="1:11" x14ac:dyDescent="0.25">
      <c r="A91">
        <v>0</v>
      </c>
      <c r="B91" s="2" t="s">
        <v>8626</v>
      </c>
      <c r="C91" s="2" t="s">
        <v>8627</v>
      </c>
      <c r="D91" s="3">
        <v>4.05</v>
      </c>
      <c r="E91" s="3">
        <v>32.79</v>
      </c>
      <c r="F91" s="3">
        <v>1.1000000000000001</v>
      </c>
      <c r="G91" s="3">
        <v>0.56000000000000005</v>
      </c>
      <c r="H91" s="3">
        <v>387</v>
      </c>
      <c r="I91" s="3">
        <v>0.54</v>
      </c>
      <c r="J91" s="3">
        <v>0.64900000000000002</v>
      </c>
      <c r="K91" s="3">
        <v>1.111</v>
      </c>
    </row>
    <row r="92" spans="1:11" x14ac:dyDescent="0.25">
      <c r="A92">
        <v>0</v>
      </c>
      <c r="B92" s="2" t="s">
        <v>8628</v>
      </c>
      <c r="C92" s="2" t="s">
        <v>8629</v>
      </c>
      <c r="D92" s="3">
        <v>7.08</v>
      </c>
      <c r="E92" s="3">
        <v>7.29</v>
      </c>
      <c r="F92" s="3">
        <v>1.5</v>
      </c>
      <c r="G92" s="3">
        <v>2.41</v>
      </c>
      <c r="H92" s="3">
        <v>409</v>
      </c>
      <c r="I92" s="3">
        <v>0.97799999999999998</v>
      </c>
      <c r="J92" s="3">
        <v>1.2170000000000001</v>
      </c>
      <c r="K92" s="3">
        <v>2.13</v>
      </c>
    </row>
    <row r="93" spans="1:11" x14ac:dyDescent="0.25">
      <c r="A93">
        <v>0</v>
      </c>
      <c r="B93" s="2" t="s">
        <v>8630</v>
      </c>
      <c r="C93" s="2" t="s">
        <v>8631</v>
      </c>
      <c r="D93" s="3">
        <v>18.670000000000002</v>
      </c>
      <c r="E93" s="3">
        <v>20.239999999999998</v>
      </c>
      <c r="F93" s="3">
        <v>1</v>
      </c>
      <c r="G93" s="3">
        <v>0.19</v>
      </c>
      <c r="H93" s="3">
        <v>871</v>
      </c>
      <c r="I93" s="3">
        <v>2.83</v>
      </c>
      <c r="J93" s="3">
        <v>3.4260000000000002</v>
      </c>
      <c r="K93" s="3">
        <v>8.1419999999999995</v>
      </c>
    </row>
    <row r="94" spans="1:11" x14ac:dyDescent="0.25">
      <c r="A94">
        <v>0</v>
      </c>
      <c r="B94" s="2" t="s">
        <v>8632</v>
      </c>
      <c r="C94" s="2" t="s">
        <v>8633</v>
      </c>
      <c r="D94" s="3">
        <v>12.62</v>
      </c>
      <c r="E94" s="3">
        <v>21.4</v>
      </c>
      <c r="F94" s="3">
        <v>0.3</v>
      </c>
      <c r="H94" s="3">
        <v>1050</v>
      </c>
      <c r="I94" s="3">
        <v>3.0640000000000001</v>
      </c>
      <c r="J94" s="3">
        <v>3.7869999999999999</v>
      </c>
      <c r="K94" s="3">
        <v>8.5190000000000001</v>
      </c>
    </row>
    <row r="95" spans="1:11" x14ac:dyDescent="0.25">
      <c r="A95">
        <v>0</v>
      </c>
      <c r="B95" s="2" t="s">
        <v>8634</v>
      </c>
      <c r="C95" s="2" t="s">
        <v>8635</v>
      </c>
      <c r="D95" s="3">
        <v>22.94</v>
      </c>
      <c r="E95" s="3">
        <v>5.31</v>
      </c>
      <c r="F95" s="3">
        <v>1.6</v>
      </c>
      <c r="H95" s="3">
        <v>414</v>
      </c>
      <c r="I95" s="3">
        <v>3.2490000000000001</v>
      </c>
      <c r="J95" s="3">
        <v>4.577</v>
      </c>
      <c r="K95" s="3">
        <v>7.6120000000000001</v>
      </c>
    </row>
    <row r="96" spans="1:11" x14ac:dyDescent="0.25">
      <c r="A96">
        <v>0</v>
      </c>
      <c r="B96" s="2" t="s">
        <v>8636</v>
      </c>
      <c r="C96" s="2" t="s">
        <v>8637</v>
      </c>
      <c r="D96" s="3">
        <v>3.26</v>
      </c>
      <c r="E96" s="3">
        <v>30.87</v>
      </c>
      <c r="F96" s="3">
        <v>3.5</v>
      </c>
      <c r="G96" s="3">
        <v>0.86</v>
      </c>
      <c r="H96" s="3">
        <v>43</v>
      </c>
      <c r="I96" s="3">
        <v>2.3690000000000002</v>
      </c>
      <c r="J96" s="3">
        <v>3.1560000000000001</v>
      </c>
      <c r="K96" s="3">
        <v>6.8330000000000002</v>
      </c>
    </row>
    <row r="97" spans="1:11" x14ac:dyDescent="0.25">
      <c r="A97">
        <v>0</v>
      </c>
      <c r="B97" s="2" t="s">
        <v>8638</v>
      </c>
      <c r="C97" s="2" t="s">
        <v>8639</v>
      </c>
      <c r="D97" s="3">
        <v>31.52</v>
      </c>
      <c r="E97" s="3">
        <v>0</v>
      </c>
      <c r="H97" s="3">
        <v>180</v>
      </c>
      <c r="I97" s="3">
        <v>3.0449999999999999</v>
      </c>
      <c r="J97" s="3">
        <v>3.4049999999999998</v>
      </c>
      <c r="K97" s="3">
        <v>0.74199999999999999</v>
      </c>
    </row>
    <row r="98" spans="1:11" x14ac:dyDescent="0.25">
      <c r="A98">
        <v>0</v>
      </c>
      <c r="B98" s="2" t="s">
        <v>8640</v>
      </c>
      <c r="C98" s="2" t="s">
        <v>8641</v>
      </c>
      <c r="D98" s="3">
        <v>6.46</v>
      </c>
      <c r="E98" s="3">
        <v>15.58</v>
      </c>
      <c r="F98" s="3">
        <v>0.7</v>
      </c>
      <c r="G98" s="3">
        <v>2.83</v>
      </c>
      <c r="H98" s="3">
        <v>374</v>
      </c>
      <c r="I98" s="3">
        <v>4.1970000000000001</v>
      </c>
      <c r="J98" s="3">
        <v>2.8239999999999998</v>
      </c>
      <c r="K98" s="3">
        <v>3.9249999999999998</v>
      </c>
    </row>
    <row r="99" spans="1:11" x14ac:dyDescent="0.25">
      <c r="A99">
        <v>0.30591016204977595</v>
      </c>
      <c r="B99" s="2" t="s">
        <v>8642</v>
      </c>
      <c r="C99" s="2" t="s">
        <v>8643</v>
      </c>
      <c r="D99" s="3">
        <v>3.41</v>
      </c>
      <c r="E99" s="3">
        <v>35.200000000000003</v>
      </c>
      <c r="F99" s="3">
        <v>3.5</v>
      </c>
      <c r="G99" s="3">
        <v>0.85</v>
      </c>
      <c r="H99" s="3">
        <v>44</v>
      </c>
      <c r="I99" s="3">
        <v>2.5339999999999998</v>
      </c>
      <c r="J99" s="3">
        <v>3.4079999999999999</v>
      </c>
      <c r="K99" s="3">
        <v>6.548</v>
      </c>
    </row>
    <row r="100" spans="1:11" x14ac:dyDescent="0.25">
      <c r="A100">
        <v>0</v>
      </c>
      <c r="B100" s="2" t="s">
        <v>8644</v>
      </c>
      <c r="C100" s="2" t="s">
        <v>8645</v>
      </c>
      <c r="D100" s="3">
        <v>13.56</v>
      </c>
      <c r="E100" s="3">
        <v>27.22</v>
      </c>
      <c r="F100" s="3">
        <v>1.6</v>
      </c>
      <c r="G100" s="3">
        <v>2.83</v>
      </c>
      <c r="H100" s="3">
        <v>1008</v>
      </c>
      <c r="I100" s="3">
        <v>6.6429999999999998</v>
      </c>
      <c r="J100" s="3">
        <v>4.2869999999999999</v>
      </c>
      <c r="K100" s="3">
        <v>5.1040000000000001</v>
      </c>
    </row>
    <row r="101" spans="1:11" x14ac:dyDescent="0.25">
      <c r="A101">
        <v>0</v>
      </c>
      <c r="B101" s="2" t="s">
        <v>8646</v>
      </c>
      <c r="C101" s="2" t="s">
        <v>8647</v>
      </c>
      <c r="D101" s="3">
        <v>13.88</v>
      </c>
      <c r="E101" s="3">
        <v>20.93</v>
      </c>
      <c r="F101" s="3">
        <v>1.5</v>
      </c>
      <c r="G101" s="3">
        <v>0.75</v>
      </c>
      <c r="H101" s="3">
        <v>1400</v>
      </c>
      <c r="I101" s="3">
        <v>3.5150000000000001</v>
      </c>
      <c r="J101" s="3">
        <v>4.7720000000000002</v>
      </c>
      <c r="K101" s="3">
        <v>9.516</v>
      </c>
    </row>
    <row r="102" spans="1:11" x14ac:dyDescent="0.25">
      <c r="A102">
        <v>0</v>
      </c>
      <c r="B102" s="2" t="s">
        <v>8648</v>
      </c>
      <c r="C102" s="2" t="s">
        <v>8649</v>
      </c>
      <c r="D102" s="3">
        <v>5.19</v>
      </c>
      <c r="E102" s="3">
        <v>21.16</v>
      </c>
      <c r="F102" s="3">
        <v>1.2</v>
      </c>
      <c r="G102" s="3">
        <v>4.2</v>
      </c>
      <c r="H102" s="3">
        <v>300</v>
      </c>
      <c r="I102" s="3">
        <v>1.3839999999999999</v>
      </c>
      <c r="J102" s="3">
        <v>2.0459999999999998</v>
      </c>
      <c r="K102" s="3">
        <v>1.01</v>
      </c>
    </row>
    <row r="103" spans="1:11" x14ac:dyDescent="0.25">
      <c r="A103">
        <v>9.8401731029508749E-2</v>
      </c>
      <c r="B103" s="2" t="s">
        <v>8650</v>
      </c>
      <c r="C103" s="2" t="s">
        <v>8651</v>
      </c>
      <c r="D103" s="3">
        <v>16.27</v>
      </c>
      <c r="E103" s="3">
        <v>13.59</v>
      </c>
      <c r="F103" s="3">
        <v>0.8</v>
      </c>
      <c r="G103" s="3">
        <v>0</v>
      </c>
      <c r="H103" s="3">
        <v>644</v>
      </c>
      <c r="I103" s="3">
        <v>5.6059999999999999</v>
      </c>
      <c r="J103" s="3">
        <v>9.8170000000000002</v>
      </c>
      <c r="K103" s="3">
        <v>10.701000000000001</v>
      </c>
    </row>
    <row r="104" spans="1:11" x14ac:dyDescent="0.25">
      <c r="A104">
        <v>0</v>
      </c>
      <c r="B104" s="2" t="s">
        <v>8652</v>
      </c>
      <c r="C104" s="2" t="s">
        <v>8653</v>
      </c>
      <c r="D104" s="3">
        <v>28.9</v>
      </c>
      <c r="E104" s="3">
        <v>0.14000000000000001</v>
      </c>
      <c r="H104" s="3">
        <v>349</v>
      </c>
      <c r="I104" s="3">
        <v>2.5950000000000002</v>
      </c>
      <c r="J104" s="3">
        <v>2.84</v>
      </c>
      <c r="K104" s="3">
        <v>0.67200000000000004</v>
      </c>
    </row>
    <row r="105" spans="1:11" x14ac:dyDescent="0.25">
      <c r="A105">
        <v>0</v>
      </c>
      <c r="B105" s="2" t="s">
        <v>8654</v>
      </c>
      <c r="C105" s="2" t="s">
        <v>8655</v>
      </c>
      <c r="D105" s="3">
        <v>11.87</v>
      </c>
      <c r="E105" s="3">
        <v>20.61</v>
      </c>
      <c r="F105" s="3">
        <v>1</v>
      </c>
      <c r="G105" s="3">
        <v>8.18</v>
      </c>
      <c r="H105" s="3">
        <v>252</v>
      </c>
      <c r="I105" s="3">
        <v>2.0329999999999999</v>
      </c>
      <c r="J105" s="3">
        <v>2.7490000000000001</v>
      </c>
      <c r="K105" s="3">
        <v>6.0860000000000003</v>
      </c>
    </row>
    <row r="106" spans="1:11" x14ac:dyDescent="0.25">
      <c r="A106">
        <v>0</v>
      </c>
      <c r="B106" s="2" t="s">
        <v>8656</v>
      </c>
      <c r="C106" s="2" t="s">
        <v>8657</v>
      </c>
      <c r="D106" s="3">
        <v>12.9</v>
      </c>
      <c r="E106" s="3">
        <v>23.99</v>
      </c>
      <c r="F106" s="3">
        <v>0.9</v>
      </c>
      <c r="G106" s="3">
        <v>11.6</v>
      </c>
      <c r="H106" s="3">
        <v>435</v>
      </c>
      <c r="I106" s="3">
        <v>2.76</v>
      </c>
      <c r="J106" s="3">
        <v>3.879</v>
      </c>
      <c r="K106" s="3">
        <v>7.5010000000000003</v>
      </c>
    </row>
    <row r="107" spans="1:11" x14ac:dyDescent="0.25">
      <c r="A107">
        <v>0</v>
      </c>
      <c r="B107" s="2" t="s">
        <v>8658</v>
      </c>
      <c r="C107" s="2" t="s">
        <v>8659</v>
      </c>
      <c r="D107" s="3">
        <v>9.76</v>
      </c>
      <c r="E107" s="3">
        <v>6.87</v>
      </c>
      <c r="F107" s="3">
        <v>1.5</v>
      </c>
      <c r="G107" s="3">
        <v>3.03</v>
      </c>
      <c r="H107" s="3">
        <v>402</v>
      </c>
      <c r="I107" s="3">
        <v>1.3520000000000001</v>
      </c>
      <c r="J107" s="3">
        <v>2.173</v>
      </c>
      <c r="K107" s="3">
        <v>3.02</v>
      </c>
    </row>
    <row r="108" spans="1:11" x14ac:dyDescent="0.25">
      <c r="A108">
        <v>0</v>
      </c>
      <c r="B108" s="2" t="s">
        <v>8660</v>
      </c>
      <c r="C108" s="2" t="s">
        <v>8661</v>
      </c>
      <c r="D108" s="3">
        <v>5.9</v>
      </c>
      <c r="E108" s="3">
        <v>4.5199999999999996</v>
      </c>
      <c r="F108" s="3">
        <v>1.4</v>
      </c>
      <c r="G108" s="3">
        <v>2.16</v>
      </c>
      <c r="H108" s="3">
        <v>375</v>
      </c>
      <c r="I108" s="3">
        <v>0.63300000000000001</v>
      </c>
      <c r="J108" s="3">
        <v>0.81699999999999995</v>
      </c>
      <c r="K108" s="3">
        <v>1.984</v>
      </c>
    </row>
    <row r="109" spans="1:11" x14ac:dyDescent="0.25">
      <c r="A109">
        <v>0</v>
      </c>
      <c r="B109" s="2" t="s">
        <v>8662</v>
      </c>
      <c r="C109" s="2" t="s">
        <v>8663</v>
      </c>
      <c r="D109" s="3">
        <v>10.1</v>
      </c>
      <c r="E109" s="3">
        <v>23.86</v>
      </c>
      <c r="F109" s="3">
        <v>1</v>
      </c>
      <c r="G109" s="3">
        <v>11.47</v>
      </c>
      <c r="H109" s="3">
        <v>246</v>
      </c>
      <c r="I109" s="3">
        <v>1.9330000000000001</v>
      </c>
      <c r="J109" s="3">
        <v>2.7170000000000001</v>
      </c>
      <c r="K109" s="3">
        <v>6.4189999999999996</v>
      </c>
    </row>
    <row r="110" spans="1:11" x14ac:dyDescent="0.25">
      <c r="A110">
        <v>0</v>
      </c>
      <c r="B110" s="2" t="s">
        <v>8664</v>
      </c>
      <c r="C110" s="2" t="s">
        <v>8665</v>
      </c>
      <c r="D110" s="3">
        <v>8.91</v>
      </c>
      <c r="E110" s="3">
        <v>23.34</v>
      </c>
      <c r="F110" s="3">
        <v>1</v>
      </c>
      <c r="G110" s="3">
        <v>10.34</v>
      </c>
      <c r="H110" s="3">
        <v>304</v>
      </c>
      <c r="I110" s="3">
        <v>2.68</v>
      </c>
      <c r="J110" s="3">
        <v>3.5270000000000001</v>
      </c>
      <c r="K110" s="3">
        <v>7.1159999999999997</v>
      </c>
    </row>
    <row r="111" spans="1:11" x14ac:dyDescent="0.25">
      <c r="A111">
        <v>0</v>
      </c>
      <c r="B111" s="2" t="s">
        <v>8666</v>
      </c>
      <c r="C111" s="2" t="s">
        <v>8667</v>
      </c>
      <c r="D111" s="3">
        <v>6.76</v>
      </c>
      <c r="E111" s="3">
        <v>8.2899999999999991</v>
      </c>
      <c r="F111" s="3">
        <v>1</v>
      </c>
      <c r="G111" s="3">
        <v>1.74</v>
      </c>
      <c r="H111" s="3">
        <v>311</v>
      </c>
      <c r="I111" s="3">
        <v>0.49</v>
      </c>
      <c r="J111" s="3">
        <v>0.61299999999999999</v>
      </c>
      <c r="K111" s="3">
        <v>1.226</v>
      </c>
    </row>
    <row r="112" spans="1:11" x14ac:dyDescent="0.25">
      <c r="A112">
        <v>0</v>
      </c>
      <c r="B112" s="2" t="s">
        <v>8668</v>
      </c>
      <c r="C112" s="2" t="s">
        <v>8669</v>
      </c>
      <c r="D112" s="3">
        <v>1.34</v>
      </c>
      <c r="E112" s="3">
        <v>5.74</v>
      </c>
      <c r="F112" s="3">
        <v>1.2</v>
      </c>
      <c r="G112" s="3">
        <v>2.63</v>
      </c>
      <c r="H112" s="3">
        <v>344</v>
      </c>
      <c r="I112" s="3">
        <v>0.29299999999999998</v>
      </c>
      <c r="J112" s="3">
        <v>0.41099999999999998</v>
      </c>
      <c r="K112" s="3">
        <v>0.92100000000000004</v>
      </c>
    </row>
    <row r="113" spans="1:11" x14ac:dyDescent="0.25">
      <c r="A113">
        <v>0</v>
      </c>
      <c r="B113" s="2" t="s">
        <v>8670</v>
      </c>
      <c r="C113" s="2" t="s">
        <v>8671</v>
      </c>
      <c r="D113" s="3">
        <v>4.7699999999999996</v>
      </c>
      <c r="E113" s="3">
        <v>20.16</v>
      </c>
      <c r="F113" s="3">
        <v>1.3</v>
      </c>
      <c r="G113" s="3">
        <v>2.63</v>
      </c>
      <c r="H113" s="3">
        <v>430</v>
      </c>
      <c r="I113" s="3">
        <v>0.46400000000000002</v>
      </c>
      <c r="J113" s="3">
        <v>0.59199999999999997</v>
      </c>
      <c r="K113" s="3">
        <v>1.2909999999999999</v>
      </c>
    </row>
    <row r="114" spans="1:11" x14ac:dyDescent="0.25">
      <c r="A114">
        <v>0</v>
      </c>
      <c r="B114" s="2" t="s">
        <v>8672</v>
      </c>
      <c r="C114" s="2" t="s">
        <v>8673</v>
      </c>
      <c r="D114" s="3">
        <v>8.18</v>
      </c>
      <c r="E114" s="3">
        <v>5.38</v>
      </c>
      <c r="F114" s="3">
        <v>0.9</v>
      </c>
      <c r="G114" s="3">
        <v>2.93</v>
      </c>
      <c r="H114" s="3">
        <v>413</v>
      </c>
      <c r="I114" s="3">
        <v>0.77</v>
      </c>
      <c r="J114" s="3">
        <v>1.087</v>
      </c>
      <c r="K114" s="3">
        <v>2.08</v>
      </c>
    </row>
    <row r="115" spans="1:11" x14ac:dyDescent="0.25">
      <c r="A115">
        <v>0</v>
      </c>
      <c r="B115" s="2" t="s">
        <v>8674</v>
      </c>
      <c r="C115" s="2" t="s">
        <v>8675</v>
      </c>
      <c r="D115" s="3">
        <v>14.46</v>
      </c>
      <c r="E115" s="3">
        <v>22.46</v>
      </c>
      <c r="F115" s="3">
        <v>0.8</v>
      </c>
      <c r="G115" s="3">
        <v>13.6</v>
      </c>
      <c r="H115" s="3">
        <v>553</v>
      </c>
      <c r="I115" s="3">
        <v>2.4220000000000002</v>
      </c>
      <c r="J115" s="3">
        <v>3.4740000000000002</v>
      </c>
      <c r="K115" s="3">
        <v>6.0860000000000003</v>
      </c>
    </row>
    <row r="116" spans="1:11" x14ac:dyDescent="0.25">
      <c r="A116">
        <v>0</v>
      </c>
      <c r="B116" s="2" t="s">
        <v>8676</v>
      </c>
      <c r="C116" s="2" t="s">
        <v>8677</v>
      </c>
      <c r="D116" s="3">
        <v>5.79</v>
      </c>
      <c r="E116" s="3">
        <v>16.399999999999999</v>
      </c>
      <c r="F116" s="3">
        <v>1.6</v>
      </c>
      <c r="G116" s="3">
        <v>1.82</v>
      </c>
      <c r="H116" s="3">
        <v>230</v>
      </c>
      <c r="I116" s="3">
        <v>1.0620000000000001</v>
      </c>
      <c r="J116" s="3">
        <v>1.486</v>
      </c>
      <c r="K116" s="3">
        <v>0.51200000000000001</v>
      </c>
    </row>
    <row r="117" spans="1:11" x14ac:dyDescent="0.25">
      <c r="A117">
        <v>0</v>
      </c>
      <c r="B117" s="2" t="s">
        <v>8678</v>
      </c>
      <c r="C117" s="2" t="s">
        <v>8679</v>
      </c>
      <c r="D117" s="3">
        <v>5.8</v>
      </c>
      <c r="E117" s="3">
        <v>17.190000000000001</v>
      </c>
      <c r="F117" s="3">
        <v>1.7</v>
      </c>
      <c r="G117" s="3">
        <v>1.67</v>
      </c>
      <c r="H117" s="3">
        <v>209</v>
      </c>
      <c r="I117" s="3">
        <v>1.024</v>
      </c>
      <c r="J117" s="3">
        <v>1.242</v>
      </c>
      <c r="K117" s="3">
        <v>0.53</v>
      </c>
    </row>
    <row r="118" spans="1:11" x14ac:dyDescent="0.25">
      <c r="A118">
        <v>0</v>
      </c>
      <c r="B118" s="2" t="s">
        <v>8680</v>
      </c>
      <c r="C118" s="2" t="s">
        <v>8681</v>
      </c>
      <c r="D118" s="3">
        <v>5.87</v>
      </c>
      <c r="E118" s="3">
        <v>15.71</v>
      </c>
      <c r="F118" s="3">
        <v>1.5</v>
      </c>
      <c r="G118" s="3">
        <v>1.96</v>
      </c>
      <c r="H118" s="3">
        <v>270</v>
      </c>
      <c r="I118" s="3">
        <v>1.1000000000000001</v>
      </c>
      <c r="J118" s="3">
        <v>1.7310000000000001</v>
      </c>
      <c r="K118" s="3">
        <v>0.49399999999999999</v>
      </c>
    </row>
    <row r="119" spans="1:11" x14ac:dyDescent="0.25">
      <c r="A119">
        <v>0</v>
      </c>
      <c r="B119" s="2" t="s">
        <v>8682</v>
      </c>
      <c r="C119" s="2" t="s">
        <v>8683</v>
      </c>
      <c r="D119" s="3">
        <v>14.33</v>
      </c>
      <c r="E119" s="3">
        <v>26.88</v>
      </c>
      <c r="F119" s="3">
        <v>0.7</v>
      </c>
      <c r="G119" s="3">
        <v>15.98</v>
      </c>
      <c r="H119" s="3">
        <v>482</v>
      </c>
      <c r="I119" s="3">
        <v>2.41</v>
      </c>
      <c r="J119" s="3">
        <v>3.5459999999999998</v>
      </c>
      <c r="K119" s="3">
        <v>6.8849999999999998</v>
      </c>
    </row>
  </sheetData>
  <mergeCells count="1">
    <mergeCell ref="D9:K9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Model</vt:lpstr>
      <vt:lpstr>Actual Value</vt:lpstr>
      <vt:lpstr>Dairy and Egg Products</vt:lpstr>
      <vt:lpstr>Spices and Herbs</vt:lpstr>
      <vt:lpstr>Baby Foods</vt:lpstr>
      <vt:lpstr>Fats and Oils</vt:lpstr>
      <vt:lpstr>Poultry Products</vt:lpstr>
      <vt:lpstr>Soups, Sauces, and Gravies</vt:lpstr>
      <vt:lpstr>Sausages and Luncheon Meats</vt:lpstr>
      <vt:lpstr>Breakfast Cereals</vt:lpstr>
      <vt:lpstr>Fruits and Fruit Juices</vt:lpstr>
      <vt:lpstr>Pork Products</vt:lpstr>
      <vt:lpstr>Vegetables and Vegetable Produc</vt:lpstr>
      <vt:lpstr>Nut and Seed Products</vt:lpstr>
      <vt:lpstr>Beef Products</vt:lpstr>
      <vt:lpstr>Beverages</vt:lpstr>
      <vt:lpstr>Finfish and Shellfish Products</vt:lpstr>
      <vt:lpstr>Legumes and Legume Products</vt:lpstr>
      <vt:lpstr>Lamb, Veal, and Game Products</vt:lpstr>
      <vt:lpstr>Baked Products</vt:lpstr>
      <vt:lpstr>Sweets</vt:lpstr>
      <vt:lpstr>Cereal Grains and Pasta</vt:lpstr>
      <vt:lpstr>Fast Foods</vt:lpstr>
      <vt:lpstr>Meals, Entrees, and Side Dishes</vt:lpstr>
      <vt:lpstr>Snacks</vt:lpstr>
      <vt:lpstr>American Indian Alaska Native F</vt:lpstr>
      <vt:lpstr>Restaurant Foods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Aisha Khwaja</dc:creator>
  <cp:keywords/>
  <dc:description/>
  <cp:lastModifiedBy>Zhenyu Wang</cp:lastModifiedBy>
  <cp:revision/>
  <dcterms:created xsi:type="dcterms:W3CDTF">2025-04-01T18:38:19Z</dcterms:created>
  <dcterms:modified xsi:type="dcterms:W3CDTF">2025-05-08T00:26:53Z</dcterms:modified>
  <cp:category/>
  <cp:contentStatus/>
</cp:coreProperties>
</file>